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ONKNEISLY\Documents\VA\VICCS\Daily Prod Run\July 2020\"/>
    </mc:Choice>
  </mc:AlternateContent>
  <xr:revisionPtr revIDLastSave="0" documentId="13_ncr:1_{D92188AC-81D0-4FE9-980B-69294146E6B4}" xr6:coauthVersionLast="44" xr6:coauthVersionMax="44" xr10:uidLastSave="{00000000-0000-0000-0000-000000000000}"/>
  <bookViews>
    <workbookView xWindow="-108" yWindow="-108" windowWidth="23256" windowHeight="12576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Packets and Docs" sheetId="2" r:id="rId4"/>
    <sheet name="HIL Analysis" sheetId="5" r:id="rId5"/>
  </sheets>
  <definedNames>
    <definedName name="_xlnm._FilterDatabase" localSheetId="3" hidden="1">'Packets and Docs'!$A$1:$R$11261</definedName>
    <definedName name="_xlnm._FilterDatabase" localSheetId="0" hidden="1">Summary!$H$6:$J$43</definedName>
    <definedName name="_xlnm.Extract" localSheetId="3">'Packets and Docs'!#REF!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" i="5" l="1"/>
  <c r="I3" i="5"/>
  <c r="G20" i="3" l="1"/>
  <c r="G10" i="3"/>
  <c r="D10" i="3"/>
  <c r="D20" i="3"/>
  <c r="J4" i="5"/>
  <c r="I4" i="5"/>
  <c r="J5" i="5" l="1"/>
  <c r="I5" i="5"/>
  <c r="G29" i="3" l="1"/>
  <c r="D29" i="3"/>
  <c r="J6" i="5"/>
  <c r="I6" i="5"/>
  <c r="M11" i="1"/>
  <c r="M9" i="1"/>
  <c r="M5" i="1"/>
  <c r="J7" i="5" l="1"/>
  <c r="I7" i="5"/>
  <c r="G38" i="3" l="1"/>
  <c r="D38" i="3"/>
  <c r="J9" i="5"/>
  <c r="I9" i="5"/>
  <c r="J8" i="5"/>
  <c r="I8" i="5"/>
  <c r="G66" i="3" l="1"/>
  <c r="D66" i="3"/>
  <c r="D62" i="3"/>
  <c r="G62" i="3"/>
  <c r="G58" i="3"/>
  <c r="D58" i="3"/>
  <c r="G50" i="3"/>
  <c r="D50" i="3"/>
  <c r="G51" i="3" l="1"/>
  <c r="D51" i="3"/>
  <c r="J24" i="5" l="1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0" i="5"/>
  <c r="J11" i="5"/>
  <c r="J12" i="5"/>
  <c r="J13" i="5"/>
  <c r="J14" i="5"/>
  <c r="J15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1" i="5"/>
  <c r="I12" i="5"/>
  <c r="I13" i="5"/>
  <c r="I14" i="5"/>
  <c r="I15" i="5"/>
  <c r="I10" i="5"/>
  <c r="J23" i="5"/>
  <c r="I23" i="5"/>
  <c r="J22" i="5"/>
  <c r="I22" i="5"/>
  <c r="J21" i="5"/>
  <c r="I21" i="5"/>
  <c r="J20" i="5"/>
  <c r="I20" i="5"/>
  <c r="J19" i="5"/>
  <c r="I19" i="5"/>
  <c r="J18" i="5"/>
  <c r="I18" i="5"/>
  <c r="J17" i="5"/>
  <c r="I17" i="5"/>
  <c r="J16" i="5"/>
  <c r="I16" i="5"/>
  <c r="H58" i="3" l="1"/>
  <c r="H29" i="3"/>
  <c r="H20" i="3"/>
  <c r="H62" i="3"/>
  <c r="H51" i="3"/>
  <c r="H50" i="3"/>
  <c r="H38" i="3"/>
  <c r="H10" i="3"/>
  <c r="F7" i="4" l="1"/>
  <c r="F5" i="4"/>
  <c r="F3" i="4"/>
  <c r="F9" i="4" l="1"/>
  <c r="F11" i="4" l="1"/>
  <c r="C19" i="1" l="1" a="1"/>
  <c r="C19" i="1" s="1"/>
  <c r="C21" i="1" a="1"/>
  <c r="C21" i="1" s="1"/>
  <c r="C27" i="1" l="1"/>
  <c r="C16" i="1" l="1"/>
  <c r="H6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7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9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1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9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1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sharedStrings.xml><?xml version="1.0" encoding="utf-8"?>
<sst xmlns="http://schemas.openxmlformats.org/spreadsheetml/2006/main" count="7867" uniqueCount="174">
  <si>
    <t>Packets</t>
  </si>
  <si>
    <t>PACKET_STATUS</t>
  </si>
  <si>
    <t>PACKET_ELIGIBLE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</si>
  <si>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</si>
  <si>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</si>
  <si>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</si>
  <si>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</si>
  <si>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</si>
  <si>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</si>
  <si>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</si>
  <si>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</si>
  <si>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</si>
  <si>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</si>
  <si>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</si>
  <si>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</si>
  <si>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</si>
  <si>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%Successful and Busines Offramps of Eligible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</si>
  <si>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</si>
  <si>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</si>
  <si>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</si>
  <si>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</si>
  <si>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</si>
  <si>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</si>
  <si>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</si>
  <si>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</si>
  <si>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% of documents processed out of all docs in eligible packets</t>
  </si>
  <si>
    <t>526ez</t>
  </si>
  <si>
    <t>Packets Autocessed</t>
  </si>
  <si>
    <t xml:space="preserve">Total Documents 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</si>
  <si>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</si>
  <si>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</si>
  <si>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</si>
  <si>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</si>
  <si>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</si>
  <si>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</si>
  <si>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</si>
  <si>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</si>
  <si>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</si>
  <si>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</si>
  <si>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</si>
  <si>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</si>
  <si>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</si>
  <si>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</si>
  <si>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</si>
  <si>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</si>
  <si>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</si>
  <si>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</si>
  <si>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</si>
  <si>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</si>
  <si>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</si>
  <si>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</si>
  <si>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</si>
  <si>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</si>
  <si>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</si>
  <si>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</si>
  <si>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</si>
  <si>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</si>
  <si>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EVD-TPC</t>
  </si>
  <si>
    <t>EVD-COR</t>
  </si>
  <si>
    <t>Returned Mail</t>
  </si>
  <si>
    <t>21-22, 0966, EVD_COR, EVD_TPC, EM, RM, 526ez, 0820, 0845</t>
  </si>
  <si>
    <t>Count of Processed &amp; Offramped Documents</t>
  </si>
  <si>
    <t>LAST_UPDATED_DATE</t>
  </si>
  <si>
    <t xml:space="preserve">TOTAL PACKETS W/ HIL </t>
  </si>
  <si>
    <t>TOTAL PROCESSED</t>
  </si>
  <si>
    <t>TOTAL OFFRAMPED</t>
  </si>
  <si>
    <t>TOTAL PARTIALLY PROCESSED</t>
  </si>
  <si>
    <t>TOTAL PARTIALLY PROCESSING</t>
  </si>
  <si>
    <t>TOTAL PROCESSING</t>
  </si>
  <si>
    <t>TOTAL REVIEWED</t>
  </si>
  <si>
    <t>PERCENT PROCESSED</t>
  </si>
  <si>
    <t>PERCENT OFFRAMPED</t>
  </si>
  <si>
    <t>OFF RAMPED</t>
  </si>
  <si>
    <t>Eligible</t>
  </si>
  <si>
    <t>Not Eligible</t>
  </si>
  <si>
    <t>Packet Added</t>
  </si>
  <si>
    <t>PARTIALLY PROCESSED</t>
  </si>
  <si>
    <t>PROCESSED</t>
  </si>
  <si>
    <t>PROCESSING</t>
  </si>
  <si>
    <t>REVIEWED</t>
  </si>
  <si>
    <t>0820 not eligible for auto</t>
  </si>
  <si>
    <t>BUSINESS OFFRAMP</t>
  </si>
  <si>
    <t>High</t>
  </si>
  <si>
    <t>SYSTEM OFFRAMP</t>
  </si>
  <si>
    <t>NOT CHARGEABLE</t>
  </si>
  <si>
    <t>Address not updated. Addre</t>
  </si>
  <si>
    <t>Low</t>
  </si>
  <si>
    <t>Address not updated. Diffe</t>
  </si>
  <si>
    <t>Address not updated. ITF R</t>
  </si>
  <si>
    <t xml:space="preserve">Address not updated. Same </t>
  </si>
  <si>
    <t>Medium</t>
  </si>
  <si>
    <t>Doc Status: OFFRAMPED. Pac</t>
  </si>
  <si>
    <t>Failed to find profile for</t>
  </si>
  <si>
    <t>Final Exception Reason: Bu</t>
  </si>
  <si>
    <t>Final Exception Reason: Sy</t>
  </si>
  <si>
    <t>Incomplete POA Form</t>
  </si>
  <si>
    <t>Integrated Disability Eval</t>
  </si>
  <si>
    <t>No claims open, pending an</t>
  </si>
  <si>
    <t>POA Not Updated, as POA on</t>
  </si>
  <si>
    <t>POA Not Updated, but POA m</t>
  </si>
  <si>
    <t>POA Updated based on 21-22</t>
  </si>
  <si>
    <t>Processed</t>
  </si>
  <si>
    <t>Profile Valid</t>
  </si>
  <si>
    <t>Veterans Affairs (VA) Bene</t>
  </si>
  <si>
    <t>OFFRAMPED</t>
  </si>
  <si>
    <t>Third Party Correspondence</t>
  </si>
  <si>
    <t>OP2</t>
  </si>
  <si>
    <t>UNKNOWN</t>
  </si>
  <si>
    <t>BVA_APPEALS_REMAND</t>
  </si>
  <si>
    <t>HIL_VBMS</t>
  </si>
  <si>
    <t>Correspondence</t>
  </si>
  <si>
    <t>FOIA_PRIVACYACT</t>
  </si>
  <si>
    <t>PENDING UPLOAD</t>
  </si>
  <si>
    <t>RM</t>
  </si>
  <si>
    <t>NON_ESS</t>
  </si>
  <si>
    <t>ESS</t>
  </si>
  <si>
    <t>VBOTPROCESSING</t>
  </si>
  <si>
    <t>AUDIT_REQUEST</t>
  </si>
  <si>
    <t>OMPF</t>
  </si>
  <si>
    <t>Certificate of Release or Discharge From Active Duty (e.g. DD 214, NOAA 56-16, PHS 1867)</t>
  </si>
  <si>
    <t>NULL</t>
  </si>
  <si>
    <t>VA 21-4138 Statement In Support of Claim</t>
  </si>
  <si>
    <t>VA 21-0845 Authorization to Disclose Personal Info</t>
  </si>
  <si>
    <t>VA 21-4142 Authorization for Release of Information</t>
  </si>
  <si>
    <t>VA 21-22 Appointment of Veterans Serv. Org. as Claimant's Representative</t>
  </si>
  <si>
    <t>VA 21-0820 Report of General Information</t>
  </si>
  <si>
    <t>VA 21-526EZ, Fully Developed Claim Compensation</t>
  </si>
  <si>
    <t>VA 21-0966 Intent to File</t>
  </si>
  <si>
    <t>EVD-VCAADTAL</t>
  </si>
  <si>
    <t>VCAA/DTA Letter</t>
  </si>
  <si>
    <t>PMR</t>
  </si>
  <si>
    <t>VCAA</t>
  </si>
  <si>
    <t>VCAA Notice Acknowledgement</t>
  </si>
  <si>
    <t>Medical Treatment Record - Non-Government Facility</t>
  </si>
  <si>
    <t>EVD-NL</t>
  </si>
  <si>
    <t xml:space="preserve">Notification Letter </t>
  </si>
  <si>
    <t>EVD-FAXCS</t>
  </si>
  <si>
    <t>Fax Cover Sheet</t>
  </si>
  <si>
    <t>EVD-21-0847</t>
  </si>
  <si>
    <t>VA 21-0847 - Request for Substitution of Claimant Upon Death of Claimant</t>
  </si>
  <si>
    <t>EVD-21-8960</t>
  </si>
  <si>
    <t>VA 21-8960 Certification of School Attendance or Termination</t>
  </si>
  <si>
    <t>OCRNOTCLASSIFIED</t>
  </si>
  <si>
    <t>OCRSUCCESS</t>
  </si>
  <si>
    <t>Address has been updated (</t>
  </si>
  <si>
    <t xml:space="preserve">API Error getting Claims. </t>
  </si>
  <si>
    <t xml:space="preserve">Final Exception Reason: System </t>
  </si>
  <si>
    <t>Doc Status: OFFRAMPED. Packet S</t>
  </si>
  <si>
    <t xml:space="preserve">Failed to find profile for Doc </t>
  </si>
  <si>
    <t>820: Contention creation finish</t>
  </si>
  <si>
    <t>POA Updated based on 21-22 rece</t>
  </si>
  <si>
    <t>Address not updated. Address va</t>
  </si>
  <si>
    <t>Final Exception Reason: Busines</t>
  </si>
  <si>
    <t xml:space="preserve">No claims open, pending and/or </t>
  </si>
  <si>
    <t>Integrated Disability Evaluatio</t>
  </si>
  <si>
    <t>0820 not eligible for automatio</t>
  </si>
  <si>
    <t>POA Not Updated, but POA manage</t>
  </si>
  <si>
    <t xml:space="preserve">Address not updated. Different </t>
  </si>
  <si>
    <t>Address not updated. ITF Receiv</t>
  </si>
  <si>
    <t>Address not updated. Same addre</t>
  </si>
  <si>
    <t xml:space="preserve">Veterans Affairs (VA) Benefits </t>
  </si>
  <si>
    <t>API Error getting Claims. CM Pa</t>
  </si>
  <si>
    <t>POA Not Updated, as POA on reco</t>
  </si>
  <si>
    <t>Address has been updated (CMP p</t>
  </si>
  <si>
    <t>19JUL2020 0000-2359</t>
  </si>
  <si>
    <t>Address Name Match - False</t>
  </si>
  <si>
    <t xml:space="preserve">Address not updated. VBMS </t>
  </si>
  <si>
    <t xml:space="preserve">Compensation - 0. Pension </t>
  </si>
  <si>
    <t>Address not updated. VBMS Error</t>
  </si>
  <si>
    <t>Address Name Match - False (CMP</t>
  </si>
  <si>
    <t>Address not updated. Address gr</t>
  </si>
  <si>
    <t xml:space="preserve">Compensation - 1. Pension - 1. </t>
  </si>
  <si>
    <t xml:space="preserve">Compensation - 0. Pension - 0. </t>
  </si>
  <si>
    <t xml:space="preserve">Compensation - 1. Pension - 0.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</si>
</sst>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CACAA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47" fontId="0" fillId="0" borderId="0" xfId="0" applyNumberFormat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0" fontId="7" fillId="0" borderId="0" xfId="0" applyFont="1" applyFill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0" fontId="11" fillId="0" borderId="0" xfId="0" applyFont="1"/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164" fontId="10" fillId="0" borderId="0" xfId="1" applyNumberFormat="1" applyFont="1"/>
    <xf numFmtId="10" fontId="0" fillId="0" borderId="0" xfId="1" applyNumberFormat="1" applyFont="1"/>
    <xf numFmtId="164" fontId="1" fillId="0" borderId="0" xfId="1" applyNumberFormat="1"/>
    <xf numFmtId="0" fontId="7" fillId="0" borderId="6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14" fontId="0" fillId="0" borderId="9" xfId="0" applyNumberFormat="1" applyBorder="1"/>
    <xf numFmtId="0" fontId="0" fillId="0" borderId="10" xfId="0" applyBorder="1"/>
    <xf numFmtId="0" fontId="0" fillId="3" borderId="9" xfId="0" applyFill="1" applyBorder="1"/>
    <xf numFmtId="0" fontId="0" fillId="3" borderId="11" xfId="0" applyFill="1" applyBorder="1"/>
    <xf numFmtId="0" fontId="0" fillId="3" borderId="12" xfId="0" applyFill="1" applyBorder="1"/>
    <xf numFmtId="10" fontId="0" fillId="0" borderId="9" xfId="0" applyNumberFormat="1" applyBorder="1"/>
    <xf numFmtId="10" fontId="0" fillId="0" borderId="12" xfId="0" applyNumberFormat="1" applyBorder="1"/>
    <xf numFmtId="14" fontId="0" fillId="0" borderId="13" xfId="0" applyNumberFormat="1" applyBorder="1"/>
    <xf numFmtId="0" fontId="0" fillId="0" borderId="14" xfId="0" applyBorder="1"/>
    <xf numFmtId="10" fontId="0" fillId="0" borderId="9" xfId="0" applyNumberFormat="1" applyFont="1" applyBorder="1" applyAlignment="1">
      <alignment horizontal="right" wrapText="1"/>
    </xf>
    <xf numFmtId="14" fontId="0" fillId="0" borderId="15" xfId="0" applyNumberFormat="1" applyFont="1" applyBorder="1" applyAlignment="1">
      <alignment horizontal="right" wrapText="1"/>
    </xf>
    <xf numFmtId="0" fontId="0" fillId="0" borderId="16" xfId="0" applyFont="1" applyBorder="1" applyAlignment="1">
      <alignment horizontal="right" wrapText="1"/>
    </xf>
    <xf numFmtId="10" fontId="0" fillId="0" borderId="15" xfId="0" applyNumberFormat="1" applyFont="1" applyBorder="1" applyAlignment="1">
      <alignment horizontal="right" wrapText="1"/>
    </xf>
    <xf numFmtId="10" fontId="0" fillId="0" borderId="17" xfId="0" applyNumberFormat="1" applyBorder="1"/>
    <xf numFmtId="0" fontId="0" fillId="3" borderId="15" xfId="0" applyFill="1" applyBorder="1"/>
    <xf numFmtId="0" fontId="0" fillId="3" borderId="18" xfId="0" applyFill="1" applyBorder="1"/>
    <xf numFmtId="0" fontId="0" fillId="3" borderId="17" xfId="0" applyFill="1" applyBorder="1"/>
    <xf numFmtId="14" fontId="0" fillId="0" borderId="19" xfId="0" applyNumberFormat="1" applyBorder="1"/>
    <xf numFmtId="14" fontId="0" fillId="0" borderId="20" xfId="0" applyNumberFormat="1" applyFont="1" applyBorder="1" applyAlignment="1">
      <alignment horizontal="right" wrapText="1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Summary'!$A$2:$A$172</c:f>
              <c:numCache>
                <c:formatCode>m/d/yy;@</c:formatCode>
                <c:ptCount val="171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</c:numCache>
            </c:numRef>
          </c:cat>
          <c:val>
            <c:numRef>
              <c:f>'Packet Eligibility Summary'!$B$2:$B$172</c:f>
              <c:numCache>
                <c:formatCode>General</c:formatCode>
                <c:ptCount val="171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2746</c:v>
                </c:pt>
                <c:pt idx="28">
                  <c:v>6310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2291</c:v>
                </c:pt>
                <c:pt idx="151">
                  <c:v>9196</c:v>
                </c:pt>
                <c:pt idx="152">
                  <c:v>10427</c:v>
                </c:pt>
                <c:pt idx="153">
                  <c:v>5962</c:v>
                </c:pt>
                <c:pt idx="154">
                  <c:v>5849</c:v>
                </c:pt>
                <c:pt idx="155">
                  <c:v>40</c:v>
                </c:pt>
                <c:pt idx="156">
                  <c:v>1</c:v>
                </c:pt>
                <c:pt idx="157">
                  <c:v>4499</c:v>
                </c:pt>
                <c:pt idx="158">
                  <c:v>12762</c:v>
                </c:pt>
                <c:pt idx="159">
                  <c:v>10823</c:v>
                </c:pt>
                <c:pt idx="160">
                  <c:v>6042</c:v>
                </c:pt>
                <c:pt idx="161">
                  <c:v>8739</c:v>
                </c:pt>
                <c:pt idx="162">
                  <c:v>2392</c:v>
                </c:pt>
                <c:pt idx="163">
                  <c:v>1865</c:v>
                </c:pt>
                <c:pt idx="164">
                  <c:v>4721</c:v>
                </c:pt>
                <c:pt idx="165">
                  <c:v>9753</c:v>
                </c:pt>
                <c:pt idx="166">
                  <c:v>9205</c:v>
                </c:pt>
                <c:pt idx="167">
                  <c:v>6781</c:v>
                </c:pt>
                <c:pt idx="168">
                  <c:v>7118</c:v>
                </c:pt>
                <c:pt idx="169">
                  <c:v>9529</c:v>
                </c:pt>
                <c:pt idx="170">
                  <c:v>2554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Summary'!$A$2:$A$172</c:f>
              <c:numCache>
                <c:formatCode>m/d/yy;@</c:formatCode>
                <c:ptCount val="171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</c:numCache>
            </c:numRef>
          </c:cat>
          <c:val>
            <c:numRef>
              <c:f>'Packet Eligibility Summary'!$C$2:$C$172</c:f>
              <c:numCache>
                <c:formatCode>General</c:formatCode>
                <c:ptCount val="171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3899</c:v>
                </c:pt>
                <c:pt idx="147">
                  <c:v>3630</c:v>
                </c:pt>
                <c:pt idx="148">
                  <c:v>824</c:v>
                </c:pt>
                <c:pt idx="149">
                  <c:v>4</c:v>
                </c:pt>
                <c:pt idx="150">
                  <c:v>4202</c:v>
                </c:pt>
                <c:pt idx="151">
                  <c:v>4301</c:v>
                </c:pt>
                <c:pt idx="152">
                  <c:v>2842</c:v>
                </c:pt>
                <c:pt idx="153">
                  <c:v>2628</c:v>
                </c:pt>
                <c:pt idx="154">
                  <c:v>1857</c:v>
                </c:pt>
                <c:pt idx="155">
                  <c:v>32</c:v>
                </c:pt>
                <c:pt idx="156">
                  <c:v>0</c:v>
                </c:pt>
                <c:pt idx="157">
                  <c:v>3848</c:v>
                </c:pt>
                <c:pt idx="158">
                  <c:v>5283</c:v>
                </c:pt>
                <c:pt idx="159">
                  <c:v>4018</c:v>
                </c:pt>
                <c:pt idx="160">
                  <c:v>3245</c:v>
                </c:pt>
                <c:pt idx="161">
                  <c:v>3428</c:v>
                </c:pt>
                <c:pt idx="162">
                  <c:v>965</c:v>
                </c:pt>
                <c:pt idx="163">
                  <c:v>756</c:v>
                </c:pt>
                <c:pt idx="164">
                  <c:v>3817</c:v>
                </c:pt>
                <c:pt idx="165">
                  <c:v>3643</c:v>
                </c:pt>
                <c:pt idx="166">
                  <c:v>3416</c:v>
                </c:pt>
                <c:pt idx="167">
                  <c:v>3522</c:v>
                </c:pt>
                <c:pt idx="168">
                  <c:v>3258</c:v>
                </c:pt>
                <c:pt idx="169">
                  <c:v>441</c:v>
                </c:pt>
                <c:pt idx="170">
                  <c:v>1036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23</xdr:col>
      <xdr:colOff>561975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6"/>
  <sheetViews>
    <sheetView tabSelected="1" zoomScale="70" zoomScaleNormal="70" workbookViewId="0"/>
  </sheetViews>
  <sheetFormatPr defaultRowHeight="14.4" x14ac:dyDescent="0.3"/>
  <cols>
    <col min="1" max="1" width="35.88671875" customWidth="1"/>
    <col min="2" max="2" width="17.44140625" bestFit="1" customWidth="1"/>
    <col min="3" max="3" width="11.44140625" bestFit="1" customWidth="1"/>
    <col min="5" max="5" width="25.6640625" bestFit="1" customWidth="1"/>
    <col min="6" max="6" width="17.5546875" bestFit="1" customWidth="1"/>
    <col min="7" max="7" width="11.77734375" bestFit="1" customWidth="1"/>
    <col min="8" max="8" width="12.77734375" bestFit="1" customWidth="1"/>
    <col min="9" max="9" width="17.77734375" customWidth="1"/>
    <col min="10" max="10" width="11.88671875" customWidth="1"/>
    <col min="11" max="11" width="60.21875" customWidth="1"/>
    <col min="12" max="12" width="4.6640625" customWidth="1"/>
    <col min="13" max="13" width="12.109375" bestFit="1" customWidth="1"/>
    <col min="14" max="14" width="14" bestFit="1" customWidth="1"/>
    <col min="16" max="16" width="58" bestFit="1" customWidth="1"/>
    <col min="17" max="17" width="11.109375" customWidth="1"/>
  </cols>
  <sheetData>
    <row r="1" spans="1:13" x14ac:dyDescent="0.3">
      <c r="A1" s="13" t="s">
        <v>20</v>
      </c>
      <c r="B1" s="13" t="s">
        <v>164</v>
      </c>
    </row>
    <row r="2" spans="1:13" x14ac:dyDescent="0.3">
      <c r="A2" s="1" t="s">
        <v>21</v>
      </c>
      <c r="B2" s="2" t="s">
        <v>60</v>
      </c>
    </row>
    <row r="3" spans="1:13" x14ac:dyDescent="0.3">
      <c r="A3" s="1"/>
      <c r="B3" s="2"/>
    </row>
    <row r="4" spans="1:13" x14ac:dyDescent="0.3">
      <c r="A4" s="2" t="s">
        <v>0</v>
      </c>
    </row>
    <row r="5" spans="1:13" x14ac:dyDescent="0.3">
      <c r="A5" s="2" t="s">
        <v>1</v>
      </c>
      <c r="B5" s="2" t="s">
        <v>2</v>
      </c>
      <c r="C5" s="3" t="s">
        <v>22</v>
      </c>
      <c r="E5" s="13" t="s">
        <v>40</v>
      </c>
      <c r="F5" s="13" t="s">
        <v>41</v>
      </c>
      <c r="G5" s="13" t="s">
        <v>42</v>
      </c>
      <c r="H5" s="2" t="s">
        <v>43</v>
      </c>
      <c r="I5" s="2" t="s">
        <v>44</v>
      </c>
      <c r="K5" s="18" t="s">
        <v>28</v>
      </c>
      <c r="L5" s="18"/>
      <c r="M5" s="18">
        <f>SUM(I6:I182)</f>
        <v>690</v>
      </c>
    </row>
    <row r="6" spans="1:13" x14ac:dyDescent="0.3">
      <c r="A6" t="s">
        <v>72</v>
      </c>
      <c r="B6" t="s">
        <v>73</v>
      </c>
      <c r="C6">
        <v>161</v>
      </c>
      <c r="E6" t="s">
        <v>80</v>
      </c>
      <c r="F6" t="s">
        <v>81</v>
      </c>
      <c r="G6" t="s">
        <v>42</v>
      </c>
      <c r="H6" s="30" t="s">
        <v>82</v>
      </c>
      <c r="I6" s="30">
        <v>18</v>
      </c>
      <c r="J6" s="3"/>
    </row>
    <row r="7" spans="1:13" x14ac:dyDescent="0.3">
      <c r="A7" t="s">
        <v>72</v>
      </c>
      <c r="B7" t="s">
        <v>74</v>
      </c>
      <c r="C7">
        <v>63</v>
      </c>
      <c r="E7" t="s">
        <v>144</v>
      </c>
      <c r="F7" t="s">
        <v>83</v>
      </c>
      <c r="G7" t="s">
        <v>84</v>
      </c>
      <c r="H7" t="s">
        <v>82</v>
      </c>
      <c r="I7">
        <v>82</v>
      </c>
      <c r="K7" s="2" t="s">
        <v>7</v>
      </c>
      <c r="L7" s="2"/>
      <c r="M7" s="2">
        <v>927</v>
      </c>
    </row>
    <row r="8" spans="1:13" x14ac:dyDescent="0.3">
      <c r="A8" t="s">
        <v>75</v>
      </c>
      <c r="C8">
        <v>395</v>
      </c>
      <c r="E8" t="s">
        <v>165</v>
      </c>
      <c r="F8" t="s">
        <v>83</v>
      </c>
      <c r="G8" t="s">
        <v>84</v>
      </c>
      <c r="H8" t="s">
        <v>90</v>
      </c>
      <c r="I8">
        <v>6</v>
      </c>
      <c r="K8" s="2"/>
      <c r="L8" s="2"/>
      <c r="M8" s="5"/>
    </row>
    <row r="9" spans="1:13" x14ac:dyDescent="0.3">
      <c r="A9" t="s">
        <v>76</v>
      </c>
      <c r="B9" t="s">
        <v>73</v>
      </c>
      <c r="C9">
        <v>10</v>
      </c>
      <c r="E9" t="s">
        <v>85</v>
      </c>
      <c r="F9" t="s">
        <v>83</v>
      </c>
      <c r="G9" t="s">
        <v>84</v>
      </c>
      <c r="H9" t="s">
        <v>82</v>
      </c>
      <c r="I9">
        <v>13</v>
      </c>
      <c r="K9" s="2" t="s">
        <v>8</v>
      </c>
      <c r="L9" s="2"/>
      <c r="M9" s="10">
        <f>((SUMIF(F6:F182,"PROCESSED",I6:I182) +SUMIF(F6:F182,"BUSINESS OFFRAMP",I1:I182)) / $M$7)</f>
        <v>0.35706580366774543</v>
      </c>
    </row>
    <row r="10" spans="1:13" x14ac:dyDescent="0.3">
      <c r="A10" t="s">
        <v>77</v>
      </c>
      <c r="B10" t="s">
        <v>73</v>
      </c>
      <c r="C10">
        <v>36</v>
      </c>
      <c r="E10" t="s">
        <v>85</v>
      </c>
      <c r="F10" t="s">
        <v>83</v>
      </c>
      <c r="G10" t="s">
        <v>84</v>
      </c>
      <c r="H10" t="s">
        <v>86</v>
      </c>
      <c r="I10">
        <v>2</v>
      </c>
      <c r="M10" s="7"/>
    </row>
    <row r="11" spans="1:13" x14ac:dyDescent="0.3">
      <c r="A11" t="s">
        <v>78</v>
      </c>
      <c r="B11" t="s">
        <v>73</v>
      </c>
      <c r="C11">
        <v>75</v>
      </c>
      <c r="E11" t="s">
        <v>87</v>
      </c>
      <c r="F11" t="s">
        <v>83</v>
      </c>
      <c r="G11" t="s">
        <v>84</v>
      </c>
      <c r="H11" t="s">
        <v>82</v>
      </c>
      <c r="I11">
        <v>13</v>
      </c>
      <c r="K11" s="2" t="s">
        <v>9</v>
      </c>
      <c r="L11" s="2"/>
      <c r="M11" s="6">
        <f>(SUMIF(F6:F182,"PROCESSED",I6:I182) / $M$7)</f>
        <v>5.1779935275080909E-2</v>
      </c>
    </row>
    <row r="12" spans="1:13" x14ac:dyDescent="0.3">
      <c r="A12" t="s">
        <v>79</v>
      </c>
      <c r="B12" t="s">
        <v>73</v>
      </c>
      <c r="C12">
        <v>146</v>
      </c>
      <c r="E12" t="s">
        <v>88</v>
      </c>
      <c r="F12" t="s">
        <v>83</v>
      </c>
      <c r="G12" t="s">
        <v>84</v>
      </c>
      <c r="H12" t="s">
        <v>82</v>
      </c>
      <c r="I12">
        <v>10</v>
      </c>
    </row>
    <row r="13" spans="1:13" x14ac:dyDescent="0.3">
      <c r="E13" t="s">
        <v>89</v>
      </c>
      <c r="F13" t="s">
        <v>83</v>
      </c>
      <c r="G13" t="s">
        <v>84</v>
      </c>
      <c r="H13" t="s">
        <v>82</v>
      </c>
      <c r="I13">
        <v>26</v>
      </c>
    </row>
    <row r="14" spans="1:13" x14ac:dyDescent="0.3">
      <c r="E14" t="s">
        <v>166</v>
      </c>
      <c r="F14" t="s">
        <v>83</v>
      </c>
      <c r="G14" t="s">
        <v>84</v>
      </c>
      <c r="H14" t="s">
        <v>82</v>
      </c>
      <c r="I14">
        <v>3</v>
      </c>
    </row>
    <row r="15" spans="1:13" x14ac:dyDescent="0.3">
      <c r="E15" t="s">
        <v>145</v>
      </c>
      <c r="F15" t="s">
        <v>83</v>
      </c>
      <c r="G15" t="s">
        <v>84</v>
      </c>
      <c r="H15" t="s">
        <v>82</v>
      </c>
      <c r="I15">
        <v>2</v>
      </c>
      <c r="K15" s="20"/>
    </row>
    <row r="16" spans="1:13" ht="15" thickBot="1" x14ac:dyDescent="0.35">
      <c r="A16" s="4" t="s">
        <v>3</v>
      </c>
      <c r="B16" s="4"/>
      <c r="C16" s="4">
        <f>SUM(C6:C13)</f>
        <v>886</v>
      </c>
      <c r="E16" t="s">
        <v>145</v>
      </c>
      <c r="F16" t="s">
        <v>83</v>
      </c>
      <c r="G16" t="s">
        <v>84</v>
      </c>
      <c r="H16" t="s">
        <v>86</v>
      </c>
      <c r="I16">
        <v>82</v>
      </c>
    </row>
    <row r="17" spans="1:18" x14ac:dyDescent="0.3">
      <c r="E17" t="s">
        <v>167</v>
      </c>
      <c r="F17" t="s">
        <v>83</v>
      </c>
      <c r="G17" t="s">
        <v>84</v>
      </c>
      <c r="H17" t="s">
        <v>86</v>
      </c>
      <c r="I17">
        <v>1</v>
      </c>
    </row>
    <row r="18" spans="1:18" x14ac:dyDescent="0.3">
      <c r="E18" t="s">
        <v>91</v>
      </c>
      <c r="F18" t="s">
        <v>83</v>
      </c>
      <c r="G18" t="s">
        <v>84</v>
      </c>
      <c r="H18" t="s">
        <v>82</v>
      </c>
      <c r="I18">
        <v>17</v>
      </c>
    </row>
    <row r="19" spans="1:18" x14ac:dyDescent="0.3">
      <c r="A19" s="2" t="s">
        <v>4</v>
      </c>
      <c r="B19" s="5"/>
      <c r="C19" s="6">
        <f t="array" ref="C19">INDEX(C6:C13,MATCH("PROCESSED"&amp;"Eligible",A6:A13&amp;B6:B13,0)) / SUMIF(B6:B13,"Eligible",C6:C13)</f>
        <v>8.4112149532710276E-2</v>
      </c>
      <c r="E19" t="s">
        <v>91</v>
      </c>
      <c r="F19" t="s">
        <v>83</v>
      </c>
      <c r="G19" t="s">
        <v>84</v>
      </c>
      <c r="H19" t="s">
        <v>86</v>
      </c>
      <c r="I19">
        <v>8</v>
      </c>
    </row>
    <row r="20" spans="1:18" x14ac:dyDescent="0.3">
      <c r="A20" s="2"/>
      <c r="B20" s="5"/>
      <c r="C20" s="6"/>
      <c r="E20" t="s">
        <v>92</v>
      </c>
      <c r="F20" t="s">
        <v>83</v>
      </c>
      <c r="G20" t="s">
        <v>84</v>
      </c>
      <c r="H20" t="s">
        <v>82</v>
      </c>
      <c r="I20">
        <v>11</v>
      </c>
    </row>
    <row r="21" spans="1:18" x14ac:dyDescent="0.3">
      <c r="A21" s="2" t="s">
        <v>5</v>
      </c>
      <c r="B21" s="5"/>
      <c r="C21" s="6">
        <f t="array" ref="C21">INDEX(C6:C13,MATCH("PROCESSED"&amp;"Eligible",A6:A13&amp;B6:B13,0)) / SUMIF(B6:B13,"&lt;&gt;",C6:C13)</f>
        <v>7.3319755600814662E-2</v>
      </c>
      <c r="E21" t="s">
        <v>92</v>
      </c>
      <c r="F21" t="s">
        <v>83</v>
      </c>
      <c r="G21" t="s">
        <v>84</v>
      </c>
      <c r="H21" t="s">
        <v>86</v>
      </c>
      <c r="I21">
        <v>195</v>
      </c>
    </row>
    <row r="22" spans="1:18" x14ac:dyDescent="0.3">
      <c r="C22" s="7"/>
      <c r="E22" t="s">
        <v>92</v>
      </c>
      <c r="F22" t="s">
        <v>83</v>
      </c>
      <c r="G22" t="s">
        <v>84</v>
      </c>
      <c r="H22" t="s">
        <v>90</v>
      </c>
      <c r="I22">
        <v>1</v>
      </c>
    </row>
    <row r="23" spans="1:18" x14ac:dyDescent="0.3">
      <c r="A23" s="13" t="s">
        <v>27</v>
      </c>
      <c r="C23" s="13">
        <v>75</v>
      </c>
      <c r="E23" t="s">
        <v>93</v>
      </c>
      <c r="F23" t="s">
        <v>81</v>
      </c>
      <c r="G23" t="s">
        <v>42</v>
      </c>
      <c r="H23" t="s">
        <v>82</v>
      </c>
      <c r="I23">
        <v>4</v>
      </c>
      <c r="K23" s="31"/>
    </row>
    <row r="24" spans="1:18" x14ac:dyDescent="0.3">
      <c r="E24" t="s">
        <v>94</v>
      </c>
      <c r="F24" t="s">
        <v>83</v>
      </c>
      <c r="G24" t="s">
        <v>84</v>
      </c>
      <c r="H24" t="s">
        <v>86</v>
      </c>
      <c r="I24">
        <v>4</v>
      </c>
    </row>
    <row r="25" spans="1:18" x14ac:dyDescent="0.3">
      <c r="A25" s="13" t="s">
        <v>29</v>
      </c>
      <c r="C25" s="23">
        <v>794</v>
      </c>
      <c r="E25" t="s">
        <v>95</v>
      </c>
      <c r="F25" t="s">
        <v>81</v>
      </c>
      <c r="G25" t="s">
        <v>42</v>
      </c>
      <c r="H25" t="s">
        <v>82</v>
      </c>
      <c r="I25">
        <v>43</v>
      </c>
    </row>
    <row r="26" spans="1:18" x14ac:dyDescent="0.3">
      <c r="E26" t="s">
        <v>96</v>
      </c>
      <c r="F26" t="s">
        <v>81</v>
      </c>
      <c r="G26" t="s">
        <v>42</v>
      </c>
      <c r="H26" t="s">
        <v>82</v>
      </c>
      <c r="I26">
        <v>1</v>
      </c>
    </row>
    <row r="27" spans="1:18" x14ac:dyDescent="0.3">
      <c r="A27" s="8" t="s">
        <v>6</v>
      </c>
      <c r="B27" s="9"/>
      <c r="C27" s="24">
        <f>SUMIF(A6:A13, "PROCESSED",C6:C13)/(C25-C23)</f>
        <v>5.0069541029207229E-2</v>
      </c>
      <c r="E27" t="s">
        <v>97</v>
      </c>
      <c r="F27" t="s">
        <v>81</v>
      </c>
      <c r="G27" t="s">
        <v>42</v>
      </c>
      <c r="H27" t="s">
        <v>86</v>
      </c>
      <c r="I27">
        <v>21</v>
      </c>
    </row>
    <row r="28" spans="1:18" x14ac:dyDescent="0.3">
      <c r="E28" t="s">
        <v>98</v>
      </c>
      <c r="F28" t="s">
        <v>81</v>
      </c>
      <c r="G28" t="s">
        <v>42</v>
      </c>
      <c r="H28" t="s">
        <v>82</v>
      </c>
      <c r="I28">
        <v>8</v>
      </c>
      <c r="K28" s="25"/>
    </row>
    <row r="29" spans="1:18" x14ac:dyDescent="0.3">
      <c r="E29" t="s">
        <v>99</v>
      </c>
      <c r="F29" t="s">
        <v>81</v>
      </c>
      <c r="G29" t="s">
        <v>42</v>
      </c>
      <c r="H29" t="s">
        <v>82</v>
      </c>
      <c r="I29">
        <v>19</v>
      </c>
      <c r="K29" s="25"/>
    </row>
    <row r="30" spans="1:18" x14ac:dyDescent="0.3">
      <c r="E30" t="s">
        <v>100</v>
      </c>
      <c r="F30" t="s">
        <v>81</v>
      </c>
      <c r="G30" t="s">
        <v>42</v>
      </c>
      <c r="H30" t="s">
        <v>82</v>
      </c>
      <c r="I30">
        <v>42</v>
      </c>
      <c r="K30" s="25"/>
    </row>
    <row r="31" spans="1:18" x14ac:dyDescent="0.3">
      <c r="E31" t="s">
        <v>101</v>
      </c>
      <c r="F31" t="s">
        <v>77</v>
      </c>
      <c r="G31" t="s">
        <v>42</v>
      </c>
      <c r="H31" t="s">
        <v>82</v>
      </c>
      <c r="I31">
        <v>46</v>
      </c>
      <c r="K31" s="25"/>
      <c r="P31" s="13"/>
      <c r="R31" s="13"/>
    </row>
    <row r="32" spans="1:18" x14ac:dyDescent="0.3">
      <c r="E32" t="s">
        <v>101</v>
      </c>
      <c r="F32" t="s">
        <v>77</v>
      </c>
      <c r="G32" t="s">
        <v>42</v>
      </c>
      <c r="H32" t="s">
        <v>86</v>
      </c>
      <c r="I32">
        <v>2</v>
      </c>
      <c r="K32" s="25"/>
      <c r="R32" s="13"/>
    </row>
    <row r="33" spans="5:18" x14ac:dyDescent="0.3">
      <c r="E33" t="s">
        <v>103</v>
      </c>
      <c r="F33" t="s">
        <v>81</v>
      </c>
      <c r="G33" t="s">
        <v>42</v>
      </c>
      <c r="H33" t="s">
        <v>82</v>
      </c>
      <c r="I33">
        <v>10</v>
      </c>
      <c r="K33" s="25"/>
      <c r="P33" s="13"/>
      <c r="R33" s="13"/>
    </row>
    <row r="34" spans="5:18" x14ac:dyDescent="0.3">
      <c r="K34" s="25"/>
      <c r="R34" s="13"/>
    </row>
    <row r="35" spans="5:18" x14ac:dyDescent="0.3">
      <c r="K35" s="25"/>
      <c r="P35" s="13"/>
      <c r="R35" s="13"/>
    </row>
    <row r="36" spans="5:18" x14ac:dyDescent="0.3">
      <c r="K36" s="25"/>
      <c r="R36" s="13"/>
    </row>
    <row r="37" spans="5:18" x14ac:dyDescent="0.3">
      <c r="K37" s="25"/>
      <c r="P37" s="13"/>
      <c r="R37" s="26"/>
    </row>
    <row r="38" spans="5:18" x14ac:dyDescent="0.3">
      <c r="K38" s="25"/>
      <c r="R38" s="13"/>
    </row>
    <row r="39" spans="5:18" x14ac:dyDescent="0.3">
      <c r="K39" s="25"/>
      <c r="P39" s="13"/>
      <c r="R39" s="26"/>
    </row>
    <row r="40" spans="5:18" x14ac:dyDescent="0.3">
      <c r="K40" s="25"/>
    </row>
    <row r="41" spans="5:18" x14ac:dyDescent="0.3">
      <c r="K41" s="25"/>
    </row>
    <row r="42" spans="5:18" x14ac:dyDescent="0.3">
      <c r="K42" s="25"/>
    </row>
    <row r="43" spans="5:18" x14ac:dyDescent="0.3">
      <c r="K43" s="25"/>
    </row>
    <row r="44" spans="5:18" x14ac:dyDescent="0.3">
      <c r="K44" s="25"/>
    </row>
    <row r="45" spans="5:18" x14ac:dyDescent="0.3">
      <c r="K45" s="25"/>
    </row>
    <row r="46" spans="5:18" x14ac:dyDescent="0.3">
      <c r="K46" s="25"/>
    </row>
    <row r="47" spans="5:18" x14ac:dyDescent="0.3">
      <c r="K47" s="25"/>
    </row>
    <row r="48" spans="5:18" x14ac:dyDescent="0.3">
      <c r="K48" s="25"/>
    </row>
    <row r="49" spans="11:11" x14ac:dyDescent="0.3">
      <c r="K49" s="25"/>
    </row>
    <row r="50" spans="11:11" x14ac:dyDescent="0.3">
      <c r="K50" s="25"/>
    </row>
    <row r="51" spans="11:11" x14ac:dyDescent="0.3">
      <c r="K51" s="25"/>
    </row>
    <row r="52" spans="11:11" x14ac:dyDescent="0.3">
      <c r="K52" s="25"/>
    </row>
    <row r="53" spans="11:11" x14ac:dyDescent="0.3">
      <c r="K53" s="25"/>
    </row>
    <row r="54" spans="11:11" x14ac:dyDescent="0.3">
      <c r="K54" s="25"/>
    </row>
    <row r="55" spans="11:11" x14ac:dyDescent="0.3">
      <c r="K55" s="25"/>
    </row>
    <row r="56" spans="11:11" x14ac:dyDescent="0.3">
      <c r="K56" s="25"/>
    </row>
    <row r="57" spans="11:11" x14ac:dyDescent="0.3">
      <c r="K57" s="25"/>
    </row>
    <row r="58" spans="11:11" x14ac:dyDescent="0.3">
      <c r="K58" s="25"/>
    </row>
    <row r="59" spans="11:11" x14ac:dyDescent="0.3">
      <c r="K59" s="25"/>
    </row>
    <row r="60" spans="11:11" x14ac:dyDescent="0.3">
      <c r="K60" s="25"/>
    </row>
    <row r="61" spans="11:11" x14ac:dyDescent="0.3">
      <c r="K61" s="25"/>
    </row>
    <row r="62" spans="11:11" x14ac:dyDescent="0.3">
      <c r="K62" s="25"/>
    </row>
    <row r="63" spans="11:11" x14ac:dyDescent="0.3">
      <c r="K63" s="25"/>
    </row>
    <row r="64" spans="11:11" x14ac:dyDescent="0.3">
      <c r="K64" s="25"/>
    </row>
    <row r="65" spans="11:11" x14ac:dyDescent="0.3">
      <c r="K65" s="25"/>
    </row>
    <row r="66" spans="11:11" x14ac:dyDescent="0.3">
      <c r="K66" s="25"/>
    </row>
    <row r="67" spans="11:11" x14ac:dyDescent="0.3">
      <c r="K67" s="25"/>
    </row>
    <row r="68" spans="11:11" x14ac:dyDescent="0.3">
      <c r="K68" s="25"/>
    </row>
    <row r="69" spans="11:11" x14ac:dyDescent="0.3">
      <c r="K69" s="25"/>
    </row>
    <row r="70" spans="11:11" x14ac:dyDescent="0.3">
      <c r="K70" s="25"/>
    </row>
    <row r="71" spans="11:11" x14ac:dyDescent="0.3">
      <c r="K71" s="25"/>
    </row>
    <row r="72" spans="11:11" x14ac:dyDescent="0.3">
      <c r="K72" s="25"/>
    </row>
    <row r="73" spans="11:11" x14ac:dyDescent="0.3">
      <c r="K73" s="25"/>
    </row>
    <row r="74" spans="11:11" x14ac:dyDescent="0.3">
      <c r="K74" s="25"/>
    </row>
    <row r="75" spans="11:11" x14ac:dyDescent="0.3">
      <c r="K75" s="25"/>
    </row>
    <row r="76" spans="11:11" x14ac:dyDescent="0.3">
      <c r="K76" s="25"/>
    </row>
    <row r="77" spans="11:11" x14ac:dyDescent="0.3">
      <c r="K77" s="25"/>
    </row>
    <row r="78" spans="11:11" x14ac:dyDescent="0.3">
      <c r="K78" s="25"/>
    </row>
    <row r="79" spans="11:11" x14ac:dyDescent="0.3">
      <c r="K79" s="25"/>
    </row>
    <row r="80" spans="11:11" x14ac:dyDescent="0.3">
      <c r="K80" s="25"/>
    </row>
    <row r="81" spans="11:11" x14ac:dyDescent="0.3">
      <c r="K81" s="25"/>
    </row>
    <row r="82" spans="11:11" x14ac:dyDescent="0.3">
      <c r="K82" s="25"/>
    </row>
    <row r="83" spans="11:11" x14ac:dyDescent="0.3">
      <c r="K83" s="25"/>
    </row>
    <row r="84" spans="11:11" x14ac:dyDescent="0.3">
      <c r="K84" s="25"/>
    </row>
    <row r="85" spans="11:11" x14ac:dyDescent="0.3">
      <c r="K85" s="25"/>
    </row>
    <row r="86" spans="11:11" x14ac:dyDescent="0.3">
      <c r="K86" s="25"/>
    </row>
    <row r="87" spans="11:11" x14ac:dyDescent="0.3">
      <c r="K87" s="25"/>
    </row>
    <row r="88" spans="11:11" x14ac:dyDescent="0.3">
      <c r="K88" s="25"/>
    </row>
    <row r="89" spans="11:11" x14ac:dyDescent="0.3">
      <c r="K89" s="25"/>
    </row>
    <row r="90" spans="11:11" x14ac:dyDescent="0.3">
      <c r="K90" s="25"/>
    </row>
    <row r="91" spans="11:11" x14ac:dyDescent="0.3">
      <c r="K91" s="25"/>
    </row>
    <row r="92" spans="11:11" x14ac:dyDescent="0.3">
      <c r="K92" s="25"/>
    </row>
    <row r="93" spans="11:11" x14ac:dyDescent="0.3">
      <c r="K93" s="25"/>
    </row>
    <row r="94" spans="11:11" x14ac:dyDescent="0.3">
      <c r="K94" s="25"/>
    </row>
    <row r="95" spans="11:11" x14ac:dyDescent="0.3">
      <c r="K95" s="25"/>
    </row>
    <row r="96" spans="11:11" x14ac:dyDescent="0.3">
      <c r="K96" s="25"/>
    </row>
    <row r="97" spans="11:11" x14ac:dyDescent="0.3">
      <c r="K97" s="25"/>
    </row>
    <row r="98" spans="11:11" x14ac:dyDescent="0.3">
      <c r="K98" s="25"/>
    </row>
    <row r="99" spans="11:11" x14ac:dyDescent="0.3">
      <c r="K99" s="25"/>
    </row>
    <row r="100" spans="11:11" x14ac:dyDescent="0.3">
      <c r="K100" s="25"/>
    </row>
    <row r="101" spans="11:11" x14ac:dyDescent="0.3">
      <c r="K101" s="25"/>
    </row>
    <row r="102" spans="11:11" x14ac:dyDescent="0.3">
      <c r="K102" s="25"/>
    </row>
    <row r="103" spans="11:11" x14ac:dyDescent="0.3">
      <c r="K103" s="25"/>
    </row>
    <row r="104" spans="11:11" x14ac:dyDescent="0.3">
      <c r="K104" s="25"/>
    </row>
    <row r="105" spans="11:11" x14ac:dyDescent="0.3">
      <c r="K105" s="25"/>
    </row>
    <row r="106" spans="11:11" x14ac:dyDescent="0.3">
      <c r="K106" s="25"/>
    </row>
    <row r="107" spans="11:11" x14ac:dyDescent="0.3">
      <c r="K107" s="25"/>
    </row>
    <row r="108" spans="11:11" x14ac:dyDescent="0.3">
      <c r="K108" s="25"/>
    </row>
    <row r="109" spans="11:11" x14ac:dyDescent="0.3">
      <c r="K109" s="25"/>
    </row>
    <row r="110" spans="11:11" x14ac:dyDescent="0.3">
      <c r="K110" s="25"/>
    </row>
    <row r="111" spans="11:11" x14ac:dyDescent="0.3">
      <c r="K111" s="25"/>
    </row>
    <row r="112" spans="11:11" x14ac:dyDescent="0.3">
      <c r="K112" s="25"/>
    </row>
    <row r="113" spans="11:11" x14ac:dyDescent="0.3">
      <c r="K113" s="25"/>
    </row>
    <row r="114" spans="11:11" x14ac:dyDescent="0.3">
      <c r="K114" s="25"/>
    </row>
    <row r="115" spans="11:11" x14ac:dyDescent="0.3">
      <c r="K115" s="25"/>
    </row>
    <row r="116" spans="11:11" x14ac:dyDescent="0.3">
      <c r="K116" s="25"/>
    </row>
    <row r="117" spans="11:11" x14ac:dyDescent="0.3">
      <c r="K117" s="25"/>
    </row>
    <row r="118" spans="11:11" x14ac:dyDescent="0.3">
      <c r="K118" s="25"/>
    </row>
    <row r="119" spans="11:11" x14ac:dyDescent="0.3">
      <c r="K119" s="25"/>
    </row>
    <row r="120" spans="11:11" x14ac:dyDescent="0.3">
      <c r="K120" s="25"/>
    </row>
    <row r="121" spans="11:11" x14ac:dyDescent="0.3">
      <c r="K121" s="25"/>
    </row>
    <row r="122" spans="11:11" x14ac:dyDescent="0.3">
      <c r="K122" s="25"/>
    </row>
    <row r="123" spans="11:11" x14ac:dyDescent="0.3">
      <c r="K123" s="25"/>
    </row>
    <row r="124" spans="11:11" x14ac:dyDescent="0.3">
      <c r="K124" s="25"/>
    </row>
    <row r="125" spans="11:11" x14ac:dyDescent="0.3">
      <c r="K125" s="25"/>
    </row>
    <row r="126" spans="11:11" x14ac:dyDescent="0.3">
      <c r="K126" s="25"/>
    </row>
    <row r="127" spans="11:11" x14ac:dyDescent="0.3">
      <c r="K127" s="25"/>
    </row>
    <row r="128" spans="11:11" x14ac:dyDescent="0.3">
      <c r="K128" s="25"/>
    </row>
    <row r="129" spans="11:11" x14ac:dyDescent="0.3">
      <c r="K129" s="25"/>
    </row>
    <row r="130" spans="11:11" x14ac:dyDescent="0.3">
      <c r="K130" s="25"/>
    </row>
    <row r="131" spans="11:11" x14ac:dyDescent="0.3">
      <c r="K131" s="25"/>
    </row>
    <row r="132" spans="11:11" x14ac:dyDescent="0.3">
      <c r="K132" s="25"/>
    </row>
    <row r="133" spans="11:11" x14ac:dyDescent="0.3">
      <c r="K133" s="25"/>
    </row>
    <row r="134" spans="11:11" x14ac:dyDescent="0.3">
      <c r="K134" s="25"/>
    </row>
    <row r="135" spans="11:11" x14ac:dyDescent="0.3">
      <c r="K135" s="25"/>
    </row>
    <row r="136" spans="11:11" x14ac:dyDescent="0.3">
      <c r="K136" s="25"/>
    </row>
    <row r="137" spans="11:11" x14ac:dyDescent="0.3">
      <c r="K137" s="25"/>
    </row>
    <row r="138" spans="11:11" x14ac:dyDescent="0.3">
      <c r="K138" s="25"/>
    </row>
    <row r="139" spans="11:11" x14ac:dyDescent="0.3">
      <c r="K139" s="25"/>
    </row>
    <row r="140" spans="11:11" x14ac:dyDescent="0.3">
      <c r="K140" s="25"/>
    </row>
    <row r="141" spans="11:11" x14ac:dyDescent="0.3">
      <c r="K141" s="25"/>
    </row>
    <row r="142" spans="11:11" x14ac:dyDescent="0.3">
      <c r="K142" s="25"/>
    </row>
    <row r="143" spans="11:11" x14ac:dyDescent="0.3">
      <c r="K143" s="25"/>
    </row>
    <row r="144" spans="11:11" x14ac:dyDescent="0.3">
      <c r="K144" s="25"/>
    </row>
    <row r="145" spans="11:11" x14ac:dyDescent="0.3">
      <c r="K145" s="25"/>
    </row>
    <row r="146" spans="11:11" x14ac:dyDescent="0.3">
      <c r="K146" s="25"/>
    </row>
    <row r="214" spans="8:10" x14ac:dyDescent="0.3">
      <c r="H214" s="27"/>
      <c r="J214" s="27"/>
    </row>
    <row r="215" spans="8:10" x14ac:dyDescent="0.3">
      <c r="H215" s="27"/>
      <c r="J215" s="27"/>
    </row>
    <row r="216" spans="8:10" x14ac:dyDescent="0.3">
      <c r="H216" s="25"/>
    </row>
    <row r="217" spans="8:10" x14ac:dyDescent="0.3">
      <c r="H217" s="25"/>
    </row>
    <row r="218" spans="8:10" x14ac:dyDescent="0.3">
      <c r="H218" s="25"/>
    </row>
    <row r="219" spans="8:10" x14ac:dyDescent="0.3">
      <c r="H219" s="25"/>
    </row>
    <row r="220" spans="8:10" x14ac:dyDescent="0.3">
      <c r="H220" s="25"/>
    </row>
    <row r="221" spans="8:10" x14ac:dyDescent="0.3">
      <c r="H221" s="25"/>
    </row>
    <row r="222" spans="8:10" x14ac:dyDescent="0.3">
      <c r="H222" s="25"/>
    </row>
    <row r="223" spans="8:10" x14ac:dyDescent="0.3">
      <c r="H223" s="25"/>
    </row>
    <row r="224" spans="8:10" x14ac:dyDescent="0.3">
      <c r="H224" s="25"/>
    </row>
    <row r="225" spans="8:8" x14ac:dyDescent="0.3">
      <c r="H225" s="25"/>
    </row>
    <row r="226" spans="8:8" x14ac:dyDescent="0.3">
      <c r="H226" s="25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F337"/>
  <sheetViews>
    <sheetView zoomScale="80" zoomScaleNormal="80" workbookViewId="0"/>
  </sheetViews>
  <sheetFormatPr defaultRowHeight="14.4" x14ac:dyDescent="0.3"/>
  <cols>
    <col min="1" max="1" width="8.88671875" style="28"/>
    <col min="2" max="2" width="12.21875" bestFit="1" customWidth="1"/>
    <col min="3" max="3" width="14" bestFit="1" customWidth="1"/>
    <col min="4" max="4" width="8.88671875" customWidth="1"/>
    <col min="5" max="5" width="26" bestFit="1" customWidth="1"/>
    <col min="6" max="6" width="8.88671875" customWidth="1"/>
  </cols>
  <sheetData>
    <row r="1" spans="1:6" x14ac:dyDescent="0.3">
      <c r="A1" s="29" t="s">
        <v>37</v>
      </c>
      <c r="B1" s="29" t="s">
        <v>38</v>
      </c>
      <c r="C1" s="29" t="s">
        <v>39</v>
      </c>
    </row>
    <row r="2" spans="1:6" x14ac:dyDescent="0.3">
      <c r="A2" s="28">
        <v>43854</v>
      </c>
      <c r="B2">
        <v>11</v>
      </c>
      <c r="C2">
        <v>14</v>
      </c>
    </row>
    <row r="3" spans="1:6" x14ac:dyDescent="0.3">
      <c r="A3" s="28">
        <v>43855</v>
      </c>
      <c r="B3">
        <v>113</v>
      </c>
      <c r="C3">
        <v>126</v>
      </c>
      <c r="E3" s="13" t="s">
        <v>32</v>
      </c>
      <c r="F3" s="13">
        <f>SUM(B2:C337)</f>
        <v>1179184</v>
      </c>
    </row>
    <row r="4" spans="1:6" x14ac:dyDescent="0.3">
      <c r="A4" s="28">
        <v>43856</v>
      </c>
      <c r="B4">
        <v>12</v>
      </c>
      <c r="C4">
        <v>34</v>
      </c>
      <c r="F4" s="13"/>
    </row>
    <row r="5" spans="1:6" x14ac:dyDescent="0.3">
      <c r="A5" s="28">
        <v>43857</v>
      </c>
      <c r="B5">
        <v>3</v>
      </c>
      <c r="C5">
        <v>9</v>
      </c>
      <c r="E5" s="13" t="s">
        <v>33</v>
      </c>
      <c r="F5" s="13">
        <f>SUM(B2:B337)</f>
        <v>885708</v>
      </c>
    </row>
    <row r="6" spans="1:6" x14ac:dyDescent="0.3">
      <c r="A6" s="28">
        <v>43861</v>
      </c>
      <c r="B6">
        <v>45</v>
      </c>
      <c r="C6">
        <v>79</v>
      </c>
      <c r="F6" s="13"/>
    </row>
    <row r="7" spans="1:6" x14ac:dyDescent="0.3">
      <c r="A7" s="28">
        <v>43863</v>
      </c>
      <c r="B7">
        <v>197</v>
      </c>
      <c r="C7">
        <v>305</v>
      </c>
      <c r="E7" s="13" t="s">
        <v>34</v>
      </c>
      <c r="F7" s="13">
        <f>SUM(C2:C337)</f>
        <v>293476</v>
      </c>
    </row>
    <row r="8" spans="1:6" x14ac:dyDescent="0.3">
      <c r="A8" s="28">
        <v>43864</v>
      </c>
      <c r="B8">
        <v>603</v>
      </c>
      <c r="C8">
        <v>61</v>
      </c>
      <c r="F8" s="13"/>
    </row>
    <row r="9" spans="1:6" x14ac:dyDescent="0.3">
      <c r="A9" s="28">
        <v>43865</v>
      </c>
      <c r="B9">
        <v>1002</v>
      </c>
      <c r="C9">
        <v>0</v>
      </c>
      <c r="E9" s="13" t="s">
        <v>35</v>
      </c>
      <c r="F9" s="26">
        <f>F5/F3</f>
        <v>0.75111941817392369</v>
      </c>
    </row>
    <row r="10" spans="1:6" x14ac:dyDescent="0.3">
      <c r="A10" s="28">
        <v>43866</v>
      </c>
      <c r="B10">
        <v>663</v>
      </c>
      <c r="C10">
        <v>4</v>
      </c>
      <c r="F10" s="13"/>
    </row>
    <row r="11" spans="1:6" x14ac:dyDescent="0.3">
      <c r="A11" s="28">
        <v>43867</v>
      </c>
      <c r="B11">
        <v>1475</v>
      </c>
      <c r="C11">
        <v>0</v>
      </c>
      <c r="E11" s="13" t="s">
        <v>36</v>
      </c>
      <c r="F11" s="26">
        <f>F7/F3</f>
        <v>0.24888058182607634</v>
      </c>
    </row>
    <row r="12" spans="1:6" x14ac:dyDescent="0.3">
      <c r="A12" s="28">
        <v>43868</v>
      </c>
      <c r="B12">
        <v>2099</v>
      </c>
      <c r="C12">
        <v>0</v>
      </c>
    </row>
    <row r="13" spans="1:6" x14ac:dyDescent="0.3">
      <c r="A13" s="28">
        <v>43869</v>
      </c>
      <c r="B13">
        <v>951</v>
      </c>
      <c r="C13">
        <v>0</v>
      </c>
    </row>
    <row r="14" spans="1:6" x14ac:dyDescent="0.3">
      <c r="A14" s="28">
        <v>43871</v>
      </c>
      <c r="B14">
        <v>304</v>
      </c>
      <c r="C14">
        <v>0</v>
      </c>
    </row>
    <row r="15" spans="1:6" x14ac:dyDescent="0.3">
      <c r="A15" s="28">
        <v>43872</v>
      </c>
      <c r="B15">
        <v>728</v>
      </c>
      <c r="C15">
        <v>4</v>
      </c>
    </row>
    <row r="16" spans="1:6" x14ac:dyDescent="0.3">
      <c r="A16" s="28">
        <v>43873</v>
      </c>
      <c r="B16">
        <v>3640</v>
      </c>
      <c r="C16">
        <v>38</v>
      </c>
    </row>
    <row r="17" spans="1:3" x14ac:dyDescent="0.3">
      <c r="A17" s="28">
        <v>43874</v>
      </c>
      <c r="B17">
        <v>3825</v>
      </c>
      <c r="C17">
        <v>0</v>
      </c>
    </row>
    <row r="18" spans="1:3" x14ac:dyDescent="0.3">
      <c r="A18" s="28">
        <v>43875</v>
      </c>
      <c r="B18">
        <v>4356</v>
      </c>
      <c r="C18">
        <v>8</v>
      </c>
    </row>
    <row r="19" spans="1:3" x14ac:dyDescent="0.3">
      <c r="A19" s="28">
        <v>43876</v>
      </c>
      <c r="B19">
        <v>948</v>
      </c>
      <c r="C19">
        <v>0</v>
      </c>
    </row>
    <row r="20" spans="1:3" x14ac:dyDescent="0.3">
      <c r="A20" s="28">
        <v>43878</v>
      </c>
      <c r="B20">
        <v>2967</v>
      </c>
      <c r="C20">
        <v>1</v>
      </c>
    </row>
    <row r="21" spans="1:3" x14ac:dyDescent="0.3">
      <c r="A21" s="28">
        <v>43879</v>
      </c>
      <c r="B21">
        <v>4310</v>
      </c>
      <c r="C21">
        <v>4</v>
      </c>
    </row>
    <row r="22" spans="1:3" x14ac:dyDescent="0.3">
      <c r="A22" s="28">
        <v>43880</v>
      </c>
      <c r="B22">
        <v>6001</v>
      </c>
      <c r="C22">
        <v>3</v>
      </c>
    </row>
    <row r="23" spans="1:3" x14ac:dyDescent="0.3">
      <c r="A23" s="28">
        <v>43881</v>
      </c>
      <c r="B23">
        <v>5192</v>
      </c>
      <c r="C23">
        <v>3</v>
      </c>
    </row>
    <row r="24" spans="1:3" x14ac:dyDescent="0.3">
      <c r="A24" s="28">
        <v>43882</v>
      </c>
      <c r="B24">
        <v>1567</v>
      </c>
      <c r="C24">
        <v>0</v>
      </c>
    </row>
    <row r="25" spans="1:3" x14ac:dyDescent="0.3">
      <c r="A25" s="28">
        <v>43883</v>
      </c>
      <c r="B25">
        <v>1651</v>
      </c>
      <c r="C25">
        <v>1</v>
      </c>
    </row>
    <row r="26" spans="1:3" x14ac:dyDescent="0.3">
      <c r="A26" s="28">
        <v>43884</v>
      </c>
      <c r="B26">
        <v>2942</v>
      </c>
      <c r="C26">
        <v>0</v>
      </c>
    </row>
    <row r="27" spans="1:3" x14ac:dyDescent="0.3">
      <c r="A27" s="28">
        <v>43885</v>
      </c>
      <c r="B27">
        <v>3999</v>
      </c>
      <c r="C27">
        <v>1</v>
      </c>
    </row>
    <row r="28" spans="1:3" x14ac:dyDescent="0.3">
      <c r="A28" s="28">
        <v>43886</v>
      </c>
      <c r="B28">
        <v>4221</v>
      </c>
      <c r="C28">
        <v>3</v>
      </c>
    </row>
    <row r="29" spans="1:3" x14ac:dyDescent="0.3">
      <c r="A29" s="28">
        <v>43887</v>
      </c>
      <c r="B29">
        <v>2746</v>
      </c>
      <c r="C29">
        <v>6</v>
      </c>
    </row>
    <row r="30" spans="1:3" x14ac:dyDescent="0.3">
      <c r="A30" s="28">
        <v>43888</v>
      </c>
      <c r="B30">
        <v>6310</v>
      </c>
      <c r="C30">
        <v>17</v>
      </c>
    </row>
    <row r="31" spans="1:3" x14ac:dyDescent="0.3">
      <c r="A31" s="28">
        <v>43889</v>
      </c>
      <c r="B31">
        <v>5557</v>
      </c>
      <c r="C31">
        <v>22</v>
      </c>
    </row>
    <row r="32" spans="1:3" x14ac:dyDescent="0.3">
      <c r="A32" s="28">
        <v>43890</v>
      </c>
      <c r="B32">
        <v>4659</v>
      </c>
      <c r="C32">
        <v>14</v>
      </c>
    </row>
    <row r="33" spans="1:3" x14ac:dyDescent="0.3">
      <c r="A33" s="28">
        <v>43891</v>
      </c>
      <c r="B33">
        <v>3370</v>
      </c>
      <c r="C33">
        <v>2</v>
      </c>
    </row>
    <row r="34" spans="1:3" x14ac:dyDescent="0.3">
      <c r="A34" s="28">
        <v>43892</v>
      </c>
      <c r="B34">
        <v>5898</v>
      </c>
      <c r="C34">
        <v>51</v>
      </c>
    </row>
    <row r="35" spans="1:3" x14ac:dyDescent="0.3">
      <c r="A35" s="28">
        <v>43893</v>
      </c>
      <c r="B35">
        <v>8178</v>
      </c>
      <c r="C35">
        <v>43</v>
      </c>
    </row>
    <row r="36" spans="1:3" x14ac:dyDescent="0.3">
      <c r="A36" s="28">
        <v>43894</v>
      </c>
      <c r="B36">
        <v>5307</v>
      </c>
      <c r="C36">
        <v>37</v>
      </c>
    </row>
    <row r="37" spans="1:3" x14ac:dyDescent="0.3">
      <c r="A37" s="28">
        <v>43895</v>
      </c>
      <c r="B37">
        <v>9079</v>
      </c>
      <c r="C37">
        <v>36</v>
      </c>
    </row>
    <row r="38" spans="1:3" x14ac:dyDescent="0.3">
      <c r="A38" s="28">
        <v>43896</v>
      </c>
      <c r="B38">
        <v>6025</v>
      </c>
      <c r="C38">
        <v>25</v>
      </c>
    </row>
    <row r="39" spans="1:3" x14ac:dyDescent="0.3">
      <c r="A39" s="28">
        <v>43897</v>
      </c>
      <c r="B39">
        <v>5379</v>
      </c>
      <c r="C39">
        <v>34</v>
      </c>
    </row>
    <row r="40" spans="1:3" x14ac:dyDescent="0.3">
      <c r="A40" s="28">
        <v>43898</v>
      </c>
      <c r="B40">
        <v>5362</v>
      </c>
      <c r="C40">
        <v>10</v>
      </c>
    </row>
    <row r="41" spans="1:3" x14ac:dyDescent="0.3">
      <c r="A41" s="28">
        <v>43899</v>
      </c>
      <c r="B41">
        <v>1776</v>
      </c>
      <c r="C41">
        <v>43</v>
      </c>
    </row>
    <row r="42" spans="1:3" x14ac:dyDescent="0.3">
      <c r="A42" s="28">
        <v>43900</v>
      </c>
      <c r="B42">
        <v>8525</v>
      </c>
      <c r="C42">
        <v>2</v>
      </c>
    </row>
    <row r="43" spans="1:3" x14ac:dyDescent="0.3">
      <c r="A43" s="28">
        <v>43901</v>
      </c>
      <c r="B43">
        <v>7654</v>
      </c>
      <c r="C43">
        <v>9</v>
      </c>
    </row>
    <row r="44" spans="1:3" x14ac:dyDescent="0.3">
      <c r="A44" s="28">
        <v>43902</v>
      </c>
      <c r="B44">
        <v>9729</v>
      </c>
      <c r="C44">
        <v>5</v>
      </c>
    </row>
    <row r="45" spans="1:3" x14ac:dyDescent="0.3">
      <c r="A45" s="28">
        <v>43903</v>
      </c>
      <c r="B45">
        <v>10881</v>
      </c>
      <c r="C45">
        <v>20</v>
      </c>
    </row>
    <row r="46" spans="1:3" x14ac:dyDescent="0.3">
      <c r="A46" s="28">
        <v>43904</v>
      </c>
      <c r="B46">
        <v>6459</v>
      </c>
      <c r="C46">
        <v>6</v>
      </c>
    </row>
    <row r="47" spans="1:3" x14ac:dyDescent="0.3">
      <c r="A47" s="28">
        <v>43905</v>
      </c>
      <c r="B47">
        <v>123</v>
      </c>
      <c r="C47">
        <v>20</v>
      </c>
    </row>
    <row r="48" spans="1:3" x14ac:dyDescent="0.3">
      <c r="A48" s="28">
        <v>43906</v>
      </c>
      <c r="B48">
        <v>3458</v>
      </c>
      <c r="C48">
        <v>3</v>
      </c>
    </row>
    <row r="49" spans="1:3" x14ac:dyDescent="0.3">
      <c r="A49" s="28">
        <v>43907</v>
      </c>
      <c r="B49">
        <v>13084</v>
      </c>
      <c r="C49">
        <v>23</v>
      </c>
    </row>
    <row r="50" spans="1:3" x14ac:dyDescent="0.3">
      <c r="A50" s="28">
        <v>43908</v>
      </c>
      <c r="B50">
        <v>9733</v>
      </c>
      <c r="C50">
        <v>4</v>
      </c>
    </row>
    <row r="51" spans="1:3" x14ac:dyDescent="0.3">
      <c r="A51" s="28">
        <v>43909</v>
      </c>
      <c r="B51">
        <v>7098</v>
      </c>
      <c r="C51">
        <v>2</v>
      </c>
    </row>
    <row r="52" spans="1:3" x14ac:dyDescent="0.3">
      <c r="A52" s="28">
        <v>43910</v>
      </c>
      <c r="B52">
        <v>6250</v>
      </c>
      <c r="C52">
        <v>6</v>
      </c>
    </row>
    <row r="53" spans="1:3" x14ac:dyDescent="0.3">
      <c r="A53" s="28">
        <v>43911</v>
      </c>
      <c r="B53">
        <v>3558</v>
      </c>
      <c r="C53">
        <v>9</v>
      </c>
    </row>
    <row r="54" spans="1:3" x14ac:dyDescent="0.3">
      <c r="A54" s="28">
        <v>43912</v>
      </c>
      <c r="B54">
        <v>1110</v>
      </c>
      <c r="C54">
        <v>1146</v>
      </c>
    </row>
    <row r="55" spans="1:3" x14ac:dyDescent="0.3">
      <c r="A55" s="28">
        <v>43913</v>
      </c>
      <c r="B55">
        <v>3301</v>
      </c>
      <c r="C55">
        <v>1607</v>
      </c>
    </row>
    <row r="56" spans="1:3" x14ac:dyDescent="0.3">
      <c r="A56" s="28">
        <v>43914</v>
      </c>
      <c r="B56">
        <v>8161</v>
      </c>
      <c r="C56">
        <v>3683</v>
      </c>
    </row>
    <row r="57" spans="1:3" x14ac:dyDescent="0.3">
      <c r="A57" s="28">
        <v>43915</v>
      </c>
      <c r="B57">
        <v>5287</v>
      </c>
      <c r="C57">
        <v>3532</v>
      </c>
    </row>
    <row r="58" spans="1:3" x14ac:dyDescent="0.3">
      <c r="A58" s="28">
        <v>43916</v>
      </c>
      <c r="B58">
        <v>7294</v>
      </c>
      <c r="C58">
        <v>2838</v>
      </c>
    </row>
    <row r="59" spans="1:3" x14ac:dyDescent="0.3">
      <c r="A59" s="28">
        <v>43917</v>
      </c>
      <c r="B59">
        <v>6017</v>
      </c>
      <c r="C59">
        <v>3242</v>
      </c>
    </row>
    <row r="60" spans="1:3" x14ac:dyDescent="0.3">
      <c r="A60" s="28">
        <v>43918</v>
      </c>
      <c r="B60">
        <v>2765</v>
      </c>
      <c r="C60">
        <v>936</v>
      </c>
    </row>
    <row r="61" spans="1:3" x14ac:dyDescent="0.3">
      <c r="A61" s="28">
        <v>43919</v>
      </c>
      <c r="B61">
        <v>2</v>
      </c>
      <c r="C61">
        <v>3</v>
      </c>
    </row>
    <row r="62" spans="1:3" x14ac:dyDescent="0.3">
      <c r="A62" s="28">
        <v>43921</v>
      </c>
      <c r="B62">
        <v>3172</v>
      </c>
      <c r="C62">
        <v>1162</v>
      </c>
    </row>
    <row r="63" spans="1:3" x14ac:dyDescent="0.3">
      <c r="A63" s="28">
        <v>43922</v>
      </c>
      <c r="B63">
        <v>9067</v>
      </c>
      <c r="C63">
        <v>2975</v>
      </c>
    </row>
    <row r="64" spans="1:3" x14ac:dyDescent="0.3">
      <c r="A64" s="28">
        <v>43923</v>
      </c>
      <c r="B64">
        <v>7100</v>
      </c>
      <c r="C64">
        <v>1463</v>
      </c>
    </row>
    <row r="65" spans="1:3" x14ac:dyDescent="0.3">
      <c r="A65" s="28">
        <v>43924</v>
      </c>
      <c r="B65">
        <v>7971</v>
      </c>
      <c r="C65">
        <v>2091</v>
      </c>
    </row>
    <row r="66" spans="1:3" x14ac:dyDescent="0.3">
      <c r="A66" s="28">
        <v>43925</v>
      </c>
      <c r="B66">
        <v>2717</v>
      </c>
      <c r="C66">
        <v>656</v>
      </c>
    </row>
    <row r="67" spans="1:3" x14ac:dyDescent="0.3">
      <c r="A67" s="28">
        <v>43926</v>
      </c>
      <c r="B67">
        <v>42</v>
      </c>
      <c r="C67">
        <v>25</v>
      </c>
    </row>
    <row r="68" spans="1:3" x14ac:dyDescent="0.3">
      <c r="A68" s="28">
        <v>43927</v>
      </c>
      <c r="B68">
        <v>4342</v>
      </c>
      <c r="C68">
        <v>1193</v>
      </c>
    </row>
    <row r="69" spans="1:3" x14ac:dyDescent="0.3">
      <c r="A69" s="28">
        <v>43928</v>
      </c>
      <c r="B69">
        <v>9343</v>
      </c>
      <c r="C69">
        <v>2217</v>
      </c>
    </row>
    <row r="70" spans="1:3" x14ac:dyDescent="0.3">
      <c r="A70" s="28">
        <v>43929</v>
      </c>
      <c r="B70">
        <v>6802</v>
      </c>
      <c r="C70">
        <v>1537</v>
      </c>
    </row>
    <row r="71" spans="1:3" x14ac:dyDescent="0.3">
      <c r="A71" s="28">
        <v>43930</v>
      </c>
      <c r="B71">
        <v>5332</v>
      </c>
      <c r="C71">
        <v>1588</v>
      </c>
    </row>
    <row r="72" spans="1:3" x14ac:dyDescent="0.3">
      <c r="A72" s="28">
        <v>43931</v>
      </c>
      <c r="B72">
        <v>5628</v>
      </c>
      <c r="C72">
        <v>1523</v>
      </c>
    </row>
    <row r="73" spans="1:3" x14ac:dyDescent="0.3">
      <c r="A73" s="28">
        <v>43932</v>
      </c>
      <c r="B73">
        <v>2088</v>
      </c>
      <c r="C73">
        <v>779</v>
      </c>
    </row>
    <row r="74" spans="1:3" x14ac:dyDescent="0.3">
      <c r="A74" s="28">
        <v>43933</v>
      </c>
      <c r="B74">
        <v>21</v>
      </c>
      <c r="C74">
        <v>17</v>
      </c>
    </row>
    <row r="75" spans="1:3" x14ac:dyDescent="0.3">
      <c r="A75" s="28">
        <v>43934</v>
      </c>
      <c r="B75">
        <v>5191</v>
      </c>
      <c r="C75">
        <v>1002</v>
      </c>
    </row>
    <row r="76" spans="1:3" x14ac:dyDescent="0.3">
      <c r="A76" s="28">
        <v>43935</v>
      </c>
      <c r="B76">
        <v>8560</v>
      </c>
      <c r="C76">
        <v>2191</v>
      </c>
    </row>
    <row r="77" spans="1:3" x14ac:dyDescent="0.3">
      <c r="A77" s="28">
        <v>43936</v>
      </c>
      <c r="B77">
        <v>6257</v>
      </c>
      <c r="C77">
        <v>1884</v>
      </c>
    </row>
    <row r="78" spans="1:3" x14ac:dyDescent="0.3">
      <c r="A78" s="28">
        <v>43937</v>
      </c>
      <c r="B78">
        <v>6047</v>
      </c>
      <c r="C78">
        <v>1953</v>
      </c>
    </row>
    <row r="79" spans="1:3" x14ac:dyDescent="0.3">
      <c r="A79" s="28">
        <v>43938</v>
      </c>
      <c r="B79">
        <v>5603</v>
      </c>
      <c r="C79">
        <v>2705</v>
      </c>
    </row>
    <row r="80" spans="1:3" x14ac:dyDescent="0.3">
      <c r="A80" s="28">
        <v>43939</v>
      </c>
      <c r="B80">
        <v>1116</v>
      </c>
      <c r="C80">
        <v>992</v>
      </c>
    </row>
    <row r="81" spans="1:3" x14ac:dyDescent="0.3">
      <c r="A81" s="28">
        <v>43940</v>
      </c>
      <c r="B81">
        <v>95</v>
      </c>
      <c r="C81">
        <v>21</v>
      </c>
    </row>
    <row r="82" spans="1:3" x14ac:dyDescent="0.3">
      <c r="A82" s="28">
        <v>43941</v>
      </c>
      <c r="B82">
        <v>2963</v>
      </c>
      <c r="C82">
        <v>1789</v>
      </c>
    </row>
    <row r="83" spans="1:3" x14ac:dyDescent="0.3">
      <c r="A83" s="28">
        <v>43942</v>
      </c>
      <c r="B83">
        <v>10866</v>
      </c>
      <c r="C83">
        <v>3712</v>
      </c>
    </row>
    <row r="84" spans="1:3" x14ac:dyDescent="0.3">
      <c r="A84" s="28">
        <v>43943</v>
      </c>
      <c r="B84">
        <v>6505</v>
      </c>
      <c r="C84">
        <v>1701</v>
      </c>
    </row>
    <row r="85" spans="1:3" x14ac:dyDescent="0.3">
      <c r="A85" s="28">
        <v>43944</v>
      </c>
      <c r="B85">
        <v>5377</v>
      </c>
      <c r="C85">
        <v>1036</v>
      </c>
    </row>
    <row r="86" spans="1:3" x14ac:dyDescent="0.3">
      <c r="A86" s="28">
        <v>43945</v>
      </c>
      <c r="B86">
        <v>4153</v>
      </c>
      <c r="C86">
        <v>951</v>
      </c>
    </row>
    <row r="87" spans="1:3" x14ac:dyDescent="0.3">
      <c r="A87" s="28">
        <v>43946</v>
      </c>
      <c r="B87">
        <v>2093</v>
      </c>
      <c r="C87">
        <v>366</v>
      </c>
    </row>
    <row r="88" spans="1:3" x14ac:dyDescent="0.3">
      <c r="A88" s="28">
        <v>43947</v>
      </c>
      <c r="B88">
        <v>1736</v>
      </c>
      <c r="C88">
        <v>872</v>
      </c>
    </row>
    <row r="89" spans="1:3" x14ac:dyDescent="0.3">
      <c r="A89" s="28">
        <v>43948</v>
      </c>
      <c r="B89">
        <v>5031</v>
      </c>
      <c r="C89">
        <v>1742</v>
      </c>
    </row>
    <row r="90" spans="1:3" x14ac:dyDescent="0.3">
      <c r="A90" s="28">
        <v>43949</v>
      </c>
      <c r="B90">
        <v>6126</v>
      </c>
      <c r="C90">
        <v>1762</v>
      </c>
    </row>
    <row r="91" spans="1:3" x14ac:dyDescent="0.3">
      <c r="A91" s="28">
        <v>43950</v>
      </c>
      <c r="B91">
        <v>11104</v>
      </c>
      <c r="C91">
        <v>4302</v>
      </c>
    </row>
    <row r="92" spans="1:3" x14ac:dyDescent="0.3">
      <c r="A92" s="28">
        <v>43951</v>
      </c>
      <c r="B92">
        <v>7450</v>
      </c>
      <c r="C92">
        <v>2205</v>
      </c>
    </row>
    <row r="93" spans="1:3" x14ac:dyDescent="0.3">
      <c r="A93" s="28">
        <v>43952</v>
      </c>
      <c r="B93">
        <v>8702</v>
      </c>
      <c r="C93">
        <v>1832</v>
      </c>
    </row>
    <row r="94" spans="1:3" x14ac:dyDescent="0.3">
      <c r="A94" s="28">
        <v>43953</v>
      </c>
      <c r="B94">
        <v>3463</v>
      </c>
      <c r="C94">
        <v>1061</v>
      </c>
    </row>
    <row r="95" spans="1:3" x14ac:dyDescent="0.3">
      <c r="A95" s="28">
        <v>43954</v>
      </c>
      <c r="B95">
        <v>313</v>
      </c>
      <c r="C95">
        <v>3</v>
      </c>
    </row>
    <row r="96" spans="1:3" x14ac:dyDescent="0.3">
      <c r="A96" s="28">
        <v>43955</v>
      </c>
      <c r="B96">
        <v>3852</v>
      </c>
      <c r="C96">
        <v>2002</v>
      </c>
    </row>
    <row r="97" spans="1:3" x14ac:dyDescent="0.3">
      <c r="A97" s="28">
        <v>43956</v>
      </c>
      <c r="B97">
        <v>11666</v>
      </c>
      <c r="C97">
        <v>3294</v>
      </c>
    </row>
    <row r="98" spans="1:3" x14ac:dyDescent="0.3">
      <c r="A98" s="28">
        <v>43957</v>
      </c>
      <c r="B98">
        <v>7427</v>
      </c>
      <c r="C98">
        <v>1632</v>
      </c>
    </row>
    <row r="99" spans="1:3" x14ac:dyDescent="0.3">
      <c r="A99" s="28">
        <v>43958</v>
      </c>
      <c r="B99">
        <v>7671</v>
      </c>
      <c r="C99">
        <v>3934</v>
      </c>
    </row>
    <row r="100" spans="1:3" x14ac:dyDescent="0.3">
      <c r="A100" s="28">
        <v>43959</v>
      </c>
      <c r="B100">
        <v>6537</v>
      </c>
      <c r="C100">
        <v>3726</v>
      </c>
    </row>
    <row r="101" spans="1:3" x14ac:dyDescent="0.3">
      <c r="A101" s="28">
        <v>43960</v>
      </c>
      <c r="B101">
        <v>3396</v>
      </c>
      <c r="C101">
        <v>1230</v>
      </c>
    </row>
    <row r="102" spans="1:3" x14ac:dyDescent="0.3">
      <c r="A102" s="28">
        <v>43961</v>
      </c>
      <c r="B102">
        <v>122</v>
      </c>
      <c r="C102">
        <v>69</v>
      </c>
    </row>
    <row r="103" spans="1:3" x14ac:dyDescent="0.3">
      <c r="A103" s="28">
        <v>43962</v>
      </c>
      <c r="B103">
        <v>5805</v>
      </c>
      <c r="C103">
        <v>3742</v>
      </c>
    </row>
    <row r="104" spans="1:3" x14ac:dyDescent="0.3">
      <c r="A104" s="28">
        <v>43963</v>
      </c>
      <c r="B104">
        <v>8338</v>
      </c>
      <c r="C104">
        <v>4850</v>
      </c>
    </row>
    <row r="105" spans="1:3" x14ac:dyDescent="0.3">
      <c r="A105" s="28">
        <v>43964</v>
      </c>
      <c r="B105">
        <v>7688</v>
      </c>
      <c r="C105">
        <v>3336</v>
      </c>
    </row>
    <row r="106" spans="1:3" x14ac:dyDescent="0.3">
      <c r="A106" s="28">
        <v>43965</v>
      </c>
      <c r="B106">
        <v>7763</v>
      </c>
      <c r="C106">
        <v>3581</v>
      </c>
    </row>
    <row r="107" spans="1:3" x14ac:dyDescent="0.3">
      <c r="A107" s="28">
        <v>43966</v>
      </c>
      <c r="B107">
        <v>8553</v>
      </c>
      <c r="C107">
        <v>4609</v>
      </c>
    </row>
    <row r="108" spans="1:3" x14ac:dyDescent="0.3">
      <c r="A108" s="28">
        <v>43967</v>
      </c>
      <c r="B108">
        <v>2105</v>
      </c>
      <c r="C108">
        <v>1475</v>
      </c>
    </row>
    <row r="109" spans="1:3" x14ac:dyDescent="0.3">
      <c r="A109" s="28">
        <v>43968</v>
      </c>
      <c r="B109">
        <v>152</v>
      </c>
      <c r="C109">
        <v>3</v>
      </c>
    </row>
    <row r="110" spans="1:3" x14ac:dyDescent="0.3">
      <c r="A110" s="28">
        <v>43969</v>
      </c>
      <c r="B110">
        <v>5565</v>
      </c>
      <c r="C110">
        <v>4705</v>
      </c>
    </row>
    <row r="111" spans="1:3" x14ac:dyDescent="0.3">
      <c r="A111" s="28">
        <v>43970</v>
      </c>
      <c r="B111">
        <v>7764</v>
      </c>
      <c r="C111">
        <v>5101</v>
      </c>
    </row>
    <row r="112" spans="1:3" x14ac:dyDescent="0.3">
      <c r="A112" s="28">
        <v>43971</v>
      </c>
      <c r="B112">
        <v>10924</v>
      </c>
      <c r="C112">
        <v>5455</v>
      </c>
    </row>
    <row r="113" spans="1:3" x14ac:dyDescent="0.3">
      <c r="A113" s="28">
        <v>43972</v>
      </c>
      <c r="B113">
        <v>7929</v>
      </c>
      <c r="C113">
        <v>4441</v>
      </c>
    </row>
    <row r="114" spans="1:3" x14ac:dyDescent="0.3">
      <c r="A114" s="28">
        <v>43973</v>
      </c>
      <c r="B114">
        <v>9753</v>
      </c>
      <c r="C114">
        <v>4854</v>
      </c>
    </row>
    <row r="115" spans="1:3" x14ac:dyDescent="0.3">
      <c r="A115" s="28">
        <v>43974</v>
      </c>
      <c r="B115">
        <v>3614</v>
      </c>
      <c r="C115">
        <v>1488</v>
      </c>
    </row>
    <row r="116" spans="1:3" x14ac:dyDescent="0.3">
      <c r="A116" s="28">
        <v>43975</v>
      </c>
      <c r="B116">
        <v>140</v>
      </c>
      <c r="C116">
        <v>14</v>
      </c>
    </row>
    <row r="117" spans="1:3" x14ac:dyDescent="0.3">
      <c r="A117" s="28">
        <v>43976</v>
      </c>
      <c r="B117">
        <v>44</v>
      </c>
      <c r="C117">
        <v>16</v>
      </c>
    </row>
    <row r="118" spans="1:3" x14ac:dyDescent="0.3">
      <c r="A118" s="28">
        <v>43977</v>
      </c>
      <c r="B118">
        <v>5433</v>
      </c>
      <c r="C118">
        <v>3186</v>
      </c>
    </row>
    <row r="119" spans="1:3" x14ac:dyDescent="0.3">
      <c r="A119" s="28">
        <v>43978</v>
      </c>
      <c r="B119">
        <v>10903</v>
      </c>
      <c r="C119">
        <v>7040</v>
      </c>
    </row>
    <row r="120" spans="1:3" x14ac:dyDescent="0.3">
      <c r="A120" s="28">
        <v>43979</v>
      </c>
      <c r="B120">
        <v>9537</v>
      </c>
      <c r="C120">
        <v>3415</v>
      </c>
    </row>
    <row r="121" spans="1:3" x14ac:dyDescent="0.3">
      <c r="A121" s="28">
        <v>43980</v>
      </c>
      <c r="B121">
        <v>7526</v>
      </c>
      <c r="C121">
        <v>3516</v>
      </c>
    </row>
    <row r="122" spans="1:3" x14ac:dyDescent="0.3">
      <c r="A122" s="28">
        <v>43981</v>
      </c>
      <c r="B122">
        <v>3865</v>
      </c>
      <c r="C122">
        <v>1746</v>
      </c>
    </row>
    <row r="123" spans="1:3" x14ac:dyDescent="0.3">
      <c r="A123" s="28">
        <v>43982</v>
      </c>
      <c r="B123">
        <v>63</v>
      </c>
      <c r="C123">
        <v>27</v>
      </c>
    </row>
    <row r="124" spans="1:3" x14ac:dyDescent="0.3">
      <c r="A124" s="28">
        <v>43983</v>
      </c>
      <c r="B124">
        <v>5027</v>
      </c>
      <c r="C124">
        <v>3970</v>
      </c>
    </row>
    <row r="125" spans="1:3" x14ac:dyDescent="0.3">
      <c r="A125" s="28">
        <v>43984</v>
      </c>
      <c r="B125">
        <v>7948</v>
      </c>
      <c r="C125">
        <v>5026</v>
      </c>
    </row>
    <row r="126" spans="1:3" x14ac:dyDescent="0.3">
      <c r="A126" s="28">
        <v>43985</v>
      </c>
      <c r="B126">
        <v>13215</v>
      </c>
      <c r="C126">
        <v>4869</v>
      </c>
    </row>
    <row r="127" spans="1:3" x14ac:dyDescent="0.3">
      <c r="A127" s="28">
        <v>43986</v>
      </c>
      <c r="B127">
        <v>7463</v>
      </c>
      <c r="C127">
        <v>3288</v>
      </c>
    </row>
    <row r="128" spans="1:3" x14ac:dyDescent="0.3">
      <c r="A128" s="28">
        <v>43987</v>
      </c>
      <c r="B128">
        <v>7185</v>
      </c>
      <c r="C128">
        <v>3475</v>
      </c>
    </row>
    <row r="129" spans="1:3" x14ac:dyDescent="0.3">
      <c r="A129" s="28">
        <v>43988</v>
      </c>
      <c r="B129">
        <v>2111</v>
      </c>
      <c r="C129">
        <v>1041</v>
      </c>
    </row>
    <row r="130" spans="1:3" x14ac:dyDescent="0.3">
      <c r="A130" s="28">
        <v>43989</v>
      </c>
      <c r="B130">
        <v>398</v>
      </c>
      <c r="C130">
        <v>9</v>
      </c>
    </row>
    <row r="131" spans="1:3" x14ac:dyDescent="0.3">
      <c r="A131" s="28">
        <v>43990</v>
      </c>
      <c r="B131">
        <v>7897</v>
      </c>
      <c r="C131">
        <v>3292</v>
      </c>
    </row>
    <row r="132" spans="1:3" x14ac:dyDescent="0.3">
      <c r="A132" s="28">
        <v>43991</v>
      </c>
      <c r="B132">
        <v>10247</v>
      </c>
      <c r="C132">
        <v>4561</v>
      </c>
    </row>
    <row r="133" spans="1:3" x14ac:dyDescent="0.3">
      <c r="A133" s="28">
        <v>43992</v>
      </c>
      <c r="B133">
        <v>9929</v>
      </c>
      <c r="C133">
        <v>3937</v>
      </c>
    </row>
    <row r="134" spans="1:3" x14ac:dyDescent="0.3">
      <c r="A134" s="28">
        <v>43993</v>
      </c>
      <c r="B134">
        <v>8210</v>
      </c>
      <c r="C134">
        <v>3916</v>
      </c>
    </row>
    <row r="135" spans="1:3" x14ac:dyDescent="0.3">
      <c r="A135" s="28">
        <v>43994</v>
      </c>
      <c r="B135">
        <v>6867</v>
      </c>
      <c r="C135">
        <v>5475</v>
      </c>
    </row>
    <row r="136" spans="1:3" x14ac:dyDescent="0.3">
      <c r="A136" s="28">
        <v>43995</v>
      </c>
      <c r="B136">
        <v>2031</v>
      </c>
      <c r="C136">
        <v>302</v>
      </c>
    </row>
    <row r="137" spans="1:3" x14ac:dyDescent="0.3">
      <c r="A137" s="28">
        <v>43996</v>
      </c>
      <c r="B137">
        <v>549</v>
      </c>
      <c r="C137">
        <v>411</v>
      </c>
    </row>
    <row r="138" spans="1:3" x14ac:dyDescent="0.3">
      <c r="A138" s="28">
        <v>43997</v>
      </c>
      <c r="B138">
        <v>5625</v>
      </c>
      <c r="C138">
        <v>5090</v>
      </c>
    </row>
    <row r="139" spans="1:3" x14ac:dyDescent="0.3">
      <c r="A139" s="28">
        <v>43998</v>
      </c>
      <c r="B139">
        <v>9535</v>
      </c>
      <c r="C139">
        <v>5150</v>
      </c>
    </row>
    <row r="140" spans="1:3" x14ac:dyDescent="0.3">
      <c r="A140" s="28">
        <v>43999</v>
      </c>
      <c r="B140">
        <v>7420</v>
      </c>
      <c r="C140">
        <v>3038</v>
      </c>
    </row>
    <row r="141" spans="1:3" x14ac:dyDescent="0.3">
      <c r="A141" s="28">
        <v>44000</v>
      </c>
      <c r="B141">
        <v>8094</v>
      </c>
      <c r="C141">
        <v>3696</v>
      </c>
    </row>
    <row r="142" spans="1:3" x14ac:dyDescent="0.3">
      <c r="A142" s="28">
        <v>44001</v>
      </c>
      <c r="B142">
        <v>7722</v>
      </c>
      <c r="C142">
        <v>3358</v>
      </c>
    </row>
    <row r="143" spans="1:3" x14ac:dyDescent="0.3">
      <c r="A143" s="28">
        <v>44002</v>
      </c>
      <c r="B143">
        <v>3758</v>
      </c>
      <c r="C143">
        <v>559</v>
      </c>
    </row>
    <row r="144" spans="1:3" x14ac:dyDescent="0.3">
      <c r="A144" s="28">
        <v>44003</v>
      </c>
      <c r="B144">
        <v>163</v>
      </c>
      <c r="C144">
        <v>10</v>
      </c>
    </row>
    <row r="145" spans="1:3" x14ac:dyDescent="0.3">
      <c r="A145" s="28">
        <v>44004</v>
      </c>
      <c r="B145">
        <v>2277</v>
      </c>
      <c r="C145">
        <v>4177</v>
      </c>
    </row>
    <row r="146" spans="1:3" x14ac:dyDescent="0.3">
      <c r="A146" s="28">
        <v>44005</v>
      </c>
      <c r="B146">
        <v>5723</v>
      </c>
      <c r="C146">
        <v>4158</v>
      </c>
    </row>
    <row r="147" spans="1:3" x14ac:dyDescent="0.3">
      <c r="A147" s="28">
        <v>44006</v>
      </c>
      <c r="B147">
        <v>13214</v>
      </c>
      <c r="C147">
        <v>3844</v>
      </c>
    </row>
    <row r="148" spans="1:3" x14ac:dyDescent="0.3">
      <c r="A148" s="28">
        <v>44007</v>
      </c>
      <c r="B148">
        <v>5456</v>
      </c>
      <c r="C148">
        <v>3899</v>
      </c>
    </row>
    <row r="149" spans="1:3" x14ac:dyDescent="0.3">
      <c r="A149" s="28">
        <v>44008</v>
      </c>
      <c r="B149">
        <v>9672</v>
      </c>
      <c r="C149">
        <v>3630</v>
      </c>
    </row>
    <row r="150" spans="1:3" x14ac:dyDescent="0.3">
      <c r="A150" s="28">
        <v>44009</v>
      </c>
      <c r="B150">
        <v>6938</v>
      </c>
      <c r="C150">
        <v>824</v>
      </c>
    </row>
    <row r="151" spans="1:3" x14ac:dyDescent="0.3">
      <c r="A151" s="28">
        <v>44010</v>
      </c>
      <c r="B151">
        <v>14</v>
      </c>
      <c r="C151">
        <v>4</v>
      </c>
    </row>
    <row r="152" spans="1:3" x14ac:dyDescent="0.3">
      <c r="A152" s="28">
        <v>44011</v>
      </c>
      <c r="B152">
        <v>2291</v>
      </c>
      <c r="C152">
        <v>4202</v>
      </c>
    </row>
    <row r="153" spans="1:3" x14ac:dyDescent="0.3">
      <c r="A153" s="28">
        <v>44012</v>
      </c>
      <c r="B153">
        <v>9196</v>
      </c>
      <c r="C153">
        <v>4301</v>
      </c>
    </row>
    <row r="154" spans="1:3" x14ac:dyDescent="0.3">
      <c r="A154" s="28">
        <v>44013</v>
      </c>
      <c r="B154">
        <v>10427</v>
      </c>
      <c r="C154">
        <v>2842</v>
      </c>
    </row>
    <row r="155" spans="1:3" x14ac:dyDescent="0.3">
      <c r="A155" s="28">
        <v>44014</v>
      </c>
      <c r="B155">
        <v>5962</v>
      </c>
      <c r="C155">
        <v>2628</v>
      </c>
    </row>
    <row r="156" spans="1:3" x14ac:dyDescent="0.3">
      <c r="A156" s="28">
        <v>44015</v>
      </c>
      <c r="B156">
        <v>5849</v>
      </c>
      <c r="C156">
        <v>1857</v>
      </c>
    </row>
    <row r="157" spans="1:3" x14ac:dyDescent="0.3">
      <c r="A157" s="28">
        <v>44016</v>
      </c>
      <c r="B157">
        <v>40</v>
      </c>
      <c r="C157">
        <v>32</v>
      </c>
    </row>
    <row r="158" spans="1:3" x14ac:dyDescent="0.3">
      <c r="A158" s="28">
        <v>44017</v>
      </c>
      <c r="B158">
        <v>1</v>
      </c>
      <c r="C158">
        <v>0</v>
      </c>
    </row>
    <row r="159" spans="1:3" x14ac:dyDescent="0.3">
      <c r="A159" s="28">
        <v>44018</v>
      </c>
      <c r="B159">
        <v>4499</v>
      </c>
      <c r="C159">
        <v>3848</v>
      </c>
    </row>
    <row r="160" spans="1:3" x14ac:dyDescent="0.3">
      <c r="A160" s="28">
        <v>44019</v>
      </c>
      <c r="B160">
        <v>12762</v>
      </c>
      <c r="C160">
        <v>5283</v>
      </c>
    </row>
    <row r="161" spans="1:3" x14ac:dyDescent="0.3">
      <c r="A161" s="28">
        <v>44020</v>
      </c>
      <c r="B161">
        <v>10823</v>
      </c>
      <c r="C161">
        <v>4018</v>
      </c>
    </row>
    <row r="162" spans="1:3" x14ac:dyDescent="0.3">
      <c r="A162" s="28">
        <v>44021</v>
      </c>
      <c r="B162">
        <v>6042</v>
      </c>
      <c r="C162">
        <v>3245</v>
      </c>
    </row>
    <row r="163" spans="1:3" x14ac:dyDescent="0.3">
      <c r="A163" s="28">
        <v>44022</v>
      </c>
      <c r="B163">
        <v>8739</v>
      </c>
      <c r="C163">
        <v>3428</v>
      </c>
    </row>
    <row r="164" spans="1:3" x14ac:dyDescent="0.3">
      <c r="A164" s="28">
        <v>44023</v>
      </c>
      <c r="B164">
        <v>2392</v>
      </c>
      <c r="C164">
        <v>965</v>
      </c>
    </row>
    <row r="165" spans="1:3" x14ac:dyDescent="0.3">
      <c r="A165" s="28">
        <v>44024</v>
      </c>
      <c r="B165">
        <v>1865</v>
      </c>
      <c r="C165">
        <v>756</v>
      </c>
    </row>
    <row r="166" spans="1:3" x14ac:dyDescent="0.3">
      <c r="A166" s="28">
        <v>44025</v>
      </c>
      <c r="B166">
        <v>4721</v>
      </c>
      <c r="C166">
        <v>3817</v>
      </c>
    </row>
    <row r="167" spans="1:3" x14ac:dyDescent="0.3">
      <c r="A167" s="28">
        <v>44026</v>
      </c>
      <c r="B167">
        <v>9753</v>
      </c>
      <c r="C167">
        <v>3643</v>
      </c>
    </row>
    <row r="168" spans="1:3" x14ac:dyDescent="0.3">
      <c r="A168" s="28">
        <v>44027</v>
      </c>
      <c r="B168">
        <v>9205</v>
      </c>
      <c r="C168">
        <v>3416</v>
      </c>
    </row>
    <row r="169" spans="1:3" x14ac:dyDescent="0.3">
      <c r="A169" s="28">
        <v>44028</v>
      </c>
      <c r="B169">
        <v>6781</v>
      </c>
      <c r="C169">
        <v>3522</v>
      </c>
    </row>
    <row r="170" spans="1:3" x14ac:dyDescent="0.3">
      <c r="A170" s="28">
        <v>44029</v>
      </c>
      <c r="B170">
        <v>7118</v>
      </c>
      <c r="C170">
        <v>3258</v>
      </c>
    </row>
    <row r="171" spans="1:3" x14ac:dyDescent="0.3">
      <c r="A171" s="28">
        <v>44030</v>
      </c>
      <c r="B171">
        <v>9529</v>
      </c>
      <c r="C171">
        <v>441</v>
      </c>
    </row>
    <row r="172" spans="1:3" x14ac:dyDescent="0.3">
      <c r="A172" s="28">
        <v>44031</v>
      </c>
      <c r="B172">
        <v>2554</v>
      </c>
      <c r="C172">
        <v>1036</v>
      </c>
    </row>
    <row r="173" spans="1:3" x14ac:dyDescent="0.3">
      <c r="A173" s="28">
        <v>44032</v>
      </c>
    </row>
    <row r="174" spans="1:3" x14ac:dyDescent="0.3">
      <c r="A174" s="28">
        <v>44033</v>
      </c>
    </row>
    <row r="175" spans="1:3" x14ac:dyDescent="0.3">
      <c r="A175" s="28">
        <v>44034</v>
      </c>
    </row>
    <row r="176" spans="1:3" x14ac:dyDescent="0.3">
      <c r="A176" s="28">
        <v>44035</v>
      </c>
    </row>
    <row r="177" spans="1:1" x14ac:dyDescent="0.3">
      <c r="A177" s="28">
        <v>44036</v>
      </c>
    </row>
    <row r="178" spans="1:1" x14ac:dyDescent="0.3">
      <c r="A178" s="28">
        <v>44037</v>
      </c>
    </row>
    <row r="179" spans="1:1" x14ac:dyDescent="0.3">
      <c r="A179" s="28">
        <v>44038</v>
      </c>
    </row>
    <row r="180" spans="1:1" x14ac:dyDescent="0.3">
      <c r="A180" s="28">
        <v>44039</v>
      </c>
    </row>
    <row r="181" spans="1:1" x14ac:dyDescent="0.3">
      <c r="A181" s="28">
        <v>44040</v>
      </c>
    </row>
    <row r="182" spans="1:1" x14ac:dyDescent="0.3">
      <c r="A182" s="28">
        <v>44041</v>
      </c>
    </row>
    <row r="183" spans="1:1" x14ac:dyDescent="0.3">
      <c r="A183" s="28">
        <v>44042</v>
      </c>
    </row>
    <row r="184" spans="1:1" x14ac:dyDescent="0.3">
      <c r="A184" s="28">
        <v>44043</v>
      </c>
    </row>
    <row r="185" spans="1:1" x14ac:dyDescent="0.3">
      <c r="A185" s="28">
        <v>44044</v>
      </c>
    </row>
    <row r="186" spans="1:1" x14ac:dyDescent="0.3">
      <c r="A186" s="28">
        <v>44045</v>
      </c>
    </row>
    <row r="187" spans="1:1" x14ac:dyDescent="0.3">
      <c r="A187" s="28">
        <v>44046</v>
      </c>
    </row>
    <row r="188" spans="1:1" x14ac:dyDescent="0.3">
      <c r="A188" s="28">
        <v>44047</v>
      </c>
    </row>
    <row r="189" spans="1:1" x14ac:dyDescent="0.3">
      <c r="A189" s="28">
        <v>44048</v>
      </c>
    </row>
    <row r="190" spans="1:1" x14ac:dyDescent="0.3">
      <c r="A190" s="28">
        <v>44049</v>
      </c>
    </row>
    <row r="191" spans="1:1" x14ac:dyDescent="0.3">
      <c r="A191" s="28">
        <v>44050</v>
      </c>
    </row>
    <row r="192" spans="1:1" x14ac:dyDescent="0.3">
      <c r="A192" s="28">
        <v>44051</v>
      </c>
    </row>
    <row r="193" spans="1:1" x14ac:dyDescent="0.3">
      <c r="A193" s="28">
        <v>44052</v>
      </c>
    </row>
    <row r="194" spans="1:1" x14ac:dyDescent="0.3">
      <c r="A194" s="28">
        <v>44053</v>
      </c>
    </row>
    <row r="195" spans="1:1" x14ac:dyDescent="0.3">
      <c r="A195" s="28">
        <v>44054</v>
      </c>
    </row>
    <row r="196" spans="1:1" x14ac:dyDescent="0.3">
      <c r="A196" s="28">
        <v>44055</v>
      </c>
    </row>
    <row r="197" spans="1:1" x14ac:dyDescent="0.3">
      <c r="A197" s="28">
        <v>44056</v>
      </c>
    </row>
    <row r="198" spans="1:1" x14ac:dyDescent="0.3">
      <c r="A198" s="28">
        <v>44057</v>
      </c>
    </row>
    <row r="199" spans="1:1" x14ac:dyDescent="0.3">
      <c r="A199" s="28">
        <v>44058</v>
      </c>
    </row>
    <row r="200" spans="1:1" x14ac:dyDescent="0.3">
      <c r="A200" s="28">
        <v>44059</v>
      </c>
    </row>
    <row r="201" spans="1:1" x14ac:dyDescent="0.3">
      <c r="A201" s="28">
        <v>44060</v>
      </c>
    </row>
    <row r="202" spans="1:1" x14ac:dyDescent="0.3">
      <c r="A202" s="28">
        <v>44061</v>
      </c>
    </row>
    <row r="203" spans="1:1" x14ac:dyDescent="0.3">
      <c r="A203" s="28">
        <v>44062</v>
      </c>
    </row>
    <row r="204" spans="1:1" x14ac:dyDescent="0.3">
      <c r="A204" s="28">
        <v>44063</v>
      </c>
    </row>
    <row r="205" spans="1:1" x14ac:dyDescent="0.3">
      <c r="A205" s="28">
        <v>44064</v>
      </c>
    </row>
    <row r="206" spans="1:1" x14ac:dyDescent="0.3">
      <c r="A206" s="28">
        <v>44065</v>
      </c>
    </row>
    <row r="207" spans="1:1" x14ac:dyDescent="0.3">
      <c r="A207" s="28">
        <v>44066</v>
      </c>
    </row>
    <row r="208" spans="1:1" x14ac:dyDescent="0.3">
      <c r="A208" s="28">
        <v>44067</v>
      </c>
    </row>
    <row r="209" spans="1:1" x14ac:dyDescent="0.3">
      <c r="A209" s="28">
        <v>44068</v>
      </c>
    </row>
    <row r="210" spans="1:1" x14ac:dyDescent="0.3">
      <c r="A210" s="28">
        <v>44069</v>
      </c>
    </row>
    <row r="211" spans="1:1" x14ac:dyDescent="0.3">
      <c r="A211" s="28">
        <v>44070</v>
      </c>
    </row>
    <row r="212" spans="1:1" x14ac:dyDescent="0.3">
      <c r="A212" s="28">
        <v>44071</v>
      </c>
    </row>
    <row r="213" spans="1:1" x14ac:dyDescent="0.3">
      <c r="A213" s="28">
        <v>44072</v>
      </c>
    </row>
    <row r="214" spans="1:1" x14ac:dyDescent="0.3">
      <c r="A214" s="28">
        <v>44073</v>
      </c>
    </row>
    <row r="215" spans="1:1" x14ac:dyDescent="0.3">
      <c r="A215" s="28">
        <v>44074</v>
      </c>
    </row>
    <row r="216" spans="1:1" x14ac:dyDescent="0.3">
      <c r="A216" s="28">
        <v>44075</v>
      </c>
    </row>
    <row r="217" spans="1:1" x14ac:dyDescent="0.3">
      <c r="A217" s="28">
        <v>44076</v>
      </c>
    </row>
    <row r="218" spans="1:1" x14ac:dyDescent="0.3">
      <c r="A218" s="28">
        <v>44077</v>
      </c>
    </row>
    <row r="219" spans="1:1" x14ac:dyDescent="0.3">
      <c r="A219" s="28">
        <v>44078</v>
      </c>
    </row>
    <row r="220" spans="1:1" x14ac:dyDescent="0.3">
      <c r="A220" s="28">
        <v>44079</v>
      </c>
    </row>
    <row r="221" spans="1:1" x14ac:dyDescent="0.3">
      <c r="A221" s="28">
        <v>44080</v>
      </c>
    </row>
    <row r="222" spans="1:1" x14ac:dyDescent="0.3">
      <c r="A222" s="28">
        <v>44081</v>
      </c>
    </row>
    <row r="223" spans="1:1" x14ac:dyDescent="0.3">
      <c r="A223" s="28">
        <v>44082</v>
      </c>
    </row>
    <row r="224" spans="1:1" x14ac:dyDescent="0.3">
      <c r="A224" s="28">
        <v>44083</v>
      </c>
    </row>
    <row r="225" spans="1:1" x14ac:dyDescent="0.3">
      <c r="A225" s="28">
        <v>44084</v>
      </c>
    </row>
    <row r="226" spans="1:1" x14ac:dyDescent="0.3">
      <c r="A226" s="28">
        <v>44085</v>
      </c>
    </row>
    <row r="227" spans="1:1" x14ac:dyDescent="0.3">
      <c r="A227" s="28">
        <v>44086</v>
      </c>
    </row>
    <row r="228" spans="1:1" x14ac:dyDescent="0.3">
      <c r="A228" s="28">
        <v>44087</v>
      </c>
    </row>
    <row r="229" spans="1:1" x14ac:dyDescent="0.3">
      <c r="A229" s="28">
        <v>44088</v>
      </c>
    </row>
    <row r="230" spans="1:1" x14ac:dyDescent="0.3">
      <c r="A230" s="28">
        <v>44089</v>
      </c>
    </row>
    <row r="231" spans="1:1" x14ac:dyDescent="0.3">
      <c r="A231" s="28">
        <v>44090</v>
      </c>
    </row>
    <row r="232" spans="1:1" x14ac:dyDescent="0.3">
      <c r="A232" s="28">
        <v>44091</v>
      </c>
    </row>
    <row r="233" spans="1:1" x14ac:dyDescent="0.3">
      <c r="A233" s="28">
        <v>44092</v>
      </c>
    </row>
    <row r="234" spans="1:1" x14ac:dyDescent="0.3">
      <c r="A234" s="28">
        <v>44093</v>
      </c>
    </row>
    <row r="235" spans="1:1" x14ac:dyDescent="0.3">
      <c r="A235" s="28">
        <v>44094</v>
      </c>
    </row>
    <row r="236" spans="1:1" x14ac:dyDescent="0.3">
      <c r="A236" s="28">
        <v>44095</v>
      </c>
    </row>
    <row r="237" spans="1:1" x14ac:dyDescent="0.3">
      <c r="A237" s="28">
        <v>44096</v>
      </c>
    </row>
    <row r="238" spans="1:1" x14ac:dyDescent="0.3">
      <c r="A238" s="28">
        <v>44097</v>
      </c>
    </row>
    <row r="239" spans="1:1" x14ac:dyDescent="0.3">
      <c r="A239" s="28">
        <v>44098</v>
      </c>
    </row>
    <row r="240" spans="1:1" x14ac:dyDescent="0.3">
      <c r="A240" s="28">
        <v>44099</v>
      </c>
    </row>
    <row r="241" spans="1:1" x14ac:dyDescent="0.3">
      <c r="A241" s="28">
        <v>44100</v>
      </c>
    </row>
    <row r="242" spans="1:1" x14ac:dyDescent="0.3">
      <c r="A242" s="28">
        <v>44101</v>
      </c>
    </row>
    <row r="243" spans="1:1" x14ac:dyDescent="0.3">
      <c r="A243" s="28">
        <v>44102</v>
      </c>
    </row>
    <row r="244" spans="1:1" x14ac:dyDescent="0.3">
      <c r="A244" s="28">
        <v>44103</v>
      </c>
    </row>
    <row r="245" spans="1:1" x14ac:dyDescent="0.3">
      <c r="A245" s="28">
        <v>44104</v>
      </c>
    </row>
    <row r="246" spans="1:1" x14ac:dyDescent="0.3">
      <c r="A246" s="28">
        <v>44105</v>
      </c>
    </row>
    <row r="247" spans="1:1" x14ac:dyDescent="0.3">
      <c r="A247" s="28">
        <v>44106</v>
      </c>
    </row>
    <row r="248" spans="1:1" x14ac:dyDescent="0.3">
      <c r="A248" s="28">
        <v>44107</v>
      </c>
    </row>
    <row r="249" spans="1:1" x14ac:dyDescent="0.3">
      <c r="A249" s="28">
        <v>44108</v>
      </c>
    </row>
    <row r="250" spans="1:1" x14ac:dyDescent="0.3">
      <c r="A250" s="28">
        <v>44109</v>
      </c>
    </row>
    <row r="251" spans="1:1" x14ac:dyDescent="0.3">
      <c r="A251" s="28">
        <v>44110</v>
      </c>
    </row>
    <row r="252" spans="1:1" x14ac:dyDescent="0.3">
      <c r="A252" s="28">
        <v>44111</v>
      </c>
    </row>
    <row r="253" spans="1:1" x14ac:dyDescent="0.3">
      <c r="A253" s="28">
        <v>44112</v>
      </c>
    </row>
    <row r="254" spans="1:1" x14ac:dyDescent="0.3">
      <c r="A254" s="28">
        <v>44113</v>
      </c>
    </row>
    <row r="255" spans="1:1" x14ac:dyDescent="0.3">
      <c r="A255" s="28">
        <v>44114</v>
      </c>
    </row>
    <row r="256" spans="1:1" x14ac:dyDescent="0.3">
      <c r="A256" s="28">
        <v>44115</v>
      </c>
    </row>
    <row r="257" spans="1:1" x14ac:dyDescent="0.3">
      <c r="A257" s="28">
        <v>44116</v>
      </c>
    </row>
    <row r="258" spans="1:1" x14ac:dyDescent="0.3">
      <c r="A258" s="28">
        <v>44117</v>
      </c>
    </row>
    <row r="259" spans="1:1" x14ac:dyDescent="0.3">
      <c r="A259" s="28">
        <v>44118</v>
      </c>
    </row>
    <row r="260" spans="1:1" x14ac:dyDescent="0.3">
      <c r="A260" s="28">
        <v>44119</v>
      </c>
    </row>
    <row r="261" spans="1:1" x14ac:dyDescent="0.3">
      <c r="A261" s="28">
        <v>44120</v>
      </c>
    </row>
    <row r="262" spans="1:1" x14ac:dyDescent="0.3">
      <c r="A262" s="28">
        <v>44121</v>
      </c>
    </row>
    <row r="263" spans="1:1" x14ac:dyDescent="0.3">
      <c r="A263" s="28">
        <v>44122</v>
      </c>
    </row>
    <row r="264" spans="1:1" x14ac:dyDescent="0.3">
      <c r="A264" s="28">
        <v>44123</v>
      </c>
    </row>
    <row r="265" spans="1:1" x14ac:dyDescent="0.3">
      <c r="A265" s="28">
        <v>44124</v>
      </c>
    </row>
    <row r="266" spans="1:1" x14ac:dyDescent="0.3">
      <c r="A266" s="28">
        <v>44125</v>
      </c>
    </row>
    <row r="267" spans="1:1" x14ac:dyDescent="0.3">
      <c r="A267" s="28">
        <v>44126</v>
      </c>
    </row>
    <row r="268" spans="1:1" x14ac:dyDescent="0.3">
      <c r="A268" s="28">
        <v>44127</v>
      </c>
    </row>
    <row r="269" spans="1:1" x14ac:dyDescent="0.3">
      <c r="A269" s="28">
        <v>44128</v>
      </c>
    </row>
    <row r="270" spans="1:1" x14ac:dyDescent="0.3">
      <c r="A270" s="28">
        <v>44129</v>
      </c>
    </row>
    <row r="271" spans="1:1" x14ac:dyDescent="0.3">
      <c r="A271" s="28">
        <v>44130</v>
      </c>
    </row>
    <row r="272" spans="1:1" x14ac:dyDescent="0.3">
      <c r="A272" s="28">
        <v>44131</v>
      </c>
    </row>
    <row r="273" spans="1:1" x14ac:dyDescent="0.3">
      <c r="A273" s="28">
        <v>44132</v>
      </c>
    </row>
    <row r="274" spans="1:1" x14ac:dyDescent="0.3">
      <c r="A274" s="28">
        <v>44133</v>
      </c>
    </row>
    <row r="275" spans="1:1" x14ac:dyDescent="0.3">
      <c r="A275" s="28">
        <v>44134</v>
      </c>
    </row>
    <row r="276" spans="1:1" x14ac:dyDescent="0.3">
      <c r="A276" s="28">
        <v>44135</v>
      </c>
    </row>
    <row r="277" spans="1:1" x14ac:dyDescent="0.3">
      <c r="A277" s="28">
        <v>44136</v>
      </c>
    </row>
    <row r="278" spans="1:1" x14ac:dyDescent="0.3">
      <c r="A278" s="28">
        <v>44137</v>
      </c>
    </row>
    <row r="279" spans="1:1" x14ac:dyDescent="0.3">
      <c r="A279" s="28">
        <v>44138</v>
      </c>
    </row>
    <row r="280" spans="1:1" x14ac:dyDescent="0.3">
      <c r="A280" s="28">
        <v>44139</v>
      </c>
    </row>
    <row r="281" spans="1:1" x14ac:dyDescent="0.3">
      <c r="A281" s="28">
        <v>44140</v>
      </c>
    </row>
    <row r="282" spans="1:1" x14ac:dyDescent="0.3">
      <c r="A282" s="28">
        <v>44141</v>
      </c>
    </row>
    <row r="283" spans="1:1" x14ac:dyDescent="0.3">
      <c r="A283" s="28">
        <v>44142</v>
      </c>
    </row>
    <row r="284" spans="1:1" x14ac:dyDescent="0.3">
      <c r="A284" s="28">
        <v>44143</v>
      </c>
    </row>
    <row r="285" spans="1:1" x14ac:dyDescent="0.3">
      <c r="A285" s="28">
        <v>44144</v>
      </c>
    </row>
    <row r="286" spans="1:1" x14ac:dyDescent="0.3">
      <c r="A286" s="28">
        <v>44145</v>
      </c>
    </row>
    <row r="287" spans="1:1" x14ac:dyDescent="0.3">
      <c r="A287" s="28">
        <v>44146</v>
      </c>
    </row>
    <row r="288" spans="1:1" x14ac:dyDescent="0.3">
      <c r="A288" s="28">
        <v>44147</v>
      </c>
    </row>
    <row r="289" spans="1:1" x14ac:dyDescent="0.3">
      <c r="A289" s="28">
        <v>44148</v>
      </c>
    </row>
    <row r="290" spans="1:1" x14ac:dyDescent="0.3">
      <c r="A290" s="28">
        <v>44149</v>
      </c>
    </row>
    <row r="291" spans="1:1" x14ac:dyDescent="0.3">
      <c r="A291" s="28">
        <v>44150</v>
      </c>
    </row>
    <row r="292" spans="1:1" x14ac:dyDescent="0.3">
      <c r="A292" s="28">
        <v>44151</v>
      </c>
    </row>
    <row r="293" spans="1:1" x14ac:dyDescent="0.3">
      <c r="A293" s="28">
        <v>44152</v>
      </c>
    </row>
    <row r="294" spans="1:1" x14ac:dyDescent="0.3">
      <c r="A294" s="28">
        <v>44153</v>
      </c>
    </row>
    <row r="295" spans="1:1" x14ac:dyDescent="0.3">
      <c r="A295" s="28">
        <v>44154</v>
      </c>
    </row>
    <row r="296" spans="1:1" x14ac:dyDescent="0.3">
      <c r="A296" s="28">
        <v>44155</v>
      </c>
    </row>
    <row r="297" spans="1:1" x14ac:dyDescent="0.3">
      <c r="A297" s="28">
        <v>44156</v>
      </c>
    </row>
    <row r="298" spans="1:1" x14ac:dyDescent="0.3">
      <c r="A298" s="28">
        <v>44157</v>
      </c>
    </row>
    <row r="299" spans="1:1" x14ac:dyDescent="0.3">
      <c r="A299" s="28">
        <v>44158</v>
      </c>
    </row>
    <row r="300" spans="1:1" x14ac:dyDescent="0.3">
      <c r="A300" s="28">
        <v>44159</v>
      </c>
    </row>
    <row r="301" spans="1:1" x14ac:dyDescent="0.3">
      <c r="A301" s="28">
        <v>44160</v>
      </c>
    </row>
    <row r="302" spans="1:1" x14ac:dyDescent="0.3">
      <c r="A302" s="28">
        <v>44161</v>
      </c>
    </row>
    <row r="303" spans="1:1" x14ac:dyDescent="0.3">
      <c r="A303" s="28">
        <v>44162</v>
      </c>
    </row>
    <row r="304" spans="1:1" x14ac:dyDescent="0.3">
      <c r="A304" s="28">
        <v>44163</v>
      </c>
    </row>
    <row r="305" spans="1:1" x14ac:dyDescent="0.3">
      <c r="A305" s="28">
        <v>44164</v>
      </c>
    </row>
    <row r="306" spans="1:1" x14ac:dyDescent="0.3">
      <c r="A306" s="28">
        <v>44165</v>
      </c>
    </row>
    <row r="307" spans="1:1" x14ac:dyDescent="0.3">
      <c r="A307" s="28">
        <v>44166</v>
      </c>
    </row>
    <row r="308" spans="1:1" x14ac:dyDescent="0.3">
      <c r="A308" s="28">
        <v>44167</v>
      </c>
    </row>
    <row r="309" spans="1:1" x14ac:dyDescent="0.3">
      <c r="A309" s="28">
        <v>44168</v>
      </c>
    </row>
    <row r="310" spans="1:1" x14ac:dyDescent="0.3">
      <c r="A310" s="28">
        <v>44169</v>
      </c>
    </row>
    <row r="311" spans="1:1" x14ac:dyDescent="0.3">
      <c r="A311" s="28">
        <v>44170</v>
      </c>
    </row>
    <row r="312" spans="1:1" x14ac:dyDescent="0.3">
      <c r="A312" s="28">
        <v>44171</v>
      </c>
    </row>
    <row r="313" spans="1:1" x14ac:dyDescent="0.3">
      <c r="A313" s="28">
        <v>44172</v>
      </c>
    </row>
    <row r="314" spans="1:1" x14ac:dyDescent="0.3">
      <c r="A314" s="28">
        <v>44173</v>
      </c>
    </row>
    <row r="315" spans="1:1" x14ac:dyDescent="0.3">
      <c r="A315" s="28">
        <v>44174</v>
      </c>
    </row>
    <row r="316" spans="1:1" x14ac:dyDescent="0.3">
      <c r="A316" s="28">
        <v>44175</v>
      </c>
    </row>
    <row r="317" spans="1:1" x14ac:dyDescent="0.3">
      <c r="A317" s="28">
        <v>44176</v>
      </c>
    </row>
    <row r="318" spans="1:1" x14ac:dyDescent="0.3">
      <c r="A318" s="28">
        <v>44177</v>
      </c>
    </row>
    <row r="319" spans="1:1" x14ac:dyDescent="0.3">
      <c r="A319" s="28">
        <v>44178</v>
      </c>
    </row>
    <row r="320" spans="1:1" x14ac:dyDescent="0.3">
      <c r="A320" s="28">
        <v>44179</v>
      </c>
    </row>
    <row r="321" spans="1:1" x14ac:dyDescent="0.3">
      <c r="A321" s="28">
        <v>44180</v>
      </c>
    </row>
    <row r="322" spans="1:1" x14ac:dyDescent="0.3">
      <c r="A322" s="28">
        <v>44181</v>
      </c>
    </row>
    <row r="323" spans="1:1" x14ac:dyDescent="0.3">
      <c r="A323" s="28">
        <v>44182</v>
      </c>
    </row>
    <row r="324" spans="1:1" x14ac:dyDescent="0.3">
      <c r="A324" s="28">
        <v>44183</v>
      </c>
    </row>
    <row r="325" spans="1:1" x14ac:dyDescent="0.3">
      <c r="A325" s="28">
        <v>44184</v>
      </c>
    </row>
    <row r="326" spans="1:1" x14ac:dyDescent="0.3">
      <c r="A326" s="28">
        <v>44185</v>
      </c>
    </row>
    <row r="327" spans="1:1" x14ac:dyDescent="0.3">
      <c r="A327" s="28">
        <v>44186</v>
      </c>
    </row>
    <row r="328" spans="1:1" x14ac:dyDescent="0.3">
      <c r="A328" s="28">
        <v>44187</v>
      </c>
    </row>
    <row r="329" spans="1:1" x14ac:dyDescent="0.3">
      <c r="A329" s="28">
        <v>44188</v>
      </c>
    </row>
    <row r="330" spans="1:1" x14ac:dyDescent="0.3">
      <c r="A330" s="28">
        <v>44189</v>
      </c>
    </row>
    <row r="331" spans="1:1" x14ac:dyDescent="0.3">
      <c r="A331" s="28">
        <v>44190</v>
      </c>
    </row>
    <row r="332" spans="1:1" x14ac:dyDescent="0.3">
      <c r="A332" s="28">
        <v>44191</v>
      </c>
    </row>
    <row r="333" spans="1:1" x14ac:dyDescent="0.3">
      <c r="A333" s="28">
        <v>44192</v>
      </c>
    </row>
    <row r="334" spans="1:1" x14ac:dyDescent="0.3">
      <c r="A334" s="28">
        <v>44193</v>
      </c>
    </row>
    <row r="335" spans="1:1" x14ac:dyDescent="0.3">
      <c r="A335" s="28">
        <v>44194</v>
      </c>
    </row>
    <row r="336" spans="1:1" x14ac:dyDescent="0.3">
      <c r="A336" s="28">
        <v>44195</v>
      </c>
    </row>
    <row r="337" spans="1:1" x14ac:dyDescent="0.3">
      <c r="A337" s="28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K66"/>
  <sheetViews>
    <sheetView zoomScale="80" zoomScaleNormal="70" workbookViewId="0"/>
  </sheetViews>
  <sheetFormatPr defaultRowHeight="14.4" x14ac:dyDescent="0.3"/>
  <cols>
    <col min="1" max="1" width="16.6640625" customWidth="1"/>
    <col min="2" max="2" width="19.77734375" customWidth="1"/>
    <col min="3" max="3" width="25.21875" customWidth="1"/>
    <col min="4" max="4" width="21" customWidth="1"/>
    <col min="6" max="6" width="14.5546875" customWidth="1"/>
    <col min="7" max="7" width="33.21875" customWidth="1"/>
    <col min="8" max="8" width="26.21875" customWidth="1"/>
    <col min="11" max="11" width="14.88671875" customWidth="1"/>
  </cols>
  <sheetData>
    <row r="1" spans="1:11" ht="27.45" customHeight="1" x14ac:dyDescent="0.3">
      <c r="A1" s="11" t="s">
        <v>14</v>
      </c>
      <c r="B1" s="11" t="s">
        <v>15</v>
      </c>
      <c r="C1" s="11" t="s">
        <v>23</v>
      </c>
      <c r="D1" s="19" t="s">
        <v>61</v>
      </c>
      <c r="E1" s="12"/>
      <c r="F1" s="19" t="s">
        <v>24</v>
      </c>
      <c r="G1" s="19" t="s">
        <v>25</v>
      </c>
      <c r="H1" s="19" t="s">
        <v>16</v>
      </c>
    </row>
    <row r="2" spans="1:11" x14ac:dyDescent="0.3">
      <c r="A2" s="20" t="s">
        <v>18</v>
      </c>
      <c r="B2" s="20" t="s">
        <v>143</v>
      </c>
      <c r="C2" t="s">
        <v>78</v>
      </c>
      <c r="D2">
        <v>11</v>
      </c>
      <c r="J2" s="20"/>
      <c r="K2" s="20"/>
    </row>
    <row r="3" spans="1:11" x14ac:dyDescent="0.3">
      <c r="A3" s="20" t="s">
        <v>18</v>
      </c>
      <c r="B3" s="20" t="s">
        <v>116</v>
      </c>
      <c r="C3" t="s">
        <v>79</v>
      </c>
      <c r="D3">
        <v>13</v>
      </c>
      <c r="J3" s="20"/>
      <c r="K3" s="20"/>
    </row>
    <row r="4" spans="1:11" x14ac:dyDescent="0.3">
      <c r="A4" s="20" t="s">
        <v>18</v>
      </c>
      <c r="B4" s="20" t="s">
        <v>104</v>
      </c>
      <c r="C4" t="s">
        <v>72</v>
      </c>
      <c r="D4">
        <v>2</v>
      </c>
      <c r="J4" s="20"/>
      <c r="K4" s="20"/>
    </row>
    <row r="5" spans="1:11" x14ac:dyDescent="0.3">
      <c r="A5" s="20" t="s">
        <v>18</v>
      </c>
      <c r="B5" s="20" t="s">
        <v>143</v>
      </c>
      <c r="C5" t="s">
        <v>72</v>
      </c>
      <c r="D5">
        <v>14</v>
      </c>
      <c r="J5" s="20"/>
      <c r="K5" s="20"/>
    </row>
    <row r="6" spans="1:11" x14ac:dyDescent="0.3">
      <c r="A6" s="20" t="s">
        <v>18</v>
      </c>
      <c r="B6" s="20" t="s">
        <v>77</v>
      </c>
      <c r="C6" t="s">
        <v>77</v>
      </c>
      <c r="D6">
        <v>4</v>
      </c>
      <c r="J6" s="20"/>
      <c r="K6" s="20"/>
    </row>
    <row r="7" spans="1:11" x14ac:dyDescent="0.3">
      <c r="A7" s="20" t="s">
        <v>18</v>
      </c>
      <c r="B7" s="20" t="s">
        <v>143</v>
      </c>
      <c r="C7" t="s">
        <v>79</v>
      </c>
      <c r="D7">
        <v>12</v>
      </c>
      <c r="J7" s="20"/>
      <c r="K7" s="20"/>
    </row>
    <row r="8" spans="1:11" x14ac:dyDescent="0.3">
      <c r="A8" s="20" t="s">
        <v>18</v>
      </c>
      <c r="B8" s="20" t="s">
        <v>116</v>
      </c>
      <c r="C8" t="s">
        <v>78</v>
      </c>
      <c r="D8">
        <v>11</v>
      </c>
      <c r="J8" s="20"/>
      <c r="K8" s="20"/>
    </row>
    <row r="9" spans="1:11" x14ac:dyDescent="0.3">
      <c r="A9" s="20" t="s">
        <v>18</v>
      </c>
      <c r="B9" s="20" t="s">
        <v>142</v>
      </c>
      <c r="C9" t="s">
        <v>72</v>
      </c>
      <c r="D9">
        <v>2</v>
      </c>
      <c r="J9" s="20"/>
      <c r="K9" s="20"/>
    </row>
    <row r="10" spans="1:11" x14ac:dyDescent="0.3">
      <c r="A10" s="32" t="s">
        <v>18</v>
      </c>
      <c r="B10" s="33"/>
      <c r="C10" s="33"/>
      <c r="D10" s="21">
        <f>(SUMIF(B2:B9,"PROCESSED",D2:D9) +SUMIF(B2:B9,"OFFRAMPED",D2:D9))</f>
        <v>6</v>
      </c>
      <c r="F10">
        <v>69</v>
      </c>
      <c r="G10" s="15">
        <f>SUMIF(B2:B9,"PROCESSED",D2:D9)/(SUMIF(B2:B9,"PROCESSED",D2:D9) +SUMIF(B2:B9,"OFFRAMPED",D2:D9))</f>
        <v>0.66666666666666663</v>
      </c>
      <c r="H10" s="34">
        <f>D10/F10</f>
        <v>8.6956521739130432E-2</v>
      </c>
      <c r="J10" s="20"/>
      <c r="K10" s="20"/>
    </row>
    <row r="11" spans="1:11" x14ac:dyDescent="0.3">
      <c r="A11" s="20" t="s">
        <v>12</v>
      </c>
      <c r="B11" s="20" t="s">
        <v>77</v>
      </c>
      <c r="C11" t="s">
        <v>78</v>
      </c>
      <c r="D11">
        <v>69</v>
      </c>
      <c r="J11" s="20"/>
      <c r="K11" s="20"/>
    </row>
    <row r="12" spans="1:11" x14ac:dyDescent="0.3">
      <c r="A12" s="20" t="s">
        <v>12</v>
      </c>
      <c r="B12" s="20" t="s">
        <v>77</v>
      </c>
      <c r="C12" t="s">
        <v>72</v>
      </c>
      <c r="D12">
        <v>8</v>
      </c>
      <c r="J12" s="20"/>
      <c r="K12" s="20"/>
    </row>
    <row r="13" spans="1:11" x14ac:dyDescent="0.3">
      <c r="A13" s="20" t="s">
        <v>12</v>
      </c>
      <c r="B13" s="20" t="s">
        <v>77</v>
      </c>
      <c r="C13" t="s">
        <v>77</v>
      </c>
      <c r="D13">
        <v>25</v>
      </c>
      <c r="J13" s="20"/>
      <c r="K13" s="20"/>
    </row>
    <row r="14" spans="1:11" x14ac:dyDescent="0.3">
      <c r="A14" t="s">
        <v>12</v>
      </c>
      <c r="B14" s="20" t="s">
        <v>77</v>
      </c>
      <c r="C14" t="s">
        <v>76</v>
      </c>
      <c r="D14">
        <v>10</v>
      </c>
      <c r="J14" s="20"/>
      <c r="K14" s="20"/>
    </row>
    <row r="15" spans="1:11" x14ac:dyDescent="0.3">
      <c r="A15" t="s">
        <v>12</v>
      </c>
      <c r="B15" s="20" t="s">
        <v>104</v>
      </c>
      <c r="C15" t="s">
        <v>72</v>
      </c>
      <c r="D15">
        <v>82</v>
      </c>
      <c r="J15" s="20"/>
      <c r="K15" s="20"/>
    </row>
    <row r="16" spans="1:11" x14ac:dyDescent="0.3">
      <c r="A16" t="s">
        <v>12</v>
      </c>
      <c r="B16" s="20" t="s">
        <v>116</v>
      </c>
      <c r="C16" t="s">
        <v>78</v>
      </c>
      <c r="D16">
        <v>5</v>
      </c>
      <c r="J16" s="20"/>
      <c r="K16" s="20"/>
    </row>
    <row r="17" spans="1:11" x14ac:dyDescent="0.3">
      <c r="A17" t="s">
        <v>12</v>
      </c>
      <c r="B17" s="20" t="s">
        <v>109</v>
      </c>
      <c r="C17" t="s">
        <v>78</v>
      </c>
      <c r="D17">
        <v>1</v>
      </c>
      <c r="J17" s="20"/>
      <c r="K17" s="20"/>
    </row>
    <row r="18" spans="1:11" x14ac:dyDescent="0.3">
      <c r="A18" t="s">
        <v>12</v>
      </c>
      <c r="B18" t="s">
        <v>109</v>
      </c>
      <c r="C18" t="s">
        <v>79</v>
      </c>
      <c r="D18">
        <v>5</v>
      </c>
      <c r="J18" s="20"/>
      <c r="K18" s="20"/>
    </row>
    <row r="19" spans="1:11" x14ac:dyDescent="0.3">
      <c r="A19" t="s">
        <v>12</v>
      </c>
      <c r="B19" t="s">
        <v>116</v>
      </c>
      <c r="C19" t="s">
        <v>79</v>
      </c>
      <c r="D19">
        <v>6</v>
      </c>
      <c r="J19" s="20"/>
    </row>
    <row r="20" spans="1:11" x14ac:dyDescent="0.3">
      <c r="A20" s="16" t="s">
        <v>12</v>
      </c>
      <c r="B20" s="14"/>
      <c r="C20" s="14"/>
      <c r="D20" s="21">
        <f>(SUMIF(B11:B19,"PROCESSED",D11:D19) +SUMIF(B11:B19,"OFFRAMPED",D11:D19))</f>
        <v>194</v>
      </c>
      <c r="F20">
        <v>211</v>
      </c>
      <c r="G20" s="15">
        <f>SUMIF(B11:B19,"PROCESSED",D11:D19)/(SUMIF(B11:B19,"PROCESSED",D11:D19) +SUMIF(B11:B19,"OFFRAMPED",D11:D19))</f>
        <v>0.57731958762886593</v>
      </c>
      <c r="H20" s="15">
        <f>D20/F20</f>
        <v>0.91943127962085303</v>
      </c>
      <c r="J20" s="20"/>
    </row>
    <row r="21" spans="1:11" x14ac:dyDescent="0.3">
      <c r="A21" t="s">
        <v>58</v>
      </c>
      <c r="B21" t="s">
        <v>116</v>
      </c>
      <c r="C21" t="s">
        <v>79</v>
      </c>
      <c r="D21">
        <v>25</v>
      </c>
      <c r="J21" s="20"/>
    </row>
    <row r="22" spans="1:11" x14ac:dyDescent="0.3">
      <c r="A22" t="s">
        <v>58</v>
      </c>
      <c r="B22" t="s">
        <v>143</v>
      </c>
      <c r="C22" t="s">
        <v>78</v>
      </c>
      <c r="D22">
        <v>18</v>
      </c>
      <c r="J22" s="20"/>
    </row>
    <row r="23" spans="1:11" x14ac:dyDescent="0.3">
      <c r="A23" t="s">
        <v>58</v>
      </c>
      <c r="B23" t="s">
        <v>109</v>
      </c>
      <c r="C23" t="s">
        <v>72</v>
      </c>
      <c r="D23">
        <v>1</v>
      </c>
      <c r="J23" s="20"/>
    </row>
    <row r="24" spans="1:11" x14ac:dyDescent="0.3">
      <c r="A24" t="s">
        <v>58</v>
      </c>
      <c r="B24" t="s">
        <v>116</v>
      </c>
      <c r="C24" t="s">
        <v>78</v>
      </c>
      <c r="D24">
        <v>4</v>
      </c>
      <c r="J24" s="20"/>
    </row>
    <row r="25" spans="1:11" x14ac:dyDescent="0.3">
      <c r="A25" t="s">
        <v>58</v>
      </c>
      <c r="B25" t="s">
        <v>77</v>
      </c>
      <c r="C25" t="s">
        <v>72</v>
      </c>
      <c r="D25">
        <v>9</v>
      </c>
      <c r="J25" s="20"/>
    </row>
    <row r="26" spans="1:11" x14ac:dyDescent="0.3">
      <c r="A26" t="s">
        <v>58</v>
      </c>
      <c r="B26" t="s">
        <v>104</v>
      </c>
      <c r="C26" t="s">
        <v>72</v>
      </c>
      <c r="D26">
        <v>1</v>
      </c>
      <c r="J26" s="20"/>
    </row>
    <row r="27" spans="1:11" x14ac:dyDescent="0.3">
      <c r="A27" t="s">
        <v>58</v>
      </c>
      <c r="B27" t="s">
        <v>143</v>
      </c>
      <c r="C27" t="s">
        <v>72</v>
      </c>
      <c r="D27">
        <v>15</v>
      </c>
      <c r="J27" s="20"/>
    </row>
    <row r="28" spans="1:11" x14ac:dyDescent="0.3">
      <c r="A28" t="s">
        <v>58</v>
      </c>
      <c r="B28" t="s">
        <v>143</v>
      </c>
      <c r="C28" t="s">
        <v>79</v>
      </c>
      <c r="D28">
        <v>2</v>
      </c>
    </row>
    <row r="29" spans="1:11" x14ac:dyDescent="0.3">
      <c r="A29" s="16" t="s">
        <v>58</v>
      </c>
      <c r="B29" s="14"/>
      <c r="C29" s="14"/>
      <c r="D29" s="21">
        <f>(SUMIF(B21:B28,"PROCESSED",D21:D28) +SUMIF(B21:B28,"OFFRAMPED",D21:D28))</f>
        <v>10</v>
      </c>
      <c r="F29">
        <v>75</v>
      </c>
      <c r="G29" s="15">
        <f>SUMIF(B21:B28,"PROCESSED",D21:D28)/(SUMIF(B21:B28,"PROCESSED",D21:D28) +SUMIF(B21:B28,"OFFRAMPED",D21:D28))</f>
        <v>0.9</v>
      </c>
      <c r="H29" s="15">
        <f>D29/F29</f>
        <v>0.13333333333333333</v>
      </c>
    </row>
    <row r="30" spans="1:11" x14ac:dyDescent="0.3">
      <c r="A30" t="s">
        <v>57</v>
      </c>
      <c r="B30" t="s">
        <v>143</v>
      </c>
      <c r="C30" t="s">
        <v>79</v>
      </c>
      <c r="D30">
        <v>8</v>
      </c>
    </row>
    <row r="31" spans="1:11" x14ac:dyDescent="0.3">
      <c r="A31" t="s">
        <v>57</v>
      </c>
      <c r="B31" t="s">
        <v>143</v>
      </c>
      <c r="C31" t="s">
        <v>72</v>
      </c>
      <c r="D31">
        <v>8</v>
      </c>
    </row>
    <row r="32" spans="1:11" x14ac:dyDescent="0.3">
      <c r="A32" t="s">
        <v>57</v>
      </c>
      <c r="B32" t="s">
        <v>116</v>
      </c>
      <c r="C32" t="s">
        <v>72</v>
      </c>
      <c r="D32">
        <v>1</v>
      </c>
    </row>
    <row r="33" spans="1:8" x14ac:dyDescent="0.3">
      <c r="A33" t="s">
        <v>57</v>
      </c>
      <c r="B33" t="s">
        <v>116</v>
      </c>
      <c r="C33" t="s">
        <v>78</v>
      </c>
      <c r="D33">
        <v>7</v>
      </c>
    </row>
    <row r="34" spans="1:8" x14ac:dyDescent="0.3">
      <c r="A34" t="s">
        <v>57</v>
      </c>
      <c r="B34" t="s">
        <v>143</v>
      </c>
      <c r="C34" t="s">
        <v>78</v>
      </c>
      <c r="D34">
        <v>10</v>
      </c>
    </row>
    <row r="35" spans="1:8" x14ac:dyDescent="0.3">
      <c r="A35" t="s">
        <v>57</v>
      </c>
      <c r="B35" t="s">
        <v>116</v>
      </c>
      <c r="C35" t="s">
        <v>79</v>
      </c>
      <c r="D35">
        <v>30</v>
      </c>
    </row>
    <row r="36" spans="1:8" x14ac:dyDescent="0.3">
      <c r="A36" t="s">
        <v>57</v>
      </c>
      <c r="B36" t="s">
        <v>77</v>
      </c>
      <c r="C36" t="s">
        <v>72</v>
      </c>
      <c r="D36">
        <v>2</v>
      </c>
    </row>
    <row r="37" spans="1:8" x14ac:dyDescent="0.3">
      <c r="A37" t="s">
        <v>57</v>
      </c>
      <c r="B37" t="s">
        <v>104</v>
      </c>
      <c r="C37" t="s">
        <v>72</v>
      </c>
      <c r="D37">
        <v>2</v>
      </c>
    </row>
    <row r="38" spans="1:8" x14ac:dyDescent="0.3">
      <c r="A38" s="16" t="s">
        <v>57</v>
      </c>
      <c r="B38" s="14"/>
      <c r="C38" s="14"/>
      <c r="D38" s="21">
        <f>(SUMIF(B30:B37,"PROCESSED",D30:D37) +SUMIF(B30:B37,"OFFRAMPED",D30:D37))</f>
        <v>4</v>
      </c>
      <c r="F38">
        <v>68</v>
      </c>
      <c r="G38" s="15">
        <f>SUMIF(B30:B37,"PROCESSED",D30:D37)/(SUMIF(B30:B37,"PROCESSED",D30:D37) +SUMIF(B30:B37,"OFFRAMPED",D30:D37))</f>
        <v>0.5</v>
      </c>
      <c r="H38" s="15">
        <f>D38/F38</f>
        <v>5.8823529411764705E-2</v>
      </c>
    </row>
    <row r="39" spans="1:8" x14ac:dyDescent="0.3">
      <c r="A39" t="s">
        <v>17</v>
      </c>
      <c r="B39" t="s">
        <v>104</v>
      </c>
      <c r="C39" t="s">
        <v>72</v>
      </c>
      <c r="D39">
        <v>17</v>
      </c>
    </row>
    <row r="40" spans="1:8" x14ac:dyDescent="0.3">
      <c r="A40" t="s">
        <v>17</v>
      </c>
      <c r="B40" t="s">
        <v>143</v>
      </c>
      <c r="C40" t="s">
        <v>72</v>
      </c>
      <c r="D40">
        <v>135</v>
      </c>
    </row>
    <row r="41" spans="1:8" x14ac:dyDescent="0.3">
      <c r="A41" t="s">
        <v>17</v>
      </c>
      <c r="B41" t="s">
        <v>143</v>
      </c>
      <c r="C41" t="s">
        <v>78</v>
      </c>
      <c r="D41">
        <v>65</v>
      </c>
    </row>
    <row r="42" spans="1:8" x14ac:dyDescent="0.3">
      <c r="A42" t="s">
        <v>17</v>
      </c>
      <c r="B42" t="s">
        <v>116</v>
      </c>
      <c r="C42" t="s">
        <v>72</v>
      </c>
      <c r="D42">
        <v>2</v>
      </c>
    </row>
    <row r="43" spans="1:8" x14ac:dyDescent="0.3">
      <c r="A43" t="s">
        <v>17</v>
      </c>
      <c r="B43" t="s">
        <v>142</v>
      </c>
      <c r="C43" t="s">
        <v>72</v>
      </c>
      <c r="D43">
        <v>2</v>
      </c>
    </row>
    <row r="44" spans="1:8" x14ac:dyDescent="0.3">
      <c r="A44" t="s">
        <v>17</v>
      </c>
      <c r="B44" t="s">
        <v>142</v>
      </c>
      <c r="C44" t="s">
        <v>78</v>
      </c>
      <c r="D44">
        <v>1</v>
      </c>
    </row>
    <row r="45" spans="1:8" x14ac:dyDescent="0.3">
      <c r="A45" t="s">
        <v>17</v>
      </c>
      <c r="B45" t="s">
        <v>116</v>
      </c>
      <c r="C45" t="s">
        <v>79</v>
      </c>
      <c r="D45">
        <v>98</v>
      </c>
    </row>
    <row r="46" spans="1:8" x14ac:dyDescent="0.3">
      <c r="A46" t="s">
        <v>17</v>
      </c>
      <c r="B46" t="s">
        <v>77</v>
      </c>
      <c r="C46" t="s">
        <v>72</v>
      </c>
      <c r="D46">
        <v>1</v>
      </c>
    </row>
    <row r="47" spans="1:8" x14ac:dyDescent="0.3">
      <c r="A47" t="s">
        <v>17</v>
      </c>
      <c r="B47" t="s">
        <v>77</v>
      </c>
      <c r="C47" t="s">
        <v>77</v>
      </c>
      <c r="D47">
        <v>1</v>
      </c>
    </row>
    <row r="48" spans="1:8" x14ac:dyDescent="0.3">
      <c r="A48" t="s">
        <v>17</v>
      </c>
      <c r="B48" t="s">
        <v>116</v>
      </c>
      <c r="C48" t="s">
        <v>78</v>
      </c>
      <c r="D48">
        <v>12</v>
      </c>
    </row>
    <row r="49" spans="1:8" x14ac:dyDescent="0.3">
      <c r="A49" t="s">
        <v>17</v>
      </c>
      <c r="B49" t="s">
        <v>143</v>
      </c>
      <c r="C49" t="s">
        <v>79</v>
      </c>
      <c r="D49">
        <v>58</v>
      </c>
    </row>
    <row r="50" spans="1:8" x14ac:dyDescent="0.3">
      <c r="A50" s="16" t="s">
        <v>17</v>
      </c>
      <c r="B50" s="14"/>
      <c r="C50" s="14"/>
      <c r="D50" s="21">
        <f>(SUMIF(B39:B49,"PROCESSED",D39:D49) +SUMIF(B39:B49,"OFFRAMPED",D39:D49))</f>
        <v>19</v>
      </c>
      <c r="F50">
        <v>392</v>
      </c>
      <c r="G50" s="15">
        <f>SUMIF(B39:B49,"PROCESSED",D39:D49)/(SUMIF(B39:B49,"PROCESSED",D39:D49) +SUMIF(B39:B49,"OFFRAMPED",D39:D49))</f>
        <v>0.10526315789473684</v>
      </c>
      <c r="H50" s="35">
        <f>D50/F50</f>
        <v>4.8469387755102039E-2</v>
      </c>
    </row>
    <row r="51" spans="1:8" x14ac:dyDescent="0.3">
      <c r="A51" s="16" t="s">
        <v>19</v>
      </c>
      <c r="B51" s="14"/>
      <c r="C51" s="14"/>
      <c r="D51" s="21" t="e">
        <f>(SUMIF(#REF!,"PROCESSED",#REF!) +SUMIF(#REF!,"OFFRAMPED",#REF!))</f>
        <v>#REF!</v>
      </c>
      <c r="F51">
        <v>0</v>
      </c>
      <c r="G51" s="15" t="e">
        <f>SUMIF(#REF!,"PROCESSED",#REF!)/(SUMIF(#REF!,"PROCESSED",#REF!) +SUMIF(#REF!,"OFFRAMPED",#REF!))</f>
        <v>#REF!</v>
      </c>
      <c r="H51" s="36" t="e">
        <f>D51/F51</f>
        <v>#REF!</v>
      </c>
    </row>
    <row r="52" spans="1:8" x14ac:dyDescent="0.3">
      <c r="A52" t="s">
        <v>26</v>
      </c>
      <c r="B52" t="s">
        <v>143</v>
      </c>
      <c r="C52" t="s">
        <v>72</v>
      </c>
      <c r="D52">
        <v>2</v>
      </c>
    </row>
    <row r="53" spans="1:8" x14ac:dyDescent="0.3">
      <c r="A53" t="s">
        <v>26</v>
      </c>
      <c r="B53" t="s">
        <v>116</v>
      </c>
      <c r="C53" t="s">
        <v>72</v>
      </c>
      <c r="D53">
        <v>7</v>
      </c>
    </row>
    <row r="54" spans="1:8" x14ac:dyDescent="0.3">
      <c r="A54" t="s">
        <v>26</v>
      </c>
      <c r="B54" t="s">
        <v>143</v>
      </c>
      <c r="C54" t="s">
        <v>78</v>
      </c>
      <c r="D54">
        <v>9</v>
      </c>
    </row>
    <row r="55" spans="1:8" x14ac:dyDescent="0.3">
      <c r="A55" t="s">
        <v>26</v>
      </c>
      <c r="B55" t="s">
        <v>116</v>
      </c>
      <c r="C55" t="s">
        <v>79</v>
      </c>
      <c r="D55">
        <v>23</v>
      </c>
    </row>
    <row r="56" spans="1:8" x14ac:dyDescent="0.3">
      <c r="A56" t="s">
        <v>26</v>
      </c>
      <c r="B56" t="s">
        <v>143</v>
      </c>
      <c r="C56" t="s">
        <v>79</v>
      </c>
      <c r="D56">
        <v>4</v>
      </c>
    </row>
    <row r="57" spans="1:8" x14ac:dyDescent="0.3">
      <c r="A57" t="s">
        <v>26</v>
      </c>
      <c r="B57" t="s">
        <v>104</v>
      </c>
      <c r="C57" t="s">
        <v>72</v>
      </c>
      <c r="D57">
        <v>40</v>
      </c>
    </row>
    <row r="58" spans="1:8" x14ac:dyDescent="0.3">
      <c r="A58" s="16" t="s">
        <v>26</v>
      </c>
      <c r="B58" s="14"/>
      <c r="C58" s="14"/>
      <c r="D58" s="21">
        <f>(SUMIF(B52:B57,"PROCESSED",D52:D57) +SUMIF(B52:B57,"OFFRAMPED",D52:D57))</f>
        <v>40</v>
      </c>
      <c r="F58">
        <v>85</v>
      </c>
      <c r="G58" s="15">
        <f>SUMIF(B52:B57,"PROCESSED",D52:D57)/(SUMIF(B52:B57,"PROCESSED",D52:D57) +SUMIF(B52:B57,"OFFRAMPED",D52:D57))</f>
        <v>0</v>
      </c>
      <c r="H58" s="15">
        <f>D58/F58</f>
        <v>0.47058823529411764</v>
      </c>
    </row>
    <row r="59" spans="1:8" x14ac:dyDescent="0.3">
      <c r="A59" s="20" t="s">
        <v>30</v>
      </c>
      <c r="B59" s="20" t="s">
        <v>104</v>
      </c>
      <c r="C59" t="s">
        <v>72</v>
      </c>
      <c r="D59">
        <v>15</v>
      </c>
    </row>
    <row r="60" spans="1:8" x14ac:dyDescent="0.3">
      <c r="A60" s="20" t="s">
        <v>30</v>
      </c>
      <c r="B60" s="20" t="s">
        <v>77</v>
      </c>
      <c r="C60" t="s">
        <v>77</v>
      </c>
      <c r="D60">
        <v>7</v>
      </c>
    </row>
    <row r="61" spans="1:8" x14ac:dyDescent="0.3">
      <c r="A61" s="20" t="s">
        <v>30</v>
      </c>
      <c r="B61" s="20" t="s">
        <v>142</v>
      </c>
      <c r="C61" t="s">
        <v>72</v>
      </c>
      <c r="D61">
        <v>1</v>
      </c>
    </row>
    <row r="62" spans="1:8" x14ac:dyDescent="0.3">
      <c r="A62" s="22" t="s">
        <v>30</v>
      </c>
      <c r="B62" s="14"/>
      <c r="C62" s="14"/>
      <c r="D62" s="21">
        <f>(SUMIF(B59:B61,"PROCESSED",D59:D61) +SUMIF(B59:B61,"OFFRAMPED",D59:D61))</f>
        <v>22</v>
      </c>
      <c r="F62">
        <v>23</v>
      </c>
      <c r="G62" s="15">
        <f>SUMIF(B59:B61,"PROCESSED",D59:D61)/(SUMIF(B59:B61,"PROCESSED",D59:D61) +SUMIF(B59:B61,"OFFRAMPED",D59:D61))</f>
        <v>0.31818181818181818</v>
      </c>
      <c r="H62" s="15">
        <f>D62/F62</f>
        <v>0.95652173913043481</v>
      </c>
    </row>
    <row r="63" spans="1:8" x14ac:dyDescent="0.3">
      <c r="A63" s="20" t="s">
        <v>31</v>
      </c>
      <c r="B63" s="20" t="s">
        <v>143</v>
      </c>
      <c r="C63" t="s">
        <v>79</v>
      </c>
      <c r="D63">
        <v>2</v>
      </c>
    </row>
    <row r="64" spans="1:8" x14ac:dyDescent="0.3">
      <c r="A64" s="20" t="s">
        <v>31</v>
      </c>
      <c r="B64" s="20" t="s">
        <v>142</v>
      </c>
      <c r="C64" t="s">
        <v>72</v>
      </c>
      <c r="D64">
        <v>1</v>
      </c>
    </row>
    <row r="65" spans="1:8" x14ac:dyDescent="0.3">
      <c r="A65" s="20" t="s">
        <v>31</v>
      </c>
      <c r="B65" s="20" t="s">
        <v>143</v>
      </c>
      <c r="C65" t="s">
        <v>72</v>
      </c>
      <c r="D65">
        <v>1</v>
      </c>
    </row>
    <row r="66" spans="1:8" x14ac:dyDescent="0.3">
      <c r="A66" s="22" t="s">
        <v>31</v>
      </c>
      <c r="B66" s="14"/>
      <c r="C66" s="14"/>
      <c r="D66" s="21">
        <f>(SUMIF(B63:B65,"PROCESSED",D63:D65) +SUMIF(B63:B65,"OFFRAMPED",D63:D65))</f>
        <v>0</v>
      </c>
      <c r="F66">
        <v>4</v>
      </c>
      <c r="G66" s="15" t="e">
        <f>SUMIF(B63:B65,"PROCESSED",D63:D65)/(SUMIF(B63:B65,"PROCESSED",D63:D65) +SUMIF(B63:B65,"OFFRAMPED",D63:D65))</f>
        <v>#DIV/0!</v>
      </c>
      <c r="H66" s="15">
        <f>D66/F66</f>
        <v>0</v>
      </c>
    </row>
  </sheetData>
  <phoneticPr fontId="9" type="noConversion"/>
  <conditionalFormatting sqref="H58">
    <cfRule type="cellIs" dxfId="12" priority="20" operator="greaterThan">
      <formula>1</formula>
    </cfRule>
  </conditionalFormatting>
  <conditionalFormatting sqref="H66">
    <cfRule type="cellIs" dxfId="11" priority="19" operator="greaterThan">
      <formula>1</formula>
    </cfRule>
  </conditionalFormatting>
  <conditionalFormatting sqref="H10 H50:H51">
    <cfRule type="cellIs" dxfId="10" priority="21" operator="greaterThan">
      <formula>1</formula>
    </cfRule>
  </conditionalFormatting>
  <conditionalFormatting sqref="H62">
    <cfRule type="cellIs" dxfId="9" priority="18" operator="greaterThan">
      <formula>1</formula>
    </cfRule>
  </conditionalFormatting>
  <conditionalFormatting sqref="G10">
    <cfRule type="cellIs" dxfId="8" priority="17" operator="lessThan">
      <formula>0.41</formula>
    </cfRule>
  </conditionalFormatting>
  <conditionalFormatting sqref="G20">
    <cfRule type="cellIs" dxfId="7" priority="8" operator="lessThan">
      <formula>0.14</formula>
    </cfRule>
  </conditionalFormatting>
  <conditionalFormatting sqref="G29">
    <cfRule type="cellIs" dxfId="6" priority="7" operator="lessThan">
      <formula>0.18</formula>
    </cfRule>
  </conditionalFormatting>
  <conditionalFormatting sqref="G38">
    <cfRule type="cellIs" dxfId="5" priority="6" operator="lessThan">
      <formula>0.3</formula>
    </cfRule>
  </conditionalFormatting>
  <conditionalFormatting sqref="G50">
    <cfRule type="cellIs" dxfId="4" priority="5" operator="lessThan">
      <formula>0.41</formula>
    </cfRule>
  </conditionalFormatting>
  <conditionalFormatting sqref="G51">
    <cfRule type="cellIs" dxfId="3" priority="4" operator="lessThan">
      <formula>0.47</formula>
    </cfRule>
  </conditionalFormatting>
  <conditionalFormatting sqref="G58">
    <cfRule type="cellIs" dxfId="2" priority="3" operator="lessThan">
      <formula>0.06</formula>
    </cfRule>
  </conditionalFormatting>
  <conditionalFormatting sqref="G62">
    <cfRule type="cellIs" dxfId="1" priority="2" operator="lessThan">
      <formula>0.54</formula>
    </cfRule>
  </conditionalFormatting>
  <conditionalFormatting sqref="G66">
    <cfRule type="cellIs" dxfId="0" priority="1" operator="lessThan">
      <formula>0.36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463"/>
  <sheetViews>
    <sheetView zoomScale="80" zoomScaleNormal="80" workbookViewId="0"/>
  </sheetViews>
  <sheetFormatPr defaultRowHeight="14.4" x14ac:dyDescent="0.3"/>
  <cols>
    <col min="1" max="1" width="16" customWidth="1"/>
    <col min="2" max="2" width="21.5546875" bestFit="1" customWidth="1"/>
    <col min="3" max="3" width="10" customWidth="1"/>
    <col min="4" max="4" width="16.77734375" bestFit="1" customWidth="1"/>
    <col min="5" max="5" width="15.5546875" bestFit="1" customWidth="1"/>
    <col min="6" max="6" width="13.77734375" bestFit="1" customWidth="1"/>
    <col min="7" max="7" width="29.6640625" customWidth="1"/>
    <col min="8" max="8" width="24" customWidth="1"/>
    <col min="9" max="9" width="18.33203125" bestFit="1" customWidth="1"/>
    <col min="10" max="10" width="12.21875" bestFit="1" customWidth="1"/>
    <col min="11" max="11" width="11.88671875" bestFit="1" customWidth="1"/>
    <col min="12" max="12" width="17.6640625" bestFit="1" customWidth="1"/>
    <col min="15" max="15" width="13.88671875" bestFit="1" customWidth="1"/>
    <col min="16" max="16" width="9.44140625" bestFit="1" customWidth="1"/>
    <col min="17" max="17" width="18.6640625" bestFit="1" customWidth="1"/>
    <col min="18" max="18" width="25.77734375" bestFit="1" customWidth="1"/>
  </cols>
  <sheetData>
    <row r="1" spans="1:18" x14ac:dyDescent="0.3">
      <c r="A1" s="13" t="s">
        <v>45</v>
      </c>
      <c r="B1" s="13" t="s">
        <v>1</v>
      </c>
      <c r="C1" s="13" t="s">
        <v>10</v>
      </c>
      <c r="D1" s="13" t="s">
        <v>11</v>
      </c>
      <c r="E1" s="13" t="s">
        <v>46</v>
      </c>
      <c r="F1" s="13" t="s">
        <v>47</v>
      </c>
      <c r="G1" s="13" t="s">
        <v>48</v>
      </c>
      <c r="H1" s="13" t="s">
        <v>49</v>
      </c>
      <c r="I1" s="13" t="s">
        <v>50</v>
      </c>
      <c r="J1" s="13" t="s">
        <v>42</v>
      </c>
      <c r="K1" s="13" t="s">
        <v>43</v>
      </c>
      <c r="L1" s="13" t="s">
        <v>51</v>
      </c>
      <c r="M1" s="13" t="s">
        <v>52</v>
      </c>
      <c r="N1" s="13" t="s">
        <v>53</v>
      </c>
      <c r="O1" s="13" t="s">
        <v>54</v>
      </c>
      <c r="P1" s="13" t="s">
        <v>13</v>
      </c>
      <c r="Q1" s="13" t="s">
        <v>55</v>
      </c>
      <c r="R1" s="13" t="s">
        <v>56</v>
      </c>
    </row>
    <row r="2" spans="1:18" x14ac:dyDescent="0.3">
      <c r="A2">
        <v>9678917</v>
      </c>
      <c r="B2" t="s">
        <v>72</v>
      </c>
      <c r="C2">
        <v>1321118</v>
      </c>
      <c r="D2" t="s">
        <v>104</v>
      </c>
      <c r="E2" t="s">
        <v>58</v>
      </c>
      <c r="F2" t="s">
        <v>58</v>
      </c>
      <c r="G2" t="s">
        <v>110</v>
      </c>
      <c r="H2" t="s">
        <v>161</v>
      </c>
      <c r="I2" t="s">
        <v>83</v>
      </c>
      <c r="J2" t="s">
        <v>84</v>
      </c>
      <c r="K2" t="s">
        <v>86</v>
      </c>
      <c r="L2" s="25">
        <v>44031</v>
      </c>
      <c r="M2">
        <v>7</v>
      </c>
      <c r="N2">
        <v>2020</v>
      </c>
      <c r="O2" t="s">
        <v>106</v>
      </c>
      <c r="P2">
        <v>170</v>
      </c>
      <c r="Q2" s="17">
        <v>44032.456101157404</v>
      </c>
      <c r="R2" t="s">
        <v>107</v>
      </c>
    </row>
    <row r="3" spans="1:18" x14ac:dyDescent="0.3">
      <c r="A3">
        <v>241825</v>
      </c>
      <c r="B3" t="s">
        <v>72</v>
      </c>
      <c r="C3">
        <v>1321671</v>
      </c>
      <c r="D3" t="s">
        <v>104</v>
      </c>
      <c r="E3" t="s">
        <v>57</v>
      </c>
      <c r="F3" t="s">
        <v>57</v>
      </c>
      <c r="G3" t="s">
        <v>105</v>
      </c>
      <c r="H3" t="s">
        <v>161</v>
      </c>
      <c r="I3" t="s">
        <v>83</v>
      </c>
      <c r="J3" t="s">
        <v>84</v>
      </c>
      <c r="K3" t="s">
        <v>86</v>
      </c>
      <c r="L3" s="25">
        <v>44031</v>
      </c>
      <c r="M3">
        <v>7</v>
      </c>
      <c r="N3">
        <v>2020</v>
      </c>
      <c r="O3" t="s">
        <v>106</v>
      </c>
      <c r="P3">
        <v>170</v>
      </c>
      <c r="Q3" s="17">
        <v>44032.455977083337</v>
      </c>
      <c r="R3" t="s">
        <v>107</v>
      </c>
    </row>
    <row r="4" spans="1:18" x14ac:dyDescent="0.3">
      <c r="A4">
        <v>9690931</v>
      </c>
      <c r="B4" t="s">
        <v>72</v>
      </c>
      <c r="C4">
        <v>1331546</v>
      </c>
      <c r="D4" t="s">
        <v>104</v>
      </c>
      <c r="E4" t="s">
        <v>58</v>
      </c>
      <c r="F4" t="s">
        <v>58</v>
      </c>
      <c r="G4" t="s">
        <v>110</v>
      </c>
      <c r="H4" t="s">
        <v>161</v>
      </c>
      <c r="I4" t="s">
        <v>83</v>
      </c>
      <c r="J4" t="s">
        <v>84</v>
      </c>
      <c r="K4" t="s">
        <v>86</v>
      </c>
      <c r="L4" s="25">
        <v>44031</v>
      </c>
      <c r="M4">
        <v>7</v>
      </c>
      <c r="N4">
        <v>2020</v>
      </c>
      <c r="O4" t="s">
        <v>106</v>
      </c>
      <c r="P4">
        <v>170</v>
      </c>
      <c r="Q4" s="17">
        <v>44032.424889930553</v>
      </c>
      <c r="R4" t="s">
        <v>107</v>
      </c>
    </row>
    <row r="5" spans="1:18" x14ac:dyDescent="0.3">
      <c r="A5">
        <v>9689267</v>
      </c>
      <c r="B5" t="s">
        <v>72</v>
      </c>
      <c r="C5">
        <v>1331716</v>
      </c>
      <c r="D5" t="s">
        <v>104</v>
      </c>
      <c r="E5" t="s">
        <v>58</v>
      </c>
      <c r="F5" t="s">
        <v>58</v>
      </c>
      <c r="G5" t="s">
        <v>110</v>
      </c>
      <c r="H5" t="s">
        <v>161</v>
      </c>
      <c r="I5" t="s">
        <v>83</v>
      </c>
      <c r="J5" t="s">
        <v>84</v>
      </c>
      <c r="K5" t="s">
        <v>86</v>
      </c>
      <c r="L5" s="25">
        <v>44031</v>
      </c>
      <c r="M5">
        <v>7</v>
      </c>
      <c r="N5">
        <v>2020</v>
      </c>
      <c r="O5" t="s">
        <v>106</v>
      </c>
      <c r="P5">
        <v>170</v>
      </c>
      <c r="Q5" s="17">
        <v>44032.434714814815</v>
      </c>
      <c r="R5" t="s">
        <v>107</v>
      </c>
    </row>
    <row r="6" spans="1:18" x14ac:dyDescent="0.3">
      <c r="A6">
        <v>9690899</v>
      </c>
      <c r="B6" t="s">
        <v>72</v>
      </c>
      <c r="C6">
        <v>1331763</v>
      </c>
      <c r="D6" t="s">
        <v>104</v>
      </c>
      <c r="E6" t="s">
        <v>57</v>
      </c>
      <c r="F6" t="s">
        <v>57</v>
      </c>
      <c r="G6" t="s">
        <v>105</v>
      </c>
      <c r="H6" t="s">
        <v>161</v>
      </c>
      <c r="I6" t="s">
        <v>83</v>
      </c>
      <c r="J6" t="s">
        <v>84</v>
      </c>
      <c r="K6" t="s">
        <v>86</v>
      </c>
      <c r="L6" s="25">
        <v>44031</v>
      </c>
      <c r="M6">
        <v>7</v>
      </c>
      <c r="N6">
        <v>2020</v>
      </c>
      <c r="O6" t="s">
        <v>106</v>
      </c>
      <c r="P6">
        <v>170</v>
      </c>
      <c r="Q6" s="17">
        <v>44032.434728587963</v>
      </c>
      <c r="R6" t="s">
        <v>107</v>
      </c>
    </row>
    <row r="7" spans="1:18" x14ac:dyDescent="0.3">
      <c r="A7">
        <v>9690192</v>
      </c>
      <c r="B7" t="s">
        <v>72</v>
      </c>
      <c r="C7">
        <v>1332882</v>
      </c>
      <c r="D7" t="s">
        <v>104</v>
      </c>
      <c r="E7" t="s">
        <v>57</v>
      </c>
      <c r="F7" t="s">
        <v>57</v>
      </c>
      <c r="G7" t="s">
        <v>105</v>
      </c>
      <c r="H7" t="s">
        <v>161</v>
      </c>
      <c r="I7" t="s">
        <v>83</v>
      </c>
      <c r="J7" t="s">
        <v>84</v>
      </c>
      <c r="K7" t="s">
        <v>86</v>
      </c>
      <c r="L7" s="25">
        <v>44031</v>
      </c>
      <c r="M7">
        <v>7</v>
      </c>
      <c r="N7">
        <v>2020</v>
      </c>
      <c r="O7" t="s">
        <v>106</v>
      </c>
      <c r="P7">
        <v>170</v>
      </c>
      <c r="Q7" s="17">
        <v>44032.440080439817</v>
      </c>
      <c r="R7" t="s">
        <v>107</v>
      </c>
    </row>
    <row r="8" spans="1:18" x14ac:dyDescent="0.3">
      <c r="A8">
        <v>21526450</v>
      </c>
      <c r="B8" t="s">
        <v>72</v>
      </c>
      <c r="C8">
        <v>1323607</v>
      </c>
      <c r="D8" t="s">
        <v>104</v>
      </c>
      <c r="E8" t="s">
        <v>26</v>
      </c>
      <c r="F8" t="s">
        <v>26</v>
      </c>
      <c r="G8" t="s">
        <v>126</v>
      </c>
      <c r="H8" t="s">
        <v>157</v>
      </c>
      <c r="I8" t="s">
        <v>83</v>
      </c>
      <c r="J8" t="s">
        <v>84</v>
      </c>
      <c r="K8" t="s">
        <v>82</v>
      </c>
      <c r="L8" s="25">
        <v>44031</v>
      </c>
      <c r="M8">
        <v>7</v>
      </c>
      <c r="N8">
        <v>2020</v>
      </c>
      <c r="O8" t="s">
        <v>106</v>
      </c>
      <c r="P8">
        <v>170</v>
      </c>
      <c r="Q8" s="17">
        <v>44032.080383680557</v>
      </c>
      <c r="R8" t="s">
        <v>120</v>
      </c>
    </row>
    <row r="9" spans="1:18" x14ac:dyDescent="0.3">
      <c r="A9">
        <v>237842</v>
      </c>
      <c r="B9" t="s">
        <v>72</v>
      </c>
      <c r="C9">
        <v>1335005</v>
      </c>
      <c r="D9" t="s">
        <v>104</v>
      </c>
      <c r="E9" t="s">
        <v>12</v>
      </c>
      <c r="F9" t="s">
        <v>12</v>
      </c>
      <c r="G9" t="s">
        <v>124</v>
      </c>
      <c r="H9" t="s">
        <v>163</v>
      </c>
      <c r="I9" t="s">
        <v>83</v>
      </c>
      <c r="J9" t="s">
        <v>84</v>
      </c>
      <c r="K9" t="s">
        <v>82</v>
      </c>
      <c r="L9" s="25">
        <v>44031</v>
      </c>
      <c r="M9">
        <v>7</v>
      </c>
      <c r="N9">
        <v>2020</v>
      </c>
      <c r="O9" t="s">
        <v>106</v>
      </c>
      <c r="P9">
        <v>170</v>
      </c>
      <c r="Q9" s="17">
        <v>44032.081163541669</v>
      </c>
      <c r="R9" t="s">
        <v>120</v>
      </c>
    </row>
    <row r="10" spans="1:18" x14ac:dyDescent="0.3">
      <c r="A10">
        <v>21534634</v>
      </c>
      <c r="B10" t="s">
        <v>78</v>
      </c>
      <c r="C10">
        <v>1335626</v>
      </c>
      <c r="D10" t="s">
        <v>112</v>
      </c>
      <c r="E10" t="s">
        <v>12</v>
      </c>
      <c r="F10" t="s">
        <v>12</v>
      </c>
      <c r="G10" t="s">
        <v>124</v>
      </c>
      <c r="H10" t="s">
        <v>156</v>
      </c>
      <c r="I10" t="s">
        <v>81</v>
      </c>
      <c r="J10" t="s">
        <v>42</v>
      </c>
      <c r="K10" t="s">
        <v>82</v>
      </c>
      <c r="L10" s="25">
        <v>44031</v>
      </c>
      <c r="M10">
        <v>7</v>
      </c>
      <c r="N10">
        <v>2020</v>
      </c>
      <c r="O10" t="s">
        <v>106</v>
      </c>
      <c r="P10">
        <v>170</v>
      </c>
      <c r="Q10" s="17">
        <v>44032.084583101852</v>
      </c>
      <c r="R10" t="s">
        <v>120</v>
      </c>
    </row>
    <row r="11" spans="1:18" x14ac:dyDescent="0.3">
      <c r="A11">
        <v>242088</v>
      </c>
      <c r="B11" t="s">
        <v>79</v>
      </c>
      <c r="C11">
        <v>1323424</v>
      </c>
      <c r="D11" t="s">
        <v>116</v>
      </c>
      <c r="E11" t="s">
        <v>26</v>
      </c>
      <c r="F11" t="s">
        <v>26</v>
      </c>
      <c r="G11" t="s">
        <v>126</v>
      </c>
      <c r="H11" t="s">
        <v>163</v>
      </c>
      <c r="I11" t="s">
        <v>83</v>
      </c>
      <c r="J11" t="s">
        <v>84</v>
      </c>
      <c r="K11" t="s">
        <v>82</v>
      </c>
      <c r="L11" s="25">
        <v>44031</v>
      </c>
      <c r="M11">
        <v>7</v>
      </c>
      <c r="N11">
        <v>2020</v>
      </c>
      <c r="O11" t="s">
        <v>106</v>
      </c>
      <c r="P11">
        <v>170</v>
      </c>
      <c r="Q11" s="17">
        <v>44029.828561458336</v>
      </c>
      <c r="R11" t="s">
        <v>120</v>
      </c>
    </row>
    <row r="12" spans="1:18" x14ac:dyDescent="0.3">
      <c r="A12">
        <v>9687086</v>
      </c>
      <c r="B12" t="s">
        <v>79</v>
      </c>
      <c r="C12">
        <v>1330325</v>
      </c>
      <c r="D12" t="s">
        <v>109</v>
      </c>
      <c r="E12" t="s">
        <v>130</v>
      </c>
      <c r="F12" t="s">
        <v>17</v>
      </c>
      <c r="G12" t="s">
        <v>133</v>
      </c>
      <c r="H12" t="s">
        <v>148</v>
      </c>
      <c r="I12" t="s">
        <v>83</v>
      </c>
      <c r="J12" t="s">
        <v>84</v>
      </c>
      <c r="K12" t="s">
        <v>86</v>
      </c>
      <c r="L12" s="25">
        <v>44031</v>
      </c>
      <c r="M12">
        <v>7</v>
      </c>
      <c r="N12">
        <v>2020</v>
      </c>
      <c r="O12" t="s">
        <v>106</v>
      </c>
      <c r="P12">
        <v>170</v>
      </c>
      <c r="Q12" s="17">
        <v>44032.139529282409</v>
      </c>
      <c r="R12" t="s">
        <v>120</v>
      </c>
    </row>
    <row r="13" spans="1:18" x14ac:dyDescent="0.3">
      <c r="A13">
        <v>21527011</v>
      </c>
      <c r="B13" t="s">
        <v>79</v>
      </c>
      <c r="C13">
        <v>1323309</v>
      </c>
      <c r="D13" t="s">
        <v>116</v>
      </c>
      <c r="E13" t="s">
        <v>26</v>
      </c>
      <c r="F13" t="s">
        <v>26</v>
      </c>
      <c r="G13" t="s">
        <v>126</v>
      </c>
      <c r="H13" t="s">
        <v>159</v>
      </c>
      <c r="I13" t="s">
        <v>83</v>
      </c>
      <c r="J13" t="s">
        <v>84</v>
      </c>
      <c r="K13" t="s">
        <v>82</v>
      </c>
      <c r="L13" s="25">
        <v>44031</v>
      </c>
      <c r="M13">
        <v>7</v>
      </c>
      <c r="N13">
        <v>2020</v>
      </c>
      <c r="O13" t="s">
        <v>106</v>
      </c>
      <c r="P13">
        <v>170</v>
      </c>
      <c r="Q13" s="17">
        <v>44029.824742592595</v>
      </c>
      <c r="R13" t="s">
        <v>120</v>
      </c>
    </row>
    <row r="14" spans="1:18" x14ac:dyDescent="0.3">
      <c r="A14">
        <v>242065</v>
      </c>
      <c r="B14" t="s">
        <v>79</v>
      </c>
      <c r="C14">
        <v>1323641</v>
      </c>
      <c r="D14" t="s">
        <v>116</v>
      </c>
      <c r="E14" t="s">
        <v>26</v>
      </c>
      <c r="F14" t="s">
        <v>26</v>
      </c>
      <c r="G14" t="s">
        <v>126</v>
      </c>
      <c r="H14" t="s">
        <v>163</v>
      </c>
      <c r="I14" t="s">
        <v>83</v>
      </c>
      <c r="J14" t="s">
        <v>84</v>
      </c>
      <c r="K14" t="s">
        <v>82</v>
      </c>
      <c r="L14" s="25">
        <v>44031</v>
      </c>
      <c r="M14">
        <v>7</v>
      </c>
      <c r="N14">
        <v>2020</v>
      </c>
      <c r="O14" t="s">
        <v>106</v>
      </c>
      <c r="P14">
        <v>170</v>
      </c>
      <c r="Q14" s="17">
        <v>44029.831653703703</v>
      </c>
      <c r="R14" t="s">
        <v>120</v>
      </c>
    </row>
    <row r="15" spans="1:18" x14ac:dyDescent="0.3">
      <c r="A15">
        <v>9666418</v>
      </c>
      <c r="B15" t="s">
        <v>79</v>
      </c>
      <c r="C15">
        <v>1327185</v>
      </c>
      <c r="D15" t="s">
        <v>116</v>
      </c>
      <c r="E15" t="s">
        <v>26</v>
      </c>
      <c r="F15" t="s">
        <v>26</v>
      </c>
      <c r="G15" t="s">
        <v>126</v>
      </c>
      <c r="H15" t="s">
        <v>163</v>
      </c>
      <c r="I15" t="s">
        <v>83</v>
      </c>
      <c r="J15" t="s">
        <v>84</v>
      </c>
      <c r="K15" t="s">
        <v>82</v>
      </c>
      <c r="L15" s="25">
        <v>44031</v>
      </c>
      <c r="M15">
        <v>7</v>
      </c>
      <c r="N15">
        <v>2020</v>
      </c>
      <c r="O15" t="s">
        <v>106</v>
      </c>
      <c r="P15">
        <v>170</v>
      </c>
      <c r="Q15" s="17">
        <v>44029.956113541666</v>
      </c>
      <c r="R15" t="s">
        <v>120</v>
      </c>
    </row>
    <row r="16" spans="1:18" x14ac:dyDescent="0.3">
      <c r="A16">
        <v>245749</v>
      </c>
      <c r="B16" t="s">
        <v>78</v>
      </c>
      <c r="C16">
        <v>1336877</v>
      </c>
      <c r="D16" t="s">
        <v>116</v>
      </c>
      <c r="E16" t="s">
        <v>12</v>
      </c>
      <c r="F16" t="s">
        <v>12</v>
      </c>
      <c r="G16" t="s">
        <v>124</v>
      </c>
      <c r="H16" t="s">
        <v>168</v>
      </c>
      <c r="I16" t="s">
        <v>83</v>
      </c>
      <c r="J16" t="s">
        <v>84</v>
      </c>
      <c r="K16" t="s">
        <v>82</v>
      </c>
      <c r="L16" s="25">
        <v>44031</v>
      </c>
      <c r="M16">
        <v>7</v>
      </c>
      <c r="N16">
        <v>2020</v>
      </c>
      <c r="O16" t="s">
        <v>106</v>
      </c>
      <c r="P16">
        <v>171</v>
      </c>
      <c r="Q16" s="17">
        <v>44032.074967824075</v>
      </c>
      <c r="R16" t="s">
        <v>120</v>
      </c>
    </row>
    <row r="17" spans="1:18" x14ac:dyDescent="0.3">
      <c r="A17">
        <v>241490</v>
      </c>
      <c r="B17" t="s">
        <v>79</v>
      </c>
      <c r="C17">
        <v>1323109</v>
      </c>
      <c r="D17" t="s">
        <v>116</v>
      </c>
      <c r="E17" t="s">
        <v>26</v>
      </c>
      <c r="F17" t="s">
        <v>26</v>
      </c>
      <c r="G17" t="s">
        <v>126</v>
      </c>
      <c r="H17" t="s">
        <v>163</v>
      </c>
      <c r="I17" t="s">
        <v>83</v>
      </c>
      <c r="J17" t="s">
        <v>84</v>
      </c>
      <c r="K17" t="s">
        <v>82</v>
      </c>
      <c r="L17" s="25">
        <v>44031</v>
      </c>
      <c r="M17">
        <v>7</v>
      </c>
      <c r="N17">
        <v>2020</v>
      </c>
      <c r="O17" t="s">
        <v>106</v>
      </c>
      <c r="P17">
        <v>170</v>
      </c>
      <c r="Q17" s="17">
        <v>44029.820723958335</v>
      </c>
      <c r="R17" t="s">
        <v>120</v>
      </c>
    </row>
    <row r="18" spans="1:18" x14ac:dyDescent="0.3">
      <c r="A18">
        <v>9687182</v>
      </c>
      <c r="B18" t="s">
        <v>79</v>
      </c>
      <c r="C18">
        <v>1330342</v>
      </c>
      <c r="D18" t="s">
        <v>109</v>
      </c>
      <c r="E18" t="s">
        <v>130</v>
      </c>
      <c r="F18" t="s">
        <v>17</v>
      </c>
      <c r="G18" t="s">
        <v>133</v>
      </c>
      <c r="H18" t="s">
        <v>148</v>
      </c>
      <c r="I18" t="s">
        <v>83</v>
      </c>
      <c r="J18" t="s">
        <v>84</v>
      </c>
      <c r="K18" t="s">
        <v>86</v>
      </c>
      <c r="L18" s="25">
        <v>44031</v>
      </c>
      <c r="M18">
        <v>7</v>
      </c>
      <c r="N18">
        <v>2020</v>
      </c>
      <c r="O18" t="s">
        <v>106</v>
      </c>
      <c r="P18">
        <v>170</v>
      </c>
      <c r="Q18" s="17">
        <v>44032.143098611108</v>
      </c>
      <c r="R18" t="s">
        <v>120</v>
      </c>
    </row>
    <row r="19" spans="1:18" x14ac:dyDescent="0.3">
      <c r="A19">
        <v>21532756</v>
      </c>
      <c r="B19" t="s">
        <v>77</v>
      </c>
      <c r="C19">
        <v>1332967</v>
      </c>
      <c r="D19" t="s">
        <v>77</v>
      </c>
      <c r="E19" t="s">
        <v>12</v>
      </c>
      <c r="F19" t="s">
        <v>12</v>
      </c>
      <c r="G19" t="s">
        <v>124</v>
      </c>
      <c r="H19" t="s">
        <v>150</v>
      </c>
      <c r="I19" t="s">
        <v>77</v>
      </c>
      <c r="J19" t="s">
        <v>42</v>
      </c>
      <c r="K19" t="s">
        <v>82</v>
      </c>
      <c r="L19" s="25">
        <v>44031</v>
      </c>
      <c r="M19">
        <v>7</v>
      </c>
      <c r="N19">
        <v>2020</v>
      </c>
      <c r="O19" t="s">
        <v>106</v>
      </c>
      <c r="P19">
        <v>170</v>
      </c>
      <c r="Q19" s="17">
        <v>44032.081847222224</v>
      </c>
      <c r="R19" t="s">
        <v>120</v>
      </c>
    </row>
    <row r="20" spans="1:18" x14ac:dyDescent="0.3">
      <c r="A20">
        <v>21527450</v>
      </c>
      <c r="B20" t="s">
        <v>79</v>
      </c>
      <c r="C20">
        <v>1323292</v>
      </c>
      <c r="D20" t="s">
        <v>116</v>
      </c>
      <c r="E20" t="s">
        <v>26</v>
      </c>
      <c r="F20" t="s">
        <v>26</v>
      </c>
      <c r="G20" t="s">
        <v>126</v>
      </c>
      <c r="H20" t="s">
        <v>163</v>
      </c>
      <c r="I20" t="s">
        <v>83</v>
      </c>
      <c r="J20" t="s">
        <v>84</v>
      </c>
      <c r="K20" t="s">
        <v>82</v>
      </c>
      <c r="L20" s="25">
        <v>44031</v>
      </c>
      <c r="M20">
        <v>7</v>
      </c>
      <c r="N20">
        <v>2020</v>
      </c>
      <c r="O20" t="s">
        <v>106</v>
      </c>
      <c r="P20">
        <v>170</v>
      </c>
      <c r="Q20" s="17">
        <v>44029.824742592595</v>
      </c>
      <c r="R20" t="s">
        <v>120</v>
      </c>
    </row>
    <row r="21" spans="1:18" x14ac:dyDescent="0.3">
      <c r="A21">
        <v>9678917</v>
      </c>
      <c r="B21" t="s">
        <v>72</v>
      </c>
      <c r="C21">
        <v>1321114</v>
      </c>
      <c r="D21" t="s">
        <v>104</v>
      </c>
      <c r="E21" t="s">
        <v>58</v>
      </c>
      <c r="F21" t="s">
        <v>58</v>
      </c>
      <c r="G21" t="s">
        <v>110</v>
      </c>
      <c r="H21" t="s">
        <v>161</v>
      </c>
      <c r="I21" t="s">
        <v>83</v>
      </c>
      <c r="J21" t="s">
        <v>84</v>
      </c>
      <c r="K21" t="s">
        <v>86</v>
      </c>
      <c r="L21" s="25">
        <v>44031</v>
      </c>
      <c r="M21">
        <v>7</v>
      </c>
      <c r="N21">
        <v>2020</v>
      </c>
      <c r="O21" t="s">
        <v>106</v>
      </c>
      <c r="P21">
        <v>170</v>
      </c>
      <c r="Q21" s="17">
        <v>44032.445914351854</v>
      </c>
      <c r="R21" t="s">
        <v>107</v>
      </c>
    </row>
    <row r="22" spans="1:18" x14ac:dyDescent="0.3">
      <c r="A22">
        <v>9689985</v>
      </c>
      <c r="B22" t="s">
        <v>72</v>
      </c>
      <c r="C22">
        <v>1331576</v>
      </c>
      <c r="D22" t="s">
        <v>104</v>
      </c>
      <c r="E22" t="s">
        <v>58</v>
      </c>
      <c r="F22" t="s">
        <v>58</v>
      </c>
      <c r="G22" t="s">
        <v>110</v>
      </c>
      <c r="H22" t="s">
        <v>161</v>
      </c>
      <c r="I22" t="s">
        <v>83</v>
      </c>
      <c r="J22" t="s">
        <v>84</v>
      </c>
      <c r="K22" t="s">
        <v>86</v>
      </c>
      <c r="L22" s="25">
        <v>44031</v>
      </c>
      <c r="M22">
        <v>7</v>
      </c>
      <c r="N22">
        <v>2020</v>
      </c>
      <c r="O22" t="s">
        <v>106</v>
      </c>
      <c r="P22">
        <v>170</v>
      </c>
      <c r="Q22" s="17">
        <v>44032.425616898145</v>
      </c>
      <c r="R22" t="s">
        <v>111</v>
      </c>
    </row>
    <row r="23" spans="1:18" x14ac:dyDescent="0.3">
      <c r="A23">
        <v>9691388</v>
      </c>
      <c r="B23" t="s">
        <v>72</v>
      </c>
      <c r="C23">
        <v>1331601</v>
      </c>
      <c r="D23" t="s">
        <v>104</v>
      </c>
      <c r="E23" t="s">
        <v>58</v>
      </c>
      <c r="F23" t="s">
        <v>58</v>
      </c>
      <c r="G23" t="s">
        <v>110</v>
      </c>
      <c r="H23" t="s">
        <v>161</v>
      </c>
      <c r="I23" t="s">
        <v>83</v>
      </c>
      <c r="J23" t="s">
        <v>84</v>
      </c>
      <c r="K23" t="s">
        <v>86</v>
      </c>
      <c r="L23" s="25">
        <v>44031</v>
      </c>
      <c r="M23">
        <v>7</v>
      </c>
      <c r="N23">
        <v>2020</v>
      </c>
      <c r="O23" t="s">
        <v>106</v>
      </c>
      <c r="P23">
        <v>170</v>
      </c>
      <c r="Q23" s="17">
        <v>44032.426832523146</v>
      </c>
      <c r="R23" t="s">
        <v>107</v>
      </c>
    </row>
    <row r="24" spans="1:18" x14ac:dyDescent="0.3">
      <c r="A24">
        <v>9689244</v>
      </c>
      <c r="B24" t="s">
        <v>72</v>
      </c>
      <c r="C24">
        <v>1331878</v>
      </c>
      <c r="D24" t="s">
        <v>104</v>
      </c>
      <c r="E24" t="s">
        <v>57</v>
      </c>
      <c r="F24" t="s">
        <v>57</v>
      </c>
      <c r="G24" t="s">
        <v>105</v>
      </c>
      <c r="H24" t="s">
        <v>161</v>
      </c>
      <c r="I24" t="s">
        <v>83</v>
      </c>
      <c r="J24" t="s">
        <v>84</v>
      </c>
      <c r="K24" t="s">
        <v>86</v>
      </c>
      <c r="L24" s="25">
        <v>44031</v>
      </c>
      <c r="M24">
        <v>7</v>
      </c>
      <c r="N24">
        <v>2020</v>
      </c>
      <c r="O24" t="s">
        <v>106</v>
      </c>
      <c r="P24">
        <v>170</v>
      </c>
      <c r="Q24" s="17">
        <v>44032.431394675928</v>
      </c>
      <c r="R24" t="s">
        <v>107</v>
      </c>
    </row>
    <row r="25" spans="1:18" x14ac:dyDescent="0.3">
      <c r="A25">
        <v>21532322</v>
      </c>
      <c r="B25" t="s">
        <v>79</v>
      </c>
      <c r="C25">
        <v>1332946</v>
      </c>
      <c r="D25" t="s">
        <v>116</v>
      </c>
      <c r="E25" t="s">
        <v>113</v>
      </c>
      <c r="F25" t="s">
        <v>113</v>
      </c>
      <c r="G25" t="s">
        <v>59</v>
      </c>
      <c r="H25" t="s">
        <v>169</v>
      </c>
      <c r="I25" t="s">
        <v>83</v>
      </c>
      <c r="J25" t="s">
        <v>84</v>
      </c>
      <c r="K25" t="s">
        <v>90</v>
      </c>
      <c r="L25" s="25">
        <v>44031</v>
      </c>
      <c r="M25">
        <v>7</v>
      </c>
      <c r="N25">
        <v>2020</v>
      </c>
      <c r="O25" t="s">
        <v>106</v>
      </c>
      <c r="P25">
        <v>170</v>
      </c>
      <c r="Q25" s="17">
        <v>44031.037648495367</v>
      </c>
      <c r="R25" t="s">
        <v>115</v>
      </c>
    </row>
    <row r="26" spans="1:18" x14ac:dyDescent="0.3">
      <c r="A26">
        <v>21531262</v>
      </c>
      <c r="B26" t="s">
        <v>72</v>
      </c>
      <c r="C26">
        <v>1333014</v>
      </c>
      <c r="D26" t="s">
        <v>104</v>
      </c>
      <c r="E26" t="s">
        <v>58</v>
      </c>
      <c r="F26" t="s">
        <v>58</v>
      </c>
      <c r="G26" t="s">
        <v>110</v>
      </c>
      <c r="H26" t="s">
        <v>161</v>
      </c>
      <c r="I26" t="s">
        <v>83</v>
      </c>
      <c r="J26" t="s">
        <v>84</v>
      </c>
      <c r="K26" t="s">
        <v>86</v>
      </c>
      <c r="L26" s="25">
        <v>44031</v>
      </c>
      <c r="M26">
        <v>7</v>
      </c>
      <c r="N26">
        <v>2020</v>
      </c>
      <c r="O26" t="s">
        <v>106</v>
      </c>
      <c r="P26">
        <v>170</v>
      </c>
      <c r="Q26" s="17">
        <v>44032.485326967595</v>
      </c>
      <c r="R26" t="s">
        <v>107</v>
      </c>
    </row>
    <row r="27" spans="1:18" x14ac:dyDescent="0.3">
      <c r="A27">
        <v>9687058</v>
      </c>
      <c r="B27" t="s">
        <v>79</v>
      </c>
      <c r="C27">
        <v>1330299</v>
      </c>
      <c r="D27" t="s">
        <v>109</v>
      </c>
      <c r="E27" t="s">
        <v>130</v>
      </c>
      <c r="F27" t="s">
        <v>17</v>
      </c>
      <c r="G27" t="s">
        <v>133</v>
      </c>
      <c r="H27" t="s">
        <v>148</v>
      </c>
      <c r="I27" t="s">
        <v>83</v>
      </c>
      <c r="J27" t="s">
        <v>84</v>
      </c>
      <c r="K27" t="s">
        <v>86</v>
      </c>
      <c r="L27" s="25">
        <v>44031</v>
      </c>
      <c r="M27">
        <v>7</v>
      </c>
      <c r="N27">
        <v>2020</v>
      </c>
      <c r="O27" t="s">
        <v>106</v>
      </c>
      <c r="P27">
        <v>170</v>
      </c>
      <c r="Q27" s="17">
        <v>44032.138318055557</v>
      </c>
      <c r="R27" t="s">
        <v>120</v>
      </c>
    </row>
    <row r="28" spans="1:18" x14ac:dyDescent="0.3">
      <c r="A28">
        <v>245878</v>
      </c>
      <c r="B28" t="s">
        <v>78</v>
      </c>
      <c r="C28">
        <v>1336826</v>
      </c>
      <c r="D28" t="s">
        <v>112</v>
      </c>
      <c r="E28" t="s">
        <v>12</v>
      </c>
      <c r="F28" t="s">
        <v>12</v>
      </c>
      <c r="G28" t="s">
        <v>124</v>
      </c>
      <c r="H28" t="s">
        <v>162</v>
      </c>
      <c r="I28" t="s">
        <v>81</v>
      </c>
      <c r="J28" t="s">
        <v>42</v>
      </c>
      <c r="K28" t="s">
        <v>82</v>
      </c>
      <c r="L28" s="25">
        <v>44031</v>
      </c>
      <c r="M28">
        <v>7</v>
      </c>
      <c r="N28">
        <v>2020</v>
      </c>
      <c r="O28" t="s">
        <v>106</v>
      </c>
      <c r="P28">
        <v>171</v>
      </c>
      <c r="Q28" s="17">
        <v>44032.089401157406</v>
      </c>
      <c r="R28" t="s">
        <v>120</v>
      </c>
    </row>
    <row r="29" spans="1:18" x14ac:dyDescent="0.3">
      <c r="A29">
        <v>245648</v>
      </c>
      <c r="B29" t="s">
        <v>72</v>
      </c>
      <c r="C29">
        <v>1336983</v>
      </c>
      <c r="D29" t="s">
        <v>104</v>
      </c>
      <c r="E29" t="s">
        <v>26</v>
      </c>
      <c r="F29" t="s">
        <v>26</v>
      </c>
      <c r="G29" t="s">
        <v>126</v>
      </c>
      <c r="H29" t="s">
        <v>147</v>
      </c>
      <c r="I29" t="s">
        <v>83</v>
      </c>
      <c r="J29" t="s">
        <v>84</v>
      </c>
      <c r="K29" t="s">
        <v>82</v>
      </c>
      <c r="L29" s="25">
        <v>44031</v>
      </c>
      <c r="M29">
        <v>7</v>
      </c>
      <c r="N29">
        <v>2020</v>
      </c>
      <c r="O29" t="s">
        <v>106</v>
      </c>
      <c r="P29">
        <v>171</v>
      </c>
      <c r="Q29" s="17">
        <v>44032.088530439818</v>
      </c>
      <c r="R29" t="s">
        <v>120</v>
      </c>
    </row>
    <row r="30" spans="1:18" x14ac:dyDescent="0.3">
      <c r="A30">
        <v>245843</v>
      </c>
      <c r="B30" t="s">
        <v>78</v>
      </c>
      <c r="C30">
        <v>1336949</v>
      </c>
      <c r="D30" t="s">
        <v>112</v>
      </c>
      <c r="E30" t="s">
        <v>12</v>
      </c>
      <c r="F30" t="s">
        <v>12</v>
      </c>
      <c r="G30" t="s">
        <v>124</v>
      </c>
      <c r="H30" t="s">
        <v>162</v>
      </c>
      <c r="I30" t="s">
        <v>81</v>
      </c>
      <c r="J30" t="s">
        <v>42</v>
      </c>
      <c r="K30" t="s">
        <v>82</v>
      </c>
      <c r="L30" s="25">
        <v>44031</v>
      </c>
      <c r="M30">
        <v>7</v>
      </c>
      <c r="N30">
        <v>2020</v>
      </c>
      <c r="O30" t="s">
        <v>106</v>
      </c>
      <c r="P30">
        <v>171</v>
      </c>
      <c r="Q30" s="17">
        <v>44032.091831018515</v>
      </c>
      <c r="R30" t="s">
        <v>120</v>
      </c>
    </row>
    <row r="31" spans="1:18" x14ac:dyDescent="0.3">
      <c r="A31">
        <v>9687071</v>
      </c>
      <c r="B31" t="s">
        <v>79</v>
      </c>
      <c r="C31">
        <v>1330308</v>
      </c>
      <c r="D31" t="s">
        <v>109</v>
      </c>
      <c r="E31" t="s">
        <v>130</v>
      </c>
      <c r="F31" t="s">
        <v>17</v>
      </c>
      <c r="G31" t="s">
        <v>133</v>
      </c>
      <c r="H31" t="s">
        <v>148</v>
      </c>
      <c r="I31" t="s">
        <v>83</v>
      </c>
      <c r="J31" t="s">
        <v>84</v>
      </c>
      <c r="K31" t="s">
        <v>86</v>
      </c>
      <c r="L31" s="25">
        <v>44031</v>
      </c>
      <c r="M31">
        <v>7</v>
      </c>
      <c r="N31">
        <v>2020</v>
      </c>
      <c r="O31" t="s">
        <v>106</v>
      </c>
      <c r="P31">
        <v>170</v>
      </c>
      <c r="Q31" s="17">
        <v>44032.144346990739</v>
      </c>
      <c r="R31" t="s">
        <v>120</v>
      </c>
    </row>
    <row r="32" spans="1:18" x14ac:dyDescent="0.3">
      <c r="A32">
        <v>21532553</v>
      </c>
      <c r="B32" t="s">
        <v>79</v>
      </c>
      <c r="C32">
        <v>1335881</v>
      </c>
      <c r="D32" t="s">
        <v>116</v>
      </c>
      <c r="E32">
        <v>845</v>
      </c>
      <c r="F32">
        <v>845</v>
      </c>
      <c r="G32" t="s">
        <v>122</v>
      </c>
      <c r="H32" t="s">
        <v>146</v>
      </c>
      <c r="I32" t="s">
        <v>83</v>
      </c>
      <c r="J32" t="s">
        <v>84</v>
      </c>
      <c r="K32" t="s">
        <v>86</v>
      </c>
      <c r="L32" s="25">
        <v>44031</v>
      </c>
      <c r="M32">
        <v>7</v>
      </c>
      <c r="N32">
        <v>2020</v>
      </c>
      <c r="O32" t="s">
        <v>106</v>
      </c>
      <c r="P32">
        <v>170</v>
      </c>
      <c r="Q32" s="17">
        <v>44031.129979745368</v>
      </c>
      <c r="R32" t="s">
        <v>120</v>
      </c>
    </row>
    <row r="33" spans="1:18" x14ac:dyDescent="0.3">
      <c r="A33">
        <v>9687523</v>
      </c>
      <c r="B33" t="s">
        <v>79</v>
      </c>
      <c r="C33">
        <v>1330465</v>
      </c>
      <c r="D33" t="s">
        <v>109</v>
      </c>
      <c r="E33" t="s">
        <v>130</v>
      </c>
      <c r="F33" t="s">
        <v>17</v>
      </c>
      <c r="G33" t="s">
        <v>133</v>
      </c>
      <c r="H33" t="s">
        <v>148</v>
      </c>
      <c r="I33" t="s">
        <v>83</v>
      </c>
      <c r="J33" t="s">
        <v>84</v>
      </c>
      <c r="K33" t="s">
        <v>86</v>
      </c>
      <c r="L33" s="25">
        <v>44031</v>
      </c>
      <c r="M33">
        <v>7</v>
      </c>
      <c r="N33">
        <v>2020</v>
      </c>
      <c r="O33" t="s">
        <v>106</v>
      </c>
      <c r="P33">
        <v>170</v>
      </c>
      <c r="Q33" s="17">
        <v>44032.162906481484</v>
      </c>
      <c r="R33" t="s">
        <v>120</v>
      </c>
    </row>
    <row r="34" spans="1:18" x14ac:dyDescent="0.3">
      <c r="A34">
        <v>9669523</v>
      </c>
      <c r="B34" t="s">
        <v>79</v>
      </c>
      <c r="C34">
        <v>1324483</v>
      </c>
      <c r="D34" t="s">
        <v>116</v>
      </c>
      <c r="E34" t="s">
        <v>26</v>
      </c>
      <c r="F34" t="s">
        <v>26</v>
      </c>
      <c r="G34" t="s">
        <v>126</v>
      </c>
      <c r="H34" t="s">
        <v>163</v>
      </c>
      <c r="I34" t="s">
        <v>83</v>
      </c>
      <c r="J34" t="s">
        <v>84</v>
      </c>
      <c r="K34" t="s">
        <v>82</v>
      </c>
      <c r="L34" s="25">
        <v>44031</v>
      </c>
      <c r="M34">
        <v>7</v>
      </c>
      <c r="N34">
        <v>2020</v>
      </c>
      <c r="O34" t="s">
        <v>106</v>
      </c>
      <c r="P34">
        <v>170</v>
      </c>
      <c r="Q34" s="17">
        <v>44029.852059837962</v>
      </c>
      <c r="R34" t="s">
        <v>120</v>
      </c>
    </row>
    <row r="35" spans="1:18" x14ac:dyDescent="0.3">
      <c r="A35">
        <v>9687563</v>
      </c>
      <c r="B35" t="s">
        <v>79</v>
      </c>
      <c r="C35">
        <v>1330431</v>
      </c>
      <c r="D35" t="s">
        <v>109</v>
      </c>
      <c r="E35" t="s">
        <v>130</v>
      </c>
      <c r="F35" t="s">
        <v>17</v>
      </c>
      <c r="G35" t="s">
        <v>133</v>
      </c>
      <c r="H35" t="s">
        <v>148</v>
      </c>
      <c r="I35" t="s">
        <v>83</v>
      </c>
      <c r="J35" t="s">
        <v>84</v>
      </c>
      <c r="K35" t="s">
        <v>86</v>
      </c>
      <c r="L35" s="25">
        <v>44031</v>
      </c>
      <c r="M35">
        <v>7</v>
      </c>
      <c r="N35">
        <v>2020</v>
      </c>
      <c r="O35" t="s">
        <v>106</v>
      </c>
      <c r="P35">
        <v>170</v>
      </c>
      <c r="Q35" s="17">
        <v>44032.158467245368</v>
      </c>
      <c r="R35" t="s">
        <v>120</v>
      </c>
    </row>
    <row r="36" spans="1:18" x14ac:dyDescent="0.3">
      <c r="A36">
        <v>9687529</v>
      </c>
      <c r="B36" t="s">
        <v>79</v>
      </c>
      <c r="C36">
        <v>1330474</v>
      </c>
      <c r="D36" t="s">
        <v>109</v>
      </c>
      <c r="E36" t="s">
        <v>130</v>
      </c>
      <c r="F36" t="s">
        <v>17</v>
      </c>
      <c r="G36" t="s">
        <v>133</v>
      </c>
      <c r="H36" t="s">
        <v>148</v>
      </c>
      <c r="I36" t="s">
        <v>83</v>
      </c>
      <c r="J36" t="s">
        <v>84</v>
      </c>
      <c r="K36" t="s">
        <v>86</v>
      </c>
      <c r="L36" s="25">
        <v>44031</v>
      </c>
      <c r="M36">
        <v>7</v>
      </c>
      <c r="N36">
        <v>2020</v>
      </c>
      <c r="O36" t="s">
        <v>106</v>
      </c>
      <c r="P36">
        <v>170</v>
      </c>
      <c r="Q36" s="17">
        <v>44032.430357754631</v>
      </c>
      <c r="R36" t="s">
        <v>120</v>
      </c>
    </row>
    <row r="37" spans="1:18" x14ac:dyDescent="0.3">
      <c r="A37">
        <v>9678708</v>
      </c>
      <c r="B37" t="s">
        <v>72</v>
      </c>
      <c r="C37">
        <v>1319807</v>
      </c>
      <c r="D37" t="s">
        <v>104</v>
      </c>
      <c r="E37" t="s">
        <v>57</v>
      </c>
      <c r="F37" t="s">
        <v>57</v>
      </c>
      <c r="G37" t="s">
        <v>105</v>
      </c>
      <c r="H37" t="s">
        <v>161</v>
      </c>
      <c r="I37" t="s">
        <v>83</v>
      </c>
      <c r="J37" t="s">
        <v>84</v>
      </c>
      <c r="K37" t="s">
        <v>86</v>
      </c>
      <c r="L37" s="25">
        <v>44031</v>
      </c>
      <c r="M37">
        <v>7</v>
      </c>
      <c r="N37">
        <v>2020</v>
      </c>
      <c r="O37" t="s">
        <v>106</v>
      </c>
      <c r="P37">
        <v>170</v>
      </c>
      <c r="Q37" s="17">
        <v>44032.435608680556</v>
      </c>
      <c r="R37" t="s">
        <v>107</v>
      </c>
    </row>
    <row r="38" spans="1:18" x14ac:dyDescent="0.3">
      <c r="A38">
        <v>241797</v>
      </c>
      <c r="B38" t="s">
        <v>72</v>
      </c>
      <c r="C38">
        <v>1322429</v>
      </c>
      <c r="D38" t="s">
        <v>104</v>
      </c>
      <c r="E38" t="s">
        <v>57</v>
      </c>
      <c r="F38" t="s">
        <v>57</v>
      </c>
      <c r="G38" t="s">
        <v>105</v>
      </c>
      <c r="H38" t="s">
        <v>161</v>
      </c>
      <c r="I38" t="s">
        <v>83</v>
      </c>
      <c r="J38" t="s">
        <v>84</v>
      </c>
      <c r="K38" t="s">
        <v>86</v>
      </c>
      <c r="L38" s="25">
        <v>44031</v>
      </c>
      <c r="M38">
        <v>7</v>
      </c>
      <c r="N38">
        <v>2020</v>
      </c>
      <c r="O38" t="s">
        <v>106</v>
      </c>
      <c r="P38">
        <v>170</v>
      </c>
      <c r="Q38" s="17">
        <v>44032.470910879631</v>
      </c>
      <c r="R38" t="s">
        <v>107</v>
      </c>
    </row>
    <row r="39" spans="1:18" x14ac:dyDescent="0.3">
      <c r="A39">
        <v>9691398</v>
      </c>
      <c r="B39" t="s">
        <v>72</v>
      </c>
      <c r="C39">
        <v>1331639</v>
      </c>
      <c r="D39" t="s">
        <v>109</v>
      </c>
      <c r="E39" t="s">
        <v>58</v>
      </c>
      <c r="F39" t="s">
        <v>58</v>
      </c>
      <c r="G39" t="s">
        <v>110</v>
      </c>
      <c r="H39" t="s">
        <v>148</v>
      </c>
      <c r="I39" t="s">
        <v>83</v>
      </c>
      <c r="J39" t="s">
        <v>84</v>
      </c>
      <c r="K39" t="s">
        <v>86</v>
      </c>
      <c r="L39" s="25">
        <v>44031</v>
      </c>
      <c r="M39">
        <v>7</v>
      </c>
      <c r="N39">
        <v>2020</v>
      </c>
      <c r="O39" t="s">
        <v>106</v>
      </c>
      <c r="P39">
        <v>170</v>
      </c>
      <c r="Q39" s="17">
        <v>44032.145141898145</v>
      </c>
      <c r="R39" t="s">
        <v>107</v>
      </c>
    </row>
    <row r="40" spans="1:18" x14ac:dyDescent="0.3">
      <c r="A40">
        <v>9689274</v>
      </c>
      <c r="B40" t="s">
        <v>72</v>
      </c>
      <c r="C40">
        <v>1331657</v>
      </c>
      <c r="D40" t="s">
        <v>104</v>
      </c>
      <c r="E40" t="s">
        <v>58</v>
      </c>
      <c r="F40" t="s">
        <v>58</v>
      </c>
      <c r="G40" t="s">
        <v>110</v>
      </c>
      <c r="H40" t="s">
        <v>161</v>
      </c>
      <c r="I40" t="s">
        <v>83</v>
      </c>
      <c r="J40" t="s">
        <v>84</v>
      </c>
      <c r="K40" t="s">
        <v>86</v>
      </c>
      <c r="L40" s="25">
        <v>44031</v>
      </c>
      <c r="M40">
        <v>7</v>
      </c>
      <c r="N40">
        <v>2020</v>
      </c>
      <c r="O40" t="s">
        <v>106</v>
      </c>
      <c r="P40">
        <v>170</v>
      </c>
      <c r="Q40" s="17">
        <v>44032.42966898148</v>
      </c>
      <c r="R40" t="s">
        <v>107</v>
      </c>
    </row>
    <row r="41" spans="1:18" x14ac:dyDescent="0.3">
      <c r="A41">
        <v>9689388</v>
      </c>
      <c r="B41" t="s">
        <v>79</v>
      </c>
      <c r="C41">
        <v>1331908</v>
      </c>
      <c r="D41" t="s">
        <v>109</v>
      </c>
      <c r="E41" t="s">
        <v>57</v>
      </c>
      <c r="F41" t="s">
        <v>57</v>
      </c>
      <c r="G41" t="s">
        <v>105</v>
      </c>
      <c r="H41" t="s">
        <v>148</v>
      </c>
      <c r="I41" t="s">
        <v>83</v>
      </c>
      <c r="J41" t="s">
        <v>84</v>
      </c>
      <c r="K41" t="s">
        <v>86</v>
      </c>
      <c r="L41" s="25">
        <v>44031</v>
      </c>
      <c r="M41">
        <v>7</v>
      </c>
      <c r="N41">
        <v>2020</v>
      </c>
      <c r="O41" t="s">
        <v>106</v>
      </c>
      <c r="P41">
        <v>170</v>
      </c>
      <c r="Q41" s="17">
        <v>44032.144896296297</v>
      </c>
      <c r="R41" t="s">
        <v>107</v>
      </c>
    </row>
    <row r="42" spans="1:18" x14ac:dyDescent="0.3">
      <c r="A42">
        <v>9690902</v>
      </c>
      <c r="B42" t="s">
        <v>72</v>
      </c>
      <c r="C42">
        <v>1332861</v>
      </c>
      <c r="D42" t="s">
        <v>104</v>
      </c>
      <c r="E42" t="s">
        <v>58</v>
      </c>
      <c r="F42" t="s">
        <v>58</v>
      </c>
      <c r="G42" t="s">
        <v>110</v>
      </c>
      <c r="H42" t="s">
        <v>161</v>
      </c>
      <c r="I42" t="s">
        <v>83</v>
      </c>
      <c r="J42" t="s">
        <v>84</v>
      </c>
      <c r="K42" t="s">
        <v>86</v>
      </c>
      <c r="L42" s="25">
        <v>44031</v>
      </c>
      <c r="M42">
        <v>7</v>
      </c>
      <c r="N42">
        <v>2020</v>
      </c>
      <c r="O42" t="s">
        <v>106</v>
      </c>
      <c r="P42">
        <v>170</v>
      </c>
      <c r="Q42" s="17">
        <v>44032.440656481478</v>
      </c>
      <c r="R42" t="s">
        <v>107</v>
      </c>
    </row>
    <row r="43" spans="1:18" x14ac:dyDescent="0.3">
      <c r="A43">
        <v>245690</v>
      </c>
      <c r="B43" t="s">
        <v>72</v>
      </c>
      <c r="C43">
        <v>1336920</v>
      </c>
      <c r="D43" t="s">
        <v>104</v>
      </c>
      <c r="E43" t="s">
        <v>12</v>
      </c>
      <c r="F43" t="s">
        <v>12</v>
      </c>
      <c r="G43" t="s">
        <v>124</v>
      </c>
      <c r="H43" t="s">
        <v>147</v>
      </c>
      <c r="I43" t="s">
        <v>83</v>
      </c>
      <c r="J43" t="s">
        <v>84</v>
      </c>
      <c r="K43" t="s">
        <v>82</v>
      </c>
      <c r="L43" s="25">
        <v>44031</v>
      </c>
      <c r="M43">
        <v>7</v>
      </c>
      <c r="N43">
        <v>2020</v>
      </c>
      <c r="O43" t="s">
        <v>106</v>
      </c>
      <c r="P43">
        <v>171</v>
      </c>
      <c r="Q43" s="17">
        <v>44032.08129224537</v>
      </c>
      <c r="R43" t="s">
        <v>120</v>
      </c>
    </row>
    <row r="44" spans="1:18" x14ac:dyDescent="0.3">
      <c r="A44">
        <v>9687318</v>
      </c>
      <c r="B44" t="s">
        <v>79</v>
      </c>
      <c r="C44">
        <v>1330385</v>
      </c>
      <c r="D44" t="s">
        <v>109</v>
      </c>
      <c r="E44" t="s">
        <v>130</v>
      </c>
      <c r="F44" t="s">
        <v>17</v>
      </c>
      <c r="G44" t="s">
        <v>133</v>
      </c>
      <c r="H44" t="s">
        <v>148</v>
      </c>
      <c r="I44" t="s">
        <v>83</v>
      </c>
      <c r="J44" t="s">
        <v>84</v>
      </c>
      <c r="K44" t="s">
        <v>86</v>
      </c>
      <c r="L44" s="25">
        <v>44031</v>
      </c>
      <c r="M44">
        <v>7</v>
      </c>
      <c r="N44">
        <v>2020</v>
      </c>
      <c r="O44" t="s">
        <v>106</v>
      </c>
      <c r="P44">
        <v>170</v>
      </c>
      <c r="Q44" s="17">
        <v>44032.148907870367</v>
      </c>
      <c r="R44" t="s">
        <v>120</v>
      </c>
    </row>
    <row r="45" spans="1:18" x14ac:dyDescent="0.3">
      <c r="A45">
        <v>9687195</v>
      </c>
      <c r="B45" t="s">
        <v>79</v>
      </c>
      <c r="C45">
        <v>1330354</v>
      </c>
      <c r="D45" t="s">
        <v>109</v>
      </c>
      <c r="E45" t="s">
        <v>130</v>
      </c>
      <c r="F45" t="s">
        <v>17</v>
      </c>
      <c r="G45" t="s">
        <v>133</v>
      </c>
      <c r="H45" t="s">
        <v>148</v>
      </c>
      <c r="I45" t="s">
        <v>83</v>
      </c>
      <c r="J45" t="s">
        <v>84</v>
      </c>
      <c r="K45" t="s">
        <v>86</v>
      </c>
      <c r="L45" s="25">
        <v>44031</v>
      </c>
      <c r="M45">
        <v>7</v>
      </c>
      <c r="N45">
        <v>2020</v>
      </c>
      <c r="O45" t="s">
        <v>106</v>
      </c>
      <c r="P45">
        <v>170</v>
      </c>
      <c r="Q45" s="17">
        <v>44032.143828356478</v>
      </c>
      <c r="R45" t="s">
        <v>120</v>
      </c>
    </row>
    <row r="46" spans="1:18" x14ac:dyDescent="0.3">
      <c r="A46">
        <v>21534337</v>
      </c>
      <c r="B46" t="s">
        <v>72</v>
      </c>
      <c r="C46">
        <v>1334298</v>
      </c>
      <c r="D46" t="s">
        <v>104</v>
      </c>
      <c r="E46" t="s">
        <v>12</v>
      </c>
      <c r="F46" t="s">
        <v>12</v>
      </c>
      <c r="G46" t="s">
        <v>124</v>
      </c>
      <c r="H46" t="s">
        <v>95</v>
      </c>
      <c r="I46" t="s">
        <v>81</v>
      </c>
      <c r="J46" t="s">
        <v>42</v>
      </c>
      <c r="K46" t="s">
        <v>82</v>
      </c>
      <c r="L46" s="25">
        <v>44031</v>
      </c>
      <c r="M46">
        <v>7</v>
      </c>
      <c r="N46">
        <v>2020</v>
      </c>
      <c r="O46" t="s">
        <v>106</v>
      </c>
      <c r="P46">
        <v>170</v>
      </c>
      <c r="Q46" s="17">
        <v>44032.078838657406</v>
      </c>
      <c r="R46" t="s">
        <v>120</v>
      </c>
    </row>
    <row r="47" spans="1:18" x14ac:dyDescent="0.3">
      <c r="A47">
        <v>9687194</v>
      </c>
      <c r="B47" t="s">
        <v>79</v>
      </c>
      <c r="C47">
        <v>1330368</v>
      </c>
      <c r="D47" t="s">
        <v>109</v>
      </c>
      <c r="E47" t="s">
        <v>130</v>
      </c>
      <c r="F47" t="s">
        <v>17</v>
      </c>
      <c r="G47" t="s">
        <v>133</v>
      </c>
      <c r="H47" t="s">
        <v>148</v>
      </c>
      <c r="I47" t="s">
        <v>83</v>
      </c>
      <c r="J47" t="s">
        <v>84</v>
      </c>
      <c r="K47" t="s">
        <v>86</v>
      </c>
      <c r="L47" s="25">
        <v>44031</v>
      </c>
      <c r="M47">
        <v>7</v>
      </c>
      <c r="N47">
        <v>2020</v>
      </c>
      <c r="O47" t="s">
        <v>106</v>
      </c>
      <c r="P47">
        <v>170</v>
      </c>
      <c r="Q47" s="17">
        <v>44032.142849537035</v>
      </c>
      <c r="R47" t="s">
        <v>120</v>
      </c>
    </row>
    <row r="48" spans="1:18" x14ac:dyDescent="0.3">
      <c r="A48">
        <v>9687063</v>
      </c>
      <c r="B48" t="s">
        <v>79</v>
      </c>
      <c r="C48">
        <v>1330303</v>
      </c>
      <c r="D48" t="s">
        <v>109</v>
      </c>
      <c r="E48" t="s">
        <v>130</v>
      </c>
      <c r="F48" t="s">
        <v>17</v>
      </c>
      <c r="G48" t="s">
        <v>133</v>
      </c>
      <c r="H48" t="s">
        <v>148</v>
      </c>
      <c r="I48" t="s">
        <v>83</v>
      </c>
      <c r="J48" t="s">
        <v>84</v>
      </c>
      <c r="K48" t="s">
        <v>86</v>
      </c>
      <c r="L48" s="25">
        <v>44031</v>
      </c>
      <c r="M48">
        <v>7</v>
      </c>
      <c r="N48">
        <v>2020</v>
      </c>
      <c r="O48" t="s">
        <v>106</v>
      </c>
      <c r="P48">
        <v>170</v>
      </c>
      <c r="Q48" s="17">
        <v>44032.134614236114</v>
      </c>
      <c r="R48" t="s">
        <v>120</v>
      </c>
    </row>
    <row r="49" spans="1:18" x14ac:dyDescent="0.3">
      <c r="A49">
        <v>21534639</v>
      </c>
      <c r="B49" t="s">
        <v>78</v>
      </c>
      <c r="C49">
        <v>1336669</v>
      </c>
      <c r="D49" t="s">
        <v>109</v>
      </c>
      <c r="E49" t="s">
        <v>12</v>
      </c>
      <c r="F49" t="s">
        <v>12</v>
      </c>
      <c r="G49" t="s">
        <v>124</v>
      </c>
      <c r="H49" t="s">
        <v>148</v>
      </c>
      <c r="I49" t="s">
        <v>83</v>
      </c>
      <c r="J49" t="s">
        <v>84</v>
      </c>
      <c r="K49" t="s">
        <v>82</v>
      </c>
      <c r="L49" s="25">
        <v>44031</v>
      </c>
      <c r="M49">
        <v>7</v>
      </c>
      <c r="N49">
        <v>2020</v>
      </c>
      <c r="O49" t="s">
        <v>106</v>
      </c>
      <c r="P49">
        <v>170</v>
      </c>
      <c r="Q49" s="17">
        <v>44032.419988078706</v>
      </c>
      <c r="R49" t="s">
        <v>120</v>
      </c>
    </row>
    <row r="50" spans="1:18" x14ac:dyDescent="0.3">
      <c r="A50">
        <v>245737</v>
      </c>
      <c r="B50" t="s">
        <v>78</v>
      </c>
      <c r="C50">
        <v>1336869</v>
      </c>
      <c r="D50" t="s">
        <v>112</v>
      </c>
      <c r="E50" t="s">
        <v>12</v>
      </c>
      <c r="F50" t="s">
        <v>12</v>
      </c>
      <c r="G50" t="s">
        <v>124</v>
      </c>
      <c r="H50" t="s">
        <v>150</v>
      </c>
      <c r="I50" t="s">
        <v>81</v>
      </c>
      <c r="J50" t="s">
        <v>42</v>
      </c>
      <c r="K50" t="s">
        <v>82</v>
      </c>
      <c r="L50" s="25">
        <v>44031</v>
      </c>
      <c r="M50">
        <v>7</v>
      </c>
      <c r="N50">
        <v>2020</v>
      </c>
      <c r="O50" t="s">
        <v>106</v>
      </c>
      <c r="P50">
        <v>171</v>
      </c>
      <c r="Q50" s="17">
        <v>44032.090188078706</v>
      </c>
      <c r="R50" t="s">
        <v>120</v>
      </c>
    </row>
    <row r="51" spans="1:18" x14ac:dyDescent="0.3">
      <c r="A51">
        <v>21526730</v>
      </c>
      <c r="B51" t="s">
        <v>79</v>
      </c>
      <c r="C51">
        <v>1323458</v>
      </c>
      <c r="D51" t="s">
        <v>116</v>
      </c>
      <c r="E51" t="s">
        <v>26</v>
      </c>
      <c r="F51" t="s">
        <v>26</v>
      </c>
      <c r="G51" t="s">
        <v>126</v>
      </c>
      <c r="H51" t="s">
        <v>163</v>
      </c>
      <c r="I51" t="s">
        <v>83</v>
      </c>
      <c r="J51" t="s">
        <v>84</v>
      </c>
      <c r="K51" t="s">
        <v>82</v>
      </c>
      <c r="L51" s="25">
        <v>44031</v>
      </c>
      <c r="M51">
        <v>7</v>
      </c>
      <c r="N51">
        <v>2020</v>
      </c>
      <c r="O51" t="s">
        <v>106</v>
      </c>
      <c r="P51">
        <v>170</v>
      </c>
      <c r="Q51" s="17">
        <v>44029.829031828704</v>
      </c>
      <c r="R51" t="s">
        <v>120</v>
      </c>
    </row>
    <row r="52" spans="1:18" x14ac:dyDescent="0.3">
      <c r="A52">
        <v>245746</v>
      </c>
      <c r="B52" t="s">
        <v>72</v>
      </c>
      <c r="C52">
        <v>1336860</v>
      </c>
      <c r="D52" t="s">
        <v>104</v>
      </c>
      <c r="E52" t="s">
        <v>12</v>
      </c>
      <c r="F52" t="s">
        <v>12</v>
      </c>
      <c r="G52" t="s">
        <v>124</v>
      </c>
      <c r="H52" t="s">
        <v>151</v>
      </c>
      <c r="I52" t="s">
        <v>83</v>
      </c>
      <c r="J52" t="s">
        <v>84</v>
      </c>
      <c r="K52" t="s">
        <v>82</v>
      </c>
      <c r="L52" s="25">
        <v>44031</v>
      </c>
      <c r="M52">
        <v>7</v>
      </c>
      <c r="N52">
        <v>2020</v>
      </c>
      <c r="O52" t="s">
        <v>106</v>
      </c>
      <c r="P52">
        <v>171</v>
      </c>
      <c r="Q52" s="17">
        <v>44032.08689027778</v>
      </c>
      <c r="R52" t="s">
        <v>120</v>
      </c>
    </row>
    <row r="53" spans="1:18" x14ac:dyDescent="0.3">
      <c r="A53">
        <v>21534374</v>
      </c>
      <c r="B53" t="s">
        <v>72</v>
      </c>
      <c r="C53">
        <v>1334239</v>
      </c>
      <c r="D53" t="s">
        <v>104</v>
      </c>
      <c r="E53">
        <v>845</v>
      </c>
      <c r="F53">
        <v>845</v>
      </c>
      <c r="G53" t="s">
        <v>122</v>
      </c>
      <c r="H53" t="s">
        <v>147</v>
      </c>
      <c r="I53" t="s">
        <v>83</v>
      </c>
      <c r="J53" t="s">
        <v>84</v>
      </c>
      <c r="K53" t="s">
        <v>86</v>
      </c>
      <c r="L53" s="25">
        <v>44031</v>
      </c>
      <c r="M53">
        <v>7</v>
      </c>
      <c r="N53">
        <v>2020</v>
      </c>
      <c r="O53" t="s">
        <v>106</v>
      </c>
      <c r="P53">
        <v>170</v>
      </c>
      <c r="Q53" s="17">
        <v>44032.421178703706</v>
      </c>
      <c r="R53" t="s">
        <v>120</v>
      </c>
    </row>
    <row r="54" spans="1:18" x14ac:dyDescent="0.3">
      <c r="A54">
        <v>9680887</v>
      </c>
      <c r="B54" t="s">
        <v>79</v>
      </c>
      <c r="C54">
        <v>1323356</v>
      </c>
      <c r="D54" t="s">
        <v>116</v>
      </c>
      <c r="E54" t="s">
        <v>26</v>
      </c>
      <c r="F54" t="s">
        <v>26</v>
      </c>
      <c r="G54" t="s">
        <v>126</v>
      </c>
      <c r="H54" t="s">
        <v>158</v>
      </c>
      <c r="I54" t="s">
        <v>83</v>
      </c>
      <c r="J54" t="s">
        <v>84</v>
      </c>
      <c r="K54" t="s">
        <v>82</v>
      </c>
      <c r="L54" s="25">
        <v>44031</v>
      </c>
      <c r="M54">
        <v>7</v>
      </c>
      <c r="N54">
        <v>2020</v>
      </c>
      <c r="O54" t="s">
        <v>106</v>
      </c>
      <c r="P54">
        <v>170</v>
      </c>
      <c r="Q54" s="17">
        <v>44029.825250231479</v>
      </c>
      <c r="R54" t="s">
        <v>120</v>
      </c>
    </row>
    <row r="55" spans="1:18" x14ac:dyDescent="0.3">
      <c r="A55">
        <v>21529042</v>
      </c>
      <c r="B55" t="s">
        <v>79</v>
      </c>
      <c r="C55">
        <v>1326968</v>
      </c>
      <c r="D55" t="s">
        <v>116</v>
      </c>
      <c r="E55" t="s">
        <v>26</v>
      </c>
      <c r="F55" t="s">
        <v>26</v>
      </c>
      <c r="G55" t="s">
        <v>126</v>
      </c>
      <c r="H55" t="s">
        <v>163</v>
      </c>
      <c r="I55" t="s">
        <v>83</v>
      </c>
      <c r="J55" t="s">
        <v>84</v>
      </c>
      <c r="K55" t="s">
        <v>82</v>
      </c>
      <c r="L55" s="25">
        <v>44031</v>
      </c>
      <c r="M55">
        <v>7</v>
      </c>
      <c r="N55">
        <v>2020</v>
      </c>
      <c r="O55" t="s">
        <v>106</v>
      </c>
      <c r="P55">
        <v>170</v>
      </c>
      <c r="Q55" s="17">
        <v>44029.949394212963</v>
      </c>
      <c r="R55" t="s">
        <v>120</v>
      </c>
    </row>
    <row r="56" spans="1:18" x14ac:dyDescent="0.3">
      <c r="A56">
        <v>21530831</v>
      </c>
      <c r="B56" t="s">
        <v>72</v>
      </c>
      <c r="C56">
        <v>1334771</v>
      </c>
      <c r="D56" t="s">
        <v>104</v>
      </c>
      <c r="E56" t="s">
        <v>12</v>
      </c>
      <c r="F56" t="s">
        <v>12</v>
      </c>
      <c r="G56" t="s">
        <v>124</v>
      </c>
      <c r="H56" t="s">
        <v>170</v>
      </c>
      <c r="I56" t="s">
        <v>83</v>
      </c>
      <c r="J56" t="s">
        <v>84</v>
      </c>
      <c r="K56" t="s">
        <v>82</v>
      </c>
      <c r="L56" s="25">
        <v>44031</v>
      </c>
      <c r="M56">
        <v>7</v>
      </c>
      <c r="N56">
        <v>2020</v>
      </c>
      <c r="O56" t="s">
        <v>106</v>
      </c>
      <c r="P56">
        <v>170</v>
      </c>
      <c r="Q56" s="17">
        <v>44032.07985775463</v>
      </c>
      <c r="R56" t="s">
        <v>120</v>
      </c>
    </row>
    <row r="57" spans="1:18" x14ac:dyDescent="0.3">
      <c r="A57">
        <v>242494</v>
      </c>
      <c r="B57" t="s">
        <v>79</v>
      </c>
      <c r="C57">
        <v>1324126</v>
      </c>
      <c r="D57" t="s">
        <v>116</v>
      </c>
      <c r="E57" t="s">
        <v>26</v>
      </c>
      <c r="F57" t="s">
        <v>26</v>
      </c>
      <c r="G57" t="s">
        <v>126</v>
      </c>
      <c r="H57" t="s">
        <v>159</v>
      </c>
      <c r="I57" t="s">
        <v>83</v>
      </c>
      <c r="J57" t="s">
        <v>84</v>
      </c>
      <c r="K57" t="s">
        <v>82</v>
      </c>
      <c r="L57" s="25">
        <v>44031</v>
      </c>
      <c r="M57">
        <v>7</v>
      </c>
      <c r="N57">
        <v>2020</v>
      </c>
      <c r="O57" t="s">
        <v>106</v>
      </c>
      <c r="P57">
        <v>170</v>
      </c>
      <c r="Q57" s="17">
        <v>44029.841755787034</v>
      </c>
      <c r="R57" t="s">
        <v>120</v>
      </c>
    </row>
    <row r="58" spans="1:18" x14ac:dyDescent="0.3">
      <c r="A58">
        <v>242480</v>
      </c>
      <c r="B58" t="s">
        <v>79</v>
      </c>
      <c r="C58">
        <v>1324947</v>
      </c>
      <c r="D58" t="s">
        <v>116</v>
      </c>
      <c r="E58" t="s">
        <v>26</v>
      </c>
      <c r="F58" t="s">
        <v>26</v>
      </c>
      <c r="G58" t="s">
        <v>126</v>
      </c>
      <c r="H58" t="s">
        <v>159</v>
      </c>
      <c r="I58" t="s">
        <v>83</v>
      </c>
      <c r="J58" t="s">
        <v>84</v>
      </c>
      <c r="K58" t="s">
        <v>82</v>
      </c>
      <c r="L58" s="25">
        <v>44031</v>
      </c>
      <c r="M58">
        <v>7</v>
      </c>
      <c r="N58">
        <v>2020</v>
      </c>
      <c r="O58" t="s">
        <v>106</v>
      </c>
      <c r="P58">
        <v>170</v>
      </c>
      <c r="Q58" s="17">
        <v>44029.865747916665</v>
      </c>
      <c r="R58" t="s">
        <v>120</v>
      </c>
    </row>
    <row r="59" spans="1:18" x14ac:dyDescent="0.3">
      <c r="A59">
        <v>9687677</v>
      </c>
      <c r="B59" t="s">
        <v>72</v>
      </c>
      <c r="C59">
        <v>1330712</v>
      </c>
      <c r="D59" t="s">
        <v>104</v>
      </c>
      <c r="E59">
        <v>820</v>
      </c>
      <c r="F59">
        <v>820</v>
      </c>
      <c r="G59" t="s">
        <v>125</v>
      </c>
      <c r="H59" t="s">
        <v>155</v>
      </c>
      <c r="I59" t="s">
        <v>81</v>
      </c>
      <c r="J59" t="s">
        <v>42</v>
      </c>
      <c r="K59" t="s">
        <v>82</v>
      </c>
      <c r="L59" s="25">
        <v>44031</v>
      </c>
      <c r="M59">
        <v>7</v>
      </c>
      <c r="N59">
        <v>2020</v>
      </c>
      <c r="O59" t="s">
        <v>106</v>
      </c>
      <c r="P59">
        <v>170</v>
      </c>
      <c r="Q59" s="17">
        <v>44032.182119444442</v>
      </c>
      <c r="R59" t="s">
        <v>120</v>
      </c>
    </row>
    <row r="60" spans="1:18" x14ac:dyDescent="0.3">
      <c r="A60">
        <v>241796</v>
      </c>
      <c r="B60" t="s">
        <v>72</v>
      </c>
      <c r="C60">
        <v>1323994</v>
      </c>
      <c r="D60" t="s">
        <v>104</v>
      </c>
      <c r="E60" t="s">
        <v>26</v>
      </c>
      <c r="F60" t="s">
        <v>26</v>
      </c>
      <c r="G60" t="s">
        <v>126</v>
      </c>
      <c r="H60" t="s">
        <v>147</v>
      </c>
      <c r="I60" t="s">
        <v>83</v>
      </c>
      <c r="J60" t="s">
        <v>84</v>
      </c>
      <c r="K60" t="s">
        <v>82</v>
      </c>
      <c r="L60" s="25">
        <v>44031</v>
      </c>
      <c r="M60">
        <v>7</v>
      </c>
      <c r="N60">
        <v>2020</v>
      </c>
      <c r="O60" t="s">
        <v>106</v>
      </c>
      <c r="P60">
        <v>170</v>
      </c>
      <c r="Q60" s="17">
        <v>44032.083157175926</v>
      </c>
      <c r="R60" t="s">
        <v>120</v>
      </c>
    </row>
    <row r="61" spans="1:18" x14ac:dyDescent="0.3">
      <c r="A61">
        <v>9687731</v>
      </c>
      <c r="B61" t="s">
        <v>77</v>
      </c>
      <c r="C61">
        <v>1330695</v>
      </c>
      <c r="D61" t="s">
        <v>77</v>
      </c>
      <c r="E61">
        <v>820</v>
      </c>
      <c r="F61">
        <v>820</v>
      </c>
      <c r="G61" t="s">
        <v>125</v>
      </c>
      <c r="H61" t="s">
        <v>161</v>
      </c>
      <c r="I61" t="s">
        <v>77</v>
      </c>
      <c r="J61" t="s">
        <v>42</v>
      </c>
      <c r="K61" t="s">
        <v>82</v>
      </c>
      <c r="L61" s="25">
        <v>44031</v>
      </c>
      <c r="M61">
        <v>7</v>
      </c>
      <c r="N61">
        <v>2020</v>
      </c>
      <c r="O61" t="s">
        <v>106</v>
      </c>
      <c r="P61">
        <v>170</v>
      </c>
      <c r="Q61" s="17">
        <v>44032.154205902778</v>
      </c>
      <c r="R61" t="s">
        <v>120</v>
      </c>
    </row>
    <row r="62" spans="1:18" x14ac:dyDescent="0.3">
      <c r="A62">
        <v>21533731</v>
      </c>
      <c r="B62" t="s">
        <v>79</v>
      </c>
      <c r="C62">
        <v>1333520</v>
      </c>
      <c r="D62" t="s">
        <v>116</v>
      </c>
      <c r="E62">
        <v>845</v>
      </c>
      <c r="F62">
        <v>845</v>
      </c>
      <c r="G62" t="s">
        <v>122</v>
      </c>
      <c r="H62" t="s">
        <v>146</v>
      </c>
      <c r="I62" t="s">
        <v>83</v>
      </c>
      <c r="J62" t="s">
        <v>84</v>
      </c>
      <c r="K62" t="s">
        <v>86</v>
      </c>
      <c r="L62" s="25">
        <v>44031</v>
      </c>
      <c r="M62">
        <v>7</v>
      </c>
      <c r="N62">
        <v>2020</v>
      </c>
      <c r="O62" t="s">
        <v>106</v>
      </c>
      <c r="P62">
        <v>170</v>
      </c>
      <c r="Q62" s="17">
        <v>44031.056731712961</v>
      </c>
      <c r="R62" t="s">
        <v>120</v>
      </c>
    </row>
    <row r="63" spans="1:18" x14ac:dyDescent="0.3">
      <c r="A63">
        <v>9680050</v>
      </c>
      <c r="B63" t="s">
        <v>72</v>
      </c>
      <c r="C63">
        <v>1323139</v>
      </c>
      <c r="D63" t="s">
        <v>104</v>
      </c>
      <c r="E63" t="s">
        <v>118</v>
      </c>
      <c r="F63" t="s">
        <v>17</v>
      </c>
      <c r="G63" t="s">
        <v>119</v>
      </c>
      <c r="H63" t="s">
        <v>153</v>
      </c>
      <c r="I63" t="s">
        <v>81</v>
      </c>
      <c r="J63" t="s">
        <v>42</v>
      </c>
      <c r="K63" t="s">
        <v>86</v>
      </c>
      <c r="L63" s="25">
        <v>44031</v>
      </c>
      <c r="M63">
        <v>7</v>
      </c>
      <c r="N63">
        <v>2020</v>
      </c>
      <c r="O63" t="s">
        <v>106</v>
      </c>
      <c r="P63">
        <v>170</v>
      </c>
      <c r="Q63" s="17">
        <v>44032.17761111111</v>
      </c>
      <c r="R63" t="s">
        <v>120</v>
      </c>
    </row>
    <row r="64" spans="1:18" x14ac:dyDescent="0.3">
      <c r="A64">
        <v>9687038</v>
      </c>
      <c r="B64" t="s">
        <v>79</v>
      </c>
      <c r="C64">
        <v>1330278</v>
      </c>
      <c r="D64" t="s">
        <v>109</v>
      </c>
      <c r="E64" t="s">
        <v>130</v>
      </c>
      <c r="F64" t="s">
        <v>17</v>
      </c>
      <c r="G64" t="s">
        <v>133</v>
      </c>
      <c r="H64" t="s">
        <v>148</v>
      </c>
      <c r="I64" t="s">
        <v>83</v>
      </c>
      <c r="J64" t="s">
        <v>84</v>
      </c>
      <c r="K64" t="s">
        <v>86</v>
      </c>
      <c r="L64" s="25">
        <v>44031</v>
      </c>
      <c r="M64">
        <v>7</v>
      </c>
      <c r="N64">
        <v>2020</v>
      </c>
      <c r="O64" t="s">
        <v>106</v>
      </c>
      <c r="P64">
        <v>170</v>
      </c>
      <c r="Q64" s="17">
        <v>44032.133473379632</v>
      </c>
      <c r="R64" t="s">
        <v>120</v>
      </c>
    </row>
    <row r="65" spans="1:18" x14ac:dyDescent="0.3">
      <c r="A65">
        <v>21528261</v>
      </c>
      <c r="B65" t="s">
        <v>72</v>
      </c>
      <c r="C65">
        <v>1325432</v>
      </c>
      <c r="D65" t="s">
        <v>104</v>
      </c>
      <c r="E65" t="s">
        <v>130</v>
      </c>
      <c r="F65" t="s">
        <v>17</v>
      </c>
      <c r="G65" t="s">
        <v>133</v>
      </c>
      <c r="H65" t="s">
        <v>153</v>
      </c>
      <c r="I65" t="s">
        <v>81</v>
      </c>
      <c r="J65" t="s">
        <v>42</v>
      </c>
      <c r="K65" t="s">
        <v>86</v>
      </c>
      <c r="L65" s="25">
        <v>44031</v>
      </c>
      <c r="M65">
        <v>7</v>
      </c>
      <c r="N65">
        <v>2020</v>
      </c>
      <c r="O65" t="s">
        <v>106</v>
      </c>
      <c r="P65">
        <v>170</v>
      </c>
      <c r="Q65" s="17">
        <v>44032.179810416666</v>
      </c>
      <c r="R65" t="s">
        <v>120</v>
      </c>
    </row>
    <row r="66" spans="1:18" x14ac:dyDescent="0.3">
      <c r="A66">
        <v>9687059</v>
      </c>
      <c r="B66" t="s">
        <v>79</v>
      </c>
      <c r="C66">
        <v>1330295</v>
      </c>
      <c r="D66" t="s">
        <v>109</v>
      </c>
      <c r="E66" t="s">
        <v>130</v>
      </c>
      <c r="F66" t="s">
        <v>17</v>
      </c>
      <c r="G66" t="s">
        <v>133</v>
      </c>
      <c r="H66" t="s">
        <v>148</v>
      </c>
      <c r="I66" t="s">
        <v>83</v>
      </c>
      <c r="J66" t="s">
        <v>84</v>
      </c>
      <c r="K66" t="s">
        <v>86</v>
      </c>
      <c r="L66" s="25">
        <v>44031</v>
      </c>
      <c r="M66">
        <v>7</v>
      </c>
      <c r="N66">
        <v>2020</v>
      </c>
      <c r="O66" t="s">
        <v>106</v>
      </c>
      <c r="P66">
        <v>170</v>
      </c>
      <c r="Q66" s="17">
        <v>44032.134433333333</v>
      </c>
      <c r="R66" t="s">
        <v>120</v>
      </c>
    </row>
    <row r="67" spans="1:18" x14ac:dyDescent="0.3">
      <c r="A67">
        <v>21534589</v>
      </c>
      <c r="B67" t="s">
        <v>72</v>
      </c>
      <c r="C67">
        <v>1335158</v>
      </c>
      <c r="D67" t="s">
        <v>104</v>
      </c>
      <c r="E67" t="s">
        <v>12</v>
      </c>
      <c r="F67" t="s">
        <v>12</v>
      </c>
      <c r="G67" t="s">
        <v>124</v>
      </c>
      <c r="H67" t="s">
        <v>95</v>
      </c>
      <c r="I67" t="s">
        <v>81</v>
      </c>
      <c r="J67" t="s">
        <v>42</v>
      </c>
      <c r="K67" t="s">
        <v>82</v>
      </c>
      <c r="L67" s="25">
        <v>44031</v>
      </c>
      <c r="M67">
        <v>7</v>
      </c>
      <c r="N67">
        <v>2020</v>
      </c>
      <c r="O67" t="s">
        <v>106</v>
      </c>
      <c r="P67">
        <v>170</v>
      </c>
      <c r="Q67" s="17">
        <v>44032.075966319448</v>
      </c>
      <c r="R67" t="s">
        <v>120</v>
      </c>
    </row>
    <row r="68" spans="1:18" x14ac:dyDescent="0.3">
      <c r="A68">
        <v>242865</v>
      </c>
      <c r="B68" t="s">
        <v>79</v>
      </c>
      <c r="C68">
        <v>1324815</v>
      </c>
      <c r="D68" t="s">
        <v>116</v>
      </c>
      <c r="E68" t="s">
        <v>26</v>
      </c>
      <c r="F68" t="s">
        <v>26</v>
      </c>
      <c r="G68" t="s">
        <v>126</v>
      </c>
      <c r="H68" t="s">
        <v>163</v>
      </c>
      <c r="I68" t="s">
        <v>83</v>
      </c>
      <c r="J68" t="s">
        <v>84</v>
      </c>
      <c r="K68" t="s">
        <v>82</v>
      </c>
      <c r="L68" s="25">
        <v>44031</v>
      </c>
      <c r="M68">
        <v>7</v>
      </c>
      <c r="N68">
        <v>2020</v>
      </c>
      <c r="O68" t="s">
        <v>106</v>
      </c>
      <c r="P68">
        <v>170</v>
      </c>
      <c r="Q68" s="17">
        <v>44029.863516898149</v>
      </c>
      <c r="R68" t="s">
        <v>120</v>
      </c>
    </row>
    <row r="69" spans="1:18" x14ac:dyDescent="0.3">
      <c r="A69">
        <v>21532173</v>
      </c>
      <c r="B69" t="s">
        <v>72</v>
      </c>
      <c r="C69">
        <v>1335286</v>
      </c>
      <c r="D69" t="s">
        <v>104</v>
      </c>
      <c r="E69" t="s">
        <v>12</v>
      </c>
      <c r="F69" t="s">
        <v>12</v>
      </c>
      <c r="G69" t="s">
        <v>124</v>
      </c>
      <c r="H69" t="s">
        <v>95</v>
      </c>
      <c r="I69" t="s">
        <v>81</v>
      </c>
      <c r="J69" t="s">
        <v>42</v>
      </c>
      <c r="K69" t="s">
        <v>82</v>
      </c>
      <c r="L69" s="25">
        <v>44031</v>
      </c>
      <c r="M69">
        <v>7</v>
      </c>
      <c r="N69">
        <v>2020</v>
      </c>
      <c r="O69" t="s">
        <v>106</v>
      </c>
      <c r="P69">
        <v>170</v>
      </c>
      <c r="Q69" s="17">
        <v>44032.077302314814</v>
      </c>
      <c r="R69" t="s">
        <v>120</v>
      </c>
    </row>
    <row r="70" spans="1:18" x14ac:dyDescent="0.3">
      <c r="A70">
        <v>245450</v>
      </c>
      <c r="B70" t="s">
        <v>72</v>
      </c>
      <c r="C70">
        <v>1337158</v>
      </c>
      <c r="D70" t="s">
        <v>104</v>
      </c>
      <c r="E70" t="s">
        <v>12</v>
      </c>
      <c r="F70" t="s">
        <v>12</v>
      </c>
      <c r="G70" t="s">
        <v>124</v>
      </c>
      <c r="H70" t="s">
        <v>163</v>
      </c>
      <c r="I70" t="s">
        <v>83</v>
      </c>
      <c r="J70" t="s">
        <v>84</v>
      </c>
      <c r="K70" t="s">
        <v>82</v>
      </c>
      <c r="L70" s="25">
        <v>44031</v>
      </c>
      <c r="M70">
        <v>7</v>
      </c>
      <c r="N70">
        <v>2020</v>
      </c>
      <c r="O70" t="s">
        <v>106</v>
      </c>
      <c r="P70">
        <v>170</v>
      </c>
      <c r="Q70" s="17">
        <v>44032.131486574071</v>
      </c>
      <c r="R70" t="s">
        <v>120</v>
      </c>
    </row>
    <row r="71" spans="1:18" x14ac:dyDescent="0.3">
      <c r="A71">
        <v>9679563</v>
      </c>
      <c r="B71" t="s">
        <v>72</v>
      </c>
      <c r="C71">
        <v>1331742</v>
      </c>
      <c r="D71" t="s">
        <v>104</v>
      </c>
      <c r="E71" t="s">
        <v>12</v>
      </c>
      <c r="F71" t="s">
        <v>12</v>
      </c>
      <c r="G71" t="s">
        <v>124</v>
      </c>
      <c r="H71" t="s">
        <v>95</v>
      </c>
      <c r="I71" t="s">
        <v>81</v>
      </c>
      <c r="J71" t="s">
        <v>42</v>
      </c>
      <c r="K71" t="s">
        <v>82</v>
      </c>
      <c r="L71" s="25">
        <v>44031</v>
      </c>
      <c r="M71">
        <v>7</v>
      </c>
      <c r="N71">
        <v>2020</v>
      </c>
      <c r="O71" t="s">
        <v>106</v>
      </c>
      <c r="P71">
        <v>170</v>
      </c>
      <c r="Q71" s="17">
        <v>44032.074496064815</v>
      </c>
      <c r="R71" t="s">
        <v>120</v>
      </c>
    </row>
    <row r="72" spans="1:18" x14ac:dyDescent="0.3">
      <c r="A72">
        <v>9687003</v>
      </c>
      <c r="B72" t="s">
        <v>79</v>
      </c>
      <c r="C72">
        <v>1330274</v>
      </c>
      <c r="D72" t="s">
        <v>109</v>
      </c>
      <c r="E72" t="s">
        <v>130</v>
      </c>
      <c r="F72" t="s">
        <v>17</v>
      </c>
      <c r="G72" t="s">
        <v>133</v>
      </c>
      <c r="H72" t="s">
        <v>148</v>
      </c>
      <c r="I72" t="s">
        <v>83</v>
      </c>
      <c r="J72" t="s">
        <v>84</v>
      </c>
      <c r="K72" t="s">
        <v>86</v>
      </c>
      <c r="L72" s="25">
        <v>44031</v>
      </c>
      <c r="M72">
        <v>7</v>
      </c>
      <c r="N72">
        <v>2020</v>
      </c>
      <c r="O72" t="s">
        <v>106</v>
      </c>
      <c r="P72">
        <v>170</v>
      </c>
      <c r="Q72" s="17">
        <v>44032.129930787036</v>
      </c>
      <c r="R72" t="s">
        <v>120</v>
      </c>
    </row>
    <row r="73" spans="1:18" x14ac:dyDescent="0.3">
      <c r="A73">
        <v>9687331</v>
      </c>
      <c r="B73" t="s">
        <v>79</v>
      </c>
      <c r="C73">
        <v>1330397</v>
      </c>
      <c r="D73" t="s">
        <v>109</v>
      </c>
      <c r="E73" t="s">
        <v>130</v>
      </c>
      <c r="F73" t="s">
        <v>17</v>
      </c>
      <c r="G73" t="s">
        <v>133</v>
      </c>
      <c r="H73" t="s">
        <v>148</v>
      </c>
      <c r="I73" t="s">
        <v>83</v>
      </c>
      <c r="J73" t="s">
        <v>84</v>
      </c>
      <c r="K73" t="s">
        <v>86</v>
      </c>
      <c r="L73" s="25">
        <v>44031</v>
      </c>
      <c r="M73">
        <v>7</v>
      </c>
      <c r="N73">
        <v>2020</v>
      </c>
      <c r="O73" t="s">
        <v>106</v>
      </c>
      <c r="P73">
        <v>170</v>
      </c>
      <c r="Q73" s="17">
        <v>44032.152334375001</v>
      </c>
      <c r="R73" t="s">
        <v>120</v>
      </c>
    </row>
    <row r="74" spans="1:18" x14ac:dyDescent="0.3">
      <c r="A74">
        <v>9687341</v>
      </c>
      <c r="B74" t="s">
        <v>79</v>
      </c>
      <c r="C74">
        <v>1330406</v>
      </c>
      <c r="D74" t="s">
        <v>109</v>
      </c>
      <c r="E74" t="s">
        <v>130</v>
      </c>
      <c r="F74" t="s">
        <v>17</v>
      </c>
      <c r="G74" t="s">
        <v>133</v>
      </c>
      <c r="H74" t="s">
        <v>148</v>
      </c>
      <c r="I74" t="s">
        <v>83</v>
      </c>
      <c r="J74" t="s">
        <v>84</v>
      </c>
      <c r="K74" t="s">
        <v>86</v>
      </c>
      <c r="L74" s="25">
        <v>44031</v>
      </c>
      <c r="M74">
        <v>7</v>
      </c>
      <c r="N74">
        <v>2020</v>
      </c>
      <c r="O74" t="s">
        <v>106</v>
      </c>
      <c r="P74">
        <v>170</v>
      </c>
      <c r="Q74" s="17">
        <v>44032.155038310186</v>
      </c>
      <c r="R74" t="s">
        <v>120</v>
      </c>
    </row>
    <row r="75" spans="1:18" x14ac:dyDescent="0.3">
      <c r="A75">
        <v>9689168</v>
      </c>
      <c r="B75" t="s">
        <v>78</v>
      </c>
      <c r="C75">
        <v>1331737</v>
      </c>
      <c r="D75" t="s">
        <v>112</v>
      </c>
      <c r="E75" t="s">
        <v>12</v>
      </c>
      <c r="F75" t="s">
        <v>12</v>
      </c>
      <c r="G75" t="s">
        <v>124</v>
      </c>
      <c r="H75" t="s">
        <v>156</v>
      </c>
      <c r="I75" t="s">
        <v>81</v>
      </c>
      <c r="J75" t="s">
        <v>42</v>
      </c>
      <c r="K75" t="s">
        <v>82</v>
      </c>
      <c r="L75" s="25">
        <v>44031</v>
      </c>
      <c r="M75">
        <v>7</v>
      </c>
      <c r="N75">
        <v>2020</v>
      </c>
      <c r="O75" t="s">
        <v>106</v>
      </c>
      <c r="P75">
        <v>170</v>
      </c>
      <c r="Q75" s="17">
        <v>44032.075684374999</v>
      </c>
      <c r="R75" t="s">
        <v>120</v>
      </c>
    </row>
    <row r="76" spans="1:18" x14ac:dyDescent="0.3">
      <c r="A76">
        <v>9687206</v>
      </c>
      <c r="B76" t="s">
        <v>79</v>
      </c>
      <c r="C76">
        <v>1330363</v>
      </c>
      <c r="D76" t="s">
        <v>109</v>
      </c>
      <c r="E76" t="s">
        <v>130</v>
      </c>
      <c r="F76" t="s">
        <v>17</v>
      </c>
      <c r="G76" t="s">
        <v>133</v>
      </c>
      <c r="H76" t="s">
        <v>148</v>
      </c>
      <c r="I76" t="s">
        <v>83</v>
      </c>
      <c r="J76" t="s">
        <v>84</v>
      </c>
      <c r="K76" t="s">
        <v>86</v>
      </c>
      <c r="L76" s="25">
        <v>44031</v>
      </c>
      <c r="M76">
        <v>7</v>
      </c>
      <c r="N76">
        <v>2020</v>
      </c>
      <c r="O76" t="s">
        <v>106</v>
      </c>
      <c r="P76">
        <v>170</v>
      </c>
      <c r="Q76" s="17">
        <v>44032.144329745373</v>
      </c>
      <c r="R76" t="s">
        <v>120</v>
      </c>
    </row>
    <row r="77" spans="1:18" x14ac:dyDescent="0.3">
      <c r="A77">
        <v>9687467</v>
      </c>
      <c r="B77" t="s">
        <v>79</v>
      </c>
      <c r="C77">
        <v>1330440</v>
      </c>
      <c r="D77" t="s">
        <v>109</v>
      </c>
      <c r="E77" t="s">
        <v>130</v>
      </c>
      <c r="F77" t="s">
        <v>17</v>
      </c>
      <c r="G77" t="s">
        <v>133</v>
      </c>
      <c r="H77" t="s">
        <v>148</v>
      </c>
      <c r="I77" t="s">
        <v>83</v>
      </c>
      <c r="J77" t="s">
        <v>84</v>
      </c>
      <c r="K77" t="s">
        <v>86</v>
      </c>
      <c r="L77" s="25">
        <v>44031</v>
      </c>
      <c r="M77">
        <v>7</v>
      </c>
      <c r="N77">
        <v>2020</v>
      </c>
      <c r="O77" t="s">
        <v>106</v>
      </c>
      <c r="P77">
        <v>170</v>
      </c>
      <c r="Q77" s="17">
        <v>44032.16336979167</v>
      </c>
      <c r="R77" t="s">
        <v>120</v>
      </c>
    </row>
    <row r="78" spans="1:18" x14ac:dyDescent="0.3">
      <c r="A78">
        <v>241743</v>
      </c>
      <c r="B78" t="s">
        <v>72</v>
      </c>
      <c r="C78">
        <v>1323888</v>
      </c>
      <c r="D78" t="s">
        <v>104</v>
      </c>
      <c r="E78" t="s">
        <v>26</v>
      </c>
      <c r="F78" t="s">
        <v>26</v>
      </c>
      <c r="G78" t="s">
        <v>126</v>
      </c>
      <c r="H78" t="s">
        <v>157</v>
      </c>
      <c r="I78" t="s">
        <v>83</v>
      </c>
      <c r="J78" t="s">
        <v>84</v>
      </c>
      <c r="K78" t="s">
        <v>82</v>
      </c>
      <c r="L78" s="25">
        <v>44031</v>
      </c>
      <c r="M78">
        <v>7</v>
      </c>
      <c r="N78">
        <v>2020</v>
      </c>
      <c r="O78" t="s">
        <v>106</v>
      </c>
      <c r="P78">
        <v>170</v>
      </c>
      <c r="Q78" s="17">
        <v>44032.082478472221</v>
      </c>
      <c r="R78" t="s">
        <v>120</v>
      </c>
    </row>
    <row r="79" spans="1:18" x14ac:dyDescent="0.3">
      <c r="A79">
        <v>9687216</v>
      </c>
      <c r="B79" t="s">
        <v>79</v>
      </c>
      <c r="C79">
        <v>1330372</v>
      </c>
      <c r="D79" t="s">
        <v>109</v>
      </c>
      <c r="E79" t="s">
        <v>130</v>
      </c>
      <c r="F79" t="s">
        <v>17</v>
      </c>
      <c r="G79" t="s">
        <v>133</v>
      </c>
      <c r="H79" t="s">
        <v>148</v>
      </c>
      <c r="I79" t="s">
        <v>83</v>
      </c>
      <c r="J79" t="s">
        <v>84</v>
      </c>
      <c r="K79" t="s">
        <v>86</v>
      </c>
      <c r="L79" s="25">
        <v>44031</v>
      </c>
      <c r="M79">
        <v>7</v>
      </c>
      <c r="N79">
        <v>2020</v>
      </c>
      <c r="O79" t="s">
        <v>106</v>
      </c>
      <c r="P79">
        <v>170</v>
      </c>
      <c r="Q79" s="17">
        <v>44032.146832175924</v>
      </c>
      <c r="R79" t="s">
        <v>120</v>
      </c>
    </row>
    <row r="80" spans="1:18" x14ac:dyDescent="0.3">
      <c r="A80">
        <v>9680217</v>
      </c>
      <c r="B80" t="s">
        <v>72</v>
      </c>
      <c r="C80">
        <v>1332001</v>
      </c>
      <c r="D80" t="s">
        <v>104</v>
      </c>
      <c r="E80" t="s">
        <v>12</v>
      </c>
      <c r="F80" t="s">
        <v>12</v>
      </c>
      <c r="G80" t="s">
        <v>124</v>
      </c>
      <c r="H80" t="s">
        <v>95</v>
      </c>
      <c r="I80" t="s">
        <v>81</v>
      </c>
      <c r="J80" t="s">
        <v>42</v>
      </c>
      <c r="K80" t="s">
        <v>82</v>
      </c>
      <c r="L80" s="25">
        <v>44031</v>
      </c>
      <c r="M80">
        <v>7</v>
      </c>
      <c r="N80">
        <v>2020</v>
      </c>
      <c r="O80" t="s">
        <v>106</v>
      </c>
      <c r="P80">
        <v>170</v>
      </c>
      <c r="Q80" s="17">
        <v>44032.074000231485</v>
      </c>
      <c r="R80" t="s">
        <v>120</v>
      </c>
    </row>
    <row r="81" spans="1:18" x14ac:dyDescent="0.3">
      <c r="A81">
        <v>241995</v>
      </c>
      <c r="B81" t="s">
        <v>72</v>
      </c>
      <c r="C81">
        <v>1323454</v>
      </c>
      <c r="D81" t="s">
        <v>104</v>
      </c>
      <c r="E81" t="s">
        <v>26</v>
      </c>
      <c r="F81" t="s">
        <v>26</v>
      </c>
      <c r="G81" t="s">
        <v>126</v>
      </c>
      <c r="H81" t="s">
        <v>157</v>
      </c>
      <c r="I81" t="s">
        <v>83</v>
      </c>
      <c r="J81" t="s">
        <v>84</v>
      </c>
      <c r="K81" t="s">
        <v>82</v>
      </c>
      <c r="L81" s="25">
        <v>44031</v>
      </c>
      <c r="M81">
        <v>7</v>
      </c>
      <c r="N81">
        <v>2020</v>
      </c>
      <c r="O81" t="s">
        <v>106</v>
      </c>
      <c r="P81">
        <v>170</v>
      </c>
      <c r="Q81" s="17">
        <v>44032.077118518515</v>
      </c>
      <c r="R81" t="s">
        <v>120</v>
      </c>
    </row>
    <row r="82" spans="1:18" x14ac:dyDescent="0.3">
      <c r="A82">
        <v>9687689</v>
      </c>
      <c r="B82" t="s">
        <v>72</v>
      </c>
      <c r="C82">
        <v>1330767</v>
      </c>
      <c r="D82" t="s">
        <v>104</v>
      </c>
      <c r="E82">
        <v>820</v>
      </c>
      <c r="F82">
        <v>820</v>
      </c>
      <c r="G82" t="s">
        <v>125</v>
      </c>
      <c r="H82" t="s">
        <v>155</v>
      </c>
      <c r="I82" t="s">
        <v>81</v>
      </c>
      <c r="J82" t="s">
        <v>42</v>
      </c>
      <c r="K82" t="s">
        <v>82</v>
      </c>
      <c r="L82" s="25">
        <v>44031</v>
      </c>
      <c r="M82">
        <v>7</v>
      </c>
      <c r="N82">
        <v>2020</v>
      </c>
      <c r="O82" t="s">
        <v>106</v>
      </c>
      <c r="P82">
        <v>170</v>
      </c>
      <c r="Q82" s="17">
        <v>44032.205805092592</v>
      </c>
      <c r="R82" t="s">
        <v>120</v>
      </c>
    </row>
    <row r="83" spans="1:18" x14ac:dyDescent="0.3">
      <c r="A83">
        <v>241383</v>
      </c>
      <c r="B83" t="s">
        <v>72</v>
      </c>
      <c r="C83">
        <v>1322114</v>
      </c>
      <c r="D83" t="s">
        <v>104</v>
      </c>
      <c r="E83" t="s">
        <v>58</v>
      </c>
      <c r="F83" t="s">
        <v>58</v>
      </c>
      <c r="G83" t="s">
        <v>110</v>
      </c>
      <c r="H83" t="s">
        <v>161</v>
      </c>
      <c r="I83" t="s">
        <v>83</v>
      </c>
      <c r="J83" t="s">
        <v>84</v>
      </c>
      <c r="K83" t="s">
        <v>86</v>
      </c>
      <c r="L83" s="25">
        <v>44031</v>
      </c>
      <c r="M83">
        <v>7</v>
      </c>
      <c r="N83">
        <v>2020</v>
      </c>
      <c r="O83" t="s">
        <v>106</v>
      </c>
      <c r="P83">
        <v>170</v>
      </c>
      <c r="Q83" s="17">
        <v>44032.466311226854</v>
      </c>
      <c r="R83" t="s">
        <v>107</v>
      </c>
    </row>
    <row r="84" spans="1:18" x14ac:dyDescent="0.3">
      <c r="A84">
        <v>9688060</v>
      </c>
      <c r="B84" t="s">
        <v>72</v>
      </c>
      <c r="C84">
        <v>1331587</v>
      </c>
      <c r="D84" t="s">
        <v>104</v>
      </c>
      <c r="E84" t="s">
        <v>57</v>
      </c>
      <c r="F84" t="s">
        <v>57</v>
      </c>
      <c r="G84" t="s">
        <v>105</v>
      </c>
      <c r="H84" t="s">
        <v>161</v>
      </c>
      <c r="I84" t="s">
        <v>83</v>
      </c>
      <c r="J84" t="s">
        <v>84</v>
      </c>
      <c r="K84" t="s">
        <v>86</v>
      </c>
      <c r="L84" s="25">
        <v>44031</v>
      </c>
      <c r="M84">
        <v>7</v>
      </c>
      <c r="N84">
        <v>2020</v>
      </c>
      <c r="O84" t="s">
        <v>106</v>
      </c>
      <c r="P84">
        <v>170</v>
      </c>
      <c r="Q84" s="17">
        <v>44032.42562696759</v>
      </c>
      <c r="R84" t="s">
        <v>111</v>
      </c>
    </row>
    <row r="85" spans="1:18" x14ac:dyDescent="0.3">
      <c r="A85">
        <v>9689468</v>
      </c>
      <c r="B85" t="s">
        <v>72</v>
      </c>
      <c r="C85">
        <v>1331687</v>
      </c>
      <c r="D85" t="s">
        <v>104</v>
      </c>
      <c r="E85" t="s">
        <v>57</v>
      </c>
      <c r="F85" t="s">
        <v>57</v>
      </c>
      <c r="G85" t="s">
        <v>105</v>
      </c>
      <c r="H85" t="s">
        <v>161</v>
      </c>
      <c r="I85" t="s">
        <v>83</v>
      </c>
      <c r="J85" t="s">
        <v>84</v>
      </c>
      <c r="K85" t="s">
        <v>86</v>
      </c>
      <c r="L85" s="25">
        <v>44031</v>
      </c>
      <c r="M85">
        <v>7</v>
      </c>
      <c r="N85">
        <v>2020</v>
      </c>
      <c r="O85" t="s">
        <v>106</v>
      </c>
      <c r="P85">
        <v>170</v>
      </c>
      <c r="Q85" s="17">
        <v>44032.435068402781</v>
      </c>
      <c r="R85" t="s">
        <v>108</v>
      </c>
    </row>
    <row r="86" spans="1:18" x14ac:dyDescent="0.3">
      <c r="A86">
        <v>9689294</v>
      </c>
      <c r="B86" t="s">
        <v>72</v>
      </c>
      <c r="C86">
        <v>1331723</v>
      </c>
      <c r="D86" t="s">
        <v>104</v>
      </c>
      <c r="E86" t="s">
        <v>58</v>
      </c>
      <c r="F86" t="s">
        <v>58</v>
      </c>
      <c r="G86" t="s">
        <v>110</v>
      </c>
      <c r="H86" t="s">
        <v>161</v>
      </c>
      <c r="I86" t="s">
        <v>83</v>
      </c>
      <c r="J86" t="s">
        <v>84</v>
      </c>
      <c r="K86" t="s">
        <v>86</v>
      </c>
      <c r="L86" s="25">
        <v>44031</v>
      </c>
      <c r="M86">
        <v>7</v>
      </c>
      <c r="N86">
        <v>2020</v>
      </c>
      <c r="O86" t="s">
        <v>106</v>
      </c>
      <c r="P86">
        <v>170</v>
      </c>
      <c r="Q86" s="17">
        <v>44032.433334027781</v>
      </c>
      <c r="R86" t="s">
        <v>107</v>
      </c>
    </row>
    <row r="87" spans="1:18" x14ac:dyDescent="0.3">
      <c r="A87">
        <v>9690448</v>
      </c>
      <c r="B87" t="s">
        <v>72</v>
      </c>
      <c r="C87">
        <v>1332874</v>
      </c>
      <c r="D87" t="s">
        <v>104</v>
      </c>
      <c r="E87" t="s">
        <v>58</v>
      </c>
      <c r="F87" t="s">
        <v>58</v>
      </c>
      <c r="G87" t="s">
        <v>110</v>
      </c>
      <c r="H87" t="s">
        <v>161</v>
      </c>
      <c r="I87" t="s">
        <v>83</v>
      </c>
      <c r="J87" t="s">
        <v>84</v>
      </c>
      <c r="K87" t="s">
        <v>86</v>
      </c>
      <c r="L87" s="25">
        <v>44031</v>
      </c>
      <c r="M87">
        <v>7</v>
      </c>
      <c r="N87">
        <v>2020</v>
      </c>
      <c r="O87" t="s">
        <v>106</v>
      </c>
      <c r="P87">
        <v>170</v>
      </c>
      <c r="Q87" s="17">
        <v>44032.441317708333</v>
      </c>
      <c r="R87" t="s">
        <v>107</v>
      </c>
    </row>
    <row r="88" spans="1:18" x14ac:dyDescent="0.3">
      <c r="A88">
        <v>21532337</v>
      </c>
      <c r="B88" t="s">
        <v>79</v>
      </c>
      <c r="C88">
        <v>1332959</v>
      </c>
      <c r="D88" t="s">
        <v>116</v>
      </c>
      <c r="E88" t="s">
        <v>113</v>
      </c>
      <c r="F88" t="s">
        <v>113</v>
      </c>
      <c r="G88" t="s">
        <v>59</v>
      </c>
      <c r="H88" t="s">
        <v>169</v>
      </c>
      <c r="I88" t="s">
        <v>83</v>
      </c>
      <c r="J88" t="s">
        <v>84</v>
      </c>
      <c r="K88" t="s">
        <v>90</v>
      </c>
      <c r="L88" s="25">
        <v>44031</v>
      </c>
      <c r="M88">
        <v>7</v>
      </c>
      <c r="N88">
        <v>2020</v>
      </c>
      <c r="O88" t="s">
        <v>106</v>
      </c>
      <c r="P88">
        <v>170</v>
      </c>
      <c r="Q88" s="17">
        <v>44031.037648495367</v>
      </c>
      <c r="R88" t="s">
        <v>115</v>
      </c>
    </row>
    <row r="89" spans="1:18" x14ac:dyDescent="0.3">
      <c r="A89">
        <v>21532593</v>
      </c>
      <c r="B89" t="s">
        <v>72</v>
      </c>
      <c r="C89">
        <v>1332974</v>
      </c>
      <c r="D89" t="s">
        <v>104</v>
      </c>
      <c r="E89" t="s">
        <v>58</v>
      </c>
      <c r="F89" t="s">
        <v>58</v>
      </c>
      <c r="G89" t="s">
        <v>110</v>
      </c>
      <c r="H89" t="s">
        <v>161</v>
      </c>
      <c r="I89" t="s">
        <v>83</v>
      </c>
      <c r="J89" t="s">
        <v>84</v>
      </c>
      <c r="K89" t="s">
        <v>86</v>
      </c>
      <c r="L89" s="25">
        <v>44031</v>
      </c>
      <c r="M89">
        <v>7</v>
      </c>
      <c r="N89">
        <v>2020</v>
      </c>
      <c r="O89" t="s">
        <v>106</v>
      </c>
      <c r="P89">
        <v>170</v>
      </c>
      <c r="Q89" s="17">
        <v>44032.241550810184</v>
      </c>
      <c r="R89" t="s">
        <v>107</v>
      </c>
    </row>
    <row r="90" spans="1:18" x14ac:dyDescent="0.3">
      <c r="A90">
        <v>21532759</v>
      </c>
      <c r="B90" t="s">
        <v>72</v>
      </c>
      <c r="C90">
        <v>1333009</v>
      </c>
      <c r="D90" t="s">
        <v>104</v>
      </c>
      <c r="E90" t="s">
        <v>58</v>
      </c>
      <c r="F90" t="s">
        <v>58</v>
      </c>
      <c r="G90" t="s">
        <v>110</v>
      </c>
      <c r="H90" t="s">
        <v>161</v>
      </c>
      <c r="I90" t="s">
        <v>83</v>
      </c>
      <c r="J90" t="s">
        <v>84</v>
      </c>
      <c r="K90" t="s">
        <v>86</v>
      </c>
      <c r="L90" s="25">
        <v>44031</v>
      </c>
      <c r="M90">
        <v>7</v>
      </c>
      <c r="N90">
        <v>2020</v>
      </c>
      <c r="O90" t="s">
        <v>106</v>
      </c>
      <c r="P90">
        <v>170</v>
      </c>
      <c r="Q90" s="17">
        <v>44032.484975925923</v>
      </c>
      <c r="R90" t="s">
        <v>107</v>
      </c>
    </row>
    <row r="91" spans="1:18" x14ac:dyDescent="0.3">
      <c r="A91">
        <v>9687091</v>
      </c>
      <c r="B91" t="s">
        <v>79</v>
      </c>
      <c r="C91">
        <v>1330351</v>
      </c>
      <c r="D91" t="s">
        <v>109</v>
      </c>
      <c r="E91" t="s">
        <v>130</v>
      </c>
      <c r="F91" t="s">
        <v>17</v>
      </c>
      <c r="G91" t="s">
        <v>133</v>
      </c>
      <c r="H91" t="s">
        <v>148</v>
      </c>
      <c r="I91" t="s">
        <v>83</v>
      </c>
      <c r="J91" t="s">
        <v>84</v>
      </c>
      <c r="K91" t="s">
        <v>86</v>
      </c>
      <c r="L91" s="25">
        <v>44031</v>
      </c>
      <c r="M91">
        <v>7</v>
      </c>
      <c r="N91">
        <v>2020</v>
      </c>
      <c r="O91" t="s">
        <v>106</v>
      </c>
      <c r="P91">
        <v>170</v>
      </c>
      <c r="Q91" s="17">
        <v>44032.141597685186</v>
      </c>
      <c r="R91" t="s">
        <v>120</v>
      </c>
    </row>
    <row r="92" spans="1:18" x14ac:dyDescent="0.3">
      <c r="A92">
        <v>9679393</v>
      </c>
      <c r="B92" t="s">
        <v>79</v>
      </c>
      <c r="C92">
        <v>1331573</v>
      </c>
      <c r="D92" t="s">
        <v>109</v>
      </c>
      <c r="E92" t="s">
        <v>12</v>
      </c>
      <c r="F92" t="s">
        <v>12</v>
      </c>
      <c r="G92" t="s">
        <v>124</v>
      </c>
      <c r="H92" t="s">
        <v>148</v>
      </c>
      <c r="I92" t="s">
        <v>83</v>
      </c>
      <c r="J92" t="s">
        <v>84</v>
      </c>
      <c r="K92" t="s">
        <v>82</v>
      </c>
      <c r="L92" s="25">
        <v>44031</v>
      </c>
      <c r="M92">
        <v>7</v>
      </c>
      <c r="N92">
        <v>2020</v>
      </c>
      <c r="O92" t="s">
        <v>106</v>
      </c>
      <c r="P92">
        <v>170</v>
      </c>
      <c r="Q92" s="17">
        <v>44032.079888425927</v>
      </c>
      <c r="R92" t="s">
        <v>120</v>
      </c>
    </row>
    <row r="93" spans="1:18" x14ac:dyDescent="0.3">
      <c r="A93">
        <v>9687516</v>
      </c>
      <c r="B93" t="s">
        <v>79</v>
      </c>
      <c r="C93">
        <v>1330437</v>
      </c>
      <c r="D93" t="s">
        <v>109</v>
      </c>
      <c r="E93" t="s">
        <v>130</v>
      </c>
      <c r="F93" t="s">
        <v>17</v>
      </c>
      <c r="G93" t="s">
        <v>133</v>
      </c>
      <c r="H93" t="s">
        <v>148</v>
      </c>
      <c r="I93" t="s">
        <v>83</v>
      </c>
      <c r="J93" t="s">
        <v>84</v>
      </c>
      <c r="K93" t="s">
        <v>86</v>
      </c>
      <c r="L93" s="25">
        <v>44031</v>
      </c>
      <c r="M93">
        <v>7</v>
      </c>
      <c r="N93">
        <v>2020</v>
      </c>
      <c r="O93" t="s">
        <v>106</v>
      </c>
      <c r="P93">
        <v>170</v>
      </c>
      <c r="Q93" s="17">
        <v>44032.159619328704</v>
      </c>
      <c r="R93" t="s">
        <v>120</v>
      </c>
    </row>
    <row r="94" spans="1:18" x14ac:dyDescent="0.3">
      <c r="A94">
        <v>9687322</v>
      </c>
      <c r="B94" t="s">
        <v>79</v>
      </c>
      <c r="C94">
        <v>1330402</v>
      </c>
      <c r="D94" t="s">
        <v>109</v>
      </c>
      <c r="E94" t="s">
        <v>130</v>
      </c>
      <c r="F94" t="s">
        <v>17</v>
      </c>
      <c r="G94" t="s">
        <v>133</v>
      </c>
      <c r="H94" t="s">
        <v>148</v>
      </c>
      <c r="I94" t="s">
        <v>83</v>
      </c>
      <c r="J94" t="s">
        <v>84</v>
      </c>
      <c r="K94" t="s">
        <v>86</v>
      </c>
      <c r="L94" s="25">
        <v>44031</v>
      </c>
      <c r="M94">
        <v>7</v>
      </c>
      <c r="N94">
        <v>2020</v>
      </c>
      <c r="O94" t="s">
        <v>106</v>
      </c>
      <c r="P94">
        <v>170</v>
      </c>
      <c r="Q94" s="17">
        <v>44032.151930092594</v>
      </c>
      <c r="R94" t="s">
        <v>120</v>
      </c>
    </row>
    <row r="95" spans="1:18" x14ac:dyDescent="0.3">
      <c r="A95">
        <v>9687471</v>
      </c>
      <c r="B95" t="s">
        <v>79</v>
      </c>
      <c r="C95">
        <v>1330451</v>
      </c>
      <c r="D95" t="s">
        <v>109</v>
      </c>
      <c r="E95" t="s">
        <v>130</v>
      </c>
      <c r="F95" t="s">
        <v>17</v>
      </c>
      <c r="G95" t="s">
        <v>133</v>
      </c>
      <c r="H95" t="s">
        <v>148</v>
      </c>
      <c r="I95" t="s">
        <v>83</v>
      </c>
      <c r="J95" t="s">
        <v>84</v>
      </c>
      <c r="K95" t="s">
        <v>86</v>
      </c>
      <c r="L95" s="25">
        <v>44031</v>
      </c>
      <c r="M95">
        <v>7</v>
      </c>
      <c r="N95">
        <v>2020</v>
      </c>
      <c r="O95" t="s">
        <v>106</v>
      </c>
      <c r="P95">
        <v>170</v>
      </c>
      <c r="Q95" s="17">
        <v>44032.159937962962</v>
      </c>
      <c r="R95" t="s">
        <v>120</v>
      </c>
    </row>
    <row r="96" spans="1:18" x14ac:dyDescent="0.3">
      <c r="A96">
        <v>9687032</v>
      </c>
      <c r="B96" t="s">
        <v>79</v>
      </c>
      <c r="C96">
        <v>1330302</v>
      </c>
      <c r="D96" t="s">
        <v>109</v>
      </c>
      <c r="E96" t="s">
        <v>130</v>
      </c>
      <c r="F96" t="s">
        <v>17</v>
      </c>
      <c r="G96" t="s">
        <v>133</v>
      </c>
      <c r="H96" t="s">
        <v>148</v>
      </c>
      <c r="I96" t="s">
        <v>83</v>
      </c>
      <c r="J96" t="s">
        <v>84</v>
      </c>
      <c r="K96" t="s">
        <v>86</v>
      </c>
      <c r="L96" s="25">
        <v>44031</v>
      </c>
      <c r="M96">
        <v>7</v>
      </c>
      <c r="N96">
        <v>2020</v>
      </c>
      <c r="O96" t="s">
        <v>106</v>
      </c>
      <c r="P96">
        <v>170</v>
      </c>
      <c r="Q96" s="17">
        <v>44032.13803321759</v>
      </c>
      <c r="R96" t="s">
        <v>120</v>
      </c>
    </row>
    <row r="97" spans="1:18" x14ac:dyDescent="0.3">
      <c r="A97">
        <v>9684848</v>
      </c>
      <c r="B97" t="s">
        <v>72</v>
      </c>
      <c r="C97">
        <v>1336668</v>
      </c>
      <c r="D97" t="s">
        <v>104</v>
      </c>
      <c r="E97" t="s">
        <v>12</v>
      </c>
      <c r="F97" t="s">
        <v>12</v>
      </c>
      <c r="G97" t="s">
        <v>124</v>
      </c>
      <c r="H97" t="s">
        <v>95</v>
      </c>
      <c r="I97" t="s">
        <v>81</v>
      </c>
      <c r="J97" t="s">
        <v>42</v>
      </c>
      <c r="K97" t="s">
        <v>82</v>
      </c>
      <c r="L97" s="25">
        <v>44031</v>
      </c>
      <c r="M97">
        <v>7</v>
      </c>
      <c r="N97">
        <v>2020</v>
      </c>
      <c r="O97" t="s">
        <v>106</v>
      </c>
      <c r="P97">
        <v>170</v>
      </c>
      <c r="Q97" s="17">
        <v>44032.074820023146</v>
      </c>
      <c r="R97" t="s">
        <v>120</v>
      </c>
    </row>
    <row r="98" spans="1:18" x14ac:dyDescent="0.3">
      <c r="A98">
        <v>21534637</v>
      </c>
      <c r="B98" t="s">
        <v>77</v>
      </c>
      <c r="C98">
        <v>1336703</v>
      </c>
      <c r="D98" t="s">
        <v>77</v>
      </c>
      <c r="E98" t="s">
        <v>12</v>
      </c>
      <c r="F98" t="s">
        <v>12</v>
      </c>
      <c r="G98" t="s">
        <v>124</v>
      </c>
      <c r="H98" t="s">
        <v>156</v>
      </c>
      <c r="I98" t="s">
        <v>77</v>
      </c>
      <c r="J98" t="s">
        <v>42</v>
      </c>
      <c r="K98" t="s">
        <v>82</v>
      </c>
      <c r="L98" s="25">
        <v>44031</v>
      </c>
      <c r="M98">
        <v>7</v>
      </c>
      <c r="N98">
        <v>2020</v>
      </c>
      <c r="O98" t="s">
        <v>106</v>
      </c>
      <c r="P98">
        <v>170</v>
      </c>
      <c r="Q98" s="17">
        <v>44032.087515393519</v>
      </c>
      <c r="R98" t="s">
        <v>120</v>
      </c>
    </row>
    <row r="99" spans="1:18" x14ac:dyDescent="0.3">
      <c r="A99">
        <v>9674017</v>
      </c>
      <c r="B99" t="s">
        <v>72</v>
      </c>
      <c r="C99">
        <v>1320021</v>
      </c>
      <c r="D99" t="s">
        <v>104</v>
      </c>
      <c r="E99" t="s">
        <v>58</v>
      </c>
      <c r="F99" t="s">
        <v>58</v>
      </c>
      <c r="G99" t="s">
        <v>110</v>
      </c>
      <c r="H99" t="s">
        <v>161</v>
      </c>
      <c r="I99" t="s">
        <v>83</v>
      </c>
      <c r="J99" t="s">
        <v>84</v>
      </c>
      <c r="K99" t="s">
        <v>86</v>
      </c>
      <c r="L99" s="25">
        <v>44031</v>
      </c>
      <c r="M99">
        <v>7</v>
      </c>
      <c r="N99">
        <v>2020</v>
      </c>
      <c r="O99" t="s">
        <v>106</v>
      </c>
      <c r="P99">
        <v>170</v>
      </c>
      <c r="Q99" s="17">
        <v>44032.437662152777</v>
      </c>
      <c r="R99" t="s">
        <v>107</v>
      </c>
    </row>
    <row r="100" spans="1:18" x14ac:dyDescent="0.3">
      <c r="A100">
        <v>9690340</v>
      </c>
      <c r="B100" t="s">
        <v>72</v>
      </c>
      <c r="C100">
        <v>1331553</v>
      </c>
      <c r="D100" t="s">
        <v>104</v>
      </c>
      <c r="E100" t="s">
        <v>57</v>
      </c>
      <c r="F100" t="s">
        <v>57</v>
      </c>
      <c r="G100" t="s">
        <v>105</v>
      </c>
      <c r="H100" t="s">
        <v>161</v>
      </c>
      <c r="I100" t="s">
        <v>83</v>
      </c>
      <c r="J100" t="s">
        <v>84</v>
      </c>
      <c r="K100" t="s">
        <v>86</v>
      </c>
      <c r="L100" s="25">
        <v>44031</v>
      </c>
      <c r="M100">
        <v>7</v>
      </c>
      <c r="N100">
        <v>2020</v>
      </c>
      <c r="O100" t="s">
        <v>106</v>
      </c>
      <c r="P100">
        <v>170</v>
      </c>
      <c r="Q100" s="17">
        <v>44032.422532870369</v>
      </c>
      <c r="R100" t="s">
        <v>107</v>
      </c>
    </row>
    <row r="101" spans="1:18" x14ac:dyDescent="0.3">
      <c r="A101">
        <v>9689274</v>
      </c>
      <c r="B101" t="s">
        <v>72</v>
      </c>
      <c r="C101">
        <v>1331658</v>
      </c>
      <c r="D101" t="s">
        <v>104</v>
      </c>
      <c r="E101" t="s">
        <v>58</v>
      </c>
      <c r="F101" t="s">
        <v>58</v>
      </c>
      <c r="G101" t="s">
        <v>110</v>
      </c>
      <c r="H101" t="s">
        <v>161</v>
      </c>
      <c r="I101" t="s">
        <v>83</v>
      </c>
      <c r="J101" t="s">
        <v>84</v>
      </c>
      <c r="K101" t="s">
        <v>86</v>
      </c>
      <c r="L101" s="25">
        <v>44031</v>
      </c>
      <c r="M101">
        <v>7</v>
      </c>
      <c r="N101">
        <v>2020</v>
      </c>
      <c r="O101" t="s">
        <v>106</v>
      </c>
      <c r="P101">
        <v>170</v>
      </c>
      <c r="Q101" s="17">
        <v>44032.431870023145</v>
      </c>
      <c r="R101" t="s">
        <v>108</v>
      </c>
    </row>
    <row r="102" spans="1:18" x14ac:dyDescent="0.3">
      <c r="A102">
        <v>9680456</v>
      </c>
      <c r="B102" t="s">
        <v>72</v>
      </c>
      <c r="C102">
        <v>1331917</v>
      </c>
      <c r="D102" t="s">
        <v>104</v>
      </c>
      <c r="E102" t="s">
        <v>57</v>
      </c>
      <c r="F102" t="s">
        <v>57</v>
      </c>
      <c r="G102" t="s">
        <v>105</v>
      </c>
      <c r="H102" t="s">
        <v>161</v>
      </c>
      <c r="I102" t="s">
        <v>83</v>
      </c>
      <c r="J102" t="s">
        <v>84</v>
      </c>
      <c r="K102" t="s">
        <v>86</v>
      </c>
      <c r="L102" s="25">
        <v>44031</v>
      </c>
      <c r="M102">
        <v>7</v>
      </c>
      <c r="N102">
        <v>2020</v>
      </c>
      <c r="O102" t="s">
        <v>106</v>
      </c>
      <c r="P102">
        <v>170</v>
      </c>
      <c r="Q102" s="17">
        <v>44032.439284953703</v>
      </c>
      <c r="R102" t="s">
        <v>107</v>
      </c>
    </row>
    <row r="103" spans="1:18" x14ac:dyDescent="0.3">
      <c r="A103">
        <v>9687080</v>
      </c>
      <c r="B103" t="s">
        <v>79</v>
      </c>
      <c r="C103">
        <v>1330322</v>
      </c>
      <c r="D103" t="s">
        <v>109</v>
      </c>
      <c r="E103" t="s">
        <v>130</v>
      </c>
      <c r="F103" t="s">
        <v>17</v>
      </c>
      <c r="G103" t="s">
        <v>133</v>
      </c>
      <c r="H103" t="s">
        <v>148</v>
      </c>
      <c r="I103" t="s">
        <v>83</v>
      </c>
      <c r="J103" t="s">
        <v>84</v>
      </c>
      <c r="K103" t="s">
        <v>86</v>
      </c>
      <c r="L103" s="25">
        <v>44031</v>
      </c>
      <c r="M103">
        <v>7</v>
      </c>
      <c r="N103">
        <v>2020</v>
      </c>
      <c r="O103" t="s">
        <v>106</v>
      </c>
      <c r="P103">
        <v>170</v>
      </c>
      <c r="Q103" s="17">
        <v>44032.138033101852</v>
      </c>
      <c r="R103" t="s">
        <v>120</v>
      </c>
    </row>
    <row r="104" spans="1:18" x14ac:dyDescent="0.3">
      <c r="A104">
        <v>21532288</v>
      </c>
      <c r="B104" t="s">
        <v>79</v>
      </c>
      <c r="C104">
        <v>1334066</v>
      </c>
      <c r="D104" t="s">
        <v>109</v>
      </c>
      <c r="E104" t="s">
        <v>12</v>
      </c>
      <c r="F104" t="s">
        <v>12</v>
      </c>
      <c r="G104" t="s">
        <v>124</v>
      </c>
      <c r="H104" t="s">
        <v>148</v>
      </c>
      <c r="I104" t="s">
        <v>83</v>
      </c>
      <c r="J104" t="s">
        <v>84</v>
      </c>
      <c r="K104" t="s">
        <v>82</v>
      </c>
      <c r="L104" s="25">
        <v>44031</v>
      </c>
      <c r="M104">
        <v>7</v>
      </c>
      <c r="N104">
        <v>2020</v>
      </c>
      <c r="O104" t="s">
        <v>106</v>
      </c>
      <c r="P104">
        <v>170</v>
      </c>
      <c r="Q104" s="17">
        <v>44032.075532407405</v>
      </c>
      <c r="R104" t="s">
        <v>120</v>
      </c>
    </row>
    <row r="105" spans="1:18" x14ac:dyDescent="0.3">
      <c r="A105">
        <v>245736</v>
      </c>
      <c r="B105" t="s">
        <v>77</v>
      </c>
      <c r="C105">
        <v>1336874</v>
      </c>
      <c r="D105" t="s">
        <v>77</v>
      </c>
      <c r="E105" t="s">
        <v>12</v>
      </c>
      <c r="F105" t="s">
        <v>12</v>
      </c>
      <c r="G105" t="s">
        <v>124</v>
      </c>
      <c r="H105" t="s">
        <v>150</v>
      </c>
      <c r="I105" t="s">
        <v>77</v>
      </c>
      <c r="J105" t="s">
        <v>42</v>
      </c>
      <c r="K105" t="s">
        <v>82</v>
      </c>
      <c r="L105" s="25">
        <v>44031</v>
      </c>
      <c r="M105">
        <v>7</v>
      </c>
      <c r="N105">
        <v>2020</v>
      </c>
      <c r="O105" t="s">
        <v>106</v>
      </c>
      <c r="P105">
        <v>171</v>
      </c>
      <c r="Q105" s="17">
        <v>44032.092578935182</v>
      </c>
      <c r="R105" t="s">
        <v>120</v>
      </c>
    </row>
    <row r="106" spans="1:18" x14ac:dyDescent="0.3">
      <c r="A106">
        <v>21531447</v>
      </c>
      <c r="B106" t="s">
        <v>78</v>
      </c>
      <c r="C106">
        <v>1333766</v>
      </c>
      <c r="D106" t="s">
        <v>112</v>
      </c>
      <c r="E106" t="s">
        <v>12</v>
      </c>
      <c r="F106" t="s">
        <v>12</v>
      </c>
      <c r="G106" t="s">
        <v>124</v>
      </c>
      <c r="H106" t="s">
        <v>150</v>
      </c>
      <c r="I106" t="s">
        <v>81</v>
      </c>
      <c r="J106" t="s">
        <v>42</v>
      </c>
      <c r="K106" t="s">
        <v>82</v>
      </c>
      <c r="L106" s="25">
        <v>44031</v>
      </c>
      <c r="M106">
        <v>7</v>
      </c>
      <c r="N106">
        <v>2020</v>
      </c>
      <c r="O106" t="s">
        <v>106</v>
      </c>
      <c r="P106">
        <v>170</v>
      </c>
      <c r="Q106" s="17">
        <v>44032.080059375003</v>
      </c>
      <c r="R106" t="s">
        <v>120</v>
      </c>
    </row>
    <row r="107" spans="1:18" x14ac:dyDescent="0.3">
      <c r="A107">
        <v>242517</v>
      </c>
      <c r="B107" t="s">
        <v>79</v>
      </c>
      <c r="C107">
        <v>1323965</v>
      </c>
      <c r="D107" t="s">
        <v>116</v>
      </c>
      <c r="E107" t="s">
        <v>26</v>
      </c>
      <c r="F107" t="s">
        <v>26</v>
      </c>
      <c r="G107" t="s">
        <v>126</v>
      </c>
      <c r="H107" t="s">
        <v>163</v>
      </c>
      <c r="I107" t="s">
        <v>83</v>
      </c>
      <c r="J107" t="s">
        <v>84</v>
      </c>
      <c r="K107" t="s">
        <v>82</v>
      </c>
      <c r="L107" s="25">
        <v>44031</v>
      </c>
      <c r="M107">
        <v>7</v>
      </c>
      <c r="N107">
        <v>2020</v>
      </c>
      <c r="O107" t="s">
        <v>106</v>
      </c>
      <c r="P107">
        <v>170</v>
      </c>
      <c r="Q107" s="17">
        <v>44029.839090972222</v>
      </c>
      <c r="R107" t="s">
        <v>120</v>
      </c>
    </row>
    <row r="108" spans="1:18" x14ac:dyDescent="0.3">
      <c r="A108">
        <v>21531327</v>
      </c>
      <c r="B108" t="s">
        <v>72</v>
      </c>
      <c r="C108">
        <v>1334023</v>
      </c>
      <c r="D108" t="s">
        <v>104</v>
      </c>
      <c r="E108" t="s">
        <v>12</v>
      </c>
      <c r="F108" t="s">
        <v>12</v>
      </c>
      <c r="G108" t="s">
        <v>124</v>
      </c>
      <c r="H108" t="s">
        <v>95</v>
      </c>
      <c r="I108" t="s">
        <v>81</v>
      </c>
      <c r="J108" t="s">
        <v>42</v>
      </c>
      <c r="K108" t="s">
        <v>82</v>
      </c>
      <c r="L108" s="25">
        <v>44031</v>
      </c>
      <c r="M108">
        <v>7</v>
      </c>
      <c r="N108">
        <v>2020</v>
      </c>
      <c r="O108" t="s">
        <v>106</v>
      </c>
      <c r="P108">
        <v>170</v>
      </c>
      <c r="Q108" s="17">
        <v>44032.078005439813</v>
      </c>
      <c r="R108" t="s">
        <v>120</v>
      </c>
    </row>
    <row r="109" spans="1:18" x14ac:dyDescent="0.3">
      <c r="A109">
        <v>9687039</v>
      </c>
      <c r="B109" t="s">
        <v>79</v>
      </c>
      <c r="C109">
        <v>1330279</v>
      </c>
      <c r="D109" t="s">
        <v>109</v>
      </c>
      <c r="E109" t="s">
        <v>130</v>
      </c>
      <c r="F109" t="s">
        <v>17</v>
      </c>
      <c r="G109" t="s">
        <v>133</v>
      </c>
      <c r="H109" t="s">
        <v>148</v>
      </c>
      <c r="I109" t="s">
        <v>83</v>
      </c>
      <c r="J109" t="s">
        <v>84</v>
      </c>
      <c r="K109" t="s">
        <v>86</v>
      </c>
      <c r="L109" s="25">
        <v>44031</v>
      </c>
      <c r="M109">
        <v>7</v>
      </c>
      <c r="N109">
        <v>2020</v>
      </c>
      <c r="O109" t="s">
        <v>106</v>
      </c>
      <c r="P109">
        <v>170</v>
      </c>
      <c r="Q109" s="17">
        <v>44032.13308576389</v>
      </c>
      <c r="R109" t="s">
        <v>120</v>
      </c>
    </row>
    <row r="110" spans="1:18" x14ac:dyDescent="0.3">
      <c r="A110">
        <v>9687323</v>
      </c>
      <c r="B110" t="s">
        <v>79</v>
      </c>
      <c r="C110">
        <v>1330388</v>
      </c>
      <c r="D110" t="s">
        <v>109</v>
      </c>
      <c r="E110" t="s">
        <v>130</v>
      </c>
      <c r="F110" t="s">
        <v>17</v>
      </c>
      <c r="G110" t="s">
        <v>133</v>
      </c>
      <c r="H110" t="s">
        <v>148</v>
      </c>
      <c r="I110" t="s">
        <v>83</v>
      </c>
      <c r="J110" t="s">
        <v>84</v>
      </c>
      <c r="K110" t="s">
        <v>86</v>
      </c>
      <c r="L110" s="25">
        <v>44031</v>
      </c>
      <c r="M110">
        <v>7</v>
      </c>
      <c r="N110">
        <v>2020</v>
      </c>
      <c r="O110" t="s">
        <v>106</v>
      </c>
      <c r="P110">
        <v>170</v>
      </c>
      <c r="Q110" s="17">
        <v>44032.42617997685</v>
      </c>
      <c r="R110" t="s">
        <v>120</v>
      </c>
    </row>
    <row r="111" spans="1:18" x14ac:dyDescent="0.3">
      <c r="A111">
        <v>9687046</v>
      </c>
      <c r="B111" t="s">
        <v>79</v>
      </c>
      <c r="C111">
        <v>1330288</v>
      </c>
      <c r="D111" t="s">
        <v>109</v>
      </c>
      <c r="E111" t="s">
        <v>130</v>
      </c>
      <c r="F111" t="s">
        <v>17</v>
      </c>
      <c r="G111" t="s">
        <v>133</v>
      </c>
      <c r="H111" t="s">
        <v>148</v>
      </c>
      <c r="I111" t="s">
        <v>83</v>
      </c>
      <c r="J111" t="s">
        <v>84</v>
      </c>
      <c r="K111" t="s">
        <v>86</v>
      </c>
      <c r="L111" s="25">
        <v>44031</v>
      </c>
      <c r="M111">
        <v>7</v>
      </c>
      <c r="N111">
        <v>2020</v>
      </c>
      <c r="O111" t="s">
        <v>106</v>
      </c>
      <c r="P111">
        <v>170</v>
      </c>
      <c r="Q111" s="17">
        <v>44032.130892824076</v>
      </c>
      <c r="R111" t="s">
        <v>120</v>
      </c>
    </row>
    <row r="112" spans="1:18" x14ac:dyDescent="0.3">
      <c r="A112">
        <v>9683860</v>
      </c>
      <c r="B112" t="s">
        <v>78</v>
      </c>
      <c r="C112">
        <v>1333087</v>
      </c>
      <c r="D112" t="s">
        <v>112</v>
      </c>
      <c r="E112" t="s">
        <v>12</v>
      </c>
      <c r="F112" t="s">
        <v>12</v>
      </c>
      <c r="G112" t="s">
        <v>124</v>
      </c>
      <c r="H112" t="s">
        <v>162</v>
      </c>
      <c r="I112" t="s">
        <v>81</v>
      </c>
      <c r="J112" t="s">
        <v>42</v>
      </c>
      <c r="K112" t="s">
        <v>82</v>
      </c>
      <c r="L112" s="25">
        <v>44031</v>
      </c>
      <c r="M112">
        <v>7</v>
      </c>
      <c r="N112">
        <v>2020</v>
      </c>
      <c r="O112" t="s">
        <v>106</v>
      </c>
      <c r="P112">
        <v>170</v>
      </c>
      <c r="Q112" s="17">
        <v>44032.077560069447</v>
      </c>
      <c r="R112" t="s">
        <v>120</v>
      </c>
    </row>
    <row r="113" spans="1:18" x14ac:dyDescent="0.3">
      <c r="A113">
        <v>9687698</v>
      </c>
      <c r="B113" t="s">
        <v>72</v>
      </c>
      <c r="C113">
        <v>1330717</v>
      </c>
      <c r="D113" t="s">
        <v>104</v>
      </c>
      <c r="E113">
        <v>820</v>
      </c>
      <c r="F113">
        <v>820</v>
      </c>
      <c r="G113" t="s">
        <v>125</v>
      </c>
      <c r="H113" t="s">
        <v>155</v>
      </c>
      <c r="I113" t="s">
        <v>81</v>
      </c>
      <c r="J113" t="s">
        <v>42</v>
      </c>
      <c r="K113" t="s">
        <v>82</v>
      </c>
      <c r="L113" s="25">
        <v>44031</v>
      </c>
      <c r="M113">
        <v>7</v>
      </c>
      <c r="N113">
        <v>2020</v>
      </c>
      <c r="O113" t="s">
        <v>106</v>
      </c>
      <c r="P113">
        <v>170</v>
      </c>
      <c r="Q113" s="17">
        <v>44032.199228819445</v>
      </c>
      <c r="R113" t="s">
        <v>120</v>
      </c>
    </row>
    <row r="114" spans="1:18" x14ac:dyDescent="0.3">
      <c r="A114">
        <v>21533641</v>
      </c>
      <c r="B114" t="s">
        <v>78</v>
      </c>
      <c r="C114">
        <v>1336597</v>
      </c>
      <c r="D114" t="s">
        <v>112</v>
      </c>
      <c r="E114" t="s">
        <v>12</v>
      </c>
      <c r="F114" t="s">
        <v>12</v>
      </c>
      <c r="G114" t="s">
        <v>124</v>
      </c>
      <c r="H114" t="s">
        <v>156</v>
      </c>
      <c r="I114" t="s">
        <v>81</v>
      </c>
      <c r="J114" t="s">
        <v>42</v>
      </c>
      <c r="K114" t="s">
        <v>82</v>
      </c>
      <c r="L114" s="25">
        <v>44031</v>
      </c>
      <c r="M114">
        <v>7</v>
      </c>
      <c r="N114">
        <v>2020</v>
      </c>
      <c r="O114" t="s">
        <v>106</v>
      </c>
      <c r="P114">
        <v>170</v>
      </c>
      <c r="Q114" s="17">
        <v>44032.087203703704</v>
      </c>
      <c r="R114" t="s">
        <v>120</v>
      </c>
    </row>
    <row r="115" spans="1:18" x14ac:dyDescent="0.3">
      <c r="A115">
        <v>9676555</v>
      </c>
      <c r="B115" t="s">
        <v>72</v>
      </c>
      <c r="C115">
        <v>1320079</v>
      </c>
      <c r="D115" t="s">
        <v>104</v>
      </c>
      <c r="E115" t="s">
        <v>58</v>
      </c>
      <c r="F115" t="s">
        <v>58</v>
      </c>
      <c r="G115" t="s">
        <v>110</v>
      </c>
      <c r="H115" t="s">
        <v>161</v>
      </c>
      <c r="I115" t="s">
        <v>83</v>
      </c>
      <c r="J115" t="s">
        <v>84</v>
      </c>
      <c r="K115" t="s">
        <v>86</v>
      </c>
      <c r="L115" s="25">
        <v>44031</v>
      </c>
      <c r="M115">
        <v>7</v>
      </c>
      <c r="N115">
        <v>2020</v>
      </c>
      <c r="O115" t="s">
        <v>106</v>
      </c>
      <c r="P115">
        <v>170</v>
      </c>
      <c r="Q115" s="17">
        <v>44032.439295138887</v>
      </c>
      <c r="R115" t="s">
        <v>107</v>
      </c>
    </row>
    <row r="116" spans="1:18" x14ac:dyDescent="0.3">
      <c r="A116">
        <v>9678917</v>
      </c>
      <c r="B116" t="s">
        <v>72</v>
      </c>
      <c r="C116">
        <v>1321122</v>
      </c>
      <c r="D116" t="s">
        <v>104</v>
      </c>
      <c r="E116" t="s">
        <v>58</v>
      </c>
      <c r="F116" t="s">
        <v>58</v>
      </c>
      <c r="G116" t="s">
        <v>110</v>
      </c>
      <c r="H116" t="s">
        <v>161</v>
      </c>
      <c r="I116" t="s">
        <v>83</v>
      </c>
      <c r="J116" t="s">
        <v>84</v>
      </c>
      <c r="K116" t="s">
        <v>86</v>
      </c>
      <c r="L116" s="25">
        <v>44031</v>
      </c>
      <c r="M116">
        <v>7</v>
      </c>
      <c r="N116">
        <v>2020</v>
      </c>
      <c r="O116" t="s">
        <v>106</v>
      </c>
      <c r="P116">
        <v>170</v>
      </c>
      <c r="Q116" s="17">
        <v>44032.45261886574</v>
      </c>
      <c r="R116" t="s">
        <v>107</v>
      </c>
    </row>
    <row r="117" spans="1:18" x14ac:dyDescent="0.3">
      <c r="A117">
        <v>9687040</v>
      </c>
      <c r="B117" t="s">
        <v>79</v>
      </c>
      <c r="C117">
        <v>1330282</v>
      </c>
      <c r="D117" t="s">
        <v>109</v>
      </c>
      <c r="E117" t="s">
        <v>130</v>
      </c>
      <c r="F117" t="s">
        <v>17</v>
      </c>
      <c r="G117" t="s">
        <v>133</v>
      </c>
      <c r="H117" t="s">
        <v>148</v>
      </c>
      <c r="I117" t="s">
        <v>83</v>
      </c>
      <c r="J117" t="s">
        <v>84</v>
      </c>
      <c r="K117" t="s">
        <v>86</v>
      </c>
      <c r="L117" s="25">
        <v>44031</v>
      </c>
      <c r="M117">
        <v>7</v>
      </c>
      <c r="N117">
        <v>2020</v>
      </c>
      <c r="O117" t="s">
        <v>106</v>
      </c>
      <c r="P117">
        <v>170</v>
      </c>
      <c r="Q117" s="17">
        <v>44032.419036921296</v>
      </c>
      <c r="R117" t="s">
        <v>120</v>
      </c>
    </row>
    <row r="118" spans="1:18" x14ac:dyDescent="0.3">
      <c r="A118">
        <v>9687474</v>
      </c>
      <c r="B118" t="s">
        <v>79</v>
      </c>
      <c r="C118">
        <v>1330457</v>
      </c>
      <c r="D118" t="s">
        <v>109</v>
      </c>
      <c r="E118" t="s">
        <v>130</v>
      </c>
      <c r="F118" t="s">
        <v>17</v>
      </c>
      <c r="G118" t="s">
        <v>133</v>
      </c>
      <c r="H118" t="s">
        <v>148</v>
      </c>
      <c r="I118" t="s">
        <v>83</v>
      </c>
      <c r="J118" t="s">
        <v>84</v>
      </c>
      <c r="K118" t="s">
        <v>86</v>
      </c>
      <c r="L118" s="25">
        <v>44031</v>
      </c>
      <c r="M118">
        <v>7</v>
      </c>
      <c r="N118">
        <v>2020</v>
      </c>
      <c r="O118" t="s">
        <v>106</v>
      </c>
      <c r="P118">
        <v>170</v>
      </c>
      <c r="Q118" s="17">
        <v>44032.165548379628</v>
      </c>
      <c r="R118" t="s">
        <v>120</v>
      </c>
    </row>
    <row r="119" spans="1:18" x14ac:dyDescent="0.3">
      <c r="A119">
        <v>9687350</v>
      </c>
      <c r="B119" t="s">
        <v>79</v>
      </c>
      <c r="C119">
        <v>1330414</v>
      </c>
      <c r="D119" t="s">
        <v>109</v>
      </c>
      <c r="E119" t="s">
        <v>130</v>
      </c>
      <c r="F119" t="s">
        <v>17</v>
      </c>
      <c r="G119" t="s">
        <v>133</v>
      </c>
      <c r="H119" t="s">
        <v>148</v>
      </c>
      <c r="I119" t="s">
        <v>83</v>
      </c>
      <c r="J119" t="s">
        <v>84</v>
      </c>
      <c r="K119" t="s">
        <v>86</v>
      </c>
      <c r="L119" s="25">
        <v>44031</v>
      </c>
      <c r="M119">
        <v>7</v>
      </c>
      <c r="N119">
        <v>2020</v>
      </c>
      <c r="O119" t="s">
        <v>106</v>
      </c>
      <c r="P119">
        <v>170</v>
      </c>
      <c r="Q119" s="17">
        <v>44032.153827199072</v>
      </c>
      <c r="R119" t="s">
        <v>120</v>
      </c>
    </row>
    <row r="120" spans="1:18" x14ac:dyDescent="0.3">
      <c r="A120">
        <v>9687215</v>
      </c>
      <c r="B120" t="s">
        <v>79</v>
      </c>
      <c r="C120">
        <v>1330371</v>
      </c>
      <c r="D120" t="s">
        <v>109</v>
      </c>
      <c r="E120" t="s">
        <v>130</v>
      </c>
      <c r="F120" t="s">
        <v>17</v>
      </c>
      <c r="G120" t="s">
        <v>133</v>
      </c>
      <c r="H120" t="s">
        <v>148</v>
      </c>
      <c r="I120" t="s">
        <v>83</v>
      </c>
      <c r="J120" t="s">
        <v>84</v>
      </c>
      <c r="K120" t="s">
        <v>86</v>
      </c>
      <c r="L120" s="25">
        <v>44031</v>
      </c>
      <c r="M120">
        <v>7</v>
      </c>
      <c r="N120">
        <v>2020</v>
      </c>
      <c r="O120" t="s">
        <v>106</v>
      </c>
      <c r="P120">
        <v>170</v>
      </c>
      <c r="Q120" s="17">
        <v>44032.150184143517</v>
      </c>
      <c r="R120" t="s">
        <v>120</v>
      </c>
    </row>
    <row r="121" spans="1:18" x14ac:dyDescent="0.3">
      <c r="A121">
        <v>9682734</v>
      </c>
      <c r="B121" t="s">
        <v>78</v>
      </c>
      <c r="C121">
        <v>1334762</v>
      </c>
      <c r="D121" t="s">
        <v>112</v>
      </c>
      <c r="E121" t="s">
        <v>12</v>
      </c>
      <c r="F121" t="s">
        <v>12</v>
      </c>
      <c r="G121" t="s">
        <v>124</v>
      </c>
      <c r="H121" t="s">
        <v>150</v>
      </c>
      <c r="I121" t="s">
        <v>81</v>
      </c>
      <c r="J121" t="s">
        <v>42</v>
      </c>
      <c r="K121" t="s">
        <v>82</v>
      </c>
      <c r="L121" s="25">
        <v>44031</v>
      </c>
      <c r="M121">
        <v>7</v>
      </c>
      <c r="N121">
        <v>2020</v>
      </c>
      <c r="O121" t="s">
        <v>106</v>
      </c>
      <c r="P121">
        <v>170</v>
      </c>
      <c r="Q121" s="17">
        <v>44032.08175798611</v>
      </c>
      <c r="R121" t="s">
        <v>120</v>
      </c>
    </row>
    <row r="122" spans="1:18" x14ac:dyDescent="0.3">
      <c r="A122">
        <v>9691384</v>
      </c>
      <c r="B122" t="s">
        <v>72</v>
      </c>
      <c r="C122">
        <v>1332904</v>
      </c>
      <c r="D122" t="s">
        <v>104</v>
      </c>
      <c r="E122" t="s">
        <v>12</v>
      </c>
      <c r="F122" t="s">
        <v>12</v>
      </c>
      <c r="G122" t="s">
        <v>124</v>
      </c>
      <c r="H122" t="s">
        <v>163</v>
      </c>
      <c r="I122" t="s">
        <v>83</v>
      </c>
      <c r="J122" t="s">
        <v>84</v>
      </c>
      <c r="K122" t="s">
        <v>82</v>
      </c>
      <c r="L122" s="25">
        <v>44031</v>
      </c>
      <c r="M122">
        <v>7</v>
      </c>
      <c r="N122">
        <v>2020</v>
      </c>
      <c r="O122" t="s">
        <v>106</v>
      </c>
      <c r="P122">
        <v>170</v>
      </c>
      <c r="Q122" s="17">
        <v>44032.073722800924</v>
      </c>
      <c r="R122" t="s">
        <v>120</v>
      </c>
    </row>
    <row r="123" spans="1:18" x14ac:dyDescent="0.3">
      <c r="A123">
        <v>242736</v>
      </c>
      <c r="B123" t="s">
        <v>72</v>
      </c>
      <c r="C123">
        <v>1326020</v>
      </c>
      <c r="D123" t="s">
        <v>104</v>
      </c>
      <c r="E123" t="s">
        <v>26</v>
      </c>
      <c r="F123" t="s">
        <v>26</v>
      </c>
      <c r="G123" t="s">
        <v>126</v>
      </c>
      <c r="H123" t="s">
        <v>163</v>
      </c>
      <c r="I123" t="s">
        <v>83</v>
      </c>
      <c r="J123" t="s">
        <v>84</v>
      </c>
      <c r="K123" t="s">
        <v>82</v>
      </c>
      <c r="L123" s="25">
        <v>44031</v>
      </c>
      <c r="M123">
        <v>7</v>
      </c>
      <c r="N123">
        <v>2020</v>
      </c>
      <c r="O123" t="s">
        <v>106</v>
      </c>
      <c r="P123">
        <v>170</v>
      </c>
      <c r="Q123" s="17">
        <v>44032.418332870373</v>
      </c>
      <c r="R123" t="s">
        <v>120</v>
      </c>
    </row>
    <row r="124" spans="1:18" x14ac:dyDescent="0.3">
      <c r="A124">
        <v>242462</v>
      </c>
      <c r="B124" t="s">
        <v>79</v>
      </c>
      <c r="C124">
        <v>1324480</v>
      </c>
      <c r="D124" t="s">
        <v>116</v>
      </c>
      <c r="E124" t="s">
        <v>26</v>
      </c>
      <c r="F124" t="s">
        <v>26</v>
      </c>
      <c r="G124" t="s">
        <v>126</v>
      </c>
      <c r="H124" t="s">
        <v>163</v>
      </c>
      <c r="I124" t="s">
        <v>83</v>
      </c>
      <c r="J124" t="s">
        <v>84</v>
      </c>
      <c r="K124" t="s">
        <v>82</v>
      </c>
      <c r="L124" s="25">
        <v>44031</v>
      </c>
      <c r="M124">
        <v>7</v>
      </c>
      <c r="N124">
        <v>2020</v>
      </c>
      <c r="O124" t="s">
        <v>106</v>
      </c>
      <c r="P124">
        <v>170</v>
      </c>
      <c r="Q124" s="17">
        <v>44029.852059837962</v>
      </c>
      <c r="R124" t="s">
        <v>120</v>
      </c>
    </row>
    <row r="125" spans="1:18" x14ac:dyDescent="0.3">
      <c r="A125">
        <v>245504</v>
      </c>
      <c r="B125" t="s">
        <v>78</v>
      </c>
      <c r="C125">
        <v>1337166</v>
      </c>
      <c r="D125" t="s">
        <v>112</v>
      </c>
      <c r="E125" t="s">
        <v>12</v>
      </c>
      <c r="F125" t="s">
        <v>12</v>
      </c>
      <c r="G125" t="s">
        <v>124</v>
      </c>
      <c r="H125" t="s">
        <v>150</v>
      </c>
      <c r="I125" t="s">
        <v>81</v>
      </c>
      <c r="J125" t="s">
        <v>42</v>
      </c>
      <c r="K125" t="s">
        <v>82</v>
      </c>
      <c r="L125" s="25">
        <v>44031</v>
      </c>
      <c r="M125">
        <v>7</v>
      </c>
      <c r="N125">
        <v>2020</v>
      </c>
      <c r="O125" t="s">
        <v>106</v>
      </c>
      <c r="P125">
        <v>170</v>
      </c>
      <c r="Q125" s="17">
        <v>44032.17683611111</v>
      </c>
      <c r="R125" t="s">
        <v>120</v>
      </c>
    </row>
    <row r="126" spans="1:18" x14ac:dyDescent="0.3">
      <c r="A126">
        <v>21533418</v>
      </c>
      <c r="B126" t="s">
        <v>78</v>
      </c>
      <c r="C126">
        <v>1335380</v>
      </c>
      <c r="D126" t="s">
        <v>112</v>
      </c>
      <c r="E126" t="s">
        <v>12</v>
      </c>
      <c r="F126" t="s">
        <v>12</v>
      </c>
      <c r="G126" t="s">
        <v>124</v>
      </c>
      <c r="H126" t="s">
        <v>150</v>
      </c>
      <c r="I126" t="s">
        <v>81</v>
      </c>
      <c r="J126" t="s">
        <v>42</v>
      </c>
      <c r="K126" t="s">
        <v>82</v>
      </c>
      <c r="L126" s="25">
        <v>44031</v>
      </c>
      <c r="M126">
        <v>7</v>
      </c>
      <c r="N126">
        <v>2020</v>
      </c>
      <c r="O126" t="s">
        <v>106</v>
      </c>
      <c r="P126">
        <v>170</v>
      </c>
      <c r="Q126" s="17">
        <v>44032.084546064812</v>
      </c>
      <c r="R126" t="s">
        <v>120</v>
      </c>
    </row>
    <row r="127" spans="1:18" x14ac:dyDescent="0.3">
      <c r="A127">
        <v>242271</v>
      </c>
      <c r="B127" t="s">
        <v>72</v>
      </c>
      <c r="C127">
        <v>1322837</v>
      </c>
      <c r="D127" t="s">
        <v>104</v>
      </c>
      <c r="E127" t="s">
        <v>118</v>
      </c>
      <c r="F127" t="s">
        <v>17</v>
      </c>
      <c r="G127" t="s">
        <v>119</v>
      </c>
      <c r="H127" t="s">
        <v>153</v>
      </c>
      <c r="I127" t="s">
        <v>81</v>
      </c>
      <c r="J127" t="s">
        <v>42</v>
      </c>
      <c r="K127" t="s">
        <v>86</v>
      </c>
      <c r="L127" s="25">
        <v>44031</v>
      </c>
      <c r="M127">
        <v>7</v>
      </c>
      <c r="N127">
        <v>2020</v>
      </c>
      <c r="O127" t="s">
        <v>106</v>
      </c>
      <c r="P127">
        <v>170</v>
      </c>
      <c r="Q127" s="17">
        <v>44032.158947222226</v>
      </c>
      <c r="R127" t="s">
        <v>120</v>
      </c>
    </row>
    <row r="128" spans="1:18" x14ac:dyDescent="0.3">
      <c r="A128">
        <v>245871</v>
      </c>
      <c r="B128" t="s">
        <v>72</v>
      </c>
      <c r="C128">
        <v>1336941</v>
      </c>
      <c r="D128" t="s">
        <v>104</v>
      </c>
      <c r="E128" t="s">
        <v>12</v>
      </c>
      <c r="F128" t="s">
        <v>12</v>
      </c>
      <c r="G128" t="s">
        <v>124</v>
      </c>
      <c r="H128" t="s">
        <v>163</v>
      </c>
      <c r="I128" t="s">
        <v>83</v>
      </c>
      <c r="J128" t="s">
        <v>84</v>
      </c>
      <c r="K128" t="s">
        <v>82</v>
      </c>
      <c r="L128" s="25">
        <v>44031</v>
      </c>
      <c r="M128">
        <v>7</v>
      </c>
      <c r="N128">
        <v>2020</v>
      </c>
      <c r="O128" t="s">
        <v>106</v>
      </c>
      <c r="P128">
        <v>171</v>
      </c>
      <c r="Q128" s="17">
        <v>44032.089932291667</v>
      </c>
      <c r="R128" t="s">
        <v>120</v>
      </c>
    </row>
    <row r="129" spans="1:18" x14ac:dyDescent="0.3">
      <c r="A129">
        <v>21529106</v>
      </c>
      <c r="B129" t="s">
        <v>79</v>
      </c>
      <c r="C129">
        <v>1326845</v>
      </c>
      <c r="D129" t="s">
        <v>116</v>
      </c>
      <c r="E129" t="s">
        <v>26</v>
      </c>
      <c r="F129" t="s">
        <v>26</v>
      </c>
      <c r="G129" t="s">
        <v>126</v>
      </c>
      <c r="H129" t="s">
        <v>163</v>
      </c>
      <c r="I129" t="s">
        <v>83</v>
      </c>
      <c r="J129" t="s">
        <v>84</v>
      </c>
      <c r="K129" t="s">
        <v>82</v>
      </c>
      <c r="L129" s="25">
        <v>44031</v>
      </c>
      <c r="M129">
        <v>7</v>
      </c>
      <c r="N129">
        <v>2020</v>
      </c>
      <c r="O129" t="s">
        <v>106</v>
      </c>
      <c r="P129">
        <v>170</v>
      </c>
      <c r="Q129" s="17">
        <v>44029.946391203703</v>
      </c>
      <c r="R129" t="s">
        <v>120</v>
      </c>
    </row>
    <row r="130" spans="1:18" x14ac:dyDescent="0.3">
      <c r="A130">
        <v>9687325</v>
      </c>
      <c r="B130" t="s">
        <v>79</v>
      </c>
      <c r="C130">
        <v>1330389</v>
      </c>
      <c r="D130" t="s">
        <v>109</v>
      </c>
      <c r="E130" t="s">
        <v>130</v>
      </c>
      <c r="F130" t="s">
        <v>17</v>
      </c>
      <c r="G130" t="s">
        <v>133</v>
      </c>
      <c r="H130" t="s">
        <v>148</v>
      </c>
      <c r="I130" t="s">
        <v>83</v>
      </c>
      <c r="J130" t="s">
        <v>84</v>
      </c>
      <c r="K130" t="s">
        <v>86</v>
      </c>
      <c r="L130" s="25">
        <v>44031</v>
      </c>
      <c r="M130">
        <v>7</v>
      </c>
      <c r="N130">
        <v>2020</v>
      </c>
      <c r="O130" t="s">
        <v>106</v>
      </c>
      <c r="P130">
        <v>170</v>
      </c>
      <c r="Q130" s="17">
        <v>44032.151133333333</v>
      </c>
      <c r="R130" t="s">
        <v>120</v>
      </c>
    </row>
    <row r="131" spans="1:18" x14ac:dyDescent="0.3">
      <c r="A131">
        <v>21533468</v>
      </c>
      <c r="B131" t="s">
        <v>72</v>
      </c>
      <c r="C131">
        <v>1335902</v>
      </c>
      <c r="D131" t="s">
        <v>104</v>
      </c>
      <c r="E131" t="s">
        <v>12</v>
      </c>
      <c r="F131" t="s">
        <v>12</v>
      </c>
      <c r="G131" t="s">
        <v>124</v>
      </c>
      <c r="H131" t="s">
        <v>95</v>
      </c>
      <c r="I131" t="s">
        <v>81</v>
      </c>
      <c r="J131" t="s">
        <v>42</v>
      </c>
      <c r="K131" t="s">
        <v>82</v>
      </c>
      <c r="L131" s="25">
        <v>44031</v>
      </c>
      <c r="M131">
        <v>7</v>
      </c>
      <c r="N131">
        <v>2020</v>
      </c>
      <c r="O131" t="s">
        <v>106</v>
      </c>
      <c r="P131">
        <v>170</v>
      </c>
      <c r="Q131" s="17">
        <v>44032.082278240741</v>
      </c>
      <c r="R131" t="s">
        <v>120</v>
      </c>
    </row>
    <row r="132" spans="1:18" x14ac:dyDescent="0.3">
      <c r="A132">
        <v>21527737</v>
      </c>
      <c r="B132" t="s">
        <v>72</v>
      </c>
      <c r="C132">
        <v>1326759</v>
      </c>
      <c r="D132" t="s">
        <v>104</v>
      </c>
      <c r="E132" t="s">
        <v>26</v>
      </c>
      <c r="F132" t="s">
        <v>26</v>
      </c>
      <c r="G132" t="s">
        <v>126</v>
      </c>
      <c r="H132" t="s">
        <v>160</v>
      </c>
      <c r="I132" t="s">
        <v>81</v>
      </c>
      <c r="J132" t="s">
        <v>42</v>
      </c>
      <c r="K132" t="s">
        <v>82</v>
      </c>
      <c r="L132" s="25">
        <v>44031</v>
      </c>
      <c r="M132">
        <v>7</v>
      </c>
      <c r="N132">
        <v>2020</v>
      </c>
      <c r="O132" t="s">
        <v>106</v>
      </c>
      <c r="P132">
        <v>170</v>
      </c>
      <c r="Q132" s="17">
        <v>44032.089401736113</v>
      </c>
      <c r="R132" t="s">
        <v>120</v>
      </c>
    </row>
    <row r="133" spans="1:18" x14ac:dyDescent="0.3">
      <c r="A133">
        <v>9687043</v>
      </c>
      <c r="B133" t="s">
        <v>79</v>
      </c>
      <c r="C133">
        <v>1330286</v>
      </c>
      <c r="D133" t="s">
        <v>109</v>
      </c>
      <c r="E133" t="s">
        <v>130</v>
      </c>
      <c r="F133" t="s">
        <v>17</v>
      </c>
      <c r="G133" t="s">
        <v>133</v>
      </c>
      <c r="H133" t="s">
        <v>148</v>
      </c>
      <c r="I133" t="s">
        <v>83</v>
      </c>
      <c r="J133" t="s">
        <v>84</v>
      </c>
      <c r="K133" t="s">
        <v>86</v>
      </c>
      <c r="L133" s="25">
        <v>44031</v>
      </c>
      <c r="M133">
        <v>7</v>
      </c>
      <c r="N133">
        <v>2020</v>
      </c>
      <c r="O133" t="s">
        <v>106</v>
      </c>
      <c r="P133">
        <v>170</v>
      </c>
      <c r="Q133" s="17">
        <v>44032.132804398148</v>
      </c>
      <c r="R133" t="s">
        <v>120</v>
      </c>
    </row>
    <row r="134" spans="1:18" x14ac:dyDescent="0.3">
      <c r="A134">
        <v>245592</v>
      </c>
      <c r="B134" t="s">
        <v>78</v>
      </c>
      <c r="C134">
        <v>1337187</v>
      </c>
      <c r="D134" t="s">
        <v>112</v>
      </c>
      <c r="E134" t="s">
        <v>12</v>
      </c>
      <c r="F134" t="s">
        <v>12</v>
      </c>
      <c r="G134" t="s">
        <v>124</v>
      </c>
      <c r="H134" t="s">
        <v>150</v>
      </c>
      <c r="I134" t="s">
        <v>81</v>
      </c>
      <c r="J134" t="s">
        <v>42</v>
      </c>
      <c r="K134" t="s">
        <v>82</v>
      </c>
      <c r="L134" s="25">
        <v>44031</v>
      </c>
      <c r="M134">
        <v>7</v>
      </c>
      <c r="N134">
        <v>2020</v>
      </c>
      <c r="O134" t="s">
        <v>106</v>
      </c>
      <c r="P134">
        <v>170</v>
      </c>
      <c r="Q134" s="17">
        <v>44032.179560069446</v>
      </c>
      <c r="R134" t="s">
        <v>120</v>
      </c>
    </row>
    <row r="135" spans="1:18" x14ac:dyDescent="0.3">
      <c r="A135">
        <v>9688406</v>
      </c>
      <c r="B135" t="s">
        <v>78</v>
      </c>
      <c r="C135">
        <v>1331754</v>
      </c>
      <c r="D135" t="s">
        <v>112</v>
      </c>
      <c r="E135" t="s">
        <v>12</v>
      </c>
      <c r="F135" t="s">
        <v>12</v>
      </c>
      <c r="G135" t="s">
        <v>124</v>
      </c>
      <c r="H135" t="s">
        <v>156</v>
      </c>
      <c r="I135" t="s">
        <v>81</v>
      </c>
      <c r="J135" t="s">
        <v>42</v>
      </c>
      <c r="K135" t="s">
        <v>82</v>
      </c>
      <c r="L135" s="25">
        <v>44031</v>
      </c>
      <c r="M135">
        <v>7</v>
      </c>
      <c r="N135">
        <v>2020</v>
      </c>
      <c r="O135" t="s">
        <v>106</v>
      </c>
      <c r="P135">
        <v>170</v>
      </c>
      <c r="Q135" s="17">
        <v>44032.076221990741</v>
      </c>
      <c r="R135" t="s">
        <v>120</v>
      </c>
    </row>
    <row r="136" spans="1:18" x14ac:dyDescent="0.3">
      <c r="A136">
        <v>9687055</v>
      </c>
      <c r="B136" t="s">
        <v>79</v>
      </c>
      <c r="C136">
        <v>1330317</v>
      </c>
      <c r="D136" t="s">
        <v>109</v>
      </c>
      <c r="E136" t="s">
        <v>130</v>
      </c>
      <c r="F136" t="s">
        <v>17</v>
      </c>
      <c r="G136" t="s">
        <v>133</v>
      </c>
      <c r="H136" t="s">
        <v>148</v>
      </c>
      <c r="I136" t="s">
        <v>83</v>
      </c>
      <c r="J136" t="s">
        <v>84</v>
      </c>
      <c r="K136" t="s">
        <v>86</v>
      </c>
      <c r="L136" s="25">
        <v>44031</v>
      </c>
      <c r="M136">
        <v>7</v>
      </c>
      <c r="N136">
        <v>2020</v>
      </c>
      <c r="O136" t="s">
        <v>106</v>
      </c>
      <c r="P136">
        <v>170</v>
      </c>
      <c r="Q136" s="17">
        <v>44032.133630439814</v>
      </c>
      <c r="R136" t="s">
        <v>120</v>
      </c>
    </row>
    <row r="137" spans="1:18" x14ac:dyDescent="0.3">
      <c r="A137">
        <v>21533636</v>
      </c>
      <c r="B137" t="s">
        <v>72</v>
      </c>
      <c r="C137">
        <v>1333712</v>
      </c>
      <c r="D137" t="s">
        <v>104</v>
      </c>
      <c r="E137" t="s">
        <v>12</v>
      </c>
      <c r="F137" t="s">
        <v>12</v>
      </c>
      <c r="G137" t="s">
        <v>124</v>
      </c>
      <c r="H137" t="s">
        <v>95</v>
      </c>
      <c r="I137" t="s">
        <v>81</v>
      </c>
      <c r="J137" t="s">
        <v>42</v>
      </c>
      <c r="K137" t="s">
        <v>82</v>
      </c>
      <c r="L137" s="25">
        <v>44031</v>
      </c>
      <c r="M137">
        <v>7</v>
      </c>
      <c r="N137">
        <v>2020</v>
      </c>
      <c r="O137" t="s">
        <v>106</v>
      </c>
      <c r="P137">
        <v>170</v>
      </c>
      <c r="Q137" s="17">
        <v>44032.081692361113</v>
      </c>
      <c r="R137" t="s">
        <v>120</v>
      </c>
    </row>
    <row r="138" spans="1:18" x14ac:dyDescent="0.3">
      <c r="A138">
        <v>9687329</v>
      </c>
      <c r="B138" t="s">
        <v>79</v>
      </c>
      <c r="C138">
        <v>1330418</v>
      </c>
      <c r="D138" t="s">
        <v>109</v>
      </c>
      <c r="E138" t="s">
        <v>130</v>
      </c>
      <c r="F138" t="s">
        <v>17</v>
      </c>
      <c r="G138" t="s">
        <v>133</v>
      </c>
      <c r="H138" t="s">
        <v>148</v>
      </c>
      <c r="I138" t="s">
        <v>83</v>
      </c>
      <c r="J138" t="s">
        <v>84</v>
      </c>
      <c r="K138" t="s">
        <v>86</v>
      </c>
      <c r="L138" s="25">
        <v>44031</v>
      </c>
      <c r="M138">
        <v>7</v>
      </c>
      <c r="N138">
        <v>2020</v>
      </c>
      <c r="O138" t="s">
        <v>106</v>
      </c>
      <c r="P138">
        <v>170</v>
      </c>
      <c r="Q138" s="17">
        <v>44032.152870486112</v>
      </c>
      <c r="R138" t="s">
        <v>120</v>
      </c>
    </row>
    <row r="139" spans="1:18" x14ac:dyDescent="0.3">
      <c r="A139">
        <v>242290</v>
      </c>
      <c r="B139" t="s">
        <v>79</v>
      </c>
      <c r="C139">
        <v>1323348</v>
      </c>
      <c r="D139" t="s">
        <v>109</v>
      </c>
      <c r="E139" t="s">
        <v>26</v>
      </c>
      <c r="F139" t="s">
        <v>26</v>
      </c>
      <c r="G139" t="s">
        <v>126</v>
      </c>
      <c r="H139" t="s">
        <v>152</v>
      </c>
      <c r="I139" t="s">
        <v>81</v>
      </c>
      <c r="J139" t="s">
        <v>42</v>
      </c>
      <c r="K139" t="s">
        <v>82</v>
      </c>
      <c r="L139" s="25">
        <v>44031</v>
      </c>
      <c r="M139">
        <v>7</v>
      </c>
      <c r="N139">
        <v>2020</v>
      </c>
      <c r="O139" t="s">
        <v>106</v>
      </c>
      <c r="P139">
        <v>170</v>
      </c>
      <c r="Q139" s="17">
        <v>44032.072125694445</v>
      </c>
      <c r="R139" t="s">
        <v>120</v>
      </c>
    </row>
    <row r="140" spans="1:18" x14ac:dyDescent="0.3">
      <c r="A140">
        <v>9687515</v>
      </c>
      <c r="B140" t="s">
        <v>79</v>
      </c>
      <c r="C140">
        <v>1330435</v>
      </c>
      <c r="D140" t="s">
        <v>109</v>
      </c>
      <c r="E140" t="s">
        <v>130</v>
      </c>
      <c r="F140" t="s">
        <v>17</v>
      </c>
      <c r="G140" t="s">
        <v>133</v>
      </c>
      <c r="H140" t="s">
        <v>148</v>
      </c>
      <c r="I140" t="s">
        <v>83</v>
      </c>
      <c r="J140" t="s">
        <v>84</v>
      </c>
      <c r="K140" t="s">
        <v>86</v>
      </c>
      <c r="L140" s="25">
        <v>44031</v>
      </c>
      <c r="M140">
        <v>7</v>
      </c>
      <c r="N140">
        <v>2020</v>
      </c>
      <c r="O140" t="s">
        <v>106</v>
      </c>
      <c r="P140">
        <v>170</v>
      </c>
      <c r="Q140" s="17">
        <v>44032.156557754628</v>
      </c>
      <c r="R140" t="s">
        <v>120</v>
      </c>
    </row>
    <row r="141" spans="1:18" x14ac:dyDescent="0.3">
      <c r="A141">
        <v>21524814</v>
      </c>
      <c r="B141" t="s">
        <v>72</v>
      </c>
      <c r="C141">
        <v>1323548</v>
      </c>
      <c r="D141" t="s">
        <v>104</v>
      </c>
      <c r="E141" t="s">
        <v>26</v>
      </c>
      <c r="F141" t="s">
        <v>26</v>
      </c>
      <c r="G141" t="s">
        <v>126</v>
      </c>
      <c r="H141" t="s">
        <v>160</v>
      </c>
      <c r="I141" t="s">
        <v>81</v>
      </c>
      <c r="J141" t="s">
        <v>42</v>
      </c>
      <c r="K141" t="s">
        <v>82</v>
      </c>
      <c r="L141" s="25">
        <v>44031</v>
      </c>
      <c r="M141">
        <v>7</v>
      </c>
      <c r="N141">
        <v>2020</v>
      </c>
      <c r="O141" t="s">
        <v>106</v>
      </c>
      <c r="P141">
        <v>170</v>
      </c>
      <c r="Q141" s="17">
        <v>44032.079288194444</v>
      </c>
      <c r="R141" t="s">
        <v>120</v>
      </c>
    </row>
    <row r="142" spans="1:18" x14ac:dyDescent="0.3">
      <c r="A142">
        <v>21525966</v>
      </c>
      <c r="B142" t="s">
        <v>72</v>
      </c>
      <c r="C142">
        <v>1323016</v>
      </c>
      <c r="D142" t="s">
        <v>104</v>
      </c>
      <c r="E142" t="s">
        <v>26</v>
      </c>
      <c r="F142" t="s">
        <v>26</v>
      </c>
      <c r="G142" t="s">
        <v>126</v>
      </c>
      <c r="H142" t="s">
        <v>160</v>
      </c>
      <c r="I142" t="s">
        <v>81</v>
      </c>
      <c r="J142" t="s">
        <v>42</v>
      </c>
      <c r="K142" t="s">
        <v>82</v>
      </c>
      <c r="L142" s="25">
        <v>44031</v>
      </c>
      <c r="M142">
        <v>7</v>
      </c>
      <c r="N142">
        <v>2020</v>
      </c>
      <c r="O142" t="s">
        <v>106</v>
      </c>
      <c r="P142">
        <v>170</v>
      </c>
      <c r="Q142" s="17">
        <v>44032.073161342596</v>
      </c>
      <c r="R142" t="s">
        <v>120</v>
      </c>
    </row>
    <row r="143" spans="1:18" x14ac:dyDescent="0.3">
      <c r="A143">
        <v>245889</v>
      </c>
      <c r="B143" t="s">
        <v>78</v>
      </c>
      <c r="C143">
        <v>1336919</v>
      </c>
      <c r="D143" t="s">
        <v>112</v>
      </c>
      <c r="E143" t="s">
        <v>12</v>
      </c>
      <c r="F143" t="s">
        <v>12</v>
      </c>
      <c r="G143" t="s">
        <v>124</v>
      </c>
      <c r="H143" t="s">
        <v>162</v>
      </c>
      <c r="I143" t="s">
        <v>81</v>
      </c>
      <c r="J143" t="s">
        <v>42</v>
      </c>
      <c r="K143" t="s">
        <v>82</v>
      </c>
      <c r="L143" s="25">
        <v>44031</v>
      </c>
      <c r="M143">
        <v>7</v>
      </c>
      <c r="N143">
        <v>2020</v>
      </c>
      <c r="O143" t="s">
        <v>106</v>
      </c>
      <c r="P143">
        <v>171</v>
      </c>
      <c r="Q143" s="17">
        <v>44032.092588541665</v>
      </c>
      <c r="R143" t="s">
        <v>120</v>
      </c>
    </row>
    <row r="144" spans="1:18" x14ac:dyDescent="0.3">
      <c r="A144">
        <v>242836</v>
      </c>
      <c r="B144" t="s">
        <v>72</v>
      </c>
      <c r="C144">
        <v>1326356</v>
      </c>
      <c r="D144" t="s">
        <v>104</v>
      </c>
      <c r="E144" t="s">
        <v>26</v>
      </c>
      <c r="F144" t="s">
        <v>26</v>
      </c>
      <c r="G144" t="s">
        <v>126</v>
      </c>
      <c r="H144" t="s">
        <v>157</v>
      </c>
      <c r="I144" t="s">
        <v>83</v>
      </c>
      <c r="J144" t="s">
        <v>84</v>
      </c>
      <c r="K144" t="s">
        <v>82</v>
      </c>
      <c r="L144" s="25">
        <v>44031</v>
      </c>
      <c r="M144">
        <v>7</v>
      </c>
      <c r="N144">
        <v>2020</v>
      </c>
      <c r="O144" t="s">
        <v>106</v>
      </c>
      <c r="P144">
        <v>170</v>
      </c>
      <c r="Q144" s="17">
        <v>44032.089682754631</v>
      </c>
      <c r="R144" t="s">
        <v>120</v>
      </c>
    </row>
    <row r="145" spans="1:18" x14ac:dyDescent="0.3">
      <c r="A145">
        <v>21534379</v>
      </c>
      <c r="B145" t="s">
        <v>77</v>
      </c>
      <c r="C145">
        <v>1334580</v>
      </c>
      <c r="D145" t="s">
        <v>77</v>
      </c>
      <c r="E145" t="s">
        <v>12</v>
      </c>
      <c r="F145" t="s">
        <v>12</v>
      </c>
      <c r="G145" t="s">
        <v>124</v>
      </c>
      <c r="H145" t="s">
        <v>156</v>
      </c>
      <c r="I145" t="s">
        <v>77</v>
      </c>
      <c r="J145" t="s">
        <v>42</v>
      </c>
      <c r="K145" t="s">
        <v>82</v>
      </c>
      <c r="L145" s="25">
        <v>44031</v>
      </c>
      <c r="M145">
        <v>7</v>
      </c>
      <c r="N145">
        <v>2020</v>
      </c>
      <c r="O145" t="s">
        <v>106</v>
      </c>
      <c r="P145">
        <v>170</v>
      </c>
      <c r="Q145" s="17">
        <v>44032.087515277781</v>
      </c>
      <c r="R145" t="s">
        <v>120</v>
      </c>
    </row>
    <row r="146" spans="1:18" x14ac:dyDescent="0.3">
      <c r="A146">
        <v>9687521</v>
      </c>
      <c r="B146" t="s">
        <v>79</v>
      </c>
      <c r="C146">
        <v>1330453</v>
      </c>
      <c r="D146" t="s">
        <v>109</v>
      </c>
      <c r="E146" t="s">
        <v>130</v>
      </c>
      <c r="F146" t="s">
        <v>17</v>
      </c>
      <c r="G146" t="s">
        <v>133</v>
      </c>
      <c r="H146" t="s">
        <v>148</v>
      </c>
      <c r="I146" t="s">
        <v>83</v>
      </c>
      <c r="J146" t="s">
        <v>84</v>
      </c>
      <c r="K146" t="s">
        <v>86</v>
      </c>
      <c r="L146" s="25">
        <v>44031</v>
      </c>
      <c r="M146">
        <v>7</v>
      </c>
      <c r="N146">
        <v>2020</v>
      </c>
      <c r="O146" t="s">
        <v>106</v>
      </c>
      <c r="P146">
        <v>170</v>
      </c>
      <c r="Q146" s="17">
        <v>44032.160280902775</v>
      </c>
      <c r="R146" t="s">
        <v>120</v>
      </c>
    </row>
    <row r="147" spans="1:18" x14ac:dyDescent="0.3">
      <c r="A147">
        <v>9687057</v>
      </c>
      <c r="B147" t="s">
        <v>79</v>
      </c>
      <c r="C147">
        <v>1330312</v>
      </c>
      <c r="D147" t="s">
        <v>109</v>
      </c>
      <c r="E147" t="s">
        <v>130</v>
      </c>
      <c r="F147" t="s">
        <v>17</v>
      </c>
      <c r="G147" t="s">
        <v>133</v>
      </c>
      <c r="H147" t="s">
        <v>148</v>
      </c>
      <c r="I147" t="s">
        <v>83</v>
      </c>
      <c r="J147" t="s">
        <v>84</v>
      </c>
      <c r="K147" t="s">
        <v>86</v>
      </c>
      <c r="L147" s="25">
        <v>44031</v>
      </c>
      <c r="M147">
        <v>7</v>
      </c>
      <c r="N147">
        <v>2020</v>
      </c>
      <c r="O147" t="s">
        <v>106</v>
      </c>
      <c r="P147">
        <v>170</v>
      </c>
      <c r="Q147" s="17">
        <v>44032.131865625001</v>
      </c>
      <c r="R147" t="s">
        <v>120</v>
      </c>
    </row>
    <row r="148" spans="1:18" x14ac:dyDescent="0.3">
      <c r="A148">
        <v>9687473</v>
      </c>
      <c r="B148" t="s">
        <v>79</v>
      </c>
      <c r="C148">
        <v>1330461</v>
      </c>
      <c r="D148" t="s">
        <v>109</v>
      </c>
      <c r="E148" t="s">
        <v>130</v>
      </c>
      <c r="F148" t="s">
        <v>17</v>
      </c>
      <c r="G148" t="s">
        <v>133</v>
      </c>
      <c r="H148" t="s">
        <v>148</v>
      </c>
      <c r="I148" t="s">
        <v>83</v>
      </c>
      <c r="J148" t="s">
        <v>84</v>
      </c>
      <c r="K148" t="s">
        <v>86</v>
      </c>
      <c r="L148" s="25">
        <v>44031</v>
      </c>
      <c r="M148">
        <v>7</v>
      </c>
      <c r="N148">
        <v>2020</v>
      </c>
      <c r="O148" t="s">
        <v>106</v>
      </c>
      <c r="P148">
        <v>170</v>
      </c>
      <c r="Q148" s="17">
        <v>44032.166427314813</v>
      </c>
      <c r="R148" t="s">
        <v>120</v>
      </c>
    </row>
    <row r="149" spans="1:18" x14ac:dyDescent="0.3">
      <c r="A149">
        <v>9687344</v>
      </c>
      <c r="B149" t="s">
        <v>79</v>
      </c>
      <c r="C149">
        <v>1330444</v>
      </c>
      <c r="D149" t="s">
        <v>109</v>
      </c>
      <c r="E149" t="s">
        <v>130</v>
      </c>
      <c r="F149" t="s">
        <v>17</v>
      </c>
      <c r="G149" t="s">
        <v>133</v>
      </c>
      <c r="H149" t="s">
        <v>148</v>
      </c>
      <c r="I149" t="s">
        <v>83</v>
      </c>
      <c r="J149" t="s">
        <v>84</v>
      </c>
      <c r="K149" t="s">
        <v>86</v>
      </c>
      <c r="L149" s="25">
        <v>44031</v>
      </c>
      <c r="M149">
        <v>7</v>
      </c>
      <c r="N149">
        <v>2020</v>
      </c>
      <c r="O149" t="s">
        <v>106</v>
      </c>
      <c r="P149">
        <v>170</v>
      </c>
      <c r="Q149" s="17">
        <v>44032.434297106483</v>
      </c>
      <c r="R149" t="s">
        <v>120</v>
      </c>
    </row>
    <row r="150" spans="1:18" x14ac:dyDescent="0.3">
      <c r="A150">
        <v>9687088</v>
      </c>
      <c r="B150" t="s">
        <v>79</v>
      </c>
      <c r="C150">
        <v>1330329</v>
      </c>
      <c r="D150" t="s">
        <v>109</v>
      </c>
      <c r="E150" t="s">
        <v>130</v>
      </c>
      <c r="F150" t="s">
        <v>17</v>
      </c>
      <c r="G150" t="s">
        <v>133</v>
      </c>
      <c r="H150" t="s">
        <v>148</v>
      </c>
      <c r="I150" t="s">
        <v>83</v>
      </c>
      <c r="J150" t="s">
        <v>84</v>
      </c>
      <c r="K150" t="s">
        <v>86</v>
      </c>
      <c r="L150" s="25">
        <v>44031</v>
      </c>
      <c r="M150">
        <v>7</v>
      </c>
      <c r="N150">
        <v>2020</v>
      </c>
      <c r="O150" t="s">
        <v>106</v>
      </c>
      <c r="P150">
        <v>170</v>
      </c>
      <c r="Q150" s="17">
        <v>44032.139100810185</v>
      </c>
      <c r="R150" t="s">
        <v>120</v>
      </c>
    </row>
    <row r="151" spans="1:18" x14ac:dyDescent="0.3">
      <c r="A151">
        <v>21532518</v>
      </c>
      <c r="B151" t="s">
        <v>72</v>
      </c>
      <c r="C151">
        <v>1334520</v>
      </c>
      <c r="D151" t="s">
        <v>104</v>
      </c>
      <c r="E151" t="s">
        <v>12</v>
      </c>
      <c r="F151" t="s">
        <v>12</v>
      </c>
      <c r="G151" t="s">
        <v>124</v>
      </c>
      <c r="H151" t="s">
        <v>95</v>
      </c>
      <c r="I151" t="s">
        <v>81</v>
      </c>
      <c r="J151" t="s">
        <v>42</v>
      </c>
      <c r="K151" t="s">
        <v>82</v>
      </c>
      <c r="L151" s="25">
        <v>44031</v>
      </c>
      <c r="M151">
        <v>7</v>
      </c>
      <c r="N151">
        <v>2020</v>
      </c>
      <c r="O151" t="s">
        <v>106</v>
      </c>
      <c r="P151">
        <v>170</v>
      </c>
      <c r="Q151" s="17">
        <v>44032.082711689814</v>
      </c>
      <c r="R151" t="s">
        <v>120</v>
      </c>
    </row>
    <row r="152" spans="1:18" x14ac:dyDescent="0.3">
      <c r="A152">
        <v>9687463</v>
      </c>
      <c r="B152" t="s">
        <v>79</v>
      </c>
      <c r="C152">
        <v>1330427</v>
      </c>
      <c r="D152" t="s">
        <v>109</v>
      </c>
      <c r="E152" t="s">
        <v>130</v>
      </c>
      <c r="F152" t="s">
        <v>17</v>
      </c>
      <c r="G152" t="s">
        <v>133</v>
      </c>
      <c r="H152" t="s">
        <v>148</v>
      </c>
      <c r="I152" t="s">
        <v>83</v>
      </c>
      <c r="J152" t="s">
        <v>84</v>
      </c>
      <c r="K152" t="s">
        <v>86</v>
      </c>
      <c r="L152" s="25">
        <v>44031</v>
      </c>
      <c r="M152">
        <v>7</v>
      </c>
      <c r="N152">
        <v>2020</v>
      </c>
      <c r="O152" t="s">
        <v>106</v>
      </c>
      <c r="P152">
        <v>170</v>
      </c>
      <c r="Q152" s="17">
        <v>44032.159311574076</v>
      </c>
      <c r="R152" t="s">
        <v>120</v>
      </c>
    </row>
    <row r="153" spans="1:18" x14ac:dyDescent="0.3">
      <c r="A153">
        <v>21533784</v>
      </c>
      <c r="B153" t="s">
        <v>79</v>
      </c>
      <c r="C153">
        <v>1334388</v>
      </c>
      <c r="D153" t="s">
        <v>116</v>
      </c>
      <c r="E153" t="s">
        <v>12</v>
      </c>
      <c r="F153" t="s">
        <v>12</v>
      </c>
      <c r="G153" t="s">
        <v>124</v>
      </c>
      <c r="H153" t="s">
        <v>168</v>
      </c>
      <c r="I153" t="s">
        <v>83</v>
      </c>
      <c r="J153" t="s">
        <v>84</v>
      </c>
      <c r="K153" t="s">
        <v>82</v>
      </c>
      <c r="L153" s="25">
        <v>44031</v>
      </c>
      <c r="M153">
        <v>7</v>
      </c>
      <c r="N153">
        <v>2020</v>
      </c>
      <c r="O153" t="s">
        <v>106</v>
      </c>
      <c r="P153">
        <v>170</v>
      </c>
      <c r="Q153" s="17">
        <v>44031.963549884262</v>
      </c>
      <c r="R153" t="s">
        <v>120</v>
      </c>
    </row>
    <row r="154" spans="1:18" x14ac:dyDescent="0.3">
      <c r="A154">
        <v>242479</v>
      </c>
      <c r="B154" t="s">
        <v>79</v>
      </c>
      <c r="C154">
        <v>1323909</v>
      </c>
      <c r="D154" t="s">
        <v>116</v>
      </c>
      <c r="E154" t="s">
        <v>26</v>
      </c>
      <c r="F154" t="s">
        <v>26</v>
      </c>
      <c r="G154" t="s">
        <v>126</v>
      </c>
      <c r="H154" t="s">
        <v>159</v>
      </c>
      <c r="I154" t="s">
        <v>83</v>
      </c>
      <c r="J154" t="s">
        <v>84</v>
      </c>
      <c r="K154" t="s">
        <v>82</v>
      </c>
      <c r="L154" s="25">
        <v>44031</v>
      </c>
      <c r="M154">
        <v>7</v>
      </c>
      <c r="N154">
        <v>2020</v>
      </c>
      <c r="O154" t="s">
        <v>106</v>
      </c>
      <c r="P154">
        <v>170</v>
      </c>
      <c r="Q154" s="17">
        <v>44029.839090972222</v>
      </c>
      <c r="R154" t="s">
        <v>120</v>
      </c>
    </row>
    <row r="155" spans="1:18" x14ac:dyDescent="0.3">
      <c r="A155">
        <v>242492</v>
      </c>
      <c r="B155" t="s">
        <v>79</v>
      </c>
      <c r="C155">
        <v>1324662</v>
      </c>
      <c r="D155" t="s">
        <v>116</v>
      </c>
      <c r="E155" t="s">
        <v>26</v>
      </c>
      <c r="F155" t="s">
        <v>26</v>
      </c>
      <c r="G155" t="s">
        <v>126</v>
      </c>
      <c r="H155" t="s">
        <v>163</v>
      </c>
      <c r="I155" t="s">
        <v>83</v>
      </c>
      <c r="J155" t="s">
        <v>84</v>
      </c>
      <c r="K155" t="s">
        <v>82</v>
      </c>
      <c r="L155" s="25">
        <v>44031</v>
      </c>
      <c r="M155">
        <v>7</v>
      </c>
      <c r="N155">
        <v>2020</v>
      </c>
      <c r="O155" t="s">
        <v>106</v>
      </c>
      <c r="P155">
        <v>170</v>
      </c>
      <c r="Q155" s="17">
        <v>44029.860035648147</v>
      </c>
      <c r="R155" t="s">
        <v>120</v>
      </c>
    </row>
    <row r="156" spans="1:18" x14ac:dyDescent="0.3">
      <c r="A156">
        <v>9687274</v>
      </c>
      <c r="B156" t="s">
        <v>72</v>
      </c>
      <c r="C156">
        <v>1331397</v>
      </c>
      <c r="D156" t="s">
        <v>104</v>
      </c>
      <c r="E156" t="s">
        <v>12</v>
      </c>
      <c r="F156" t="s">
        <v>12</v>
      </c>
      <c r="G156" t="s">
        <v>124</v>
      </c>
      <c r="H156" t="s">
        <v>162</v>
      </c>
      <c r="I156" t="s">
        <v>81</v>
      </c>
      <c r="J156" t="s">
        <v>42</v>
      </c>
      <c r="K156" t="s">
        <v>82</v>
      </c>
      <c r="L156" s="25">
        <v>44031</v>
      </c>
      <c r="M156">
        <v>7</v>
      </c>
      <c r="N156">
        <v>2020</v>
      </c>
      <c r="O156" t="s">
        <v>106</v>
      </c>
      <c r="P156">
        <v>170</v>
      </c>
      <c r="Q156" s="17">
        <v>44032.075964467593</v>
      </c>
      <c r="R156" t="s">
        <v>120</v>
      </c>
    </row>
    <row r="157" spans="1:18" x14ac:dyDescent="0.3">
      <c r="A157">
        <v>9681369</v>
      </c>
      <c r="B157" t="s">
        <v>72</v>
      </c>
      <c r="C157">
        <v>1325415</v>
      </c>
      <c r="D157" t="s">
        <v>104</v>
      </c>
      <c r="E157">
        <v>4138</v>
      </c>
      <c r="F157" t="s">
        <v>17</v>
      </c>
      <c r="G157" t="s">
        <v>121</v>
      </c>
      <c r="H157" t="s">
        <v>153</v>
      </c>
      <c r="I157" t="s">
        <v>81</v>
      </c>
      <c r="J157" t="s">
        <v>42</v>
      </c>
      <c r="K157" t="s">
        <v>86</v>
      </c>
      <c r="L157" s="25">
        <v>44031</v>
      </c>
      <c r="M157">
        <v>7</v>
      </c>
      <c r="N157">
        <v>2020</v>
      </c>
      <c r="O157" t="s">
        <v>106</v>
      </c>
      <c r="P157">
        <v>170</v>
      </c>
      <c r="Q157" s="17">
        <v>44032.173725578701</v>
      </c>
      <c r="R157" t="s">
        <v>120</v>
      </c>
    </row>
    <row r="158" spans="1:18" x14ac:dyDescent="0.3">
      <c r="A158">
        <v>9687219</v>
      </c>
      <c r="B158" t="s">
        <v>79</v>
      </c>
      <c r="C158">
        <v>1330376</v>
      </c>
      <c r="D158" t="s">
        <v>109</v>
      </c>
      <c r="E158" t="s">
        <v>130</v>
      </c>
      <c r="F158" t="s">
        <v>17</v>
      </c>
      <c r="G158" t="s">
        <v>133</v>
      </c>
      <c r="H158" t="s">
        <v>148</v>
      </c>
      <c r="I158" t="s">
        <v>83</v>
      </c>
      <c r="J158" t="s">
        <v>84</v>
      </c>
      <c r="K158" t="s">
        <v>86</v>
      </c>
      <c r="L158" s="25">
        <v>44031</v>
      </c>
      <c r="M158">
        <v>7</v>
      </c>
      <c r="N158">
        <v>2020</v>
      </c>
      <c r="O158" t="s">
        <v>106</v>
      </c>
      <c r="P158">
        <v>170</v>
      </c>
      <c r="Q158" s="17">
        <v>44032.148904513888</v>
      </c>
      <c r="R158" t="s">
        <v>120</v>
      </c>
    </row>
    <row r="159" spans="1:18" x14ac:dyDescent="0.3">
      <c r="A159">
        <v>9684195</v>
      </c>
      <c r="B159" t="s">
        <v>78</v>
      </c>
      <c r="C159">
        <v>1335843</v>
      </c>
      <c r="D159" t="s">
        <v>112</v>
      </c>
      <c r="E159" t="s">
        <v>12</v>
      </c>
      <c r="F159" t="s">
        <v>12</v>
      </c>
      <c r="G159" t="s">
        <v>124</v>
      </c>
      <c r="H159" t="s">
        <v>150</v>
      </c>
      <c r="I159" t="s">
        <v>81</v>
      </c>
      <c r="J159" t="s">
        <v>42</v>
      </c>
      <c r="K159" t="s">
        <v>82</v>
      </c>
      <c r="L159" s="25">
        <v>44031</v>
      </c>
      <c r="M159">
        <v>7</v>
      </c>
      <c r="N159">
        <v>2020</v>
      </c>
      <c r="O159" t="s">
        <v>106</v>
      </c>
      <c r="P159">
        <v>170</v>
      </c>
      <c r="Q159" s="17">
        <v>44032.084388888892</v>
      </c>
      <c r="R159" t="s">
        <v>120</v>
      </c>
    </row>
    <row r="160" spans="1:18" x14ac:dyDescent="0.3">
      <c r="A160">
        <v>9684086</v>
      </c>
      <c r="B160" t="s">
        <v>78</v>
      </c>
      <c r="C160">
        <v>1336141</v>
      </c>
      <c r="D160" t="s">
        <v>112</v>
      </c>
      <c r="E160" t="s">
        <v>12</v>
      </c>
      <c r="F160" t="s">
        <v>12</v>
      </c>
      <c r="G160" t="s">
        <v>124</v>
      </c>
      <c r="H160" t="s">
        <v>156</v>
      </c>
      <c r="I160" t="s">
        <v>81</v>
      </c>
      <c r="J160" t="s">
        <v>42</v>
      </c>
      <c r="K160" t="s">
        <v>82</v>
      </c>
      <c r="L160" s="25">
        <v>44031</v>
      </c>
      <c r="M160">
        <v>7</v>
      </c>
      <c r="N160">
        <v>2020</v>
      </c>
      <c r="O160" t="s">
        <v>106</v>
      </c>
      <c r="P160">
        <v>170</v>
      </c>
      <c r="Q160" s="17">
        <v>44032.089752777778</v>
      </c>
      <c r="R160" t="s">
        <v>120</v>
      </c>
    </row>
    <row r="161" spans="1:18" x14ac:dyDescent="0.3">
      <c r="A161">
        <v>9687203</v>
      </c>
      <c r="B161" t="s">
        <v>79</v>
      </c>
      <c r="C161">
        <v>1330359</v>
      </c>
      <c r="D161" t="s">
        <v>109</v>
      </c>
      <c r="E161" t="s">
        <v>130</v>
      </c>
      <c r="F161" t="s">
        <v>17</v>
      </c>
      <c r="G161" t="s">
        <v>133</v>
      </c>
      <c r="H161" t="s">
        <v>148</v>
      </c>
      <c r="I161" t="s">
        <v>83</v>
      </c>
      <c r="J161" t="s">
        <v>84</v>
      </c>
      <c r="K161" t="s">
        <v>86</v>
      </c>
      <c r="L161" s="25">
        <v>44031</v>
      </c>
      <c r="M161">
        <v>7</v>
      </c>
      <c r="N161">
        <v>2020</v>
      </c>
      <c r="O161" t="s">
        <v>106</v>
      </c>
      <c r="P161">
        <v>170</v>
      </c>
      <c r="Q161" s="17">
        <v>44032.148910995369</v>
      </c>
      <c r="R161" t="s">
        <v>120</v>
      </c>
    </row>
    <row r="162" spans="1:18" x14ac:dyDescent="0.3">
      <c r="A162">
        <v>240862</v>
      </c>
      <c r="B162" t="s">
        <v>72</v>
      </c>
      <c r="C162">
        <v>1319758</v>
      </c>
      <c r="D162" t="s">
        <v>104</v>
      </c>
      <c r="E162" t="s">
        <v>58</v>
      </c>
      <c r="F162" t="s">
        <v>58</v>
      </c>
      <c r="G162" t="s">
        <v>110</v>
      </c>
      <c r="H162" t="s">
        <v>161</v>
      </c>
      <c r="I162" t="s">
        <v>83</v>
      </c>
      <c r="J162" t="s">
        <v>84</v>
      </c>
      <c r="K162" t="s">
        <v>86</v>
      </c>
      <c r="L162" s="25">
        <v>44031</v>
      </c>
      <c r="M162">
        <v>7</v>
      </c>
      <c r="N162">
        <v>2020</v>
      </c>
      <c r="O162" t="s">
        <v>106</v>
      </c>
      <c r="P162">
        <v>170</v>
      </c>
      <c r="Q162" s="17">
        <v>44032.427909606478</v>
      </c>
      <c r="R162" t="s">
        <v>107</v>
      </c>
    </row>
    <row r="163" spans="1:18" x14ac:dyDescent="0.3">
      <c r="A163">
        <v>9678948</v>
      </c>
      <c r="B163" t="s">
        <v>72</v>
      </c>
      <c r="C163">
        <v>1320189</v>
      </c>
      <c r="D163" t="s">
        <v>104</v>
      </c>
      <c r="E163" t="s">
        <v>58</v>
      </c>
      <c r="F163" t="s">
        <v>58</v>
      </c>
      <c r="G163" t="s">
        <v>110</v>
      </c>
      <c r="H163" t="s">
        <v>161</v>
      </c>
      <c r="I163" t="s">
        <v>83</v>
      </c>
      <c r="J163" t="s">
        <v>84</v>
      </c>
      <c r="K163" t="s">
        <v>86</v>
      </c>
      <c r="L163" s="25">
        <v>44031</v>
      </c>
      <c r="M163">
        <v>7</v>
      </c>
      <c r="N163">
        <v>2020</v>
      </c>
      <c r="O163" t="s">
        <v>106</v>
      </c>
      <c r="P163">
        <v>170</v>
      </c>
      <c r="Q163" s="17">
        <v>44032.442165740744</v>
      </c>
      <c r="R163" t="s">
        <v>107</v>
      </c>
    </row>
    <row r="164" spans="1:18" x14ac:dyDescent="0.3">
      <c r="A164">
        <v>21524759</v>
      </c>
      <c r="B164" t="s">
        <v>72</v>
      </c>
      <c r="C164">
        <v>1320490</v>
      </c>
      <c r="D164" t="s">
        <v>104</v>
      </c>
      <c r="E164" t="s">
        <v>58</v>
      </c>
      <c r="F164" t="s">
        <v>58</v>
      </c>
      <c r="G164" t="s">
        <v>110</v>
      </c>
      <c r="H164" t="s">
        <v>161</v>
      </c>
      <c r="I164" t="s">
        <v>83</v>
      </c>
      <c r="J164" t="s">
        <v>84</v>
      </c>
      <c r="K164" t="s">
        <v>86</v>
      </c>
      <c r="L164" s="25">
        <v>44031</v>
      </c>
      <c r="M164">
        <v>7</v>
      </c>
      <c r="N164">
        <v>2020</v>
      </c>
      <c r="O164" t="s">
        <v>106</v>
      </c>
      <c r="P164">
        <v>170</v>
      </c>
      <c r="Q164" s="17">
        <v>44032.446499652775</v>
      </c>
      <c r="R164" t="s">
        <v>107</v>
      </c>
    </row>
    <row r="165" spans="1:18" x14ac:dyDescent="0.3">
      <c r="A165">
        <v>242171</v>
      </c>
      <c r="B165" t="s">
        <v>72</v>
      </c>
      <c r="C165">
        <v>1322580</v>
      </c>
      <c r="D165" t="s">
        <v>104</v>
      </c>
      <c r="E165" t="s">
        <v>57</v>
      </c>
      <c r="F165" t="s">
        <v>57</v>
      </c>
      <c r="G165" t="s">
        <v>105</v>
      </c>
      <c r="H165" t="s">
        <v>161</v>
      </c>
      <c r="I165" t="s">
        <v>83</v>
      </c>
      <c r="J165" t="s">
        <v>84</v>
      </c>
      <c r="K165" t="s">
        <v>86</v>
      </c>
      <c r="L165" s="25">
        <v>44031</v>
      </c>
      <c r="M165">
        <v>7</v>
      </c>
      <c r="N165">
        <v>2020</v>
      </c>
      <c r="O165" t="s">
        <v>106</v>
      </c>
      <c r="P165">
        <v>170</v>
      </c>
      <c r="Q165" s="17">
        <v>44032.473244791669</v>
      </c>
      <c r="R165" t="s">
        <v>107</v>
      </c>
    </row>
    <row r="166" spans="1:18" x14ac:dyDescent="0.3">
      <c r="A166">
        <v>9689701</v>
      </c>
      <c r="B166" t="s">
        <v>72</v>
      </c>
      <c r="C166">
        <v>1331590</v>
      </c>
      <c r="D166" t="s">
        <v>104</v>
      </c>
      <c r="E166" t="s">
        <v>57</v>
      </c>
      <c r="F166" t="s">
        <v>57</v>
      </c>
      <c r="G166" t="s">
        <v>105</v>
      </c>
      <c r="H166" t="s">
        <v>161</v>
      </c>
      <c r="I166" t="s">
        <v>83</v>
      </c>
      <c r="J166" t="s">
        <v>84</v>
      </c>
      <c r="K166" t="s">
        <v>86</v>
      </c>
      <c r="L166" s="25">
        <v>44031</v>
      </c>
      <c r="M166">
        <v>7</v>
      </c>
      <c r="N166">
        <v>2020</v>
      </c>
      <c r="O166" t="s">
        <v>106</v>
      </c>
      <c r="P166">
        <v>170</v>
      </c>
      <c r="Q166" s="17">
        <v>44032.42570983796</v>
      </c>
      <c r="R166" t="s">
        <v>107</v>
      </c>
    </row>
    <row r="167" spans="1:18" x14ac:dyDescent="0.3">
      <c r="A167">
        <v>9689984</v>
      </c>
      <c r="B167" t="s">
        <v>72</v>
      </c>
      <c r="C167">
        <v>1331689</v>
      </c>
      <c r="D167" t="s">
        <v>104</v>
      </c>
      <c r="E167" t="s">
        <v>58</v>
      </c>
      <c r="F167" t="s">
        <v>58</v>
      </c>
      <c r="G167" t="s">
        <v>110</v>
      </c>
      <c r="H167" t="s">
        <v>161</v>
      </c>
      <c r="I167" t="s">
        <v>83</v>
      </c>
      <c r="J167" t="s">
        <v>84</v>
      </c>
      <c r="K167" t="s">
        <v>86</v>
      </c>
      <c r="L167" s="25">
        <v>44031</v>
      </c>
      <c r="M167">
        <v>7</v>
      </c>
      <c r="N167">
        <v>2020</v>
      </c>
      <c r="O167" t="s">
        <v>106</v>
      </c>
      <c r="P167">
        <v>170</v>
      </c>
      <c r="Q167" s="17">
        <v>44032.434190740743</v>
      </c>
      <c r="R167" t="s">
        <v>107</v>
      </c>
    </row>
    <row r="168" spans="1:18" x14ac:dyDescent="0.3">
      <c r="A168">
        <v>9689149</v>
      </c>
      <c r="B168" t="s">
        <v>72</v>
      </c>
      <c r="C168">
        <v>1331722</v>
      </c>
      <c r="D168" t="s">
        <v>104</v>
      </c>
      <c r="E168" t="s">
        <v>58</v>
      </c>
      <c r="F168" t="s">
        <v>58</v>
      </c>
      <c r="G168" t="s">
        <v>110</v>
      </c>
      <c r="H168" t="s">
        <v>161</v>
      </c>
      <c r="I168" t="s">
        <v>83</v>
      </c>
      <c r="J168" t="s">
        <v>84</v>
      </c>
      <c r="K168" t="s">
        <v>86</v>
      </c>
      <c r="L168" s="25">
        <v>44031</v>
      </c>
      <c r="M168">
        <v>7</v>
      </c>
      <c r="N168">
        <v>2020</v>
      </c>
      <c r="O168" t="s">
        <v>106</v>
      </c>
      <c r="P168">
        <v>170</v>
      </c>
      <c r="Q168" s="17">
        <v>44032.434822916664</v>
      </c>
      <c r="R168" t="s">
        <v>107</v>
      </c>
    </row>
    <row r="169" spans="1:18" x14ac:dyDescent="0.3">
      <c r="A169">
        <v>9675194</v>
      </c>
      <c r="B169" t="s">
        <v>72</v>
      </c>
      <c r="C169">
        <v>1331922</v>
      </c>
      <c r="D169" t="s">
        <v>104</v>
      </c>
      <c r="E169" t="s">
        <v>58</v>
      </c>
      <c r="F169" t="s">
        <v>58</v>
      </c>
      <c r="G169" t="s">
        <v>110</v>
      </c>
      <c r="H169" t="s">
        <v>161</v>
      </c>
      <c r="I169" t="s">
        <v>83</v>
      </c>
      <c r="J169" t="s">
        <v>84</v>
      </c>
      <c r="K169" t="s">
        <v>86</v>
      </c>
      <c r="L169" s="25">
        <v>44031</v>
      </c>
      <c r="M169">
        <v>7</v>
      </c>
      <c r="N169">
        <v>2020</v>
      </c>
      <c r="O169" t="s">
        <v>106</v>
      </c>
      <c r="P169">
        <v>170</v>
      </c>
      <c r="Q169" s="17">
        <v>44032.437577546298</v>
      </c>
      <c r="R169" t="s">
        <v>107</v>
      </c>
    </row>
    <row r="170" spans="1:18" x14ac:dyDescent="0.3">
      <c r="A170">
        <v>21530772</v>
      </c>
      <c r="B170" t="s">
        <v>79</v>
      </c>
      <c r="C170">
        <v>1333025</v>
      </c>
      <c r="D170" t="s">
        <v>116</v>
      </c>
      <c r="E170" t="s">
        <v>58</v>
      </c>
      <c r="F170" t="s">
        <v>58</v>
      </c>
      <c r="G170" t="s">
        <v>110</v>
      </c>
      <c r="H170" t="s">
        <v>161</v>
      </c>
      <c r="I170" t="s">
        <v>83</v>
      </c>
      <c r="J170" t="s">
        <v>84</v>
      </c>
      <c r="K170" t="s">
        <v>86</v>
      </c>
      <c r="L170" s="25">
        <v>44031</v>
      </c>
      <c r="M170">
        <v>7</v>
      </c>
      <c r="N170">
        <v>2020</v>
      </c>
      <c r="O170" t="s">
        <v>106</v>
      </c>
      <c r="P170">
        <v>170</v>
      </c>
      <c r="Q170" s="17">
        <v>44031.040752546294</v>
      </c>
      <c r="R170" t="s">
        <v>107</v>
      </c>
    </row>
    <row r="171" spans="1:18" x14ac:dyDescent="0.3">
      <c r="A171">
        <v>21525476</v>
      </c>
      <c r="B171" t="s">
        <v>79</v>
      </c>
      <c r="C171">
        <v>1323166</v>
      </c>
      <c r="D171" t="s">
        <v>116</v>
      </c>
      <c r="E171" t="s">
        <v>26</v>
      </c>
      <c r="F171" t="s">
        <v>26</v>
      </c>
      <c r="G171" t="s">
        <v>126</v>
      </c>
      <c r="H171" t="s">
        <v>163</v>
      </c>
      <c r="I171" t="s">
        <v>83</v>
      </c>
      <c r="J171" t="s">
        <v>84</v>
      </c>
      <c r="K171" t="s">
        <v>82</v>
      </c>
      <c r="L171" s="25">
        <v>44031</v>
      </c>
      <c r="M171">
        <v>7</v>
      </c>
      <c r="N171">
        <v>2020</v>
      </c>
      <c r="O171" t="s">
        <v>106</v>
      </c>
      <c r="P171">
        <v>170</v>
      </c>
      <c r="Q171" s="17">
        <v>44029.821389699071</v>
      </c>
      <c r="R171" t="s">
        <v>120</v>
      </c>
    </row>
    <row r="172" spans="1:18" x14ac:dyDescent="0.3">
      <c r="A172">
        <v>9687577</v>
      </c>
      <c r="B172" t="s">
        <v>79</v>
      </c>
      <c r="C172">
        <v>1330485</v>
      </c>
      <c r="D172" t="s">
        <v>109</v>
      </c>
      <c r="E172" t="s">
        <v>130</v>
      </c>
      <c r="F172" t="s">
        <v>17</v>
      </c>
      <c r="G172" t="s">
        <v>133</v>
      </c>
      <c r="H172" t="s">
        <v>148</v>
      </c>
      <c r="I172" t="s">
        <v>83</v>
      </c>
      <c r="J172" t="s">
        <v>84</v>
      </c>
      <c r="K172" t="s">
        <v>86</v>
      </c>
      <c r="L172" s="25">
        <v>44031</v>
      </c>
      <c r="M172">
        <v>7</v>
      </c>
      <c r="N172">
        <v>2020</v>
      </c>
      <c r="O172" t="s">
        <v>106</v>
      </c>
      <c r="P172">
        <v>170</v>
      </c>
      <c r="Q172" s="17">
        <v>44032.437668171297</v>
      </c>
      <c r="R172" t="s">
        <v>120</v>
      </c>
    </row>
    <row r="173" spans="1:18" x14ac:dyDescent="0.3">
      <c r="A173">
        <v>21534627</v>
      </c>
      <c r="B173" t="s">
        <v>78</v>
      </c>
      <c r="C173">
        <v>1334765</v>
      </c>
      <c r="D173" t="s">
        <v>112</v>
      </c>
      <c r="E173" t="s">
        <v>12</v>
      </c>
      <c r="F173" t="s">
        <v>12</v>
      </c>
      <c r="G173" t="s">
        <v>124</v>
      </c>
      <c r="H173" t="s">
        <v>156</v>
      </c>
      <c r="I173" t="s">
        <v>81</v>
      </c>
      <c r="J173" t="s">
        <v>42</v>
      </c>
      <c r="K173" t="s">
        <v>82</v>
      </c>
      <c r="L173" s="25">
        <v>44031</v>
      </c>
      <c r="M173">
        <v>7</v>
      </c>
      <c r="N173">
        <v>2020</v>
      </c>
      <c r="O173" t="s">
        <v>106</v>
      </c>
      <c r="P173">
        <v>170</v>
      </c>
      <c r="Q173" s="17">
        <v>44032.081533449076</v>
      </c>
      <c r="R173" t="s">
        <v>120</v>
      </c>
    </row>
    <row r="174" spans="1:18" x14ac:dyDescent="0.3">
      <c r="A174">
        <v>9687014</v>
      </c>
      <c r="B174" t="s">
        <v>79</v>
      </c>
      <c r="C174">
        <v>1330285</v>
      </c>
      <c r="D174" t="s">
        <v>109</v>
      </c>
      <c r="E174" t="s">
        <v>130</v>
      </c>
      <c r="F174" t="s">
        <v>17</v>
      </c>
      <c r="G174" t="s">
        <v>133</v>
      </c>
      <c r="H174" t="s">
        <v>148</v>
      </c>
      <c r="I174" t="s">
        <v>83</v>
      </c>
      <c r="J174" t="s">
        <v>84</v>
      </c>
      <c r="K174" t="s">
        <v>86</v>
      </c>
      <c r="L174" s="25">
        <v>44031</v>
      </c>
      <c r="M174">
        <v>7</v>
      </c>
      <c r="N174">
        <v>2020</v>
      </c>
      <c r="O174" t="s">
        <v>106</v>
      </c>
      <c r="P174">
        <v>170</v>
      </c>
      <c r="Q174" s="17">
        <v>44032.129961921295</v>
      </c>
      <c r="R174" t="s">
        <v>120</v>
      </c>
    </row>
    <row r="175" spans="1:18" x14ac:dyDescent="0.3">
      <c r="A175">
        <v>21531812</v>
      </c>
      <c r="B175" t="s">
        <v>72</v>
      </c>
      <c r="C175">
        <v>1334679</v>
      </c>
      <c r="D175" t="s">
        <v>104</v>
      </c>
      <c r="E175" t="s">
        <v>12</v>
      </c>
      <c r="F175" t="s">
        <v>12</v>
      </c>
      <c r="G175" t="s">
        <v>124</v>
      </c>
      <c r="H175" t="s">
        <v>159</v>
      </c>
      <c r="I175" t="s">
        <v>83</v>
      </c>
      <c r="J175" t="s">
        <v>84</v>
      </c>
      <c r="K175" t="s">
        <v>82</v>
      </c>
      <c r="L175" s="25">
        <v>44031</v>
      </c>
      <c r="M175">
        <v>7</v>
      </c>
      <c r="N175">
        <v>2020</v>
      </c>
      <c r="O175" t="s">
        <v>106</v>
      </c>
      <c r="P175">
        <v>170</v>
      </c>
      <c r="Q175" s="17">
        <v>44032.079789930554</v>
      </c>
      <c r="R175" t="s">
        <v>120</v>
      </c>
    </row>
    <row r="176" spans="1:18" x14ac:dyDescent="0.3">
      <c r="A176">
        <v>9687479</v>
      </c>
      <c r="B176" t="s">
        <v>79</v>
      </c>
      <c r="C176">
        <v>1330471</v>
      </c>
      <c r="D176" t="s">
        <v>109</v>
      </c>
      <c r="E176" t="s">
        <v>130</v>
      </c>
      <c r="F176" t="s">
        <v>17</v>
      </c>
      <c r="G176" t="s">
        <v>133</v>
      </c>
      <c r="H176" t="s">
        <v>148</v>
      </c>
      <c r="I176" t="s">
        <v>83</v>
      </c>
      <c r="J176" t="s">
        <v>84</v>
      </c>
      <c r="K176" t="s">
        <v>86</v>
      </c>
      <c r="L176" s="25">
        <v>44031</v>
      </c>
      <c r="M176">
        <v>7</v>
      </c>
      <c r="N176">
        <v>2020</v>
      </c>
      <c r="O176" t="s">
        <v>106</v>
      </c>
      <c r="P176">
        <v>170</v>
      </c>
      <c r="Q176" s="17">
        <v>44032.433912499997</v>
      </c>
      <c r="R176" t="s">
        <v>120</v>
      </c>
    </row>
    <row r="177" spans="1:18" x14ac:dyDescent="0.3">
      <c r="A177">
        <v>245612</v>
      </c>
      <c r="B177" t="s">
        <v>72</v>
      </c>
      <c r="C177">
        <v>1337155</v>
      </c>
      <c r="D177" t="s">
        <v>112</v>
      </c>
      <c r="E177" t="s">
        <v>12</v>
      </c>
      <c r="F177" t="s">
        <v>12</v>
      </c>
      <c r="G177" t="s">
        <v>124</v>
      </c>
      <c r="H177" t="s">
        <v>150</v>
      </c>
      <c r="I177" t="s">
        <v>81</v>
      </c>
      <c r="J177" t="s">
        <v>42</v>
      </c>
      <c r="K177" t="s">
        <v>82</v>
      </c>
      <c r="L177" s="25">
        <v>44031</v>
      </c>
      <c r="M177">
        <v>7</v>
      </c>
      <c r="N177">
        <v>2020</v>
      </c>
      <c r="O177" t="s">
        <v>106</v>
      </c>
      <c r="P177">
        <v>170</v>
      </c>
      <c r="Q177" s="17">
        <v>44032.176216203705</v>
      </c>
      <c r="R177" t="s">
        <v>120</v>
      </c>
    </row>
    <row r="178" spans="1:18" x14ac:dyDescent="0.3">
      <c r="A178">
        <v>241802</v>
      </c>
      <c r="B178" t="s">
        <v>79</v>
      </c>
      <c r="C178">
        <v>1323183</v>
      </c>
      <c r="D178" t="s">
        <v>116</v>
      </c>
      <c r="E178" t="s">
        <v>26</v>
      </c>
      <c r="F178" t="s">
        <v>26</v>
      </c>
      <c r="G178" t="s">
        <v>126</v>
      </c>
      <c r="H178" t="s">
        <v>158</v>
      </c>
      <c r="I178" t="s">
        <v>83</v>
      </c>
      <c r="J178" t="s">
        <v>84</v>
      </c>
      <c r="K178" t="s">
        <v>82</v>
      </c>
      <c r="L178" s="25">
        <v>44031</v>
      </c>
      <c r="M178">
        <v>7</v>
      </c>
      <c r="N178">
        <v>2020</v>
      </c>
      <c r="O178" t="s">
        <v>106</v>
      </c>
      <c r="P178">
        <v>170</v>
      </c>
      <c r="Q178" s="17">
        <v>44029.822443518518</v>
      </c>
      <c r="R178" t="s">
        <v>120</v>
      </c>
    </row>
    <row r="179" spans="1:18" x14ac:dyDescent="0.3">
      <c r="A179">
        <v>9687353</v>
      </c>
      <c r="B179" t="s">
        <v>79</v>
      </c>
      <c r="C179">
        <v>1330417</v>
      </c>
      <c r="D179" t="s">
        <v>109</v>
      </c>
      <c r="E179" t="s">
        <v>130</v>
      </c>
      <c r="F179" t="s">
        <v>17</v>
      </c>
      <c r="G179" t="s">
        <v>133</v>
      </c>
      <c r="H179" t="s">
        <v>148</v>
      </c>
      <c r="I179" t="s">
        <v>83</v>
      </c>
      <c r="J179" t="s">
        <v>84</v>
      </c>
      <c r="K179" t="s">
        <v>86</v>
      </c>
      <c r="L179" s="25">
        <v>44031</v>
      </c>
      <c r="M179">
        <v>7</v>
      </c>
      <c r="N179">
        <v>2020</v>
      </c>
      <c r="O179" t="s">
        <v>106</v>
      </c>
      <c r="P179">
        <v>170</v>
      </c>
      <c r="Q179" s="17">
        <v>44032.157970601853</v>
      </c>
      <c r="R179" t="s">
        <v>120</v>
      </c>
    </row>
    <row r="180" spans="1:18" x14ac:dyDescent="0.3">
      <c r="A180">
        <v>241170</v>
      </c>
      <c r="B180" t="s">
        <v>72</v>
      </c>
      <c r="C180">
        <v>1321116</v>
      </c>
      <c r="D180" t="s">
        <v>104</v>
      </c>
      <c r="E180" t="s">
        <v>57</v>
      </c>
      <c r="F180" t="s">
        <v>57</v>
      </c>
      <c r="G180" t="s">
        <v>105</v>
      </c>
      <c r="H180" t="s">
        <v>161</v>
      </c>
      <c r="I180" t="s">
        <v>83</v>
      </c>
      <c r="J180" t="s">
        <v>84</v>
      </c>
      <c r="K180" t="s">
        <v>86</v>
      </c>
      <c r="L180" s="25">
        <v>44031</v>
      </c>
      <c r="M180">
        <v>7</v>
      </c>
      <c r="N180">
        <v>2020</v>
      </c>
      <c r="O180" t="s">
        <v>106</v>
      </c>
      <c r="P180">
        <v>170</v>
      </c>
      <c r="Q180" s="17">
        <v>44032.446286805556</v>
      </c>
      <c r="R180" t="s">
        <v>107</v>
      </c>
    </row>
    <row r="181" spans="1:18" x14ac:dyDescent="0.3">
      <c r="A181">
        <v>9689696</v>
      </c>
      <c r="B181" t="s">
        <v>72</v>
      </c>
      <c r="C181">
        <v>1331535</v>
      </c>
      <c r="D181" t="s">
        <v>104</v>
      </c>
      <c r="E181" t="s">
        <v>57</v>
      </c>
      <c r="F181" t="s">
        <v>57</v>
      </c>
      <c r="G181" t="s">
        <v>105</v>
      </c>
      <c r="H181" t="s">
        <v>161</v>
      </c>
      <c r="I181" t="s">
        <v>83</v>
      </c>
      <c r="J181" t="s">
        <v>84</v>
      </c>
      <c r="K181" t="s">
        <v>86</v>
      </c>
      <c r="L181" s="25">
        <v>44031</v>
      </c>
      <c r="M181">
        <v>7</v>
      </c>
      <c r="N181">
        <v>2020</v>
      </c>
      <c r="O181" t="s">
        <v>106</v>
      </c>
      <c r="P181">
        <v>170</v>
      </c>
      <c r="Q181" s="17">
        <v>44032.173165277774</v>
      </c>
      <c r="R181" t="s">
        <v>107</v>
      </c>
    </row>
    <row r="182" spans="1:18" x14ac:dyDescent="0.3">
      <c r="A182">
        <v>9682399</v>
      </c>
      <c r="B182" t="s">
        <v>72</v>
      </c>
      <c r="C182">
        <v>1331569</v>
      </c>
      <c r="D182" t="s">
        <v>104</v>
      </c>
      <c r="E182" t="s">
        <v>58</v>
      </c>
      <c r="F182" t="s">
        <v>58</v>
      </c>
      <c r="G182" t="s">
        <v>110</v>
      </c>
      <c r="H182" t="s">
        <v>161</v>
      </c>
      <c r="I182" t="s">
        <v>83</v>
      </c>
      <c r="J182" t="s">
        <v>84</v>
      </c>
      <c r="K182" t="s">
        <v>86</v>
      </c>
      <c r="L182" s="25">
        <v>44031</v>
      </c>
      <c r="M182">
        <v>7</v>
      </c>
      <c r="N182">
        <v>2020</v>
      </c>
      <c r="O182" t="s">
        <v>106</v>
      </c>
      <c r="P182">
        <v>170</v>
      </c>
      <c r="Q182" s="17">
        <v>44032.441677199073</v>
      </c>
      <c r="R182" t="s">
        <v>107</v>
      </c>
    </row>
    <row r="183" spans="1:18" x14ac:dyDescent="0.3">
      <c r="A183">
        <v>9689985</v>
      </c>
      <c r="B183" t="s">
        <v>72</v>
      </c>
      <c r="C183">
        <v>1331578</v>
      </c>
      <c r="D183" t="s">
        <v>104</v>
      </c>
      <c r="E183" t="s">
        <v>58</v>
      </c>
      <c r="F183" t="s">
        <v>58</v>
      </c>
      <c r="G183" t="s">
        <v>110</v>
      </c>
      <c r="H183" t="s">
        <v>161</v>
      </c>
      <c r="I183" t="s">
        <v>83</v>
      </c>
      <c r="J183" t="s">
        <v>84</v>
      </c>
      <c r="K183" t="s">
        <v>86</v>
      </c>
      <c r="L183" s="25">
        <v>44031</v>
      </c>
      <c r="M183">
        <v>7</v>
      </c>
      <c r="N183">
        <v>2020</v>
      </c>
      <c r="O183" t="s">
        <v>106</v>
      </c>
      <c r="P183">
        <v>170</v>
      </c>
      <c r="Q183" s="17">
        <v>44032.425426967595</v>
      </c>
      <c r="R183" t="s">
        <v>107</v>
      </c>
    </row>
    <row r="184" spans="1:18" x14ac:dyDescent="0.3">
      <c r="A184">
        <v>9690456</v>
      </c>
      <c r="B184" t="s">
        <v>72</v>
      </c>
      <c r="C184">
        <v>1331701</v>
      </c>
      <c r="D184" t="s">
        <v>104</v>
      </c>
      <c r="E184" t="s">
        <v>57</v>
      </c>
      <c r="F184" t="s">
        <v>57</v>
      </c>
      <c r="G184" t="s">
        <v>105</v>
      </c>
      <c r="H184" t="s">
        <v>161</v>
      </c>
      <c r="I184" t="s">
        <v>83</v>
      </c>
      <c r="J184" t="s">
        <v>84</v>
      </c>
      <c r="K184" t="s">
        <v>86</v>
      </c>
      <c r="L184" s="25">
        <v>44031</v>
      </c>
      <c r="M184">
        <v>7</v>
      </c>
      <c r="N184">
        <v>2020</v>
      </c>
      <c r="O184" t="s">
        <v>106</v>
      </c>
      <c r="P184">
        <v>170</v>
      </c>
      <c r="Q184" s="17">
        <v>44032.439171874998</v>
      </c>
      <c r="R184" t="s">
        <v>107</v>
      </c>
    </row>
    <row r="185" spans="1:18" x14ac:dyDescent="0.3">
      <c r="A185">
        <v>21531681</v>
      </c>
      <c r="B185" t="s">
        <v>79</v>
      </c>
      <c r="C185">
        <v>1332939</v>
      </c>
      <c r="D185" t="s">
        <v>116</v>
      </c>
      <c r="E185" t="s">
        <v>113</v>
      </c>
      <c r="F185" t="s">
        <v>113</v>
      </c>
      <c r="G185" t="s">
        <v>59</v>
      </c>
      <c r="H185" t="s">
        <v>169</v>
      </c>
      <c r="I185" t="s">
        <v>83</v>
      </c>
      <c r="J185" t="s">
        <v>84</v>
      </c>
      <c r="K185" t="s">
        <v>90</v>
      </c>
      <c r="L185" s="25">
        <v>44031</v>
      </c>
      <c r="M185">
        <v>7</v>
      </c>
      <c r="N185">
        <v>2020</v>
      </c>
      <c r="O185" t="s">
        <v>106</v>
      </c>
      <c r="P185">
        <v>170</v>
      </c>
      <c r="Q185" s="17">
        <v>44031.03721840278</v>
      </c>
      <c r="R185" t="s">
        <v>115</v>
      </c>
    </row>
    <row r="186" spans="1:18" x14ac:dyDescent="0.3">
      <c r="A186">
        <v>21532323</v>
      </c>
      <c r="B186" t="s">
        <v>79</v>
      </c>
      <c r="C186">
        <v>1332948</v>
      </c>
      <c r="D186" t="s">
        <v>116</v>
      </c>
      <c r="E186" t="s">
        <v>113</v>
      </c>
      <c r="F186" t="s">
        <v>113</v>
      </c>
      <c r="G186" t="s">
        <v>59</v>
      </c>
      <c r="H186" t="s">
        <v>169</v>
      </c>
      <c r="I186" t="s">
        <v>83</v>
      </c>
      <c r="J186" t="s">
        <v>84</v>
      </c>
      <c r="K186" t="s">
        <v>90</v>
      </c>
      <c r="L186" s="25">
        <v>44031</v>
      </c>
      <c r="M186">
        <v>7</v>
      </c>
      <c r="N186">
        <v>2020</v>
      </c>
      <c r="O186" t="s">
        <v>106</v>
      </c>
      <c r="P186">
        <v>170</v>
      </c>
      <c r="Q186" s="17">
        <v>44031.037648495367</v>
      </c>
      <c r="R186" t="s">
        <v>115</v>
      </c>
    </row>
    <row r="187" spans="1:18" x14ac:dyDescent="0.3">
      <c r="A187">
        <v>21532593</v>
      </c>
      <c r="B187" t="s">
        <v>72</v>
      </c>
      <c r="C187">
        <v>1332973</v>
      </c>
      <c r="D187" t="s">
        <v>104</v>
      </c>
      <c r="E187" t="s">
        <v>58</v>
      </c>
      <c r="F187" t="s">
        <v>58</v>
      </c>
      <c r="G187" t="s">
        <v>110</v>
      </c>
      <c r="H187" t="s">
        <v>161</v>
      </c>
      <c r="I187" t="s">
        <v>83</v>
      </c>
      <c r="J187" t="s">
        <v>84</v>
      </c>
      <c r="K187" t="s">
        <v>86</v>
      </c>
      <c r="L187" s="25">
        <v>44031</v>
      </c>
      <c r="M187">
        <v>7</v>
      </c>
      <c r="N187">
        <v>2020</v>
      </c>
      <c r="O187" t="s">
        <v>106</v>
      </c>
      <c r="P187">
        <v>170</v>
      </c>
      <c r="Q187" s="17">
        <v>44032.472738773147</v>
      </c>
      <c r="R187" t="s">
        <v>107</v>
      </c>
    </row>
    <row r="188" spans="1:18" x14ac:dyDescent="0.3">
      <c r="A188">
        <v>21532759</v>
      </c>
      <c r="B188" t="s">
        <v>72</v>
      </c>
      <c r="C188">
        <v>1333007</v>
      </c>
      <c r="D188" t="s">
        <v>104</v>
      </c>
      <c r="E188" t="s">
        <v>58</v>
      </c>
      <c r="F188" t="s">
        <v>58</v>
      </c>
      <c r="G188" t="s">
        <v>110</v>
      </c>
      <c r="H188" t="s">
        <v>161</v>
      </c>
      <c r="I188" t="s">
        <v>83</v>
      </c>
      <c r="J188" t="s">
        <v>84</v>
      </c>
      <c r="K188" t="s">
        <v>86</v>
      </c>
      <c r="L188" s="25">
        <v>44031</v>
      </c>
      <c r="M188">
        <v>7</v>
      </c>
      <c r="N188">
        <v>2020</v>
      </c>
      <c r="O188" t="s">
        <v>106</v>
      </c>
      <c r="P188">
        <v>170</v>
      </c>
      <c r="Q188" s="17">
        <v>44032.476604629628</v>
      </c>
      <c r="R188" t="s">
        <v>107</v>
      </c>
    </row>
    <row r="189" spans="1:18" x14ac:dyDescent="0.3">
      <c r="A189">
        <v>9687213</v>
      </c>
      <c r="B189" t="s">
        <v>79</v>
      </c>
      <c r="C189">
        <v>1330374</v>
      </c>
      <c r="D189" t="s">
        <v>109</v>
      </c>
      <c r="E189" t="s">
        <v>130</v>
      </c>
      <c r="F189" t="s">
        <v>17</v>
      </c>
      <c r="G189" t="s">
        <v>133</v>
      </c>
      <c r="H189" t="s">
        <v>148</v>
      </c>
      <c r="I189" t="s">
        <v>83</v>
      </c>
      <c r="J189" t="s">
        <v>84</v>
      </c>
      <c r="K189" t="s">
        <v>86</v>
      </c>
      <c r="L189" s="25">
        <v>44031</v>
      </c>
      <c r="M189">
        <v>7</v>
      </c>
      <c r="N189">
        <v>2020</v>
      </c>
      <c r="O189" t="s">
        <v>106</v>
      </c>
      <c r="P189">
        <v>170</v>
      </c>
      <c r="Q189" s="17">
        <v>44032.150024189817</v>
      </c>
      <c r="R189" t="s">
        <v>120</v>
      </c>
    </row>
    <row r="190" spans="1:18" x14ac:dyDescent="0.3">
      <c r="A190">
        <v>242729</v>
      </c>
      <c r="B190" t="s">
        <v>79</v>
      </c>
      <c r="C190">
        <v>1324826</v>
      </c>
      <c r="D190" t="s">
        <v>116</v>
      </c>
      <c r="E190" t="s">
        <v>26</v>
      </c>
      <c r="F190" t="s">
        <v>26</v>
      </c>
      <c r="G190" t="s">
        <v>126</v>
      </c>
      <c r="H190" t="s">
        <v>163</v>
      </c>
      <c r="I190" t="s">
        <v>83</v>
      </c>
      <c r="J190" t="s">
        <v>84</v>
      </c>
      <c r="K190" t="s">
        <v>82</v>
      </c>
      <c r="L190" s="25">
        <v>44031</v>
      </c>
      <c r="M190">
        <v>7</v>
      </c>
      <c r="N190">
        <v>2020</v>
      </c>
      <c r="O190" t="s">
        <v>106</v>
      </c>
      <c r="P190">
        <v>170</v>
      </c>
      <c r="Q190" s="17">
        <v>44029.863516898149</v>
      </c>
      <c r="R190" t="s">
        <v>120</v>
      </c>
    </row>
    <row r="191" spans="1:18" x14ac:dyDescent="0.3">
      <c r="A191">
        <v>245646</v>
      </c>
      <c r="B191" t="s">
        <v>78</v>
      </c>
      <c r="C191">
        <v>1336883</v>
      </c>
      <c r="D191" t="s">
        <v>112</v>
      </c>
      <c r="E191" t="s">
        <v>12</v>
      </c>
      <c r="F191" t="s">
        <v>12</v>
      </c>
      <c r="G191" t="s">
        <v>124</v>
      </c>
      <c r="H191" t="s">
        <v>150</v>
      </c>
      <c r="I191" t="s">
        <v>81</v>
      </c>
      <c r="J191" t="s">
        <v>42</v>
      </c>
      <c r="K191" t="s">
        <v>82</v>
      </c>
      <c r="L191" s="25">
        <v>44031</v>
      </c>
      <c r="M191">
        <v>7</v>
      </c>
      <c r="N191">
        <v>2020</v>
      </c>
      <c r="O191" t="s">
        <v>106</v>
      </c>
      <c r="P191">
        <v>171</v>
      </c>
      <c r="Q191" s="17">
        <v>44032.091677777775</v>
      </c>
      <c r="R191" t="s">
        <v>120</v>
      </c>
    </row>
    <row r="192" spans="1:18" x14ac:dyDescent="0.3">
      <c r="A192">
        <v>243055</v>
      </c>
      <c r="B192" t="s">
        <v>72</v>
      </c>
      <c r="C192">
        <v>1324881</v>
      </c>
      <c r="D192" t="s">
        <v>104</v>
      </c>
      <c r="E192" t="s">
        <v>26</v>
      </c>
      <c r="F192" t="s">
        <v>26</v>
      </c>
      <c r="G192" t="s">
        <v>126</v>
      </c>
      <c r="H192" t="s">
        <v>147</v>
      </c>
      <c r="I192" t="s">
        <v>83</v>
      </c>
      <c r="J192" t="s">
        <v>84</v>
      </c>
      <c r="K192" t="s">
        <v>82</v>
      </c>
      <c r="L192" s="25">
        <v>44031</v>
      </c>
      <c r="M192">
        <v>7</v>
      </c>
      <c r="N192">
        <v>2020</v>
      </c>
      <c r="O192" t="s">
        <v>106</v>
      </c>
      <c r="P192">
        <v>170</v>
      </c>
      <c r="Q192" s="17">
        <v>44032.08484502315</v>
      </c>
      <c r="R192" t="s">
        <v>120</v>
      </c>
    </row>
    <row r="193" spans="1:18" x14ac:dyDescent="0.3">
      <c r="A193">
        <v>245690</v>
      </c>
      <c r="B193" t="s">
        <v>72</v>
      </c>
      <c r="C193">
        <v>1336926</v>
      </c>
      <c r="D193" t="s">
        <v>104</v>
      </c>
      <c r="E193" t="s">
        <v>26</v>
      </c>
      <c r="F193" t="s">
        <v>26</v>
      </c>
      <c r="G193" t="s">
        <v>126</v>
      </c>
      <c r="H193" t="s">
        <v>147</v>
      </c>
      <c r="I193" t="s">
        <v>83</v>
      </c>
      <c r="J193" t="s">
        <v>84</v>
      </c>
      <c r="K193" t="s">
        <v>82</v>
      </c>
      <c r="L193" s="25">
        <v>44031</v>
      </c>
      <c r="M193">
        <v>7</v>
      </c>
      <c r="N193">
        <v>2020</v>
      </c>
      <c r="O193" t="s">
        <v>106</v>
      </c>
      <c r="P193">
        <v>171</v>
      </c>
      <c r="Q193" s="17">
        <v>44032.082226041668</v>
      </c>
      <c r="R193" t="s">
        <v>120</v>
      </c>
    </row>
    <row r="194" spans="1:18" x14ac:dyDescent="0.3">
      <c r="A194">
        <v>9687342</v>
      </c>
      <c r="B194" t="s">
        <v>79</v>
      </c>
      <c r="C194">
        <v>1330408</v>
      </c>
      <c r="D194" t="s">
        <v>109</v>
      </c>
      <c r="E194" t="s">
        <v>130</v>
      </c>
      <c r="F194" t="s">
        <v>17</v>
      </c>
      <c r="G194" t="s">
        <v>133</v>
      </c>
      <c r="H194" t="s">
        <v>148</v>
      </c>
      <c r="I194" t="s">
        <v>83</v>
      </c>
      <c r="J194" t="s">
        <v>84</v>
      </c>
      <c r="K194" t="s">
        <v>86</v>
      </c>
      <c r="L194" s="25">
        <v>44031</v>
      </c>
      <c r="M194">
        <v>7</v>
      </c>
      <c r="N194">
        <v>2020</v>
      </c>
      <c r="O194" t="s">
        <v>106</v>
      </c>
      <c r="P194">
        <v>170</v>
      </c>
      <c r="Q194" s="17">
        <v>44032.156303703705</v>
      </c>
      <c r="R194" t="s">
        <v>120</v>
      </c>
    </row>
    <row r="195" spans="1:18" x14ac:dyDescent="0.3">
      <c r="A195">
        <v>9687700</v>
      </c>
      <c r="B195" t="s">
        <v>72</v>
      </c>
      <c r="C195">
        <v>1330706</v>
      </c>
      <c r="D195" t="s">
        <v>104</v>
      </c>
      <c r="E195">
        <v>820</v>
      </c>
      <c r="F195">
        <v>820</v>
      </c>
      <c r="G195" t="s">
        <v>125</v>
      </c>
      <c r="H195" t="s">
        <v>155</v>
      </c>
      <c r="I195" t="s">
        <v>81</v>
      </c>
      <c r="J195" t="s">
        <v>42</v>
      </c>
      <c r="K195" t="s">
        <v>82</v>
      </c>
      <c r="L195" s="25">
        <v>44031</v>
      </c>
      <c r="M195">
        <v>7</v>
      </c>
      <c r="N195">
        <v>2020</v>
      </c>
      <c r="O195" t="s">
        <v>106</v>
      </c>
      <c r="P195">
        <v>170</v>
      </c>
      <c r="Q195" s="17">
        <v>44032.164816087963</v>
      </c>
      <c r="R195" t="s">
        <v>120</v>
      </c>
    </row>
    <row r="196" spans="1:18" x14ac:dyDescent="0.3">
      <c r="A196">
        <v>9687207</v>
      </c>
      <c r="B196" t="s">
        <v>79</v>
      </c>
      <c r="C196">
        <v>1330365</v>
      </c>
      <c r="D196" t="s">
        <v>109</v>
      </c>
      <c r="E196" t="s">
        <v>130</v>
      </c>
      <c r="F196" t="s">
        <v>17</v>
      </c>
      <c r="G196" t="s">
        <v>133</v>
      </c>
      <c r="H196" t="s">
        <v>148</v>
      </c>
      <c r="I196" t="s">
        <v>83</v>
      </c>
      <c r="J196" t="s">
        <v>84</v>
      </c>
      <c r="K196" t="s">
        <v>86</v>
      </c>
      <c r="L196" s="25">
        <v>44031</v>
      </c>
      <c r="M196">
        <v>7</v>
      </c>
      <c r="N196">
        <v>2020</v>
      </c>
      <c r="O196" t="s">
        <v>106</v>
      </c>
      <c r="P196">
        <v>170</v>
      </c>
      <c r="Q196" s="17">
        <v>44032.144467708335</v>
      </c>
      <c r="R196" t="s">
        <v>120</v>
      </c>
    </row>
    <row r="197" spans="1:18" x14ac:dyDescent="0.3">
      <c r="A197">
        <v>242362</v>
      </c>
      <c r="B197" t="s">
        <v>79</v>
      </c>
      <c r="C197">
        <v>1324013</v>
      </c>
      <c r="D197" t="s">
        <v>116</v>
      </c>
      <c r="E197" t="s">
        <v>26</v>
      </c>
      <c r="F197" t="s">
        <v>26</v>
      </c>
      <c r="G197" t="s">
        <v>126</v>
      </c>
      <c r="H197" t="s">
        <v>163</v>
      </c>
      <c r="I197" t="s">
        <v>83</v>
      </c>
      <c r="J197" t="s">
        <v>84</v>
      </c>
      <c r="K197" t="s">
        <v>82</v>
      </c>
      <c r="L197" s="25">
        <v>44031</v>
      </c>
      <c r="M197">
        <v>7</v>
      </c>
      <c r="N197">
        <v>2020</v>
      </c>
      <c r="O197" t="s">
        <v>106</v>
      </c>
      <c r="P197">
        <v>170</v>
      </c>
      <c r="Q197" s="17">
        <v>44029.839090972222</v>
      </c>
      <c r="R197" t="s">
        <v>120</v>
      </c>
    </row>
    <row r="198" spans="1:18" x14ac:dyDescent="0.3">
      <c r="A198">
        <v>9687681</v>
      </c>
      <c r="B198" t="s">
        <v>72</v>
      </c>
      <c r="C198">
        <v>1330697</v>
      </c>
      <c r="D198" t="s">
        <v>104</v>
      </c>
      <c r="E198">
        <v>820</v>
      </c>
      <c r="F198">
        <v>820</v>
      </c>
      <c r="G198" t="s">
        <v>125</v>
      </c>
      <c r="H198" t="s">
        <v>155</v>
      </c>
      <c r="I198" t="s">
        <v>81</v>
      </c>
      <c r="J198" t="s">
        <v>42</v>
      </c>
      <c r="K198" t="s">
        <v>82</v>
      </c>
      <c r="L198" s="25">
        <v>44031</v>
      </c>
      <c r="M198">
        <v>7</v>
      </c>
      <c r="N198">
        <v>2020</v>
      </c>
      <c r="O198" t="s">
        <v>106</v>
      </c>
      <c r="P198">
        <v>170</v>
      </c>
      <c r="Q198" s="17">
        <v>44032.16259803241</v>
      </c>
      <c r="R198" t="s">
        <v>120</v>
      </c>
    </row>
    <row r="199" spans="1:18" x14ac:dyDescent="0.3">
      <c r="A199">
        <v>245870</v>
      </c>
      <c r="B199" t="s">
        <v>77</v>
      </c>
      <c r="C199">
        <v>1336818</v>
      </c>
      <c r="D199" t="s">
        <v>77</v>
      </c>
      <c r="E199" t="s">
        <v>12</v>
      </c>
      <c r="F199" t="s">
        <v>12</v>
      </c>
      <c r="G199" t="s">
        <v>124</v>
      </c>
      <c r="H199" t="s">
        <v>150</v>
      </c>
      <c r="I199" t="s">
        <v>77</v>
      </c>
      <c r="J199" t="s">
        <v>42</v>
      </c>
      <c r="K199" t="s">
        <v>82</v>
      </c>
      <c r="L199" s="25">
        <v>44031</v>
      </c>
      <c r="M199">
        <v>7</v>
      </c>
      <c r="N199">
        <v>2020</v>
      </c>
      <c r="O199" t="s">
        <v>106</v>
      </c>
      <c r="P199">
        <v>171</v>
      </c>
      <c r="Q199" s="17">
        <v>44032.089649421294</v>
      </c>
      <c r="R199" t="s">
        <v>120</v>
      </c>
    </row>
    <row r="200" spans="1:18" x14ac:dyDescent="0.3">
      <c r="A200">
        <v>245894</v>
      </c>
      <c r="B200" t="s">
        <v>78</v>
      </c>
      <c r="C200">
        <v>1336918</v>
      </c>
      <c r="D200" t="s">
        <v>112</v>
      </c>
      <c r="E200" t="s">
        <v>12</v>
      </c>
      <c r="F200" t="s">
        <v>12</v>
      </c>
      <c r="G200" t="s">
        <v>124</v>
      </c>
      <c r="H200" t="s">
        <v>150</v>
      </c>
      <c r="I200" t="s">
        <v>81</v>
      </c>
      <c r="J200" t="s">
        <v>42</v>
      </c>
      <c r="K200" t="s">
        <v>82</v>
      </c>
      <c r="L200" s="25">
        <v>44031</v>
      </c>
      <c r="M200">
        <v>7</v>
      </c>
      <c r="N200">
        <v>2020</v>
      </c>
      <c r="O200" t="s">
        <v>106</v>
      </c>
      <c r="P200">
        <v>171</v>
      </c>
      <c r="Q200" s="17">
        <v>44032.091231712962</v>
      </c>
      <c r="R200" t="s">
        <v>120</v>
      </c>
    </row>
    <row r="201" spans="1:18" x14ac:dyDescent="0.3">
      <c r="A201">
        <v>242655</v>
      </c>
      <c r="B201" t="s">
        <v>72</v>
      </c>
      <c r="C201">
        <v>1326058</v>
      </c>
      <c r="D201" t="s">
        <v>104</v>
      </c>
      <c r="E201" t="s">
        <v>26</v>
      </c>
      <c r="F201" t="s">
        <v>26</v>
      </c>
      <c r="G201" t="s">
        <v>126</v>
      </c>
      <c r="H201" t="s">
        <v>163</v>
      </c>
      <c r="I201" t="s">
        <v>83</v>
      </c>
      <c r="J201" t="s">
        <v>84</v>
      </c>
      <c r="K201" t="s">
        <v>82</v>
      </c>
      <c r="L201" s="25">
        <v>44031</v>
      </c>
      <c r="M201">
        <v>7</v>
      </c>
      <c r="N201">
        <v>2020</v>
      </c>
      <c r="O201" t="s">
        <v>106</v>
      </c>
      <c r="P201">
        <v>170</v>
      </c>
      <c r="Q201" s="17">
        <v>44032.416340162039</v>
      </c>
      <c r="R201" t="s">
        <v>120</v>
      </c>
    </row>
    <row r="202" spans="1:18" x14ac:dyDescent="0.3">
      <c r="A202">
        <v>9680808</v>
      </c>
      <c r="B202" t="s">
        <v>78</v>
      </c>
      <c r="C202">
        <v>1331688</v>
      </c>
      <c r="D202" t="s">
        <v>112</v>
      </c>
      <c r="E202" t="s">
        <v>12</v>
      </c>
      <c r="F202" t="s">
        <v>12</v>
      </c>
      <c r="G202" t="s">
        <v>124</v>
      </c>
      <c r="H202" t="s">
        <v>150</v>
      </c>
      <c r="I202" t="s">
        <v>81</v>
      </c>
      <c r="J202" t="s">
        <v>42</v>
      </c>
      <c r="K202" t="s">
        <v>82</v>
      </c>
      <c r="L202" s="25">
        <v>44031</v>
      </c>
      <c r="M202">
        <v>7</v>
      </c>
      <c r="N202">
        <v>2020</v>
      </c>
      <c r="O202" t="s">
        <v>106</v>
      </c>
      <c r="P202">
        <v>170</v>
      </c>
      <c r="Q202" s="17">
        <v>44032.075309953703</v>
      </c>
      <c r="R202" t="s">
        <v>120</v>
      </c>
    </row>
    <row r="203" spans="1:18" x14ac:dyDescent="0.3">
      <c r="A203">
        <v>9687732</v>
      </c>
      <c r="B203" t="s">
        <v>77</v>
      </c>
      <c r="C203">
        <v>1330701</v>
      </c>
      <c r="D203" t="s">
        <v>77</v>
      </c>
      <c r="E203">
        <v>820</v>
      </c>
      <c r="F203">
        <v>820</v>
      </c>
      <c r="G203" t="s">
        <v>125</v>
      </c>
      <c r="H203" t="s">
        <v>149</v>
      </c>
      <c r="I203" t="s">
        <v>77</v>
      </c>
      <c r="J203" t="s">
        <v>42</v>
      </c>
      <c r="K203" t="s">
        <v>82</v>
      </c>
      <c r="L203" s="25">
        <v>44031</v>
      </c>
      <c r="M203">
        <v>7</v>
      </c>
      <c r="N203">
        <v>2020</v>
      </c>
      <c r="O203" t="s">
        <v>106</v>
      </c>
      <c r="P203">
        <v>170</v>
      </c>
      <c r="Q203" s="17">
        <v>44032.182943865744</v>
      </c>
      <c r="R203" t="s">
        <v>120</v>
      </c>
    </row>
    <row r="204" spans="1:18" x14ac:dyDescent="0.3">
      <c r="A204">
        <v>9687256</v>
      </c>
      <c r="B204" t="s">
        <v>76</v>
      </c>
      <c r="C204">
        <v>1331674</v>
      </c>
      <c r="D204" t="s">
        <v>77</v>
      </c>
      <c r="E204" t="s">
        <v>12</v>
      </c>
      <c r="F204" t="s">
        <v>12</v>
      </c>
      <c r="G204" t="s">
        <v>124</v>
      </c>
      <c r="H204" t="s">
        <v>150</v>
      </c>
      <c r="I204" t="s">
        <v>77</v>
      </c>
      <c r="J204" t="s">
        <v>42</v>
      </c>
      <c r="K204" t="s">
        <v>82</v>
      </c>
      <c r="L204" s="25">
        <v>44031</v>
      </c>
      <c r="M204">
        <v>7</v>
      </c>
      <c r="N204">
        <v>2020</v>
      </c>
      <c r="O204" t="s">
        <v>106</v>
      </c>
      <c r="P204">
        <v>170</v>
      </c>
      <c r="Q204" s="17">
        <v>44032.075966087963</v>
      </c>
      <c r="R204" t="s">
        <v>120</v>
      </c>
    </row>
    <row r="205" spans="1:18" x14ac:dyDescent="0.3">
      <c r="A205">
        <v>241705</v>
      </c>
      <c r="B205" t="s">
        <v>72</v>
      </c>
      <c r="C205">
        <v>1322749</v>
      </c>
      <c r="D205" t="s">
        <v>104</v>
      </c>
      <c r="E205" t="s">
        <v>26</v>
      </c>
      <c r="F205" t="s">
        <v>26</v>
      </c>
      <c r="G205" t="s">
        <v>126</v>
      </c>
      <c r="H205" t="s">
        <v>157</v>
      </c>
      <c r="I205" t="s">
        <v>83</v>
      </c>
      <c r="J205" t="s">
        <v>84</v>
      </c>
      <c r="K205" t="s">
        <v>82</v>
      </c>
      <c r="L205" s="25">
        <v>44031</v>
      </c>
      <c r="M205">
        <v>7</v>
      </c>
      <c r="N205">
        <v>2020</v>
      </c>
      <c r="O205" t="s">
        <v>106</v>
      </c>
      <c r="P205">
        <v>170</v>
      </c>
      <c r="Q205" s="17">
        <v>44032.073714004633</v>
      </c>
      <c r="R205" t="s">
        <v>120</v>
      </c>
    </row>
    <row r="206" spans="1:18" x14ac:dyDescent="0.3">
      <c r="A206">
        <v>9687569</v>
      </c>
      <c r="B206" t="s">
        <v>79</v>
      </c>
      <c r="C206">
        <v>1330452</v>
      </c>
      <c r="D206" t="s">
        <v>109</v>
      </c>
      <c r="E206" t="s">
        <v>130</v>
      </c>
      <c r="F206" t="s">
        <v>17</v>
      </c>
      <c r="G206" t="s">
        <v>133</v>
      </c>
      <c r="H206" t="s">
        <v>148</v>
      </c>
      <c r="I206" t="s">
        <v>83</v>
      </c>
      <c r="J206" t="s">
        <v>84</v>
      </c>
      <c r="K206" t="s">
        <v>86</v>
      </c>
      <c r="L206" s="25">
        <v>44031</v>
      </c>
      <c r="M206">
        <v>7</v>
      </c>
      <c r="N206">
        <v>2020</v>
      </c>
      <c r="O206" t="s">
        <v>106</v>
      </c>
      <c r="P206">
        <v>170</v>
      </c>
      <c r="Q206" s="17">
        <v>44032.159666666666</v>
      </c>
      <c r="R206" t="s">
        <v>120</v>
      </c>
    </row>
    <row r="207" spans="1:18" x14ac:dyDescent="0.3">
      <c r="A207">
        <v>21533770</v>
      </c>
      <c r="B207" t="s">
        <v>72</v>
      </c>
      <c r="C207">
        <v>1334396</v>
      </c>
      <c r="D207" t="s">
        <v>104</v>
      </c>
      <c r="E207" t="s">
        <v>12</v>
      </c>
      <c r="F207" t="s">
        <v>12</v>
      </c>
      <c r="G207" t="s">
        <v>124</v>
      </c>
      <c r="H207" t="s">
        <v>95</v>
      </c>
      <c r="I207" t="s">
        <v>81</v>
      </c>
      <c r="J207" t="s">
        <v>42</v>
      </c>
      <c r="K207" t="s">
        <v>82</v>
      </c>
      <c r="L207" s="25">
        <v>44031</v>
      </c>
      <c r="M207">
        <v>7</v>
      </c>
      <c r="N207">
        <v>2020</v>
      </c>
      <c r="O207" t="s">
        <v>106</v>
      </c>
      <c r="P207">
        <v>170</v>
      </c>
      <c r="Q207" s="17">
        <v>44032.082276041663</v>
      </c>
      <c r="R207" t="s">
        <v>120</v>
      </c>
    </row>
    <row r="208" spans="1:18" x14ac:dyDescent="0.3">
      <c r="A208">
        <v>9687065</v>
      </c>
      <c r="B208" t="s">
        <v>79</v>
      </c>
      <c r="C208">
        <v>1330301</v>
      </c>
      <c r="D208" t="s">
        <v>109</v>
      </c>
      <c r="E208" t="s">
        <v>130</v>
      </c>
      <c r="F208" t="s">
        <v>17</v>
      </c>
      <c r="G208" t="s">
        <v>133</v>
      </c>
      <c r="H208" t="s">
        <v>148</v>
      </c>
      <c r="I208" t="s">
        <v>83</v>
      </c>
      <c r="J208" t="s">
        <v>84</v>
      </c>
      <c r="K208" t="s">
        <v>86</v>
      </c>
      <c r="L208" s="25">
        <v>44031</v>
      </c>
      <c r="M208">
        <v>7</v>
      </c>
      <c r="N208">
        <v>2020</v>
      </c>
      <c r="O208" t="s">
        <v>106</v>
      </c>
      <c r="P208">
        <v>170</v>
      </c>
      <c r="Q208" s="17">
        <v>44032.134444444448</v>
      </c>
      <c r="R208" t="s">
        <v>120</v>
      </c>
    </row>
    <row r="209" spans="1:18" x14ac:dyDescent="0.3">
      <c r="A209">
        <v>21533437</v>
      </c>
      <c r="B209" t="s">
        <v>78</v>
      </c>
      <c r="C209">
        <v>1334746</v>
      </c>
      <c r="D209" t="s">
        <v>112</v>
      </c>
      <c r="E209" t="s">
        <v>12</v>
      </c>
      <c r="F209" t="s">
        <v>12</v>
      </c>
      <c r="G209" t="s">
        <v>124</v>
      </c>
      <c r="H209" t="s">
        <v>150</v>
      </c>
      <c r="I209" t="s">
        <v>81</v>
      </c>
      <c r="J209" t="s">
        <v>42</v>
      </c>
      <c r="K209" t="s">
        <v>82</v>
      </c>
      <c r="L209" s="25">
        <v>44031</v>
      </c>
      <c r="M209">
        <v>7</v>
      </c>
      <c r="N209">
        <v>2020</v>
      </c>
      <c r="O209" t="s">
        <v>106</v>
      </c>
      <c r="P209">
        <v>170</v>
      </c>
      <c r="Q209" s="17">
        <v>44032.081270833332</v>
      </c>
      <c r="R209" t="s">
        <v>120</v>
      </c>
    </row>
    <row r="210" spans="1:18" x14ac:dyDescent="0.3">
      <c r="A210">
        <v>9687726</v>
      </c>
      <c r="B210" t="s">
        <v>72</v>
      </c>
      <c r="C210">
        <v>1330802</v>
      </c>
      <c r="D210" t="s">
        <v>104</v>
      </c>
      <c r="E210">
        <v>820</v>
      </c>
      <c r="F210">
        <v>820</v>
      </c>
      <c r="G210" t="s">
        <v>125</v>
      </c>
      <c r="H210" t="s">
        <v>155</v>
      </c>
      <c r="I210" t="s">
        <v>81</v>
      </c>
      <c r="J210" t="s">
        <v>42</v>
      </c>
      <c r="K210" t="s">
        <v>82</v>
      </c>
      <c r="L210" s="25">
        <v>44031</v>
      </c>
      <c r="M210">
        <v>7</v>
      </c>
      <c r="N210">
        <v>2020</v>
      </c>
      <c r="O210" t="s">
        <v>106</v>
      </c>
      <c r="P210">
        <v>170</v>
      </c>
      <c r="Q210" s="17">
        <v>44032.22835474537</v>
      </c>
      <c r="R210" t="s">
        <v>120</v>
      </c>
    </row>
    <row r="211" spans="1:18" x14ac:dyDescent="0.3">
      <c r="A211">
        <v>245743</v>
      </c>
      <c r="B211" t="s">
        <v>72</v>
      </c>
      <c r="C211">
        <v>1336853</v>
      </c>
      <c r="D211" t="s">
        <v>104</v>
      </c>
      <c r="E211" t="s">
        <v>12</v>
      </c>
      <c r="F211" t="s">
        <v>12</v>
      </c>
      <c r="G211" t="s">
        <v>124</v>
      </c>
      <c r="H211" t="s">
        <v>163</v>
      </c>
      <c r="I211" t="s">
        <v>83</v>
      </c>
      <c r="J211" t="s">
        <v>84</v>
      </c>
      <c r="K211" t="s">
        <v>82</v>
      </c>
      <c r="L211" s="25">
        <v>44031</v>
      </c>
      <c r="M211">
        <v>7</v>
      </c>
      <c r="N211">
        <v>2020</v>
      </c>
      <c r="O211" t="s">
        <v>106</v>
      </c>
      <c r="P211">
        <v>171</v>
      </c>
      <c r="Q211" s="17">
        <v>44032.090645601849</v>
      </c>
      <c r="R211" t="s">
        <v>120</v>
      </c>
    </row>
    <row r="212" spans="1:18" x14ac:dyDescent="0.3">
      <c r="A212">
        <v>241421</v>
      </c>
      <c r="B212" t="s">
        <v>72</v>
      </c>
      <c r="C212">
        <v>1322850</v>
      </c>
      <c r="D212" t="s">
        <v>104</v>
      </c>
      <c r="E212" t="s">
        <v>26</v>
      </c>
      <c r="F212" t="s">
        <v>26</v>
      </c>
      <c r="G212" t="s">
        <v>126</v>
      </c>
      <c r="H212" t="s">
        <v>160</v>
      </c>
      <c r="I212" t="s">
        <v>81</v>
      </c>
      <c r="J212" t="s">
        <v>42</v>
      </c>
      <c r="K212" t="s">
        <v>82</v>
      </c>
      <c r="L212" s="25">
        <v>44031</v>
      </c>
      <c r="M212">
        <v>7</v>
      </c>
      <c r="N212">
        <v>2020</v>
      </c>
      <c r="O212" t="s">
        <v>106</v>
      </c>
      <c r="P212">
        <v>170</v>
      </c>
      <c r="Q212" s="17">
        <v>44032.074520833332</v>
      </c>
      <c r="R212" t="s">
        <v>120</v>
      </c>
    </row>
    <row r="213" spans="1:18" x14ac:dyDescent="0.3">
      <c r="A213">
        <v>9687199</v>
      </c>
      <c r="B213" t="s">
        <v>79</v>
      </c>
      <c r="C213">
        <v>1330352</v>
      </c>
      <c r="D213" t="s">
        <v>109</v>
      </c>
      <c r="E213" t="s">
        <v>130</v>
      </c>
      <c r="F213" t="s">
        <v>17</v>
      </c>
      <c r="G213" t="s">
        <v>133</v>
      </c>
      <c r="H213" t="s">
        <v>148</v>
      </c>
      <c r="I213" t="s">
        <v>83</v>
      </c>
      <c r="J213" t="s">
        <v>84</v>
      </c>
      <c r="K213" t="s">
        <v>86</v>
      </c>
      <c r="L213" s="25">
        <v>44031</v>
      </c>
      <c r="M213">
        <v>7</v>
      </c>
      <c r="N213">
        <v>2020</v>
      </c>
      <c r="O213" t="s">
        <v>106</v>
      </c>
      <c r="P213">
        <v>170</v>
      </c>
      <c r="Q213" s="17">
        <v>44032.142270601849</v>
      </c>
      <c r="R213" t="s">
        <v>120</v>
      </c>
    </row>
    <row r="214" spans="1:18" x14ac:dyDescent="0.3">
      <c r="A214">
        <v>9680036</v>
      </c>
      <c r="B214" t="s">
        <v>72</v>
      </c>
      <c r="C214">
        <v>1332860</v>
      </c>
      <c r="D214" t="s">
        <v>104</v>
      </c>
      <c r="E214" t="s">
        <v>12</v>
      </c>
      <c r="F214" t="s">
        <v>12</v>
      </c>
      <c r="G214" t="s">
        <v>124</v>
      </c>
      <c r="H214" t="s">
        <v>95</v>
      </c>
      <c r="I214" t="s">
        <v>81</v>
      </c>
      <c r="J214" t="s">
        <v>42</v>
      </c>
      <c r="K214" t="s">
        <v>82</v>
      </c>
      <c r="L214" s="25">
        <v>44031</v>
      </c>
      <c r="M214">
        <v>7</v>
      </c>
      <c r="N214">
        <v>2020</v>
      </c>
      <c r="O214" t="s">
        <v>106</v>
      </c>
      <c r="P214">
        <v>170</v>
      </c>
      <c r="Q214" s="17">
        <v>44032.076868981479</v>
      </c>
      <c r="R214" t="s">
        <v>120</v>
      </c>
    </row>
    <row r="215" spans="1:18" x14ac:dyDescent="0.3">
      <c r="A215">
        <v>241561</v>
      </c>
      <c r="B215" t="s">
        <v>79</v>
      </c>
      <c r="C215">
        <v>1322864</v>
      </c>
      <c r="D215" t="s">
        <v>116</v>
      </c>
      <c r="E215" t="s">
        <v>26</v>
      </c>
      <c r="F215" t="s">
        <v>26</v>
      </c>
      <c r="G215" t="s">
        <v>126</v>
      </c>
      <c r="H215" t="s">
        <v>163</v>
      </c>
      <c r="I215" t="s">
        <v>83</v>
      </c>
      <c r="J215" t="s">
        <v>84</v>
      </c>
      <c r="K215" t="s">
        <v>82</v>
      </c>
      <c r="L215" s="25">
        <v>44031</v>
      </c>
      <c r="M215">
        <v>7</v>
      </c>
      <c r="N215">
        <v>2020</v>
      </c>
      <c r="O215" t="s">
        <v>106</v>
      </c>
      <c r="P215">
        <v>170</v>
      </c>
      <c r="Q215" s="17">
        <v>44029.817173263888</v>
      </c>
      <c r="R215" t="s">
        <v>120</v>
      </c>
    </row>
    <row r="216" spans="1:18" x14ac:dyDescent="0.3">
      <c r="A216">
        <v>9687332</v>
      </c>
      <c r="B216" t="s">
        <v>79</v>
      </c>
      <c r="C216">
        <v>1330401</v>
      </c>
      <c r="D216" t="s">
        <v>109</v>
      </c>
      <c r="E216" t="s">
        <v>130</v>
      </c>
      <c r="F216" t="s">
        <v>17</v>
      </c>
      <c r="G216" t="s">
        <v>133</v>
      </c>
      <c r="H216" t="s">
        <v>148</v>
      </c>
      <c r="I216" t="s">
        <v>83</v>
      </c>
      <c r="J216" t="s">
        <v>84</v>
      </c>
      <c r="K216" t="s">
        <v>86</v>
      </c>
      <c r="L216" s="25">
        <v>44031</v>
      </c>
      <c r="M216">
        <v>7</v>
      </c>
      <c r="N216">
        <v>2020</v>
      </c>
      <c r="O216" t="s">
        <v>106</v>
      </c>
      <c r="P216">
        <v>170</v>
      </c>
      <c r="Q216" s="17">
        <v>44032.162742592591</v>
      </c>
      <c r="R216" t="s">
        <v>120</v>
      </c>
    </row>
    <row r="217" spans="1:18" x14ac:dyDescent="0.3">
      <c r="A217">
        <v>240876</v>
      </c>
      <c r="B217" t="s">
        <v>77</v>
      </c>
      <c r="C217">
        <v>1320070</v>
      </c>
      <c r="D217" t="s">
        <v>109</v>
      </c>
      <c r="E217" t="s">
        <v>58</v>
      </c>
      <c r="F217" t="s">
        <v>58</v>
      </c>
      <c r="G217" t="s">
        <v>110</v>
      </c>
      <c r="H217" t="s">
        <v>148</v>
      </c>
      <c r="I217" t="s">
        <v>83</v>
      </c>
      <c r="J217" t="s">
        <v>84</v>
      </c>
      <c r="K217" t="s">
        <v>86</v>
      </c>
      <c r="L217" s="25">
        <v>44031</v>
      </c>
      <c r="M217">
        <v>7</v>
      </c>
      <c r="N217">
        <v>2020</v>
      </c>
      <c r="O217" t="s">
        <v>106</v>
      </c>
      <c r="P217">
        <v>170</v>
      </c>
      <c r="Q217" s="17">
        <v>44032.148147106484</v>
      </c>
      <c r="R217" t="s">
        <v>107</v>
      </c>
    </row>
    <row r="218" spans="1:18" x14ac:dyDescent="0.3">
      <c r="A218">
        <v>9691181</v>
      </c>
      <c r="B218" t="s">
        <v>72</v>
      </c>
      <c r="C218">
        <v>1332895</v>
      </c>
      <c r="D218" t="s">
        <v>104</v>
      </c>
      <c r="E218" t="s">
        <v>58</v>
      </c>
      <c r="F218" t="s">
        <v>58</v>
      </c>
      <c r="G218" t="s">
        <v>110</v>
      </c>
      <c r="H218" t="s">
        <v>161</v>
      </c>
      <c r="I218" t="s">
        <v>83</v>
      </c>
      <c r="J218" t="s">
        <v>84</v>
      </c>
      <c r="K218" t="s">
        <v>86</v>
      </c>
      <c r="L218" s="25">
        <v>44031</v>
      </c>
      <c r="M218">
        <v>7</v>
      </c>
      <c r="N218">
        <v>2020</v>
      </c>
      <c r="O218" t="s">
        <v>106</v>
      </c>
      <c r="P218">
        <v>170</v>
      </c>
      <c r="Q218" s="17">
        <v>44032.442168402777</v>
      </c>
      <c r="R218" t="s">
        <v>107</v>
      </c>
    </row>
    <row r="219" spans="1:18" x14ac:dyDescent="0.3">
      <c r="A219">
        <v>21534366</v>
      </c>
      <c r="B219" t="s">
        <v>72</v>
      </c>
      <c r="C219">
        <v>1334567</v>
      </c>
      <c r="D219" t="s">
        <v>104</v>
      </c>
      <c r="E219" t="s">
        <v>12</v>
      </c>
      <c r="F219" t="s">
        <v>12</v>
      </c>
      <c r="G219" t="s">
        <v>124</v>
      </c>
      <c r="H219" t="s">
        <v>163</v>
      </c>
      <c r="I219" t="s">
        <v>83</v>
      </c>
      <c r="J219" t="s">
        <v>84</v>
      </c>
      <c r="K219" t="s">
        <v>82</v>
      </c>
      <c r="L219" s="25">
        <v>44031</v>
      </c>
      <c r="M219">
        <v>7</v>
      </c>
      <c r="N219">
        <v>2020</v>
      </c>
      <c r="O219" t="s">
        <v>106</v>
      </c>
      <c r="P219">
        <v>170</v>
      </c>
      <c r="Q219" s="17">
        <v>44032.080150925925</v>
      </c>
      <c r="R219" t="s">
        <v>120</v>
      </c>
    </row>
    <row r="220" spans="1:18" x14ac:dyDescent="0.3">
      <c r="A220">
        <v>245761</v>
      </c>
      <c r="B220" t="s">
        <v>77</v>
      </c>
      <c r="C220">
        <v>1336989</v>
      </c>
      <c r="D220" t="s">
        <v>77</v>
      </c>
      <c r="E220" t="s">
        <v>12</v>
      </c>
      <c r="F220" t="s">
        <v>12</v>
      </c>
      <c r="G220" t="s">
        <v>124</v>
      </c>
      <c r="H220" t="s">
        <v>150</v>
      </c>
      <c r="I220" t="s">
        <v>77</v>
      </c>
      <c r="J220" t="s">
        <v>42</v>
      </c>
      <c r="K220" t="s">
        <v>82</v>
      </c>
      <c r="L220" s="25">
        <v>44031</v>
      </c>
      <c r="M220">
        <v>7</v>
      </c>
      <c r="N220">
        <v>2020</v>
      </c>
      <c r="O220" t="s">
        <v>106</v>
      </c>
      <c r="P220">
        <v>171</v>
      </c>
      <c r="Q220" s="17">
        <v>44032.092717476851</v>
      </c>
      <c r="R220" t="s">
        <v>120</v>
      </c>
    </row>
    <row r="221" spans="1:18" x14ac:dyDescent="0.3">
      <c r="A221">
        <v>21532539</v>
      </c>
      <c r="B221" t="s">
        <v>72</v>
      </c>
      <c r="C221">
        <v>1335546</v>
      </c>
      <c r="D221" t="s">
        <v>104</v>
      </c>
      <c r="E221" t="s">
        <v>12</v>
      </c>
      <c r="F221" t="s">
        <v>12</v>
      </c>
      <c r="G221" t="s">
        <v>124</v>
      </c>
      <c r="H221" t="s">
        <v>95</v>
      </c>
      <c r="I221" t="s">
        <v>81</v>
      </c>
      <c r="J221" t="s">
        <v>42</v>
      </c>
      <c r="K221" t="s">
        <v>82</v>
      </c>
      <c r="L221" s="25">
        <v>44031</v>
      </c>
      <c r="M221">
        <v>7</v>
      </c>
      <c r="N221">
        <v>2020</v>
      </c>
      <c r="O221" t="s">
        <v>106</v>
      </c>
      <c r="P221">
        <v>170</v>
      </c>
      <c r="Q221" s="17">
        <v>44032.078130671296</v>
      </c>
      <c r="R221" t="s">
        <v>120</v>
      </c>
    </row>
    <row r="222" spans="1:18" x14ac:dyDescent="0.3">
      <c r="A222">
        <v>21534851</v>
      </c>
      <c r="B222" t="s">
        <v>78</v>
      </c>
      <c r="C222">
        <v>1334424</v>
      </c>
      <c r="D222" t="s">
        <v>77</v>
      </c>
      <c r="E222" t="s">
        <v>12</v>
      </c>
      <c r="F222" t="s">
        <v>12</v>
      </c>
      <c r="G222" t="s">
        <v>124</v>
      </c>
      <c r="H222" t="s">
        <v>156</v>
      </c>
      <c r="I222" t="s">
        <v>77</v>
      </c>
      <c r="J222" t="s">
        <v>42</v>
      </c>
      <c r="K222" t="s">
        <v>82</v>
      </c>
      <c r="L222" s="25">
        <v>44031</v>
      </c>
      <c r="M222">
        <v>7</v>
      </c>
      <c r="N222">
        <v>2020</v>
      </c>
      <c r="O222" t="s">
        <v>106</v>
      </c>
      <c r="P222">
        <v>170</v>
      </c>
      <c r="Q222" s="17">
        <v>44032.080898842592</v>
      </c>
      <c r="R222" t="s">
        <v>120</v>
      </c>
    </row>
    <row r="223" spans="1:18" x14ac:dyDescent="0.3">
      <c r="A223">
        <v>21528907</v>
      </c>
      <c r="B223" t="s">
        <v>72</v>
      </c>
      <c r="C223">
        <v>1325450</v>
      </c>
      <c r="D223" t="s">
        <v>104</v>
      </c>
      <c r="E223" t="s">
        <v>134</v>
      </c>
      <c r="F223" t="s">
        <v>17</v>
      </c>
      <c r="G223" t="s">
        <v>135</v>
      </c>
      <c r="H223" t="s">
        <v>153</v>
      </c>
      <c r="I223" t="s">
        <v>81</v>
      </c>
      <c r="J223" t="s">
        <v>42</v>
      </c>
      <c r="K223" t="s">
        <v>86</v>
      </c>
      <c r="L223" s="25">
        <v>44031</v>
      </c>
      <c r="M223">
        <v>7</v>
      </c>
      <c r="N223">
        <v>2020</v>
      </c>
      <c r="O223" t="s">
        <v>106</v>
      </c>
      <c r="P223">
        <v>170</v>
      </c>
      <c r="Q223" s="17">
        <v>44032.196332870371</v>
      </c>
      <c r="R223" t="s">
        <v>120</v>
      </c>
    </row>
    <row r="224" spans="1:18" x14ac:dyDescent="0.3">
      <c r="A224">
        <v>9687671</v>
      </c>
      <c r="B224" t="s">
        <v>72</v>
      </c>
      <c r="C224">
        <v>1330666</v>
      </c>
      <c r="D224" t="s">
        <v>104</v>
      </c>
      <c r="E224">
        <v>820</v>
      </c>
      <c r="F224">
        <v>820</v>
      </c>
      <c r="G224" t="s">
        <v>125</v>
      </c>
      <c r="H224" t="s">
        <v>155</v>
      </c>
      <c r="I224" t="s">
        <v>81</v>
      </c>
      <c r="J224" t="s">
        <v>42</v>
      </c>
      <c r="K224" t="s">
        <v>82</v>
      </c>
      <c r="L224" s="25">
        <v>44031</v>
      </c>
      <c r="M224">
        <v>7</v>
      </c>
      <c r="N224">
        <v>2020</v>
      </c>
      <c r="O224" t="s">
        <v>106</v>
      </c>
      <c r="P224">
        <v>170</v>
      </c>
      <c r="Q224" s="17">
        <v>44032.077673726853</v>
      </c>
      <c r="R224" t="s">
        <v>120</v>
      </c>
    </row>
    <row r="225" spans="1:18" x14ac:dyDescent="0.3">
      <c r="A225">
        <v>241963</v>
      </c>
      <c r="B225" t="s">
        <v>72</v>
      </c>
      <c r="C225">
        <v>1323478</v>
      </c>
      <c r="D225" t="s">
        <v>104</v>
      </c>
      <c r="E225" t="s">
        <v>26</v>
      </c>
      <c r="F225" t="s">
        <v>26</v>
      </c>
      <c r="G225" t="s">
        <v>126</v>
      </c>
      <c r="H225" t="s">
        <v>157</v>
      </c>
      <c r="I225" t="s">
        <v>83</v>
      </c>
      <c r="J225" t="s">
        <v>84</v>
      </c>
      <c r="K225" t="s">
        <v>82</v>
      </c>
      <c r="L225" s="25">
        <v>44031</v>
      </c>
      <c r="M225">
        <v>7</v>
      </c>
      <c r="N225">
        <v>2020</v>
      </c>
      <c r="O225" t="s">
        <v>106</v>
      </c>
      <c r="P225">
        <v>170</v>
      </c>
      <c r="Q225" s="17">
        <v>44032.080275694447</v>
      </c>
      <c r="R225" t="s">
        <v>120</v>
      </c>
    </row>
    <row r="226" spans="1:18" x14ac:dyDescent="0.3">
      <c r="A226">
        <v>9687573</v>
      </c>
      <c r="B226" t="s">
        <v>79</v>
      </c>
      <c r="C226">
        <v>1330466</v>
      </c>
      <c r="D226" t="s">
        <v>109</v>
      </c>
      <c r="E226" t="s">
        <v>130</v>
      </c>
      <c r="F226" t="s">
        <v>17</v>
      </c>
      <c r="G226" t="s">
        <v>133</v>
      </c>
      <c r="H226" t="s">
        <v>148</v>
      </c>
      <c r="I226" t="s">
        <v>83</v>
      </c>
      <c r="J226" t="s">
        <v>84</v>
      </c>
      <c r="K226" t="s">
        <v>86</v>
      </c>
      <c r="L226" s="25">
        <v>44031</v>
      </c>
      <c r="M226">
        <v>7</v>
      </c>
      <c r="N226">
        <v>2020</v>
      </c>
      <c r="O226" t="s">
        <v>106</v>
      </c>
      <c r="P226">
        <v>170</v>
      </c>
      <c r="Q226" s="17">
        <v>44032.434687847221</v>
      </c>
      <c r="R226" t="s">
        <v>120</v>
      </c>
    </row>
    <row r="227" spans="1:18" x14ac:dyDescent="0.3">
      <c r="A227">
        <v>242570</v>
      </c>
      <c r="B227" t="s">
        <v>72</v>
      </c>
      <c r="C227">
        <v>1326622</v>
      </c>
      <c r="D227" t="s">
        <v>104</v>
      </c>
      <c r="E227" t="s">
        <v>26</v>
      </c>
      <c r="F227" t="s">
        <v>26</v>
      </c>
      <c r="G227" t="s">
        <v>126</v>
      </c>
      <c r="H227" t="s">
        <v>158</v>
      </c>
      <c r="I227" t="s">
        <v>83</v>
      </c>
      <c r="J227" t="s">
        <v>84</v>
      </c>
      <c r="K227" t="s">
        <v>82</v>
      </c>
      <c r="L227" s="25">
        <v>44031</v>
      </c>
      <c r="M227">
        <v>7</v>
      </c>
      <c r="N227">
        <v>2020</v>
      </c>
      <c r="O227" t="s">
        <v>106</v>
      </c>
      <c r="P227">
        <v>170</v>
      </c>
      <c r="Q227" s="17">
        <v>44032.41674479167</v>
      </c>
      <c r="R227" t="s">
        <v>120</v>
      </c>
    </row>
    <row r="228" spans="1:18" x14ac:dyDescent="0.3">
      <c r="A228">
        <v>21531327</v>
      </c>
      <c r="B228" t="s">
        <v>72</v>
      </c>
      <c r="C228">
        <v>1334024</v>
      </c>
      <c r="D228" t="s">
        <v>104</v>
      </c>
      <c r="E228" t="s">
        <v>12</v>
      </c>
      <c r="F228" t="s">
        <v>12</v>
      </c>
      <c r="G228" t="s">
        <v>124</v>
      </c>
      <c r="H228" t="s">
        <v>95</v>
      </c>
      <c r="I228" t="s">
        <v>81</v>
      </c>
      <c r="J228" t="s">
        <v>42</v>
      </c>
      <c r="K228" t="s">
        <v>82</v>
      </c>
      <c r="L228" s="25">
        <v>44031</v>
      </c>
      <c r="M228">
        <v>7</v>
      </c>
      <c r="N228">
        <v>2020</v>
      </c>
      <c r="O228" t="s">
        <v>106</v>
      </c>
      <c r="P228">
        <v>170</v>
      </c>
      <c r="Q228" s="17">
        <v>44032.078849652775</v>
      </c>
      <c r="R228" t="s">
        <v>120</v>
      </c>
    </row>
    <row r="229" spans="1:18" x14ac:dyDescent="0.3">
      <c r="A229">
        <v>9687041</v>
      </c>
      <c r="B229" t="s">
        <v>79</v>
      </c>
      <c r="C229">
        <v>1330280</v>
      </c>
      <c r="D229" t="s">
        <v>109</v>
      </c>
      <c r="E229" t="s">
        <v>130</v>
      </c>
      <c r="F229" t="s">
        <v>17</v>
      </c>
      <c r="G229" t="s">
        <v>133</v>
      </c>
      <c r="H229" t="s">
        <v>148</v>
      </c>
      <c r="I229" t="s">
        <v>83</v>
      </c>
      <c r="J229" t="s">
        <v>84</v>
      </c>
      <c r="K229" t="s">
        <v>86</v>
      </c>
      <c r="L229" s="25">
        <v>44031</v>
      </c>
      <c r="M229">
        <v>7</v>
      </c>
      <c r="N229">
        <v>2020</v>
      </c>
      <c r="O229" t="s">
        <v>106</v>
      </c>
      <c r="P229">
        <v>170</v>
      </c>
      <c r="Q229" s="17">
        <v>44032.133118865742</v>
      </c>
      <c r="R229" t="s">
        <v>120</v>
      </c>
    </row>
    <row r="230" spans="1:18" x14ac:dyDescent="0.3">
      <c r="A230">
        <v>242464</v>
      </c>
      <c r="B230" t="s">
        <v>79</v>
      </c>
      <c r="C230">
        <v>1324071</v>
      </c>
      <c r="D230" t="s">
        <v>109</v>
      </c>
      <c r="E230" t="s">
        <v>26</v>
      </c>
      <c r="F230" t="s">
        <v>26</v>
      </c>
      <c r="G230" t="s">
        <v>126</v>
      </c>
      <c r="H230" t="s">
        <v>152</v>
      </c>
      <c r="I230" t="s">
        <v>81</v>
      </c>
      <c r="J230" t="s">
        <v>42</v>
      </c>
      <c r="K230" t="s">
        <v>82</v>
      </c>
      <c r="L230" s="25">
        <v>44031</v>
      </c>
      <c r="M230">
        <v>7</v>
      </c>
      <c r="N230">
        <v>2020</v>
      </c>
      <c r="O230" t="s">
        <v>106</v>
      </c>
      <c r="P230">
        <v>170</v>
      </c>
      <c r="Q230" s="17">
        <v>44032.07512523148</v>
      </c>
      <c r="R230" t="s">
        <v>120</v>
      </c>
    </row>
    <row r="231" spans="1:18" x14ac:dyDescent="0.3">
      <c r="A231">
        <v>9687069</v>
      </c>
      <c r="B231" t="s">
        <v>79</v>
      </c>
      <c r="C231">
        <v>1330323</v>
      </c>
      <c r="D231" t="s">
        <v>109</v>
      </c>
      <c r="E231" t="s">
        <v>130</v>
      </c>
      <c r="F231" t="s">
        <v>17</v>
      </c>
      <c r="G231" t="s">
        <v>133</v>
      </c>
      <c r="H231" t="s">
        <v>148</v>
      </c>
      <c r="I231" t="s">
        <v>83</v>
      </c>
      <c r="J231" t="s">
        <v>84</v>
      </c>
      <c r="K231" t="s">
        <v>86</v>
      </c>
      <c r="L231" s="25">
        <v>44031</v>
      </c>
      <c r="M231">
        <v>7</v>
      </c>
      <c r="N231">
        <v>2020</v>
      </c>
      <c r="O231" t="s">
        <v>106</v>
      </c>
      <c r="P231">
        <v>170</v>
      </c>
      <c r="Q231" s="17">
        <v>44032.13735474537</v>
      </c>
      <c r="R231" t="s">
        <v>120</v>
      </c>
    </row>
    <row r="232" spans="1:18" x14ac:dyDescent="0.3">
      <c r="A232">
        <v>9687481</v>
      </c>
      <c r="B232" t="s">
        <v>79</v>
      </c>
      <c r="C232">
        <v>1330480</v>
      </c>
      <c r="D232" t="s">
        <v>109</v>
      </c>
      <c r="E232" t="s">
        <v>130</v>
      </c>
      <c r="F232" t="s">
        <v>17</v>
      </c>
      <c r="G232" t="s">
        <v>133</v>
      </c>
      <c r="H232" t="s">
        <v>148</v>
      </c>
      <c r="I232" t="s">
        <v>83</v>
      </c>
      <c r="J232" t="s">
        <v>84</v>
      </c>
      <c r="K232" t="s">
        <v>86</v>
      </c>
      <c r="L232" s="25">
        <v>44031</v>
      </c>
      <c r="M232">
        <v>7</v>
      </c>
      <c r="N232">
        <v>2020</v>
      </c>
      <c r="O232" t="s">
        <v>106</v>
      </c>
      <c r="P232">
        <v>170</v>
      </c>
      <c r="Q232" s="17">
        <v>44032.166427314813</v>
      </c>
      <c r="R232" t="s">
        <v>120</v>
      </c>
    </row>
    <row r="233" spans="1:18" x14ac:dyDescent="0.3">
      <c r="A233">
        <v>9686315</v>
      </c>
      <c r="B233" t="s">
        <v>72</v>
      </c>
      <c r="C233">
        <v>1330041</v>
      </c>
      <c r="D233" t="s">
        <v>104</v>
      </c>
      <c r="E233" t="s">
        <v>57</v>
      </c>
      <c r="F233" t="s">
        <v>57</v>
      </c>
      <c r="G233" t="s">
        <v>105</v>
      </c>
      <c r="H233" t="s">
        <v>161</v>
      </c>
      <c r="I233" t="s">
        <v>83</v>
      </c>
      <c r="J233" t="s">
        <v>84</v>
      </c>
      <c r="K233" t="s">
        <v>86</v>
      </c>
      <c r="L233" s="25">
        <v>44031</v>
      </c>
      <c r="M233">
        <v>7</v>
      </c>
      <c r="N233">
        <v>2020</v>
      </c>
      <c r="O233" t="s">
        <v>106</v>
      </c>
      <c r="P233">
        <v>170</v>
      </c>
      <c r="Q233" s="17">
        <v>44032.445583217595</v>
      </c>
      <c r="R233" t="s">
        <v>107</v>
      </c>
    </row>
    <row r="234" spans="1:18" x14ac:dyDescent="0.3">
      <c r="A234">
        <v>21531475</v>
      </c>
      <c r="B234" t="s">
        <v>72</v>
      </c>
      <c r="C234">
        <v>1332983</v>
      </c>
      <c r="D234" t="s">
        <v>104</v>
      </c>
      <c r="E234" t="s">
        <v>57</v>
      </c>
      <c r="F234" t="s">
        <v>57</v>
      </c>
      <c r="G234" t="s">
        <v>105</v>
      </c>
      <c r="H234" t="s">
        <v>161</v>
      </c>
      <c r="I234" t="s">
        <v>83</v>
      </c>
      <c r="J234" t="s">
        <v>84</v>
      </c>
      <c r="K234" t="s">
        <v>86</v>
      </c>
      <c r="L234" s="25">
        <v>44031</v>
      </c>
      <c r="M234">
        <v>7</v>
      </c>
      <c r="N234">
        <v>2020</v>
      </c>
      <c r="O234" t="s">
        <v>106</v>
      </c>
      <c r="P234">
        <v>170</v>
      </c>
      <c r="Q234" s="17">
        <v>44032.473500810185</v>
      </c>
      <c r="R234" t="s">
        <v>107</v>
      </c>
    </row>
    <row r="235" spans="1:18" x14ac:dyDescent="0.3">
      <c r="A235">
        <v>9687073</v>
      </c>
      <c r="B235" t="s">
        <v>79</v>
      </c>
      <c r="C235">
        <v>1330328</v>
      </c>
      <c r="D235" t="s">
        <v>109</v>
      </c>
      <c r="E235" t="s">
        <v>130</v>
      </c>
      <c r="F235" t="s">
        <v>17</v>
      </c>
      <c r="G235" t="s">
        <v>133</v>
      </c>
      <c r="H235" t="s">
        <v>148</v>
      </c>
      <c r="I235" t="s">
        <v>83</v>
      </c>
      <c r="J235" t="s">
        <v>84</v>
      </c>
      <c r="K235" t="s">
        <v>86</v>
      </c>
      <c r="L235" s="25">
        <v>44031</v>
      </c>
      <c r="M235">
        <v>7</v>
      </c>
      <c r="N235">
        <v>2020</v>
      </c>
      <c r="O235" t="s">
        <v>106</v>
      </c>
      <c r="P235">
        <v>170</v>
      </c>
      <c r="Q235" s="17">
        <v>44032.138498379631</v>
      </c>
      <c r="R235" t="s">
        <v>120</v>
      </c>
    </row>
    <row r="236" spans="1:18" x14ac:dyDescent="0.3">
      <c r="A236">
        <v>245800</v>
      </c>
      <c r="B236" t="s">
        <v>72</v>
      </c>
      <c r="C236">
        <v>1336929</v>
      </c>
      <c r="D236" t="s">
        <v>104</v>
      </c>
      <c r="E236" t="s">
        <v>12</v>
      </c>
      <c r="F236" t="s">
        <v>12</v>
      </c>
      <c r="G236" t="s">
        <v>124</v>
      </c>
      <c r="H236" t="s">
        <v>163</v>
      </c>
      <c r="I236" t="s">
        <v>83</v>
      </c>
      <c r="J236" t="s">
        <v>84</v>
      </c>
      <c r="K236" t="s">
        <v>82</v>
      </c>
      <c r="L236" s="25">
        <v>44031</v>
      </c>
      <c r="M236">
        <v>7</v>
      </c>
      <c r="N236">
        <v>2020</v>
      </c>
      <c r="O236" t="s">
        <v>106</v>
      </c>
      <c r="P236">
        <v>171</v>
      </c>
      <c r="Q236" s="17">
        <v>44032.090319675925</v>
      </c>
      <c r="R236" t="s">
        <v>120</v>
      </c>
    </row>
    <row r="237" spans="1:18" x14ac:dyDescent="0.3">
      <c r="A237">
        <v>242991</v>
      </c>
      <c r="B237" t="s">
        <v>77</v>
      </c>
      <c r="C237">
        <v>1326733</v>
      </c>
      <c r="D237" t="s">
        <v>77</v>
      </c>
      <c r="E237">
        <v>966</v>
      </c>
      <c r="F237">
        <v>966</v>
      </c>
      <c r="G237" t="s">
        <v>127</v>
      </c>
      <c r="H237" t="s">
        <v>171</v>
      </c>
      <c r="I237" t="s">
        <v>77</v>
      </c>
      <c r="J237" t="s">
        <v>42</v>
      </c>
      <c r="K237" t="s">
        <v>86</v>
      </c>
      <c r="L237" s="25">
        <v>44031</v>
      </c>
      <c r="M237">
        <v>7</v>
      </c>
      <c r="N237">
        <v>2020</v>
      </c>
      <c r="O237" t="s">
        <v>106</v>
      </c>
      <c r="P237">
        <v>170</v>
      </c>
      <c r="Q237" s="17">
        <v>44032.089626620371</v>
      </c>
      <c r="R237" t="s">
        <v>120</v>
      </c>
    </row>
    <row r="238" spans="1:18" x14ac:dyDescent="0.3">
      <c r="A238">
        <v>9687513</v>
      </c>
      <c r="B238" t="s">
        <v>79</v>
      </c>
      <c r="C238">
        <v>1330428</v>
      </c>
      <c r="D238" t="s">
        <v>109</v>
      </c>
      <c r="E238" t="s">
        <v>130</v>
      </c>
      <c r="F238" t="s">
        <v>17</v>
      </c>
      <c r="G238" t="s">
        <v>133</v>
      </c>
      <c r="H238" t="s">
        <v>148</v>
      </c>
      <c r="I238" t="s">
        <v>83</v>
      </c>
      <c r="J238" t="s">
        <v>84</v>
      </c>
      <c r="K238" t="s">
        <v>86</v>
      </c>
      <c r="L238" s="25">
        <v>44031</v>
      </c>
      <c r="M238">
        <v>7</v>
      </c>
      <c r="N238">
        <v>2020</v>
      </c>
      <c r="O238" t="s">
        <v>106</v>
      </c>
      <c r="P238">
        <v>170</v>
      </c>
      <c r="Q238" s="17">
        <v>44032.166427314813</v>
      </c>
      <c r="R238" t="s">
        <v>120</v>
      </c>
    </row>
    <row r="239" spans="1:18" x14ac:dyDescent="0.3">
      <c r="A239">
        <v>242262</v>
      </c>
      <c r="B239" t="s">
        <v>79</v>
      </c>
      <c r="C239">
        <v>1323910</v>
      </c>
      <c r="D239" t="s">
        <v>116</v>
      </c>
      <c r="E239" t="s">
        <v>26</v>
      </c>
      <c r="F239" t="s">
        <v>26</v>
      </c>
      <c r="G239" t="s">
        <v>126</v>
      </c>
      <c r="H239" t="s">
        <v>163</v>
      </c>
      <c r="I239" t="s">
        <v>83</v>
      </c>
      <c r="J239" t="s">
        <v>84</v>
      </c>
      <c r="K239" t="s">
        <v>82</v>
      </c>
      <c r="L239" s="25">
        <v>44031</v>
      </c>
      <c r="M239">
        <v>7</v>
      </c>
      <c r="N239">
        <v>2020</v>
      </c>
      <c r="O239" t="s">
        <v>106</v>
      </c>
      <c r="P239">
        <v>170</v>
      </c>
      <c r="Q239" s="17">
        <v>44029.839090972222</v>
      </c>
      <c r="R239" t="s">
        <v>120</v>
      </c>
    </row>
    <row r="240" spans="1:18" x14ac:dyDescent="0.3">
      <c r="A240">
        <v>245727</v>
      </c>
      <c r="B240" t="s">
        <v>78</v>
      </c>
      <c r="C240">
        <v>1336863</v>
      </c>
      <c r="D240" t="s">
        <v>112</v>
      </c>
      <c r="E240" t="s">
        <v>12</v>
      </c>
      <c r="F240" t="s">
        <v>12</v>
      </c>
      <c r="G240" t="s">
        <v>124</v>
      </c>
      <c r="H240" t="s">
        <v>150</v>
      </c>
      <c r="I240" t="s">
        <v>81</v>
      </c>
      <c r="J240" t="s">
        <v>42</v>
      </c>
      <c r="K240" t="s">
        <v>82</v>
      </c>
      <c r="L240" s="25">
        <v>44031</v>
      </c>
      <c r="M240">
        <v>7</v>
      </c>
      <c r="N240">
        <v>2020</v>
      </c>
      <c r="O240" t="s">
        <v>106</v>
      </c>
      <c r="P240">
        <v>171</v>
      </c>
      <c r="Q240" s="17">
        <v>44032.090133912039</v>
      </c>
      <c r="R240" t="s">
        <v>120</v>
      </c>
    </row>
    <row r="241" spans="1:18" x14ac:dyDescent="0.3">
      <c r="A241">
        <v>9663448</v>
      </c>
      <c r="B241" t="s">
        <v>72</v>
      </c>
      <c r="C241">
        <v>1323040</v>
      </c>
      <c r="D241" t="s">
        <v>104</v>
      </c>
      <c r="E241" t="s">
        <v>118</v>
      </c>
      <c r="F241" t="s">
        <v>17</v>
      </c>
      <c r="G241" t="s">
        <v>119</v>
      </c>
      <c r="H241" t="s">
        <v>153</v>
      </c>
      <c r="I241" t="s">
        <v>81</v>
      </c>
      <c r="J241" t="s">
        <v>42</v>
      </c>
      <c r="K241" t="s">
        <v>86</v>
      </c>
      <c r="L241" s="25">
        <v>44031</v>
      </c>
      <c r="M241">
        <v>7</v>
      </c>
      <c r="N241">
        <v>2020</v>
      </c>
      <c r="O241" t="s">
        <v>106</v>
      </c>
      <c r="P241">
        <v>170</v>
      </c>
      <c r="Q241" s="17">
        <v>44032.174102777775</v>
      </c>
      <c r="R241" t="s">
        <v>120</v>
      </c>
    </row>
    <row r="242" spans="1:18" x14ac:dyDescent="0.3">
      <c r="A242">
        <v>245502</v>
      </c>
      <c r="B242" t="s">
        <v>72</v>
      </c>
      <c r="C242">
        <v>1337178</v>
      </c>
      <c r="D242" t="s">
        <v>104</v>
      </c>
      <c r="E242" t="s">
        <v>12</v>
      </c>
      <c r="F242" t="s">
        <v>12</v>
      </c>
      <c r="G242" t="s">
        <v>124</v>
      </c>
      <c r="H242" t="s">
        <v>147</v>
      </c>
      <c r="I242" t="s">
        <v>83</v>
      </c>
      <c r="J242" t="s">
        <v>84</v>
      </c>
      <c r="K242" t="s">
        <v>82</v>
      </c>
      <c r="L242" s="25">
        <v>44031</v>
      </c>
      <c r="M242">
        <v>7</v>
      </c>
      <c r="N242">
        <v>2020</v>
      </c>
      <c r="O242" t="s">
        <v>106</v>
      </c>
      <c r="P242">
        <v>170</v>
      </c>
      <c r="Q242" s="17">
        <v>44032.117933333335</v>
      </c>
      <c r="R242" t="s">
        <v>120</v>
      </c>
    </row>
    <row r="243" spans="1:18" x14ac:dyDescent="0.3">
      <c r="A243">
        <v>9687056</v>
      </c>
      <c r="B243" t="s">
        <v>79</v>
      </c>
      <c r="C243">
        <v>1330311</v>
      </c>
      <c r="D243" t="s">
        <v>109</v>
      </c>
      <c r="E243" t="s">
        <v>130</v>
      </c>
      <c r="F243" t="s">
        <v>17</v>
      </c>
      <c r="G243" t="s">
        <v>133</v>
      </c>
      <c r="H243" t="s">
        <v>148</v>
      </c>
      <c r="I243" t="s">
        <v>83</v>
      </c>
      <c r="J243" t="s">
        <v>84</v>
      </c>
      <c r="K243" t="s">
        <v>86</v>
      </c>
      <c r="L243" s="25">
        <v>44031</v>
      </c>
      <c r="M243">
        <v>7</v>
      </c>
      <c r="N243">
        <v>2020</v>
      </c>
      <c r="O243" t="s">
        <v>106</v>
      </c>
      <c r="P243">
        <v>170</v>
      </c>
      <c r="Q243" s="17">
        <v>44032.134381365744</v>
      </c>
      <c r="R243" t="s">
        <v>120</v>
      </c>
    </row>
    <row r="244" spans="1:18" x14ac:dyDescent="0.3">
      <c r="A244">
        <v>9680557</v>
      </c>
      <c r="B244" t="s">
        <v>79</v>
      </c>
      <c r="C244">
        <v>1324025</v>
      </c>
      <c r="D244" t="s">
        <v>116</v>
      </c>
      <c r="E244" t="s">
        <v>26</v>
      </c>
      <c r="F244" t="s">
        <v>26</v>
      </c>
      <c r="G244" t="s">
        <v>126</v>
      </c>
      <c r="H244" t="s">
        <v>163</v>
      </c>
      <c r="I244" t="s">
        <v>83</v>
      </c>
      <c r="J244" t="s">
        <v>84</v>
      </c>
      <c r="K244" t="s">
        <v>82</v>
      </c>
      <c r="L244" s="25">
        <v>44031</v>
      </c>
      <c r="M244">
        <v>7</v>
      </c>
      <c r="N244">
        <v>2020</v>
      </c>
      <c r="O244" t="s">
        <v>106</v>
      </c>
      <c r="P244">
        <v>170</v>
      </c>
      <c r="Q244" s="17">
        <v>44029.839090972222</v>
      </c>
      <c r="R244" t="s">
        <v>120</v>
      </c>
    </row>
    <row r="245" spans="1:18" x14ac:dyDescent="0.3">
      <c r="A245">
        <v>9687347</v>
      </c>
      <c r="B245" t="s">
        <v>79</v>
      </c>
      <c r="C245">
        <v>1330411</v>
      </c>
      <c r="D245" t="s">
        <v>109</v>
      </c>
      <c r="E245" t="s">
        <v>130</v>
      </c>
      <c r="F245" t="s">
        <v>17</v>
      </c>
      <c r="G245" t="s">
        <v>133</v>
      </c>
      <c r="H245" t="s">
        <v>148</v>
      </c>
      <c r="I245" t="s">
        <v>83</v>
      </c>
      <c r="J245" t="s">
        <v>84</v>
      </c>
      <c r="K245" t="s">
        <v>86</v>
      </c>
      <c r="L245" s="25">
        <v>44031</v>
      </c>
      <c r="M245">
        <v>7</v>
      </c>
      <c r="N245">
        <v>2020</v>
      </c>
      <c r="O245" t="s">
        <v>106</v>
      </c>
      <c r="P245">
        <v>170</v>
      </c>
      <c r="Q245" s="17">
        <v>44032.152603703704</v>
      </c>
      <c r="R245" t="s">
        <v>120</v>
      </c>
    </row>
    <row r="246" spans="1:18" x14ac:dyDescent="0.3">
      <c r="A246">
        <v>9687084</v>
      </c>
      <c r="B246" t="s">
        <v>79</v>
      </c>
      <c r="C246">
        <v>1330326</v>
      </c>
      <c r="D246" t="s">
        <v>109</v>
      </c>
      <c r="E246" t="s">
        <v>130</v>
      </c>
      <c r="F246" t="s">
        <v>17</v>
      </c>
      <c r="G246" t="s">
        <v>133</v>
      </c>
      <c r="H246" t="s">
        <v>148</v>
      </c>
      <c r="I246" t="s">
        <v>83</v>
      </c>
      <c r="J246" t="s">
        <v>84</v>
      </c>
      <c r="K246" t="s">
        <v>86</v>
      </c>
      <c r="L246" s="25">
        <v>44031</v>
      </c>
      <c r="M246">
        <v>7</v>
      </c>
      <c r="N246">
        <v>2020</v>
      </c>
      <c r="O246" t="s">
        <v>106</v>
      </c>
      <c r="P246">
        <v>170</v>
      </c>
      <c r="Q246" s="17">
        <v>44032.138622800929</v>
      </c>
      <c r="R246" t="s">
        <v>120</v>
      </c>
    </row>
    <row r="247" spans="1:18" x14ac:dyDescent="0.3">
      <c r="A247">
        <v>21534629</v>
      </c>
      <c r="B247" t="s">
        <v>78</v>
      </c>
      <c r="C247">
        <v>1333400</v>
      </c>
      <c r="D247" t="s">
        <v>112</v>
      </c>
      <c r="E247" t="s">
        <v>12</v>
      </c>
      <c r="F247" t="s">
        <v>12</v>
      </c>
      <c r="G247" t="s">
        <v>124</v>
      </c>
      <c r="H247" t="s">
        <v>156</v>
      </c>
      <c r="I247" t="s">
        <v>81</v>
      </c>
      <c r="J247" t="s">
        <v>42</v>
      </c>
      <c r="K247" t="s">
        <v>82</v>
      </c>
      <c r="L247" s="25">
        <v>44031</v>
      </c>
      <c r="M247">
        <v>7</v>
      </c>
      <c r="N247">
        <v>2020</v>
      </c>
      <c r="O247" t="s">
        <v>106</v>
      </c>
      <c r="P247">
        <v>170</v>
      </c>
      <c r="Q247" s="17">
        <v>44032.079387384256</v>
      </c>
      <c r="R247" t="s">
        <v>120</v>
      </c>
    </row>
    <row r="248" spans="1:18" x14ac:dyDescent="0.3">
      <c r="A248">
        <v>21527608</v>
      </c>
      <c r="B248" t="s">
        <v>79</v>
      </c>
      <c r="C248">
        <v>1323329</v>
      </c>
      <c r="D248" t="s">
        <v>116</v>
      </c>
      <c r="E248" t="s">
        <v>26</v>
      </c>
      <c r="F248" t="s">
        <v>26</v>
      </c>
      <c r="G248" t="s">
        <v>126</v>
      </c>
      <c r="H248" t="s">
        <v>163</v>
      </c>
      <c r="I248" t="s">
        <v>83</v>
      </c>
      <c r="J248" t="s">
        <v>84</v>
      </c>
      <c r="K248" t="s">
        <v>82</v>
      </c>
      <c r="L248" s="25">
        <v>44031</v>
      </c>
      <c r="M248">
        <v>7</v>
      </c>
      <c r="N248">
        <v>2020</v>
      </c>
      <c r="O248" t="s">
        <v>106</v>
      </c>
      <c r="P248">
        <v>170</v>
      </c>
      <c r="Q248" s="17">
        <v>44029.824069328701</v>
      </c>
      <c r="R248" t="s">
        <v>120</v>
      </c>
    </row>
    <row r="249" spans="1:18" x14ac:dyDescent="0.3">
      <c r="A249">
        <v>21533115</v>
      </c>
      <c r="B249" t="s">
        <v>72</v>
      </c>
      <c r="C249">
        <v>1335338</v>
      </c>
      <c r="D249" t="s">
        <v>104</v>
      </c>
      <c r="E249" t="s">
        <v>12</v>
      </c>
      <c r="F249" t="s">
        <v>12</v>
      </c>
      <c r="G249" t="s">
        <v>124</v>
      </c>
      <c r="H249" t="s">
        <v>163</v>
      </c>
      <c r="I249" t="s">
        <v>83</v>
      </c>
      <c r="J249" t="s">
        <v>84</v>
      </c>
      <c r="K249" t="s">
        <v>82</v>
      </c>
      <c r="L249" s="25">
        <v>44031</v>
      </c>
      <c r="M249">
        <v>7</v>
      </c>
      <c r="N249">
        <v>2020</v>
      </c>
      <c r="O249" t="s">
        <v>106</v>
      </c>
      <c r="P249">
        <v>170</v>
      </c>
      <c r="Q249" s="17">
        <v>44032.083079976852</v>
      </c>
      <c r="R249" t="s">
        <v>120</v>
      </c>
    </row>
    <row r="250" spans="1:18" x14ac:dyDescent="0.3">
      <c r="A250">
        <v>245321</v>
      </c>
      <c r="B250" t="s">
        <v>77</v>
      </c>
      <c r="C250">
        <v>1337067</v>
      </c>
      <c r="D250" t="s">
        <v>77</v>
      </c>
      <c r="E250" t="s">
        <v>12</v>
      </c>
      <c r="F250" t="s">
        <v>12</v>
      </c>
      <c r="G250" t="s">
        <v>124</v>
      </c>
      <c r="H250" t="s">
        <v>150</v>
      </c>
      <c r="I250" t="s">
        <v>77</v>
      </c>
      <c r="J250" t="s">
        <v>42</v>
      </c>
      <c r="K250" t="s">
        <v>82</v>
      </c>
      <c r="L250" s="25">
        <v>44031</v>
      </c>
      <c r="M250">
        <v>7</v>
      </c>
      <c r="N250">
        <v>2020</v>
      </c>
      <c r="O250" t="s">
        <v>106</v>
      </c>
      <c r="P250">
        <v>170</v>
      </c>
      <c r="Q250" s="17">
        <v>44032.143733564815</v>
      </c>
      <c r="R250" t="s">
        <v>120</v>
      </c>
    </row>
    <row r="251" spans="1:18" x14ac:dyDescent="0.3">
      <c r="A251">
        <v>243281</v>
      </c>
      <c r="B251" t="s">
        <v>79</v>
      </c>
      <c r="C251">
        <v>1327280</v>
      </c>
      <c r="D251" t="s">
        <v>116</v>
      </c>
      <c r="E251" t="s">
        <v>26</v>
      </c>
      <c r="F251" t="s">
        <v>26</v>
      </c>
      <c r="G251" t="s">
        <v>126</v>
      </c>
      <c r="H251" t="s">
        <v>159</v>
      </c>
      <c r="I251" t="s">
        <v>83</v>
      </c>
      <c r="J251" t="s">
        <v>84</v>
      </c>
      <c r="K251" t="s">
        <v>82</v>
      </c>
      <c r="L251" s="25">
        <v>44031</v>
      </c>
      <c r="M251">
        <v>7</v>
      </c>
      <c r="N251">
        <v>2020</v>
      </c>
      <c r="O251" t="s">
        <v>106</v>
      </c>
      <c r="P251">
        <v>170</v>
      </c>
      <c r="Q251" s="17">
        <v>44029.956113541666</v>
      </c>
      <c r="R251" t="s">
        <v>120</v>
      </c>
    </row>
    <row r="252" spans="1:18" x14ac:dyDescent="0.3">
      <c r="A252">
        <v>21531987</v>
      </c>
      <c r="B252" t="s">
        <v>76</v>
      </c>
      <c r="C252">
        <v>1335295</v>
      </c>
      <c r="D252" t="s">
        <v>77</v>
      </c>
      <c r="E252" t="s">
        <v>12</v>
      </c>
      <c r="F252" t="s">
        <v>12</v>
      </c>
      <c r="G252" t="s">
        <v>124</v>
      </c>
      <c r="H252" t="s">
        <v>150</v>
      </c>
      <c r="I252" t="s">
        <v>77</v>
      </c>
      <c r="J252" t="s">
        <v>42</v>
      </c>
      <c r="K252" t="s">
        <v>82</v>
      </c>
      <c r="L252" s="25">
        <v>44031</v>
      </c>
      <c r="M252">
        <v>7</v>
      </c>
      <c r="N252">
        <v>2020</v>
      </c>
      <c r="O252" t="s">
        <v>106</v>
      </c>
      <c r="P252">
        <v>170</v>
      </c>
      <c r="Q252" s="17">
        <v>44032.083485763891</v>
      </c>
      <c r="R252" t="s">
        <v>120</v>
      </c>
    </row>
    <row r="253" spans="1:18" x14ac:dyDescent="0.3">
      <c r="A253">
        <v>9687241</v>
      </c>
      <c r="B253" t="s">
        <v>77</v>
      </c>
      <c r="C253">
        <v>1331751</v>
      </c>
      <c r="D253" t="s">
        <v>77</v>
      </c>
      <c r="E253" t="s">
        <v>12</v>
      </c>
      <c r="F253" t="s">
        <v>12</v>
      </c>
      <c r="G253" t="s">
        <v>124</v>
      </c>
      <c r="H253" t="s">
        <v>150</v>
      </c>
      <c r="I253" t="s">
        <v>77</v>
      </c>
      <c r="J253" t="s">
        <v>42</v>
      </c>
      <c r="K253" t="s">
        <v>82</v>
      </c>
      <c r="L253" s="25">
        <v>44031</v>
      </c>
      <c r="M253">
        <v>7</v>
      </c>
      <c r="N253">
        <v>2020</v>
      </c>
      <c r="O253" t="s">
        <v>106</v>
      </c>
      <c r="P253">
        <v>170</v>
      </c>
      <c r="Q253" s="17">
        <v>44032.077770138887</v>
      </c>
      <c r="R253" t="s">
        <v>120</v>
      </c>
    </row>
    <row r="254" spans="1:18" x14ac:dyDescent="0.3">
      <c r="A254">
        <v>242622</v>
      </c>
      <c r="B254" t="s">
        <v>79</v>
      </c>
      <c r="C254">
        <v>1325737</v>
      </c>
      <c r="D254" t="s">
        <v>116</v>
      </c>
      <c r="E254" t="s">
        <v>26</v>
      </c>
      <c r="F254" t="s">
        <v>26</v>
      </c>
      <c r="G254" t="s">
        <v>126</v>
      </c>
      <c r="H254" t="s">
        <v>163</v>
      </c>
      <c r="I254" t="s">
        <v>83</v>
      </c>
      <c r="J254" t="s">
        <v>84</v>
      </c>
      <c r="K254" t="s">
        <v>82</v>
      </c>
      <c r="L254" s="25">
        <v>44031</v>
      </c>
      <c r="M254">
        <v>7</v>
      </c>
      <c r="N254">
        <v>2020</v>
      </c>
      <c r="O254" t="s">
        <v>106</v>
      </c>
      <c r="P254">
        <v>170</v>
      </c>
      <c r="Q254" s="17">
        <v>44029.904257291666</v>
      </c>
      <c r="R254" t="s">
        <v>120</v>
      </c>
    </row>
    <row r="255" spans="1:18" x14ac:dyDescent="0.3">
      <c r="A255">
        <v>236331</v>
      </c>
      <c r="B255" t="s">
        <v>78</v>
      </c>
      <c r="C255">
        <v>1336374</v>
      </c>
      <c r="D255" t="s">
        <v>112</v>
      </c>
      <c r="E255" t="s">
        <v>12</v>
      </c>
      <c r="F255" t="s">
        <v>12</v>
      </c>
      <c r="G255" t="s">
        <v>124</v>
      </c>
      <c r="H255" t="s">
        <v>156</v>
      </c>
      <c r="I255" t="s">
        <v>81</v>
      </c>
      <c r="J255" t="s">
        <v>42</v>
      </c>
      <c r="K255" t="s">
        <v>82</v>
      </c>
      <c r="L255" s="25">
        <v>44031</v>
      </c>
      <c r="M255">
        <v>7</v>
      </c>
      <c r="N255">
        <v>2020</v>
      </c>
      <c r="O255" t="s">
        <v>106</v>
      </c>
      <c r="P255">
        <v>170</v>
      </c>
      <c r="Q255" s="17">
        <v>44032.08704027778</v>
      </c>
      <c r="R255" t="s">
        <v>120</v>
      </c>
    </row>
    <row r="256" spans="1:18" x14ac:dyDescent="0.3">
      <c r="A256">
        <v>9676225</v>
      </c>
      <c r="B256" t="s">
        <v>72</v>
      </c>
      <c r="C256">
        <v>1334468</v>
      </c>
      <c r="D256" t="s">
        <v>104</v>
      </c>
      <c r="E256" t="s">
        <v>12</v>
      </c>
      <c r="F256" t="s">
        <v>12</v>
      </c>
      <c r="G256" t="s">
        <v>124</v>
      </c>
      <c r="H256" t="s">
        <v>95</v>
      </c>
      <c r="I256" t="s">
        <v>81</v>
      </c>
      <c r="J256" t="s">
        <v>42</v>
      </c>
      <c r="K256" t="s">
        <v>82</v>
      </c>
      <c r="L256" s="25">
        <v>44031</v>
      </c>
      <c r="M256">
        <v>7</v>
      </c>
      <c r="N256">
        <v>2020</v>
      </c>
      <c r="O256" t="s">
        <v>106</v>
      </c>
      <c r="P256">
        <v>170</v>
      </c>
      <c r="Q256" s="17">
        <v>44032.079260185186</v>
      </c>
      <c r="R256" t="s">
        <v>120</v>
      </c>
    </row>
    <row r="257" spans="1:18" x14ac:dyDescent="0.3">
      <c r="A257">
        <v>9687686</v>
      </c>
      <c r="B257" t="s">
        <v>72</v>
      </c>
      <c r="C257">
        <v>1330715</v>
      </c>
      <c r="D257" t="s">
        <v>104</v>
      </c>
      <c r="E257">
        <v>820</v>
      </c>
      <c r="F257">
        <v>820</v>
      </c>
      <c r="G257" t="s">
        <v>125</v>
      </c>
      <c r="H257" t="s">
        <v>155</v>
      </c>
      <c r="I257" t="s">
        <v>81</v>
      </c>
      <c r="J257" t="s">
        <v>42</v>
      </c>
      <c r="K257" t="s">
        <v>82</v>
      </c>
      <c r="L257" s="25">
        <v>44031</v>
      </c>
      <c r="M257">
        <v>7</v>
      </c>
      <c r="N257">
        <v>2020</v>
      </c>
      <c r="O257" t="s">
        <v>106</v>
      </c>
      <c r="P257">
        <v>170</v>
      </c>
      <c r="Q257" s="17">
        <v>44032.191023611114</v>
      </c>
      <c r="R257" t="s">
        <v>120</v>
      </c>
    </row>
    <row r="258" spans="1:18" x14ac:dyDescent="0.3">
      <c r="A258">
        <v>21534793</v>
      </c>
      <c r="B258" t="s">
        <v>72</v>
      </c>
      <c r="C258">
        <v>1334302</v>
      </c>
      <c r="D258" t="s">
        <v>104</v>
      </c>
      <c r="E258" t="s">
        <v>12</v>
      </c>
      <c r="F258" t="s">
        <v>12</v>
      </c>
      <c r="G258" t="s">
        <v>124</v>
      </c>
      <c r="H258" t="s">
        <v>95</v>
      </c>
      <c r="I258" t="s">
        <v>81</v>
      </c>
      <c r="J258" t="s">
        <v>42</v>
      </c>
      <c r="K258" t="s">
        <v>82</v>
      </c>
      <c r="L258" s="25">
        <v>44031</v>
      </c>
      <c r="M258">
        <v>7</v>
      </c>
      <c r="N258">
        <v>2020</v>
      </c>
      <c r="O258" t="s">
        <v>106</v>
      </c>
      <c r="P258">
        <v>170</v>
      </c>
      <c r="Q258" s="17">
        <v>44032.076363194443</v>
      </c>
      <c r="R258" t="s">
        <v>120</v>
      </c>
    </row>
    <row r="259" spans="1:18" x14ac:dyDescent="0.3">
      <c r="A259">
        <v>9687315</v>
      </c>
      <c r="B259" t="s">
        <v>79</v>
      </c>
      <c r="C259">
        <v>1330381</v>
      </c>
      <c r="D259" t="s">
        <v>109</v>
      </c>
      <c r="E259" t="s">
        <v>130</v>
      </c>
      <c r="F259" t="s">
        <v>17</v>
      </c>
      <c r="G259" t="s">
        <v>133</v>
      </c>
      <c r="H259" t="s">
        <v>148</v>
      </c>
      <c r="I259" t="s">
        <v>83</v>
      </c>
      <c r="J259" t="s">
        <v>84</v>
      </c>
      <c r="K259" t="s">
        <v>86</v>
      </c>
      <c r="L259" s="25">
        <v>44031</v>
      </c>
      <c r="M259">
        <v>7</v>
      </c>
      <c r="N259">
        <v>2020</v>
      </c>
      <c r="O259" t="s">
        <v>106</v>
      </c>
      <c r="P259">
        <v>170</v>
      </c>
      <c r="Q259" s="17">
        <v>44032.151944907404</v>
      </c>
      <c r="R259" t="s">
        <v>120</v>
      </c>
    </row>
    <row r="260" spans="1:18" x14ac:dyDescent="0.3">
      <c r="A260">
        <v>9687333</v>
      </c>
      <c r="B260" t="s">
        <v>79</v>
      </c>
      <c r="C260">
        <v>1330424</v>
      </c>
      <c r="D260" t="s">
        <v>109</v>
      </c>
      <c r="E260" t="s">
        <v>130</v>
      </c>
      <c r="F260" t="s">
        <v>17</v>
      </c>
      <c r="G260" t="s">
        <v>133</v>
      </c>
      <c r="H260" t="s">
        <v>148</v>
      </c>
      <c r="I260" t="s">
        <v>83</v>
      </c>
      <c r="J260" t="s">
        <v>84</v>
      </c>
      <c r="K260" t="s">
        <v>86</v>
      </c>
      <c r="L260" s="25">
        <v>44031</v>
      </c>
      <c r="M260">
        <v>7</v>
      </c>
      <c r="N260">
        <v>2020</v>
      </c>
      <c r="O260" t="s">
        <v>106</v>
      </c>
      <c r="P260">
        <v>170</v>
      </c>
      <c r="Q260" s="17">
        <v>44032.15331736111</v>
      </c>
      <c r="R260" t="s">
        <v>120</v>
      </c>
    </row>
    <row r="261" spans="1:18" x14ac:dyDescent="0.3">
      <c r="A261">
        <v>21526986</v>
      </c>
      <c r="B261" t="s">
        <v>72</v>
      </c>
      <c r="C261">
        <v>1325635</v>
      </c>
      <c r="D261" t="s">
        <v>104</v>
      </c>
      <c r="E261" t="s">
        <v>26</v>
      </c>
      <c r="F261" t="s">
        <v>26</v>
      </c>
      <c r="G261" t="s">
        <v>126</v>
      </c>
      <c r="H261" t="s">
        <v>160</v>
      </c>
      <c r="I261" t="s">
        <v>81</v>
      </c>
      <c r="J261" t="s">
        <v>42</v>
      </c>
      <c r="K261" t="s">
        <v>82</v>
      </c>
      <c r="L261" s="25">
        <v>44031</v>
      </c>
      <c r="M261">
        <v>7</v>
      </c>
      <c r="N261">
        <v>2020</v>
      </c>
      <c r="O261" t="s">
        <v>106</v>
      </c>
      <c r="P261">
        <v>170</v>
      </c>
      <c r="Q261" s="17">
        <v>44032.08579409722</v>
      </c>
      <c r="R261" t="s">
        <v>120</v>
      </c>
    </row>
    <row r="262" spans="1:18" x14ac:dyDescent="0.3">
      <c r="A262">
        <v>9676399</v>
      </c>
      <c r="B262" t="s">
        <v>72</v>
      </c>
      <c r="C262">
        <v>1333223</v>
      </c>
      <c r="D262" t="s">
        <v>104</v>
      </c>
      <c r="E262" t="s">
        <v>12</v>
      </c>
      <c r="F262" t="s">
        <v>12</v>
      </c>
      <c r="G262" t="s">
        <v>124</v>
      </c>
      <c r="H262" t="s">
        <v>95</v>
      </c>
      <c r="I262" t="s">
        <v>81</v>
      </c>
      <c r="J262" t="s">
        <v>42</v>
      </c>
      <c r="K262" t="s">
        <v>82</v>
      </c>
      <c r="L262" s="25">
        <v>44031</v>
      </c>
      <c r="M262">
        <v>7</v>
      </c>
      <c r="N262">
        <v>2020</v>
      </c>
      <c r="O262" t="s">
        <v>106</v>
      </c>
      <c r="P262">
        <v>170</v>
      </c>
      <c r="Q262" s="17">
        <v>44032.076828819445</v>
      </c>
      <c r="R262" t="s">
        <v>120</v>
      </c>
    </row>
    <row r="263" spans="1:18" x14ac:dyDescent="0.3">
      <c r="A263">
        <v>21534761</v>
      </c>
      <c r="B263" t="s">
        <v>72</v>
      </c>
      <c r="C263">
        <v>1334895</v>
      </c>
      <c r="D263" t="s">
        <v>104</v>
      </c>
      <c r="E263" t="s">
        <v>12</v>
      </c>
      <c r="F263" t="s">
        <v>12</v>
      </c>
      <c r="G263" t="s">
        <v>124</v>
      </c>
      <c r="H263" t="s">
        <v>95</v>
      </c>
      <c r="I263" t="s">
        <v>81</v>
      </c>
      <c r="J263" t="s">
        <v>42</v>
      </c>
      <c r="K263" t="s">
        <v>82</v>
      </c>
      <c r="L263" s="25">
        <v>44031</v>
      </c>
      <c r="M263">
        <v>7</v>
      </c>
      <c r="N263">
        <v>2020</v>
      </c>
      <c r="O263" t="s">
        <v>106</v>
      </c>
      <c r="P263">
        <v>170</v>
      </c>
      <c r="Q263" s="17">
        <v>44032.080706018518</v>
      </c>
      <c r="R263" t="s">
        <v>120</v>
      </c>
    </row>
    <row r="264" spans="1:18" x14ac:dyDescent="0.3">
      <c r="A264">
        <v>9687042</v>
      </c>
      <c r="B264" t="s">
        <v>79</v>
      </c>
      <c r="C264">
        <v>1330281</v>
      </c>
      <c r="D264" t="s">
        <v>109</v>
      </c>
      <c r="E264" t="s">
        <v>130</v>
      </c>
      <c r="F264" t="s">
        <v>17</v>
      </c>
      <c r="G264" t="s">
        <v>133</v>
      </c>
      <c r="H264" t="s">
        <v>148</v>
      </c>
      <c r="I264" t="s">
        <v>83</v>
      </c>
      <c r="J264" t="s">
        <v>84</v>
      </c>
      <c r="K264" t="s">
        <v>86</v>
      </c>
      <c r="L264" s="25">
        <v>44031</v>
      </c>
      <c r="M264">
        <v>7</v>
      </c>
      <c r="N264">
        <v>2020</v>
      </c>
      <c r="O264" t="s">
        <v>106</v>
      </c>
      <c r="P264">
        <v>170</v>
      </c>
      <c r="Q264" s="17">
        <v>44032.13079398148</v>
      </c>
      <c r="R264" t="s">
        <v>120</v>
      </c>
    </row>
    <row r="265" spans="1:18" x14ac:dyDescent="0.3">
      <c r="A265">
        <v>9683300</v>
      </c>
      <c r="B265" t="s">
        <v>76</v>
      </c>
      <c r="C265">
        <v>1331758</v>
      </c>
      <c r="D265" t="s">
        <v>77</v>
      </c>
      <c r="E265" t="s">
        <v>12</v>
      </c>
      <c r="F265" t="s">
        <v>12</v>
      </c>
      <c r="G265" t="s">
        <v>124</v>
      </c>
      <c r="H265" t="s">
        <v>156</v>
      </c>
      <c r="I265" t="s">
        <v>77</v>
      </c>
      <c r="J265" t="s">
        <v>42</v>
      </c>
      <c r="K265" t="s">
        <v>82</v>
      </c>
      <c r="L265" s="25">
        <v>44031</v>
      </c>
      <c r="M265">
        <v>7</v>
      </c>
      <c r="N265">
        <v>2020</v>
      </c>
      <c r="O265" t="s">
        <v>106</v>
      </c>
      <c r="P265">
        <v>170</v>
      </c>
      <c r="Q265" s="17">
        <v>44032.075781828702</v>
      </c>
      <c r="R265" t="s">
        <v>120</v>
      </c>
    </row>
    <row r="266" spans="1:18" x14ac:dyDescent="0.3">
      <c r="A266">
        <v>243088</v>
      </c>
      <c r="B266" t="s">
        <v>79</v>
      </c>
      <c r="C266">
        <v>1325402</v>
      </c>
      <c r="D266" t="s">
        <v>116</v>
      </c>
      <c r="E266" t="s">
        <v>26</v>
      </c>
      <c r="F266" t="s">
        <v>26</v>
      </c>
      <c r="G266" t="s">
        <v>126</v>
      </c>
      <c r="H266" t="s">
        <v>159</v>
      </c>
      <c r="I266" t="s">
        <v>83</v>
      </c>
      <c r="J266" t="s">
        <v>84</v>
      </c>
      <c r="K266" t="s">
        <v>82</v>
      </c>
      <c r="L266" s="25">
        <v>44031</v>
      </c>
      <c r="M266">
        <v>7</v>
      </c>
      <c r="N266">
        <v>2020</v>
      </c>
      <c r="O266" t="s">
        <v>106</v>
      </c>
      <c r="P266">
        <v>170</v>
      </c>
      <c r="Q266" s="17">
        <v>44029.882988541664</v>
      </c>
      <c r="R266" t="s">
        <v>120</v>
      </c>
    </row>
    <row r="267" spans="1:18" x14ac:dyDescent="0.3">
      <c r="A267">
        <v>9687514</v>
      </c>
      <c r="B267" t="s">
        <v>79</v>
      </c>
      <c r="C267">
        <v>1330432</v>
      </c>
      <c r="D267" t="s">
        <v>109</v>
      </c>
      <c r="E267" t="s">
        <v>130</v>
      </c>
      <c r="F267" t="s">
        <v>17</v>
      </c>
      <c r="G267" t="s">
        <v>133</v>
      </c>
      <c r="H267" t="s">
        <v>148</v>
      </c>
      <c r="I267" t="s">
        <v>83</v>
      </c>
      <c r="J267" t="s">
        <v>84</v>
      </c>
      <c r="K267" t="s">
        <v>86</v>
      </c>
      <c r="L267" s="25">
        <v>44031</v>
      </c>
      <c r="M267">
        <v>7</v>
      </c>
      <c r="N267">
        <v>2020</v>
      </c>
      <c r="O267" t="s">
        <v>106</v>
      </c>
      <c r="P267">
        <v>170</v>
      </c>
      <c r="Q267" s="17">
        <v>44032.156713888886</v>
      </c>
      <c r="R267" t="s">
        <v>120</v>
      </c>
    </row>
    <row r="268" spans="1:18" x14ac:dyDescent="0.3">
      <c r="A268">
        <v>9687190</v>
      </c>
      <c r="B268" t="s">
        <v>79</v>
      </c>
      <c r="C268">
        <v>1330346</v>
      </c>
      <c r="D268" t="s">
        <v>109</v>
      </c>
      <c r="E268" t="s">
        <v>130</v>
      </c>
      <c r="F268" t="s">
        <v>17</v>
      </c>
      <c r="G268" t="s">
        <v>133</v>
      </c>
      <c r="H268" t="s">
        <v>148</v>
      </c>
      <c r="I268" t="s">
        <v>83</v>
      </c>
      <c r="J268" t="s">
        <v>84</v>
      </c>
      <c r="K268" t="s">
        <v>86</v>
      </c>
      <c r="L268" s="25">
        <v>44031</v>
      </c>
      <c r="M268">
        <v>7</v>
      </c>
      <c r="N268">
        <v>2020</v>
      </c>
      <c r="O268" t="s">
        <v>106</v>
      </c>
      <c r="P268">
        <v>170</v>
      </c>
      <c r="Q268" s="17">
        <v>44032.141790740738</v>
      </c>
      <c r="R268" t="s">
        <v>120</v>
      </c>
    </row>
    <row r="269" spans="1:18" x14ac:dyDescent="0.3">
      <c r="A269">
        <v>241681</v>
      </c>
      <c r="B269" t="s">
        <v>72</v>
      </c>
      <c r="C269">
        <v>1323155</v>
      </c>
      <c r="D269" t="s">
        <v>104</v>
      </c>
      <c r="E269" t="s">
        <v>26</v>
      </c>
      <c r="F269" t="s">
        <v>26</v>
      </c>
      <c r="G269" t="s">
        <v>126</v>
      </c>
      <c r="H269" t="s">
        <v>147</v>
      </c>
      <c r="I269" t="s">
        <v>83</v>
      </c>
      <c r="J269" t="s">
        <v>84</v>
      </c>
      <c r="K269" t="s">
        <v>82</v>
      </c>
      <c r="L269" s="25">
        <v>44031</v>
      </c>
      <c r="M269">
        <v>7</v>
      </c>
      <c r="N269">
        <v>2020</v>
      </c>
      <c r="O269" t="s">
        <v>106</v>
      </c>
      <c r="P269">
        <v>170</v>
      </c>
      <c r="Q269" s="17">
        <v>44032.07373935185</v>
      </c>
      <c r="R269" t="s">
        <v>120</v>
      </c>
    </row>
    <row r="270" spans="1:18" x14ac:dyDescent="0.3">
      <c r="A270">
        <v>245723</v>
      </c>
      <c r="B270" t="s">
        <v>78</v>
      </c>
      <c r="C270">
        <v>1336984</v>
      </c>
      <c r="D270" t="s">
        <v>112</v>
      </c>
      <c r="E270" t="s">
        <v>12</v>
      </c>
      <c r="F270" t="s">
        <v>12</v>
      </c>
      <c r="G270" t="s">
        <v>124</v>
      </c>
      <c r="H270" t="s">
        <v>150</v>
      </c>
      <c r="I270" t="s">
        <v>81</v>
      </c>
      <c r="J270" t="s">
        <v>42</v>
      </c>
      <c r="K270" t="s">
        <v>82</v>
      </c>
      <c r="L270" s="25">
        <v>44031</v>
      </c>
      <c r="M270">
        <v>7</v>
      </c>
      <c r="N270">
        <v>2020</v>
      </c>
      <c r="O270" t="s">
        <v>106</v>
      </c>
      <c r="P270">
        <v>171</v>
      </c>
      <c r="Q270" s="17">
        <v>44032.092238541663</v>
      </c>
      <c r="R270" t="s">
        <v>120</v>
      </c>
    </row>
    <row r="271" spans="1:18" x14ac:dyDescent="0.3">
      <c r="A271">
        <v>242941</v>
      </c>
      <c r="B271" t="s">
        <v>72</v>
      </c>
      <c r="C271">
        <v>1325777</v>
      </c>
      <c r="D271" t="s">
        <v>104</v>
      </c>
      <c r="E271" t="s">
        <v>26</v>
      </c>
      <c r="F271" t="s">
        <v>26</v>
      </c>
      <c r="G271" t="s">
        <v>126</v>
      </c>
      <c r="H271" t="s">
        <v>163</v>
      </c>
      <c r="I271" t="s">
        <v>83</v>
      </c>
      <c r="J271" t="s">
        <v>84</v>
      </c>
      <c r="K271" t="s">
        <v>82</v>
      </c>
      <c r="L271" s="25">
        <v>44031</v>
      </c>
      <c r="M271">
        <v>7</v>
      </c>
      <c r="N271">
        <v>2020</v>
      </c>
      <c r="O271" t="s">
        <v>106</v>
      </c>
      <c r="P271">
        <v>170</v>
      </c>
      <c r="Q271" s="17">
        <v>44032.415534953703</v>
      </c>
      <c r="R271" t="s">
        <v>120</v>
      </c>
    </row>
    <row r="272" spans="1:18" x14ac:dyDescent="0.3">
      <c r="A272">
        <v>21533058</v>
      </c>
      <c r="B272" t="s">
        <v>72</v>
      </c>
      <c r="C272">
        <v>1333690</v>
      </c>
      <c r="D272" t="s">
        <v>104</v>
      </c>
      <c r="E272" t="s">
        <v>12</v>
      </c>
      <c r="F272" t="s">
        <v>12</v>
      </c>
      <c r="G272" t="s">
        <v>124</v>
      </c>
      <c r="H272" t="s">
        <v>95</v>
      </c>
      <c r="I272" t="s">
        <v>81</v>
      </c>
      <c r="J272" t="s">
        <v>42</v>
      </c>
      <c r="K272" t="s">
        <v>82</v>
      </c>
      <c r="L272" s="25">
        <v>44031</v>
      </c>
      <c r="M272">
        <v>7</v>
      </c>
      <c r="N272">
        <v>2020</v>
      </c>
      <c r="O272" t="s">
        <v>106</v>
      </c>
      <c r="P272">
        <v>170</v>
      </c>
      <c r="Q272" s="17">
        <v>44032.076364583336</v>
      </c>
      <c r="R272" t="s">
        <v>120</v>
      </c>
    </row>
    <row r="273" spans="1:18" x14ac:dyDescent="0.3">
      <c r="A273">
        <v>21534412</v>
      </c>
      <c r="B273" t="s">
        <v>72</v>
      </c>
      <c r="C273">
        <v>1335937</v>
      </c>
      <c r="D273" t="s">
        <v>104</v>
      </c>
      <c r="E273" t="s">
        <v>12</v>
      </c>
      <c r="F273" t="s">
        <v>12</v>
      </c>
      <c r="G273" t="s">
        <v>124</v>
      </c>
      <c r="H273" t="s">
        <v>95</v>
      </c>
      <c r="I273" t="s">
        <v>81</v>
      </c>
      <c r="J273" t="s">
        <v>42</v>
      </c>
      <c r="K273" t="s">
        <v>82</v>
      </c>
      <c r="L273" s="25">
        <v>44031</v>
      </c>
      <c r="M273">
        <v>7</v>
      </c>
      <c r="N273">
        <v>2020</v>
      </c>
      <c r="O273" t="s">
        <v>106</v>
      </c>
      <c r="P273">
        <v>170</v>
      </c>
      <c r="Q273" s="17">
        <v>44032.084372453704</v>
      </c>
      <c r="R273" t="s">
        <v>120</v>
      </c>
    </row>
    <row r="274" spans="1:18" x14ac:dyDescent="0.3">
      <c r="A274">
        <v>242571</v>
      </c>
      <c r="B274" t="s">
        <v>72</v>
      </c>
      <c r="C274">
        <v>1324616</v>
      </c>
      <c r="D274" t="s">
        <v>116</v>
      </c>
      <c r="E274" t="s">
        <v>26</v>
      </c>
      <c r="F274" t="s">
        <v>26</v>
      </c>
      <c r="G274" t="s">
        <v>126</v>
      </c>
      <c r="H274" t="s">
        <v>163</v>
      </c>
      <c r="I274" t="s">
        <v>83</v>
      </c>
      <c r="J274" t="s">
        <v>84</v>
      </c>
      <c r="K274" t="s">
        <v>82</v>
      </c>
      <c r="L274" s="25">
        <v>44031</v>
      </c>
      <c r="M274">
        <v>7</v>
      </c>
      <c r="N274">
        <v>2020</v>
      </c>
      <c r="O274" t="s">
        <v>106</v>
      </c>
      <c r="P274">
        <v>170</v>
      </c>
      <c r="Q274" s="17">
        <v>44029.858878356485</v>
      </c>
      <c r="R274" t="s">
        <v>120</v>
      </c>
    </row>
    <row r="275" spans="1:18" x14ac:dyDescent="0.3">
      <c r="A275">
        <v>9687082</v>
      </c>
      <c r="B275" t="s">
        <v>79</v>
      </c>
      <c r="C275">
        <v>1330321</v>
      </c>
      <c r="D275" t="s">
        <v>109</v>
      </c>
      <c r="E275" t="s">
        <v>130</v>
      </c>
      <c r="F275" t="s">
        <v>17</v>
      </c>
      <c r="G275" t="s">
        <v>133</v>
      </c>
      <c r="H275" t="s">
        <v>148</v>
      </c>
      <c r="I275" t="s">
        <v>83</v>
      </c>
      <c r="J275" t="s">
        <v>84</v>
      </c>
      <c r="K275" t="s">
        <v>86</v>
      </c>
      <c r="L275" s="25">
        <v>44031</v>
      </c>
      <c r="M275">
        <v>7</v>
      </c>
      <c r="N275">
        <v>2020</v>
      </c>
      <c r="O275" t="s">
        <v>106</v>
      </c>
      <c r="P275">
        <v>170</v>
      </c>
      <c r="Q275" s="17">
        <v>44032.145115856481</v>
      </c>
      <c r="R275" t="s">
        <v>120</v>
      </c>
    </row>
    <row r="276" spans="1:18" x14ac:dyDescent="0.3">
      <c r="A276">
        <v>9687220</v>
      </c>
      <c r="B276" t="s">
        <v>79</v>
      </c>
      <c r="C276">
        <v>1330375</v>
      </c>
      <c r="D276" t="s">
        <v>109</v>
      </c>
      <c r="E276" t="s">
        <v>130</v>
      </c>
      <c r="F276" t="s">
        <v>17</v>
      </c>
      <c r="G276" t="s">
        <v>133</v>
      </c>
      <c r="H276" t="s">
        <v>148</v>
      </c>
      <c r="I276" t="s">
        <v>83</v>
      </c>
      <c r="J276" t="s">
        <v>84</v>
      </c>
      <c r="K276" t="s">
        <v>86</v>
      </c>
      <c r="L276" s="25">
        <v>44031</v>
      </c>
      <c r="M276">
        <v>7</v>
      </c>
      <c r="N276">
        <v>2020</v>
      </c>
      <c r="O276" t="s">
        <v>106</v>
      </c>
      <c r="P276">
        <v>170</v>
      </c>
      <c r="Q276" s="17">
        <v>44032.146562731483</v>
      </c>
      <c r="R276" t="s">
        <v>120</v>
      </c>
    </row>
    <row r="277" spans="1:18" x14ac:dyDescent="0.3">
      <c r="A277">
        <v>245724</v>
      </c>
      <c r="B277" t="s">
        <v>72</v>
      </c>
      <c r="C277">
        <v>1336873</v>
      </c>
      <c r="D277" t="s">
        <v>104</v>
      </c>
      <c r="E277" t="s">
        <v>12</v>
      </c>
      <c r="F277" t="s">
        <v>12</v>
      </c>
      <c r="G277" t="s">
        <v>124</v>
      </c>
      <c r="H277" t="s">
        <v>163</v>
      </c>
      <c r="I277" t="s">
        <v>83</v>
      </c>
      <c r="J277" t="s">
        <v>84</v>
      </c>
      <c r="K277" t="s">
        <v>82</v>
      </c>
      <c r="L277" s="25">
        <v>44031</v>
      </c>
      <c r="M277">
        <v>7</v>
      </c>
      <c r="N277">
        <v>2020</v>
      </c>
      <c r="O277" t="s">
        <v>106</v>
      </c>
      <c r="P277">
        <v>171</v>
      </c>
      <c r="Q277" s="17">
        <v>44032.089409375003</v>
      </c>
      <c r="R277" t="s">
        <v>120</v>
      </c>
    </row>
    <row r="278" spans="1:18" x14ac:dyDescent="0.3">
      <c r="A278">
        <v>9678146</v>
      </c>
      <c r="B278" t="s">
        <v>78</v>
      </c>
      <c r="C278">
        <v>1335719</v>
      </c>
      <c r="D278" t="s">
        <v>112</v>
      </c>
      <c r="E278" t="s">
        <v>12</v>
      </c>
      <c r="F278" t="s">
        <v>12</v>
      </c>
      <c r="G278" t="s">
        <v>124</v>
      </c>
      <c r="H278" t="s">
        <v>150</v>
      </c>
      <c r="I278" t="s">
        <v>81</v>
      </c>
      <c r="J278" t="s">
        <v>42</v>
      </c>
      <c r="K278" t="s">
        <v>82</v>
      </c>
      <c r="L278" s="25">
        <v>44031</v>
      </c>
      <c r="M278">
        <v>7</v>
      </c>
      <c r="N278">
        <v>2020</v>
      </c>
      <c r="O278" t="s">
        <v>106</v>
      </c>
      <c r="P278">
        <v>170</v>
      </c>
      <c r="Q278" s="17">
        <v>44032.083821296299</v>
      </c>
      <c r="R278" t="s">
        <v>120</v>
      </c>
    </row>
    <row r="279" spans="1:18" x14ac:dyDescent="0.3">
      <c r="A279">
        <v>9681885</v>
      </c>
      <c r="B279" t="s">
        <v>72</v>
      </c>
      <c r="C279">
        <v>1326820</v>
      </c>
      <c r="D279" t="s">
        <v>104</v>
      </c>
      <c r="E279">
        <v>966</v>
      </c>
      <c r="F279">
        <v>966</v>
      </c>
      <c r="G279" t="s">
        <v>127</v>
      </c>
      <c r="H279" t="s">
        <v>172</v>
      </c>
      <c r="I279" t="s">
        <v>83</v>
      </c>
      <c r="J279" t="s">
        <v>84</v>
      </c>
      <c r="K279" t="s">
        <v>86</v>
      </c>
      <c r="L279" s="25">
        <v>44031</v>
      </c>
      <c r="M279">
        <v>7</v>
      </c>
      <c r="N279">
        <v>2020</v>
      </c>
      <c r="O279" t="s">
        <v>106</v>
      </c>
      <c r="P279">
        <v>170</v>
      </c>
      <c r="Q279" s="17">
        <v>44032.091085185188</v>
      </c>
      <c r="R279" t="s">
        <v>120</v>
      </c>
    </row>
    <row r="280" spans="1:18" x14ac:dyDescent="0.3">
      <c r="A280">
        <v>9687209</v>
      </c>
      <c r="B280" t="s">
        <v>79</v>
      </c>
      <c r="C280">
        <v>1330364</v>
      </c>
      <c r="D280" t="s">
        <v>109</v>
      </c>
      <c r="E280" t="s">
        <v>130</v>
      </c>
      <c r="F280" t="s">
        <v>17</v>
      </c>
      <c r="G280" t="s">
        <v>133</v>
      </c>
      <c r="H280" t="s">
        <v>148</v>
      </c>
      <c r="I280" t="s">
        <v>83</v>
      </c>
      <c r="J280" t="s">
        <v>84</v>
      </c>
      <c r="K280" t="s">
        <v>86</v>
      </c>
      <c r="L280" s="25">
        <v>44031</v>
      </c>
      <c r="M280">
        <v>7</v>
      </c>
      <c r="N280">
        <v>2020</v>
      </c>
      <c r="O280" t="s">
        <v>106</v>
      </c>
      <c r="P280">
        <v>170</v>
      </c>
      <c r="Q280" s="17">
        <v>44032.145134027778</v>
      </c>
      <c r="R280" t="s">
        <v>120</v>
      </c>
    </row>
    <row r="281" spans="1:18" x14ac:dyDescent="0.3">
      <c r="A281">
        <v>9687566</v>
      </c>
      <c r="B281" t="s">
        <v>79</v>
      </c>
      <c r="C281">
        <v>1330439</v>
      </c>
      <c r="D281" t="s">
        <v>109</v>
      </c>
      <c r="E281" t="s">
        <v>130</v>
      </c>
      <c r="F281" t="s">
        <v>17</v>
      </c>
      <c r="G281" t="s">
        <v>133</v>
      </c>
      <c r="H281" t="s">
        <v>148</v>
      </c>
      <c r="I281" t="s">
        <v>83</v>
      </c>
      <c r="J281" t="s">
        <v>84</v>
      </c>
      <c r="K281" t="s">
        <v>86</v>
      </c>
      <c r="L281" s="25">
        <v>44031</v>
      </c>
      <c r="M281">
        <v>7</v>
      </c>
      <c r="N281">
        <v>2020</v>
      </c>
      <c r="O281" t="s">
        <v>106</v>
      </c>
      <c r="P281">
        <v>170</v>
      </c>
      <c r="Q281" s="17">
        <v>44032.161586226852</v>
      </c>
      <c r="R281" t="s">
        <v>120</v>
      </c>
    </row>
    <row r="282" spans="1:18" x14ac:dyDescent="0.3">
      <c r="A282">
        <v>241100</v>
      </c>
      <c r="B282" t="s">
        <v>72</v>
      </c>
      <c r="C282">
        <v>1320086</v>
      </c>
      <c r="D282" t="s">
        <v>104</v>
      </c>
      <c r="E282" t="s">
        <v>57</v>
      </c>
      <c r="F282" t="s">
        <v>57</v>
      </c>
      <c r="G282" t="s">
        <v>105</v>
      </c>
      <c r="H282" t="s">
        <v>161</v>
      </c>
      <c r="I282" t="s">
        <v>83</v>
      </c>
      <c r="J282" t="s">
        <v>84</v>
      </c>
      <c r="K282" t="s">
        <v>86</v>
      </c>
      <c r="L282" s="25">
        <v>44031</v>
      </c>
      <c r="M282">
        <v>7</v>
      </c>
      <c r="N282">
        <v>2020</v>
      </c>
      <c r="O282" t="s">
        <v>106</v>
      </c>
      <c r="P282">
        <v>170</v>
      </c>
      <c r="Q282" s="17">
        <v>44032.441105092592</v>
      </c>
      <c r="R282" t="s">
        <v>107</v>
      </c>
    </row>
    <row r="283" spans="1:18" x14ac:dyDescent="0.3">
      <c r="A283">
        <v>9678917</v>
      </c>
      <c r="B283" t="s">
        <v>72</v>
      </c>
      <c r="C283">
        <v>1321115</v>
      </c>
      <c r="D283" t="s">
        <v>104</v>
      </c>
      <c r="E283" t="s">
        <v>58</v>
      </c>
      <c r="F283" t="s">
        <v>58</v>
      </c>
      <c r="G283" t="s">
        <v>110</v>
      </c>
      <c r="H283" t="s">
        <v>161</v>
      </c>
      <c r="I283" t="s">
        <v>83</v>
      </c>
      <c r="J283" t="s">
        <v>84</v>
      </c>
      <c r="K283" t="s">
        <v>86</v>
      </c>
      <c r="L283" s="25">
        <v>44031</v>
      </c>
      <c r="M283">
        <v>7</v>
      </c>
      <c r="N283">
        <v>2020</v>
      </c>
      <c r="O283" t="s">
        <v>106</v>
      </c>
      <c r="P283">
        <v>170</v>
      </c>
      <c r="Q283" s="17">
        <v>44032.447163773148</v>
      </c>
      <c r="R283" t="s">
        <v>107</v>
      </c>
    </row>
    <row r="284" spans="1:18" x14ac:dyDescent="0.3">
      <c r="A284">
        <v>21525865</v>
      </c>
      <c r="B284" t="s">
        <v>72</v>
      </c>
      <c r="C284">
        <v>1321690</v>
      </c>
      <c r="D284" t="s">
        <v>104</v>
      </c>
      <c r="E284" t="s">
        <v>58</v>
      </c>
      <c r="F284" t="s">
        <v>58</v>
      </c>
      <c r="G284" t="s">
        <v>110</v>
      </c>
      <c r="H284" t="s">
        <v>161</v>
      </c>
      <c r="I284" t="s">
        <v>83</v>
      </c>
      <c r="J284" t="s">
        <v>84</v>
      </c>
      <c r="K284" t="s">
        <v>86</v>
      </c>
      <c r="L284" s="25">
        <v>44031</v>
      </c>
      <c r="M284">
        <v>7</v>
      </c>
      <c r="N284">
        <v>2020</v>
      </c>
      <c r="O284" t="s">
        <v>106</v>
      </c>
      <c r="P284">
        <v>170</v>
      </c>
      <c r="Q284" s="17">
        <v>44032.466297916668</v>
      </c>
      <c r="R284" t="s">
        <v>107</v>
      </c>
    </row>
    <row r="285" spans="1:18" x14ac:dyDescent="0.3">
      <c r="A285">
        <v>241849</v>
      </c>
      <c r="B285" t="s">
        <v>72</v>
      </c>
      <c r="C285">
        <v>1321840</v>
      </c>
      <c r="D285" t="s">
        <v>104</v>
      </c>
      <c r="E285" t="s">
        <v>57</v>
      </c>
      <c r="F285" t="s">
        <v>57</v>
      </c>
      <c r="G285" t="s">
        <v>105</v>
      </c>
      <c r="H285" t="s">
        <v>161</v>
      </c>
      <c r="I285" t="s">
        <v>83</v>
      </c>
      <c r="J285" t="s">
        <v>84</v>
      </c>
      <c r="K285" t="s">
        <v>86</v>
      </c>
      <c r="L285" s="25">
        <v>44031</v>
      </c>
      <c r="M285">
        <v>7</v>
      </c>
      <c r="N285">
        <v>2020</v>
      </c>
      <c r="O285" t="s">
        <v>106</v>
      </c>
      <c r="P285">
        <v>170</v>
      </c>
      <c r="Q285" s="17">
        <v>44032.464933333336</v>
      </c>
      <c r="R285" t="s">
        <v>107</v>
      </c>
    </row>
    <row r="286" spans="1:18" x14ac:dyDescent="0.3">
      <c r="A286">
        <v>9690931</v>
      </c>
      <c r="B286" t="s">
        <v>72</v>
      </c>
      <c r="C286">
        <v>1331543</v>
      </c>
      <c r="D286" t="s">
        <v>104</v>
      </c>
      <c r="E286" t="s">
        <v>58</v>
      </c>
      <c r="F286" t="s">
        <v>58</v>
      </c>
      <c r="G286" t="s">
        <v>110</v>
      </c>
      <c r="H286" t="s">
        <v>161</v>
      </c>
      <c r="I286" t="s">
        <v>83</v>
      </c>
      <c r="J286" t="s">
        <v>84</v>
      </c>
      <c r="K286" t="s">
        <v>86</v>
      </c>
      <c r="L286" s="25">
        <v>44031</v>
      </c>
      <c r="M286">
        <v>7</v>
      </c>
      <c r="N286">
        <v>2020</v>
      </c>
      <c r="O286" t="s">
        <v>106</v>
      </c>
      <c r="P286">
        <v>170</v>
      </c>
      <c r="Q286" s="17">
        <v>44032.423316087959</v>
      </c>
      <c r="R286" t="s">
        <v>111</v>
      </c>
    </row>
    <row r="287" spans="1:18" x14ac:dyDescent="0.3">
      <c r="A287">
        <v>9689267</v>
      </c>
      <c r="B287" t="s">
        <v>72</v>
      </c>
      <c r="C287">
        <v>1331718</v>
      </c>
      <c r="D287" t="s">
        <v>104</v>
      </c>
      <c r="E287" t="s">
        <v>58</v>
      </c>
      <c r="F287" t="s">
        <v>58</v>
      </c>
      <c r="G287" t="s">
        <v>110</v>
      </c>
      <c r="H287" t="s">
        <v>161</v>
      </c>
      <c r="I287" t="s">
        <v>83</v>
      </c>
      <c r="J287" t="s">
        <v>84</v>
      </c>
      <c r="K287" t="s">
        <v>86</v>
      </c>
      <c r="L287" s="25">
        <v>44031</v>
      </c>
      <c r="M287">
        <v>7</v>
      </c>
      <c r="N287">
        <v>2020</v>
      </c>
      <c r="O287" t="s">
        <v>106</v>
      </c>
      <c r="P287">
        <v>170</v>
      </c>
      <c r="Q287" s="17">
        <v>44032.437720138892</v>
      </c>
      <c r="R287" t="s">
        <v>117</v>
      </c>
    </row>
    <row r="288" spans="1:18" x14ac:dyDescent="0.3">
      <c r="A288">
        <v>21532269</v>
      </c>
      <c r="B288" t="s">
        <v>72</v>
      </c>
      <c r="C288">
        <v>1332965</v>
      </c>
      <c r="D288" t="s">
        <v>104</v>
      </c>
      <c r="E288" t="s">
        <v>57</v>
      </c>
      <c r="F288" t="s">
        <v>57</v>
      </c>
      <c r="G288" t="s">
        <v>105</v>
      </c>
      <c r="H288" t="s">
        <v>161</v>
      </c>
      <c r="I288" t="s">
        <v>83</v>
      </c>
      <c r="J288" t="s">
        <v>84</v>
      </c>
      <c r="K288" t="s">
        <v>86</v>
      </c>
      <c r="L288" s="25">
        <v>44031</v>
      </c>
      <c r="M288">
        <v>7</v>
      </c>
      <c r="N288">
        <v>2020</v>
      </c>
      <c r="O288" t="s">
        <v>106</v>
      </c>
      <c r="P288">
        <v>170</v>
      </c>
      <c r="Q288" s="17">
        <v>44032.473289467591</v>
      </c>
      <c r="R288" t="s">
        <v>108</v>
      </c>
    </row>
    <row r="289" spans="1:18" x14ac:dyDescent="0.3">
      <c r="A289">
        <v>21531877</v>
      </c>
      <c r="B289" t="s">
        <v>72</v>
      </c>
      <c r="C289">
        <v>1333054</v>
      </c>
      <c r="D289" t="s">
        <v>104</v>
      </c>
      <c r="E289" t="s">
        <v>58</v>
      </c>
      <c r="F289" t="s">
        <v>58</v>
      </c>
      <c r="G289" t="s">
        <v>110</v>
      </c>
      <c r="H289" t="s">
        <v>161</v>
      </c>
      <c r="I289" t="s">
        <v>83</v>
      </c>
      <c r="J289" t="s">
        <v>84</v>
      </c>
      <c r="K289" t="s">
        <v>86</v>
      </c>
      <c r="L289" s="25">
        <v>44031</v>
      </c>
      <c r="M289">
        <v>7</v>
      </c>
      <c r="N289">
        <v>2020</v>
      </c>
      <c r="O289" t="s">
        <v>106</v>
      </c>
      <c r="P289">
        <v>170</v>
      </c>
      <c r="Q289" s="17">
        <v>44032.481512268518</v>
      </c>
      <c r="R289" t="s">
        <v>117</v>
      </c>
    </row>
    <row r="290" spans="1:18" x14ac:dyDescent="0.3">
      <c r="A290">
        <v>245662</v>
      </c>
      <c r="B290" t="s">
        <v>78</v>
      </c>
      <c r="C290">
        <v>1336866</v>
      </c>
      <c r="D290" t="s">
        <v>112</v>
      </c>
      <c r="E290" t="s">
        <v>12</v>
      </c>
      <c r="F290" t="s">
        <v>12</v>
      </c>
      <c r="G290" t="s">
        <v>124</v>
      </c>
      <c r="H290" t="s">
        <v>150</v>
      </c>
      <c r="I290" t="s">
        <v>81</v>
      </c>
      <c r="J290" t="s">
        <v>42</v>
      </c>
      <c r="K290" t="s">
        <v>82</v>
      </c>
      <c r="L290" s="25">
        <v>44031</v>
      </c>
      <c r="M290">
        <v>7</v>
      </c>
      <c r="N290">
        <v>2020</v>
      </c>
      <c r="O290" t="s">
        <v>106</v>
      </c>
      <c r="P290">
        <v>171</v>
      </c>
      <c r="Q290" s="17">
        <v>44032.089402546299</v>
      </c>
      <c r="R290" t="s">
        <v>120</v>
      </c>
    </row>
    <row r="291" spans="1:18" x14ac:dyDescent="0.3">
      <c r="A291">
        <v>9687685</v>
      </c>
      <c r="B291" t="s">
        <v>77</v>
      </c>
      <c r="C291">
        <v>1330714</v>
      </c>
      <c r="D291" t="s">
        <v>77</v>
      </c>
      <c r="E291">
        <v>820</v>
      </c>
      <c r="F291">
        <v>820</v>
      </c>
      <c r="G291" t="s">
        <v>125</v>
      </c>
      <c r="H291" t="s">
        <v>149</v>
      </c>
      <c r="I291" t="s">
        <v>77</v>
      </c>
      <c r="J291" t="s">
        <v>42</v>
      </c>
      <c r="K291" t="s">
        <v>82</v>
      </c>
      <c r="L291" s="25">
        <v>44031</v>
      </c>
      <c r="M291">
        <v>7</v>
      </c>
      <c r="N291">
        <v>2020</v>
      </c>
      <c r="O291" t="s">
        <v>106</v>
      </c>
      <c r="P291">
        <v>170</v>
      </c>
      <c r="Q291" s="17">
        <v>44032.194471990741</v>
      </c>
      <c r="R291" t="s">
        <v>120</v>
      </c>
    </row>
    <row r="292" spans="1:18" x14ac:dyDescent="0.3">
      <c r="A292">
        <v>21534563</v>
      </c>
      <c r="B292" t="s">
        <v>72</v>
      </c>
      <c r="C292">
        <v>1334301</v>
      </c>
      <c r="D292" t="s">
        <v>104</v>
      </c>
      <c r="E292" t="s">
        <v>12</v>
      </c>
      <c r="F292" t="s">
        <v>12</v>
      </c>
      <c r="G292" t="s">
        <v>124</v>
      </c>
      <c r="H292" t="s">
        <v>170</v>
      </c>
      <c r="I292" t="s">
        <v>83</v>
      </c>
      <c r="J292" t="s">
        <v>84</v>
      </c>
      <c r="K292" t="s">
        <v>82</v>
      </c>
      <c r="L292" s="25">
        <v>44031</v>
      </c>
      <c r="M292">
        <v>7</v>
      </c>
      <c r="N292">
        <v>2020</v>
      </c>
      <c r="O292" t="s">
        <v>106</v>
      </c>
      <c r="P292">
        <v>170</v>
      </c>
      <c r="Q292" s="17">
        <v>44032.0803787037</v>
      </c>
      <c r="R292" t="s">
        <v>120</v>
      </c>
    </row>
    <row r="293" spans="1:18" x14ac:dyDescent="0.3">
      <c r="A293">
        <v>9687317</v>
      </c>
      <c r="B293" t="s">
        <v>79</v>
      </c>
      <c r="C293">
        <v>1330382</v>
      </c>
      <c r="D293" t="s">
        <v>109</v>
      </c>
      <c r="E293" t="s">
        <v>130</v>
      </c>
      <c r="F293" t="s">
        <v>17</v>
      </c>
      <c r="G293" t="s">
        <v>133</v>
      </c>
      <c r="H293" t="s">
        <v>148</v>
      </c>
      <c r="I293" t="s">
        <v>83</v>
      </c>
      <c r="J293" t="s">
        <v>84</v>
      </c>
      <c r="K293" t="s">
        <v>86</v>
      </c>
      <c r="L293" s="25">
        <v>44031</v>
      </c>
      <c r="M293">
        <v>7</v>
      </c>
      <c r="N293">
        <v>2020</v>
      </c>
      <c r="O293" t="s">
        <v>106</v>
      </c>
      <c r="P293">
        <v>170</v>
      </c>
      <c r="Q293" s="17">
        <v>44032.149036689814</v>
      </c>
      <c r="R293" t="s">
        <v>120</v>
      </c>
    </row>
    <row r="294" spans="1:18" x14ac:dyDescent="0.3">
      <c r="A294">
        <v>9688923</v>
      </c>
      <c r="B294" t="s">
        <v>78</v>
      </c>
      <c r="C294">
        <v>1331736</v>
      </c>
      <c r="D294" t="s">
        <v>112</v>
      </c>
      <c r="E294" t="s">
        <v>12</v>
      </c>
      <c r="F294" t="s">
        <v>12</v>
      </c>
      <c r="G294" t="s">
        <v>124</v>
      </c>
      <c r="H294" t="s">
        <v>156</v>
      </c>
      <c r="I294" t="s">
        <v>81</v>
      </c>
      <c r="J294" t="s">
        <v>42</v>
      </c>
      <c r="K294" t="s">
        <v>82</v>
      </c>
      <c r="L294" s="25">
        <v>44031</v>
      </c>
      <c r="M294">
        <v>7</v>
      </c>
      <c r="N294">
        <v>2020</v>
      </c>
      <c r="O294" t="s">
        <v>106</v>
      </c>
      <c r="P294">
        <v>170</v>
      </c>
      <c r="Q294" s="17">
        <v>44032.076978935183</v>
      </c>
      <c r="R294" t="s">
        <v>120</v>
      </c>
    </row>
    <row r="295" spans="1:18" x14ac:dyDescent="0.3">
      <c r="A295">
        <v>21534279</v>
      </c>
      <c r="B295" t="s">
        <v>72</v>
      </c>
      <c r="C295">
        <v>1335151</v>
      </c>
      <c r="D295" t="s">
        <v>104</v>
      </c>
      <c r="E295" t="s">
        <v>12</v>
      </c>
      <c r="F295" t="s">
        <v>12</v>
      </c>
      <c r="G295" t="s">
        <v>124</v>
      </c>
      <c r="H295" t="s">
        <v>163</v>
      </c>
      <c r="I295" t="s">
        <v>83</v>
      </c>
      <c r="J295" t="s">
        <v>84</v>
      </c>
      <c r="K295" t="s">
        <v>82</v>
      </c>
      <c r="L295" s="25">
        <v>44031</v>
      </c>
      <c r="M295">
        <v>7</v>
      </c>
      <c r="N295">
        <v>2020</v>
      </c>
      <c r="O295" t="s">
        <v>106</v>
      </c>
      <c r="P295">
        <v>170</v>
      </c>
      <c r="Q295" s="17">
        <v>44032.081520949076</v>
      </c>
      <c r="R295" t="s">
        <v>120</v>
      </c>
    </row>
    <row r="296" spans="1:18" x14ac:dyDescent="0.3">
      <c r="A296">
        <v>9687361</v>
      </c>
      <c r="B296" t="s">
        <v>79</v>
      </c>
      <c r="C296">
        <v>1330425</v>
      </c>
      <c r="D296" t="s">
        <v>109</v>
      </c>
      <c r="E296" t="s">
        <v>130</v>
      </c>
      <c r="F296" t="s">
        <v>17</v>
      </c>
      <c r="G296" t="s">
        <v>133</v>
      </c>
      <c r="H296" t="s">
        <v>148</v>
      </c>
      <c r="I296" t="s">
        <v>83</v>
      </c>
      <c r="J296" t="s">
        <v>84</v>
      </c>
      <c r="K296" t="s">
        <v>86</v>
      </c>
      <c r="L296" s="25">
        <v>44031</v>
      </c>
      <c r="M296">
        <v>7</v>
      </c>
      <c r="N296">
        <v>2020</v>
      </c>
      <c r="O296" t="s">
        <v>106</v>
      </c>
      <c r="P296">
        <v>170</v>
      </c>
      <c r="Q296" s="17">
        <v>44032.156134953701</v>
      </c>
      <c r="R296" t="s">
        <v>120</v>
      </c>
    </row>
    <row r="297" spans="1:18" x14ac:dyDescent="0.3">
      <c r="A297">
        <v>21526223</v>
      </c>
      <c r="B297" t="s">
        <v>72</v>
      </c>
      <c r="C297">
        <v>1322694</v>
      </c>
      <c r="D297" t="s">
        <v>116</v>
      </c>
      <c r="E297" t="s">
        <v>26</v>
      </c>
      <c r="F297" t="s">
        <v>26</v>
      </c>
      <c r="G297" t="s">
        <v>126</v>
      </c>
      <c r="H297" t="s">
        <v>163</v>
      </c>
      <c r="I297" t="s">
        <v>83</v>
      </c>
      <c r="J297" t="s">
        <v>84</v>
      </c>
      <c r="K297" t="s">
        <v>82</v>
      </c>
      <c r="L297" s="25">
        <v>44031</v>
      </c>
      <c r="M297">
        <v>7</v>
      </c>
      <c r="N297">
        <v>2020</v>
      </c>
      <c r="O297" t="s">
        <v>106</v>
      </c>
      <c r="P297">
        <v>170</v>
      </c>
      <c r="Q297" s="17">
        <v>44029.814035300929</v>
      </c>
      <c r="R297" t="s">
        <v>120</v>
      </c>
    </row>
    <row r="298" spans="1:18" x14ac:dyDescent="0.3">
      <c r="A298">
        <v>21533580</v>
      </c>
      <c r="B298" t="s">
        <v>72</v>
      </c>
      <c r="C298">
        <v>1333283</v>
      </c>
      <c r="D298" t="s">
        <v>104</v>
      </c>
      <c r="E298" t="s">
        <v>12</v>
      </c>
      <c r="F298" t="s">
        <v>12</v>
      </c>
      <c r="G298" t="s">
        <v>124</v>
      </c>
      <c r="H298" t="s">
        <v>95</v>
      </c>
      <c r="I298" t="s">
        <v>81</v>
      </c>
      <c r="J298" t="s">
        <v>42</v>
      </c>
      <c r="K298" t="s">
        <v>82</v>
      </c>
      <c r="L298" s="25">
        <v>44031</v>
      </c>
      <c r="M298">
        <v>7</v>
      </c>
      <c r="N298">
        <v>2020</v>
      </c>
      <c r="O298" t="s">
        <v>106</v>
      </c>
      <c r="P298">
        <v>170</v>
      </c>
      <c r="Q298" s="17">
        <v>44032.075630092593</v>
      </c>
      <c r="R298" t="s">
        <v>120</v>
      </c>
    </row>
    <row r="299" spans="1:18" x14ac:dyDescent="0.3">
      <c r="A299">
        <v>242911</v>
      </c>
      <c r="B299" t="s">
        <v>72</v>
      </c>
      <c r="C299">
        <v>1326745</v>
      </c>
      <c r="D299" t="s">
        <v>104</v>
      </c>
      <c r="E299" t="s">
        <v>26</v>
      </c>
      <c r="F299" t="s">
        <v>26</v>
      </c>
      <c r="G299" t="s">
        <v>126</v>
      </c>
      <c r="H299" t="s">
        <v>159</v>
      </c>
      <c r="I299" t="s">
        <v>83</v>
      </c>
      <c r="J299" t="s">
        <v>84</v>
      </c>
      <c r="K299" t="s">
        <v>82</v>
      </c>
      <c r="L299" s="25">
        <v>44031</v>
      </c>
      <c r="M299">
        <v>7</v>
      </c>
      <c r="N299">
        <v>2020</v>
      </c>
      <c r="O299" t="s">
        <v>106</v>
      </c>
      <c r="P299">
        <v>170</v>
      </c>
      <c r="Q299" s="17">
        <v>44032.41674537037</v>
      </c>
      <c r="R299" t="s">
        <v>120</v>
      </c>
    </row>
    <row r="300" spans="1:18" x14ac:dyDescent="0.3">
      <c r="A300">
        <v>245611</v>
      </c>
      <c r="B300" t="s">
        <v>72</v>
      </c>
      <c r="C300">
        <v>1337173</v>
      </c>
      <c r="D300" t="s">
        <v>104</v>
      </c>
      <c r="E300" t="s">
        <v>12</v>
      </c>
      <c r="F300" t="s">
        <v>12</v>
      </c>
      <c r="G300" t="s">
        <v>124</v>
      </c>
      <c r="H300" t="s">
        <v>159</v>
      </c>
      <c r="I300" t="s">
        <v>83</v>
      </c>
      <c r="J300" t="s">
        <v>84</v>
      </c>
      <c r="K300" t="s">
        <v>82</v>
      </c>
      <c r="L300" s="25">
        <v>44031</v>
      </c>
      <c r="M300">
        <v>7</v>
      </c>
      <c r="N300">
        <v>2020</v>
      </c>
      <c r="O300" t="s">
        <v>106</v>
      </c>
      <c r="P300">
        <v>170</v>
      </c>
      <c r="Q300" s="17">
        <v>44032.176182986113</v>
      </c>
      <c r="R300" t="s">
        <v>120</v>
      </c>
    </row>
    <row r="301" spans="1:18" x14ac:dyDescent="0.3">
      <c r="A301">
        <v>9687200</v>
      </c>
      <c r="B301" t="s">
        <v>79</v>
      </c>
      <c r="C301">
        <v>1330357</v>
      </c>
      <c r="D301" t="s">
        <v>109</v>
      </c>
      <c r="E301" t="s">
        <v>130</v>
      </c>
      <c r="F301" t="s">
        <v>17</v>
      </c>
      <c r="G301" t="s">
        <v>133</v>
      </c>
      <c r="H301" t="s">
        <v>148</v>
      </c>
      <c r="I301" t="s">
        <v>83</v>
      </c>
      <c r="J301" t="s">
        <v>84</v>
      </c>
      <c r="K301" t="s">
        <v>86</v>
      </c>
      <c r="L301" s="25">
        <v>44031</v>
      </c>
      <c r="M301">
        <v>7</v>
      </c>
      <c r="N301">
        <v>2020</v>
      </c>
      <c r="O301" t="s">
        <v>106</v>
      </c>
      <c r="P301">
        <v>170</v>
      </c>
      <c r="Q301" s="17">
        <v>44032.148745254628</v>
      </c>
      <c r="R301" t="s">
        <v>120</v>
      </c>
    </row>
    <row r="302" spans="1:18" x14ac:dyDescent="0.3">
      <c r="A302">
        <v>241609</v>
      </c>
      <c r="B302" t="s">
        <v>72</v>
      </c>
      <c r="C302">
        <v>1321325</v>
      </c>
      <c r="D302" t="s">
        <v>104</v>
      </c>
      <c r="E302" t="s">
        <v>57</v>
      </c>
      <c r="F302" t="s">
        <v>57</v>
      </c>
      <c r="G302" t="s">
        <v>105</v>
      </c>
      <c r="H302" t="s">
        <v>161</v>
      </c>
      <c r="I302" t="s">
        <v>83</v>
      </c>
      <c r="J302" t="s">
        <v>84</v>
      </c>
      <c r="K302" t="s">
        <v>86</v>
      </c>
      <c r="L302" s="25">
        <v>44031</v>
      </c>
      <c r="M302">
        <v>7</v>
      </c>
      <c r="N302">
        <v>2020</v>
      </c>
      <c r="O302" t="s">
        <v>106</v>
      </c>
      <c r="P302">
        <v>170</v>
      </c>
      <c r="Q302" s="17">
        <v>44032.45727673611</v>
      </c>
      <c r="R302" t="s">
        <v>107</v>
      </c>
    </row>
    <row r="303" spans="1:18" x14ac:dyDescent="0.3">
      <c r="A303">
        <v>9689271</v>
      </c>
      <c r="B303" t="s">
        <v>72</v>
      </c>
      <c r="C303">
        <v>1331726</v>
      </c>
      <c r="D303" t="s">
        <v>104</v>
      </c>
      <c r="E303" t="s">
        <v>57</v>
      </c>
      <c r="F303" t="s">
        <v>57</v>
      </c>
      <c r="G303" t="s">
        <v>105</v>
      </c>
      <c r="H303" t="s">
        <v>161</v>
      </c>
      <c r="I303" t="s">
        <v>83</v>
      </c>
      <c r="J303" t="s">
        <v>84</v>
      </c>
      <c r="K303" t="s">
        <v>86</v>
      </c>
      <c r="L303" s="25">
        <v>44031</v>
      </c>
      <c r="M303">
        <v>7</v>
      </c>
      <c r="N303">
        <v>2020</v>
      </c>
      <c r="O303" t="s">
        <v>106</v>
      </c>
      <c r="P303">
        <v>170</v>
      </c>
      <c r="Q303" s="17">
        <v>44032.434807291669</v>
      </c>
      <c r="R303" t="s">
        <v>107</v>
      </c>
    </row>
    <row r="304" spans="1:18" x14ac:dyDescent="0.3">
      <c r="A304">
        <v>9689624</v>
      </c>
      <c r="B304" t="s">
        <v>72</v>
      </c>
      <c r="C304">
        <v>1331762</v>
      </c>
      <c r="D304" t="s">
        <v>104</v>
      </c>
      <c r="E304" t="s">
        <v>57</v>
      </c>
      <c r="F304" t="s">
        <v>57</v>
      </c>
      <c r="G304" t="s">
        <v>105</v>
      </c>
      <c r="H304" t="s">
        <v>161</v>
      </c>
      <c r="I304" t="s">
        <v>83</v>
      </c>
      <c r="J304" t="s">
        <v>84</v>
      </c>
      <c r="K304" t="s">
        <v>86</v>
      </c>
      <c r="L304" s="25">
        <v>44031</v>
      </c>
      <c r="M304">
        <v>7</v>
      </c>
      <c r="N304">
        <v>2020</v>
      </c>
      <c r="O304" t="s">
        <v>106</v>
      </c>
      <c r="P304">
        <v>170</v>
      </c>
      <c r="Q304" s="17">
        <v>44032.435101273149</v>
      </c>
      <c r="R304" t="s">
        <v>111</v>
      </c>
    </row>
    <row r="305" spans="1:18" x14ac:dyDescent="0.3">
      <c r="A305">
        <v>9690438</v>
      </c>
      <c r="B305" t="s">
        <v>79</v>
      </c>
      <c r="C305">
        <v>1332355</v>
      </c>
      <c r="D305" t="s">
        <v>109</v>
      </c>
      <c r="E305" t="s">
        <v>58</v>
      </c>
      <c r="F305" t="s">
        <v>58</v>
      </c>
      <c r="G305" t="s">
        <v>110</v>
      </c>
      <c r="H305" t="s">
        <v>148</v>
      </c>
      <c r="I305" t="s">
        <v>83</v>
      </c>
      <c r="J305" t="s">
        <v>84</v>
      </c>
      <c r="K305" t="s">
        <v>86</v>
      </c>
      <c r="L305" s="25">
        <v>44031</v>
      </c>
      <c r="M305">
        <v>7</v>
      </c>
      <c r="N305">
        <v>2020</v>
      </c>
      <c r="O305" t="s">
        <v>106</v>
      </c>
      <c r="P305">
        <v>170</v>
      </c>
      <c r="Q305" s="17">
        <v>44032.148498958333</v>
      </c>
      <c r="R305" t="s">
        <v>107</v>
      </c>
    </row>
    <row r="306" spans="1:18" x14ac:dyDescent="0.3">
      <c r="A306">
        <v>9690902</v>
      </c>
      <c r="B306" t="s">
        <v>72</v>
      </c>
      <c r="C306">
        <v>1332862</v>
      </c>
      <c r="D306" t="s">
        <v>104</v>
      </c>
      <c r="E306" t="s">
        <v>58</v>
      </c>
      <c r="F306" t="s">
        <v>58</v>
      </c>
      <c r="G306" t="s">
        <v>110</v>
      </c>
      <c r="H306" t="s">
        <v>161</v>
      </c>
      <c r="I306" t="s">
        <v>83</v>
      </c>
      <c r="J306" t="s">
        <v>84</v>
      </c>
      <c r="K306" t="s">
        <v>86</v>
      </c>
      <c r="L306" s="25">
        <v>44031</v>
      </c>
      <c r="M306">
        <v>7</v>
      </c>
      <c r="N306">
        <v>2020</v>
      </c>
      <c r="O306" t="s">
        <v>106</v>
      </c>
      <c r="P306">
        <v>170</v>
      </c>
      <c r="Q306" s="17">
        <v>44032.440445138891</v>
      </c>
      <c r="R306" t="s">
        <v>107</v>
      </c>
    </row>
    <row r="307" spans="1:18" x14ac:dyDescent="0.3">
      <c r="A307">
        <v>21531680</v>
      </c>
      <c r="B307" t="s">
        <v>72</v>
      </c>
      <c r="C307">
        <v>1332955</v>
      </c>
      <c r="D307" t="s">
        <v>104</v>
      </c>
      <c r="E307" t="s">
        <v>113</v>
      </c>
      <c r="F307" t="s">
        <v>113</v>
      </c>
      <c r="G307" t="s">
        <v>59</v>
      </c>
      <c r="H307" t="s">
        <v>169</v>
      </c>
      <c r="I307" t="s">
        <v>83</v>
      </c>
      <c r="J307" t="s">
        <v>84</v>
      </c>
      <c r="K307" t="s">
        <v>90</v>
      </c>
      <c r="L307" s="25">
        <v>44031</v>
      </c>
      <c r="M307">
        <v>7</v>
      </c>
      <c r="N307">
        <v>2020</v>
      </c>
      <c r="O307" t="s">
        <v>106</v>
      </c>
      <c r="P307">
        <v>170</v>
      </c>
      <c r="Q307" s="17">
        <v>44032.429091550926</v>
      </c>
      <c r="R307" t="s">
        <v>115</v>
      </c>
    </row>
    <row r="308" spans="1:18" x14ac:dyDescent="0.3">
      <c r="A308">
        <v>21530927</v>
      </c>
      <c r="B308" t="s">
        <v>72</v>
      </c>
      <c r="C308">
        <v>1336399</v>
      </c>
      <c r="D308" t="s">
        <v>104</v>
      </c>
      <c r="E308" t="s">
        <v>12</v>
      </c>
      <c r="F308" t="s">
        <v>12</v>
      </c>
      <c r="G308" t="s">
        <v>124</v>
      </c>
      <c r="H308" t="s">
        <v>95</v>
      </c>
      <c r="I308" t="s">
        <v>81</v>
      </c>
      <c r="J308" t="s">
        <v>42</v>
      </c>
      <c r="K308" t="s">
        <v>82</v>
      </c>
      <c r="L308" s="25">
        <v>44031</v>
      </c>
      <c r="M308">
        <v>7</v>
      </c>
      <c r="N308">
        <v>2020</v>
      </c>
      <c r="O308" t="s">
        <v>106</v>
      </c>
      <c r="P308">
        <v>170</v>
      </c>
      <c r="Q308" s="17">
        <v>44032.08514398148</v>
      </c>
      <c r="R308" t="s">
        <v>120</v>
      </c>
    </row>
    <row r="309" spans="1:18" x14ac:dyDescent="0.3">
      <c r="A309">
        <v>21527257</v>
      </c>
      <c r="B309" t="s">
        <v>79</v>
      </c>
      <c r="C309">
        <v>1324431</v>
      </c>
      <c r="D309" t="s">
        <v>116</v>
      </c>
      <c r="E309" t="s">
        <v>26</v>
      </c>
      <c r="F309" t="s">
        <v>26</v>
      </c>
      <c r="G309" t="s">
        <v>126</v>
      </c>
      <c r="H309" t="s">
        <v>163</v>
      </c>
      <c r="I309" t="s">
        <v>83</v>
      </c>
      <c r="J309" t="s">
        <v>84</v>
      </c>
      <c r="K309" t="s">
        <v>82</v>
      </c>
      <c r="L309" s="25">
        <v>44031</v>
      </c>
      <c r="M309">
        <v>7</v>
      </c>
      <c r="N309">
        <v>2020</v>
      </c>
      <c r="O309" t="s">
        <v>106</v>
      </c>
      <c r="P309">
        <v>170</v>
      </c>
      <c r="Q309" s="17">
        <v>44029.848452430553</v>
      </c>
      <c r="R309" t="s">
        <v>120</v>
      </c>
    </row>
    <row r="310" spans="1:18" x14ac:dyDescent="0.3">
      <c r="A310">
        <v>242007</v>
      </c>
      <c r="B310" t="s">
        <v>79</v>
      </c>
      <c r="C310">
        <v>1322702</v>
      </c>
      <c r="D310" t="s">
        <v>116</v>
      </c>
      <c r="E310" t="s">
        <v>26</v>
      </c>
      <c r="F310" t="s">
        <v>26</v>
      </c>
      <c r="G310" t="s">
        <v>126</v>
      </c>
      <c r="H310" t="s">
        <v>159</v>
      </c>
      <c r="I310" t="s">
        <v>83</v>
      </c>
      <c r="J310" t="s">
        <v>84</v>
      </c>
      <c r="K310" t="s">
        <v>82</v>
      </c>
      <c r="L310" s="25">
        <v>44031</v>
      </c>
      <c r="M310">
        <v>7</v>
      </c>
      <c r="N310">
        <v>2020</v>
      </c>
      <c r="O310" t="s">
        <v>106</v>
      </c>
      <c r="P310">
        <v>170</v>
      </c>
      <c r="Q310" s="17">
        <v>44029.814035300929</v>
      </c>
      <c r="R310" t="s">
        <v>120</v>
      </c>
    </row>
    <row r="311" spans="1:18" x14ac:dyDescent="0.3">
      <c r="A311">
        <v>245004</v>
      </c>
      <c r="B311" t="s">
        <v>72</v>
      </c>
      <c r="C311">
        <v>1330349</v>
      </c>
      <c r="D311" t="s">
        <v>104</v>
      </c>
      <c r="E311" t="s">
        <v>140</v>
      </c>
      <c r="F311" t="s">
        <v>17</v>
      </c>
      <c r="G311" t="s">
        <v>141</v>
      </c>
      <c r="H311" t="s">
        <v>153</v>
      </c>
      <c r="I311" t="s">
        <v>81</v>
      </c>
      <c r="J311" t="s">
        <v>42</v>
      </c>
      <c r="K311" t="s">
        <v>86</v>
      </c>
      <c r="L311" s="25">
        <v>44031</v>
      </c>
      <c r="M311">
        <v>7</v>
      </c>
      <c r="N311">
        <v>2020</v>
      </c>
      <c r="O311" t="s">
        <v>106</v>
      </c>
      <c r="P311">
        <v>170</v>
      </c>
      <c r="Q311" s="17">
        <v>44032.172357291667</v>
      </c>
      <c r="R311" t="s">
        <v>120</v>
      </c>
    </row>
    <row r="312" spans="1:18" x14ac:dyDescent="0.3">
      <c r="A312">
        <v>9675910</v>
      </c>
      <c r="B312" t="s">
        <v>72</v>
      </c>
      <c r="C312">
        <v>1331385</v>
      </c>
      <c r="D312" t="s">
        <v>104</v>
      </c>
      <c r="E312" t="s">
        <v>12</v>
      </c>
      <c r="F312" t="s">
        <v>12</v>
      </c>
      <c r="G312" t="s">
        <v>124</v>
      </c>
      <c r="H312" t="s">
        <v>95</v>
      </c>
      <c r="I312" t="s">
        <v>81</v>
      </c>
      <c r="J312" t="s">
        <v>42</v>
      </c>
      <c r="K312" t="s">
        <v>82</v>
      </c>
      <c r="L312" s="25">
        <v>44031</v>
      </c>
      <c r="M312">
        <v>7</v>
      </c>
      <c r="N312">
        <v>2020</v>
      </c>
      <c r="O312" t="s">
        <v>106</v>
      </c>
      <c r="P312">
        <v>170</v>
      </c>
      <c r="Q312" s="17">
        <v>44032.075529861111</v>
      </c>
      <c r="R312" t="s">
        <v>120</v>
      </c>
    </row>
    <row r="313" spans="1:18" x14ac:dyDescent="0.3">
      <c r="A313">
        <v>9687694</v>
      </c>
      <c r="B313" t="s">
        <v>72</v>
      </c>
      <c r="C313">
        <v>1330692</v>
      </c>
      <c r="D313" t="s">
        <v>104</v>
      </c>
      <c r="E313">
        <v>820</v>
      </c>
      <c r="F313">
        <v>820</v>
      </c>
      <c r="G313" t="s">
        <v>125</v>
      </c>
      <c r="H313" t="s">
        <v>155</v>
      </c>
      <c r="I313" t="s">
        <v>81</v>
      </c>
      <c r="J313" t="s">
        <v>42</v>
      </c>
      <c r="K313" t="s">
        <v>82</v>
      </c>
      <c r="L313" s="25">
        <v>44031</v>
      </c>
      <c r="M313">
        <v>7</v>
      </c>
      <c r="N313">
        <v>2020</v>
      </c>
      <c r="O313" t="s">
        <v>106</v>
      </c>
      <c r="P313">
        <v>170</v>
      </c>
      <c r="Q313" s="17">
        <v>44032.091694675924</v>
      </c>
      <c r="R313" t="s">
        <v>120</v>
      </c>
    </row>
    <row r="314" spans="1:18" x14ac:dyDescent="0.3">
      <c r="A314">
        <v>9687191</v>
      </c>
      <c r="B314" t="s">
        <v>79</v>
      </c>
      <c r="C314">
        <v>1330383</v>
      </c>
      <c r="D314" t="s">
        <v>109</v>
      </c>
      <c r="E314" t="s">
        <v>130</v>
      </c>
      <c r="F314" t="s">
        <v>17</v>
      </c>
      <c r="G314" t="s">
        <v>133</v>
      </c>
      <c r="H314" t="s">
        <v>148</v>
      </c>
      <c r="I314" t="s">
        <v>83</v>
      </c>
      <c r="J314" t="s">
        <v>84</v>
      </c>
      <c r="K314" t="s">
        <v>86</v>
      </c>
      <c r="L314" s="25">
        <v>44031</v>
      </c>
      <c r="M314">
        <v>7</v>
      </c>
      <c r="N314">
        <v>2020</v>
      </c>
      <c r="O314" t="s">
        <v>106</v>
      </c>
      <c r="P314">
        <v>170</v>
      </c>
      <c r="Q314" s="17">
        <v>44032.148196759263</v>
      </c>
      <c r="R314" t="s">
        <v>120</v>
      </c>
    </row>
    <row r="315" spans="1:18" x14ac:dyDescent="0.3">
      <c r="A315">
        <v>9687570</v>
      </c>
      <c r="B315" t="s">
        <v>79</v>
      </c>
      <c r="C315">
        <v>1330449</v>
      </c>
      <c r="D315" t="s">
        <v>109</v>
      </c>
      <c r="E315" t="s">
        <v>130</v>
      </c>
      <c r="F315" t="s">
        <v>17</v>
      </c>
      <c r="G315" t="s">
        <v>133</v>
      </c>
      <c r="H315" t="s">
        <v>148</v>
      </c>
      <c r="I315" t="s">
        <v>83</v>
      </c>
      <c r="J315" t="s">
        <v>84</v>
      </c>
      <c r="K315" t="s">
        <v>86</v>
      </c>
      <c r="L315" s="25">
        <v>44031</v>
      </c>
      <c r="M315">
        <v>7</v>
      </c>
      <c r="N315">
        <v>2020</v>
      </c>
      <c r="O315" t="s">
        <v>106</v>
      </c>
      <c r="P315">
        <v>170</v>
      </c>
      <c r="Q315" s="17">
        <v>44032.163746296297</v>
      </c>
      <c r="R315" t="s">
        <v>120</v>
      </c>
    </row>
    <row r="316" spans="1:18" x14ac:dyDescent="0.3">
      <c r="A316">
        <v>21526197</v>
      </c>
      <c r="B316" t="s">
        <v>72</v>
      </c>
      <c r="C316">
        <v>1323038</v>
      </c>
      <c r="D316" t="s">
        <v>116</v>
      </c>
      <c r="E316" t="s">
        <v>26</v>
      </c>
      <c r="F316" t="s">
        <v>26</v>
      </c>
      <c r="G316" t="s">
        <v>126</v>
      </c>
      <c r="H316" t="s">
        <v>163</v>
      </c>
      <c r="I316" t="s">
        <v>83</v>
      </c>
      <c r="J316" t="s">
        <v>84</v>
      </c>
      <c r="K316" t="s">
        <v>82</v>
      </c>
      <c r="L316" s="25">
        <v>44031</v>
      </c>
      <c r="M316">
        <v>7</v>
      </c>
      <c r="N316">
        <v>2020</v>
      </c>
      <c r="O316" t="s">
        <v>106</v>
      </c>
      <c r="P316">
        <v>170</v>
      </c>
      <c r="Q316" s="17">
        <v>44029.820723958335</v>
      </c>
      <c r="R316" t="s">
        <v>120</v>
      </c>
    </row>
    <row r="317" spans="1:18" x14ac:dyDescent="0.3">
      <c r="A317">
        <v>21526355</v>
      </c>
      <c r="B317" t="s">
        <v>79</v>
      </c>
      <c r="C317">
        <v>1323161</v>
      </c>
      <c r="D317" t="s">
        <v>116</v>
      </c>
      <c r="E317" t="s">
        <v>26</v>
      </c>
      <c r="F317" t="s">
        <v>26</v>
      </c>
      <c r="G317" t="s">
        <v>126</v>
      </c>
      <c r="H317" t="s">
        <v>163</v>
      </c>
      <c r="I317" t="s">
        <v>83</v>
      </c>
      <c r="J317" t="s">
        <v>84</v>
      </c>
      <c r="K317" t="s">
        <v>82</v>
      </c>
      <c r="L317" s="25">
        <v>44031</v>
      </c>
      <c r="M317">
        <v>7</v>
      </c>
      <c r="N317">
        <v>2020</v>
      </c>
      <c r="O317" t="s">
        <v>106</v>
      </c>
      <c r="P317">
        <v>170</v>
      </c>
      <c r="Q317" s="17">
        <v>44029.820723958335</v>
      </c>
      <c r="R317" t="s">
        <v>120</v>
      </c>
    </row>
    <row r="318" spans="1:18" x14ac:dyDescent="0.3">
      <c r="A318">
        <v>243036</v>
      </c>
      <c r="B318" t="s">
        <v>72</v>
      </c>
      <c r="C318">
        <v>1326748</v>
      </c>
      <c r="D318" t="s">
        <v>104</v>
      </c>
      <c r="E318" t="s">
        <v>26</v>
      </c>
      <c r="F318" t="s">
        <v>26</v>
      </c>
      <c r="G318" t="s">
        <v>126</v>
      </c>
      <c r="H318" t="s">
        <v>158</v>
      </c>
      <c r="I318" t="s">
        <v>83</v>
      </c>
      <c r="J318" t="s">
        <v>84</v>
      </c>
      <c r="K318" t="s">
        <v>82</v>
      </c>
      <c r="L318" s="25">
        <v>44031</v>
      </c>
      <c r="M318">
        <v>7</v>
      </c>
      <c r="N318">
        <v>2020</v>
      </c>
      <c r="O318" t="s">
        <v>106</v>
      </c>
      <c r="P318">
        <v>170</v>
      </c>
      <c r="Q318" s="17">
        <v>44032.41621909722</v>
      </c>
      <c r="R318" t="s">
        <v>120</v>
      </c>
    </row>
    <row r="319" spans="1:18" x14ac:dyDescent="0.3">
      <c r="A319">
        <v>9686981</v>
      </c>
      <c r="B319" t="s">
        <v>79</v>
      </c>
      <c r="C319">
        <v>1330283</v>
      </c>
      <c r="D319" t="s">
        <v>109</v>
      </c>
      <c r="E319" t="s">
        <v>130</v>
      </c>
      <c r="F319" t="s">
        <v>17</v>
      </c>
      <c r="G319" t="s">
        <v>133</v>
      </c>
      <c r="H319" t="s">
        <v>148</v>
      </c>
      <c r="I319" t="s">
        <v>83</v>
      </c>
      <c r="J319" t="s">
        <v>84</v>
      </c>
      <c r="K319" t="s">
        <v>86</v>
      </c>
      <c r="L319" s="25">
        <v>44031</v>
      </c>
      <c r="M319">
        <v>7</v>
      </c>
      <c r="N319">
        <v>2020</v>
      </c>
      <c r="O319" t="s">
        <v>106</v>
      </c>
      <c r="P319">
        <v>170</v>
      </c>
      <c r="Q319" s="17">
        <v>44032.129824768519</v>
      </c>
      <c r="R319" t="s">
        <v>120</v>
      </c>
    </row>
    <row r="320" spans="1:18" x14ac:dyDescent="0.3">
      <c r="A320">
        <v>240876</v>
      </c>
      <c r="B320" t="s">
        <v>77</v>
      </c>
      <c r="C320">
        <v>1320073</v>
      </c>
      <c r="D320" t="s">
        <v>109</v>
      </c>
      <c r="E320" t="s">
        <v>57</v>
      </c>
      <c r="F320" t="s">
        <v>57</v>
      </c>
      <c r="G320" t="s">
        <v>105</v>
      </c>
      <c r="H320" t="s">
        <v>148</v>
      </c>
      <c r="I320" t="s">
        <v>83</v>
      </c>
      <c r="J320" t="s">
        <v>84</v>
      </c>
      <c r="K320" t="s">
        <v>86</v>
      </c>
      <c r="L320" s="25">
        <v>44031</v>
      </c>
      <c r="M320">
        <v>7</v>
      </c>
      <c r="N320">
        <v>2020</v>
      </c>
      <c r="O320" t="s">
        <v>106</v>
      </c>
      <c r="P320">
        <v>170</v>
      </c>
      <c r="Q320" s="17">
        <v>44032.148354166668</v>
      </c>
      <c r="R320" t="s">
        <v>107</v>
      </c>
    </row>
    <row r="321" spans="1:18" x14ac:dyDescent="0.3">
      <c r="A321">
        <v>241368</v>
      </c>
      <c r="B321" t="s">
        <v>72</v>
      </c>
      <c r="C321">
        <v>1321059</v>
      </c>
      <c r="D321" t="s">
        <v>104</v>
      </c>
      <c r="E321" t="s">
        <v>57</v>
      </c>
      <c r="F321" t="s">
        <v>57</v>
      </c>
      <c r="G321" t="s">
        <v>105</v>
      </c>
      <c r="H321" t="s">
        <v>161</v>
      </c>
      <c r="I321" t="s">
        <v>83</v>
      </c>
      <c r="J321" t="s">
        <v>84</v>
      </c>
      <c r="K321" t="s">
        <v>86</v>
      </c>
      <c r="L321" s="25">
        <v>44031</v>
      </c>
      <c r="M321">
        <v>7</v>
      </c>
      <c r="N321">
        <v>2020</v>
      </c>
      <c r="O321" t="s">
        <v>106</v>
      </c>
      <c r="P321">
        <v>170</v>
      </c>
      <c r="Q321" s="17">
        <v>44032.445893981479</v>
      </c>
      <c r="R321" t="s">
        <v>107</v>
      </c>
    </row>
    <row r="322" spans="1:18" x14ac:dyDescent="0.3">
      <c r="A322">
        <v>9690452</v>
      </c>
      <c r="B322" t="s">
        <v>72</v>
      </c>
      <c r="C322">
        <v>1331556</v>
      </c>
      <c r="D322" t="s">
        <v>104</v>
      </c>
      <c r="E322" t="s">
        <v>58</v>
      </c>
      <c r="F322" t="s">
        <v>58</v>
      </c>
      <c r="G322" t="s">
        <v>110</v>
      </c>
      <c r="H322" t="s">
        <v>161</v>
      </c>
      <c r="I322" t="s">
        <v>83</v>
      </c>
      <c r="J322" t="s">
        <v>84</v>
      </c>
      <c r="K322" t="s">
        <v>86</v>
      </c>
      <c r="L322" s="25">
        <v>44031</v>
      </c>
      <c r="M322">
        <v>7</v>
      </c>
      <c r="N322">
        <v>2020</v>
      </c>
      <c r="O322" t="s">
        <v>106</v>
      </c>
      <c r="P322">
        <v>170</v>
      </c>
      <c r="Q322" s="17">
        <v>44032.424259722226</v>
      </c>
      <c r="R322" t="s">
        <v>107</v>
      </c>
    </row>
    <row r="323" spans="1:18" x14ac:dyDescent="0.3">
      <c r="A323">
        <v>9690452</v>
      </c>
      <c r="B323" t="s">
        <v>72</v>
      </c>
      <c r="C323">
        <v>1331555</v>
      </c>
      <c r="D323" t="s">
        <v>104</v>
      </c>
      <c r="E323" t="s">
        <v>58</v>
      </c>
      <c r="F323" t="s">
        <v>58</v>
      </c>
      <c r="G323" t="s">
        <v>110</v>
      </c>
      <c r="H323" t="s">
        <v>161</v>
      </c>
      <c r="I323" t="s">
        <v>83</v>
      </c>
      <c r="J323" t="s">
        <v>84</v>
      </c>
      <c r="K323" t="s">
        <v>86</v>
      </c>
      <c r="L323" s="25">
        <v>44031</v>
      </c>
      <c r="M323">
        <v>7</v>
      </c>
      <c r="N323">
        <v>2020</v>
      </c>
      <c r="O323" t="s">
        <v>106</v>
      </c>
      <c r="P323">
        <v>170</v>
      </c>
      <c r="Q323" s="17">
        <v>44032.42295162037</v>
      </c>
      <c r="R323" t="s">
        <v>111</v>
      </c>
    </row>
    <row r="324" spans="1:18" x14ac:dyDescent="0.3">
      <c r="A324">
        <v>9689286</v>
      </c>
      <c r="B324" t="s">
        <v>72</v>
      </c>
      <c r="C324">
        <v>1331705</v>
      </c>
      <c r="D324" t="s">
        <v>104</v>
      </c>
      <c r="E324" t="s">
        <v>57</v>
      </c>
      <c r="F324" t="s">
        <v>57</v>
      </c>
      <c r="G324" t="s">
        <v>105</v>
      </c>
      <c r="H324" t="s">
        <v>161</v>
      </c>
      <c r="I324" t="s">
        <v>83</v>
      </c>
      <c r="J324" t="s">
        <v>84</v>
      </c>
      <c r="K324" t="s">
        <v>86</v>
      </c>
      <c r="L324" s="25">
        <v>44031</v>
      </c>
      <c r="M324">
        <v>7</v>
      </c>
      <c r="N324">
        <v>2020</v>
      </c>
      <c r="O324" t="s">
        <v>106</v>
      </c>
      <c r="P324">
        <v>170</v>
      </c>
      <c r="Q324" s="17">
        <v>44032.433577199074</v>
      </c>
      <c r="R324" t="s">
        <v>111</v>
      </c>
    </row>
    <row r="325" spans="1:18" x14ac:dyDescent="0.3">
      <c r="A325">
        <v>9691403</v>
      </c>
      <c r="B325" t="s">
        <v>72</v>
      </c>
      <c r="C325">
        <v>1332891</v>
      </c>
      <c r="D325" t="s">
        <v>104</v>
      </c>
      <c r="E325" t="s">
        <v>58</v>
      </c>
      <c r="F325" t="s">
        <v>58</v>
      </c>
      <c r="G325" t="s">
        <v>110</v>
      </c>
      <c r="H325" t="s">
        <v>161</v>
      </c>
      <c r="I325" t="s">
        <v>83</v>
      </c>
      <c r="J325" t="s">
        <v>84</v>
      </c>
      <c r="K325" t="s">
        <v>86</v>
      </c>
      <c r="L325" s="25">
        <v>44031</v>
      </c>
      <c r="M325">
        <v>7</v>
      </c>
      <c r="N325">
        <v>2020</v>
      </c>
      <c r="O325" t="s">
        <v>106</v>
      </c>
      <c r="P325">
        <v>170</v>
      </c>
      <c r="Q325" s="17">
        <v>44032.202998032408</v>
      </c>
      <c r="R325" t="s">
        <v>107</v>
      </c>
    </row>
    <row r="326" spans="1:18" x14ac:dyDescent="0.3">
      <c r="A326">
        <v>21531141</v>
      </c>
      <c r="B326" t="s">
        <v>72</v>
      </c>
      <c r="C326">
        <v>1332977</v>
      </c>
      <c r="D326" t="s">
        <v>104</v>
      </c>
      <c r="E326" t="s">
        <v>58</v>
      </c>
      <c r="F326" t="s">
        <v>58</v>
      </c>
      <c r="G326" t="s">
        <v>110</v>
      </c>
      <c r="H326" t="s">
        <v>161</v>
      </c>
      <c r="I326" t="s">
        <v>83</v>
      </c>
      <c r="J326" t="s">
        <v>84</v>
      </c>
      <c r="K326" t="s">
        <v>86</v>
      </c>
      <c r="L326" s="25">
        <v>44031</v>
      </c>
      <c r="M326">
        <v>7</v>
      </c>
      <c r="N326">
        <v>2020</v>
      </c>
      <c r="O326" t="s">
        <v>106</v>
      </c>
      <c r="P326">
        <v>170</v>
      </c>
      <c r="Q326" s="17">
        <v>44032.472427893517</v>
      </c>
      <c r="R326" t="s">
        <v>107</v>
      </c>
    </row>
    <row r="327" spans="1:18" x14ac:dyDescent="0.3">
      <c r="A327">
        <v>21533282</v>
      </c>
      <c r="B327" t="s">
        <v>72</v>
      </c>
      <c r="C327">
        <v>1333042</v>
      </c>
      <c r="D327" t="s">
        <v>104</v>
      </c>
      <c r="E327" t="s">
        <v>57</v>
      </c>
      <c r="F327" t="s">
        <v>57</v>
      </c>
      <c r="G327" t="s">
        <v>105</v>
      </c>
      <c r="H327" t="s">
        <v>161</v>
      </c>
      <c r="I327" t="s">
        <v>83</v>
      </c>
      <c r="J327" t="s">
        <v>84</v>
      </c>
      <c r="K327" t="s">
        <v>86</v>
      </c>
      <c r="L327" s="25">
        <v>44031</v>
      </c>
      <c r="M327">
        <v>7</v>
      </c>
      <c r="N327">
        <v>2020</v>
      </c>
      <c r="O327" t="s">
        <v>106</v>
      </c>
      <c r="P327">
        <v>170</v>
      </c>
      <c r="Q327" s="17">
        <v>44032.481774768516</v>
      </c>
      <c r="R327" t="s">
        <v>107</v>
      </c>
    </row>
    <row r="328" spans="1:18" x14ac:dyDescent="0.3">
      <c r="A328">
        <v>21532765</v>
      </c>
      <c r="B328" t="s">
        <v>72</v>
      </c>
      <c r="C328">
        <v>1335314</v>
      </c>
      <c r="D328" t="s">
        <v>104</v>
      </c>
      <c r="E328" t="s">
        <v>12</v>
      </c>
      <c r="F328" t="s">
        <v>12</v>
      </c>
      <c r="G328" t="s">
        <v>124</v>
      </c>
      <c r="H328" t="s">
        <v>151</v>
      </c>
      <c r="I328" t="s">
        <v>83</v>
      </c>
      <c r="J328" t="s">
        <v>84</v>
      </c>
      <c r="K328" t="s">
        <v>82</v>
      </c>
      <c r="L328" s="25">
        <v>44031</v>
      </c>
      <c r="M328">
        <v>7</v>
      </c>
      <c r="N328">
        <v>2020</v>
      </c>
      <c r="O328" t="s">
        <v>106</v>
      </c>
      <c r="P328">
        <v>170</v>
      </c>
      <c r="Q328" s="17">
        <v>44032.076928819442</v>
      </c>
      <c r="R328" t="s">
        <v>120</v>
      </c>
    </row>
    <row r="329" spans="1:18" x14ac:dyDescent="0.3">
      <c r="A329">
        <v>21534084</v>
      </c>
      <c r="B329" t="s">
        <v>72</v>
      </c>
      <c r="C329">
        <v>1336671</v>
      </c>
      <c r="D329" t="s">
        <v>104</v>
      </c>
      <c r="E329" t="s">
        <v>12</v>
      </c>
      <c r="F329" t="s">
        <v>12</v>
      </c>
      <c r="G329" t="s">
        <v>124</v>
      </c>
      <c r="H329" t="s">
        <v>95</v>
      </c>
      <c r="I329" t="s">
        <v>81</v>
      </c>
      <c r="J329" t="s">
        <v>42</v>
      </c>
      <c r="K329" t="s">
        <v>82</v>
      </c>
      <c r="L329" s="25">
        <v>44031</v>
      </c>
      <c r="M329">
        <v>7</v>
      </c>
      <c r="N329">
        <v>2020</v>
      </c>
      <c r="O329" t="s">
        <v>106</v>
      </c>
      <c r="P329">
        <v>170</v>
      </c>
      <c r="Q329" s="17">
        <v>44032.087014699071</v>
      </c>
      <c r="R329" t="s">
        <v>120</v>
      </c>
    </row>
    <row r="330" spans="1:18" x14ac:dyDescent="0.3">
      <c r="A330">
        <v>9687725</v>
      </c>
      <c r="B330" t="s">
        <v>77</v>
      </c>
      <c r="C330">
        <v>1330720</v>
      </c>
      <c r="D330" t="s">
        <v>77</v>
      </c>
      <c r="E330">
        <v>820</v>
      </c>
      <c r="F330">
        <v>820</v>
      </c>
      <c r="G330" t="s">
        <v>125</v>
      </c>
      <c r="H330" t="s">
        <v>149</v>
      </c>
      <c r="I330" t="s">
        <v>77</v>
      </c>
      <c r="J330" t="s">
        <v>42</v>
      </c>
      <c r="K330" t="s">
        <v>82</v>
      </c>
      <c r="L330" s="25">
        <v>44031</v>
      </c>
      <c r="M330">
        <v>7</v>
      </c>
      <c r="N330">
        <v>2020</v>
      </c>
      <c r="O330" t="s">
        <v>106</v>
      </c>
      <c r="P330">
        <v>170</v>
      </c>
      <c r="Q330" s="17">
        <v>44032.230265972219</v>
      </c>
      <c r="R330" t="s">
        <v>120</v>
      </c>
    </row>
    <row r="331" spans="1:18" x14ac:dyDescent="0.3">
      <c r="A331">
        <v>21524578</v>
      </c>
      <c r="B331" t="s">
        <v>72</v>
      </c>
      <c r="C331">
        <v>1325253</v>
      </c>
      <c r="D331" t="s">
        <v>104</v>
      </c>
      <c r="E331" t="s">
        <v>130</v>
      </c>
      <c r="F331" t="s">
        <v>17</v>
      </c>
      <c r="G331" t="s">
        <v>133</v>
      </c>
      <c r="H331" t="s">
        <v>153</v>
      </c>
      <c r="I331" t="s">
        <v>81</v>
      </c>
      <c r="J331" t="s">
        <v>42</v>
      </c>
      <c r="K331" t="s">
        <v>86</v>
      </c>
      <c r="L331" s="25">
        <v>44031</v>
      </c>
      <c r="M331">
        <v>7</v>
      </c>
      <c r="N331">
        <v>2020</v>
      </c>
      <c r="O331" t="s">
        <v>106</v>
      </c>
      <c r="P331">
        <v>170</v>
      </c>
      <c r="Q331" s="17">
        <v>44032.171988310183</v>
      </c>
      <c r="R331" t="s">
        <v>120</v>
      </c>
    </row>
    <row r="332" spans="1:18" x14ac:dyDescent="0.3">
      <c r="A332">
        <v>245778</v>
      </c>
      <c r="B332" t="s">
        <v>72</v>
      </c>
      <c r="C332">
        <v>1336886</v>
      </c>
      <c r="D332" t="s">
        <v>104</v>
      </c>
      <c r="E332" t="s">
        <v>12</v>
      </c>
      <c r="F332" t="s">
        <v>12</v>
      </c>
      <c r="G332" t="s">
        <v>124</v>
      </c>
      <c r="H332" t="s">
        <v>151</v>
      </c>
      <c r="I332" t="s">
        <v>83</v>
      </c>
      <c r="J332" t="s">
        <v>84</v>
      </c>
      <c r="K332" t="s">
        <v>82</v>
      </c>
      <c r="L332" s="25">
        <v>44031</v>
      </c>
      <c r="M332">
        <v>7</v>
      </c>
      <c r="N332">
        <v>2020</v>
      </c>
      <c r="O332" t="s">
        <v>106</v>
      </c>
      <c r="P332">
        <v>171</v>
      </c>
      <c r="Q332" s="17">
        <v>44032.089946180553</v>
      </c>
      <c r="R332" t="s">
        <v>120</v>
      </c>
    </row>
    <row r="333" spans="1:18" x14ac:dyDescent="0.3">
      <c r="A333">
        <v>9687465</v>
      </c>
      <c r="B333" t="s">
        <v>79</v>
      </c>
      <c r="C333">
        <v>1330434</v>
      </c>
      <c r="D333" t="s">
        <v>109</v>
      </c>
      <c r="E333" t="s">
        <v>130</v>
      </c>
      <c r="F333" t="s">
        <v>17</v>
      </c>
      <c r="G333" t="s">
        <v>133</v>
      </c>
      <c r="H333" t="s">
        <v>148</v>
      </c>
      <c r="I333" t="s">
        <v>83</v>
      </c>
      <c r="J333" t="s">
        <v>84</v>
      </c>
      <c r="K333" t="s">
        <v>86</v>
      </c>
      <c r="L333" s="25">
        <v>44031</v>
      </c>
      <c r="M333">
        <v>7</v>
      </c>
      <c r="N333">
        <v>2020</v>
      </c>
      <c r="O333" t="s">
        <v>106</v>
      </c>
      <c r="P333">
        <v>170</v>
      </c>
      <c r="Q333" s="17">
        <v>44032.166139236113</v>
      </c>
      <c r="R333" t="s">
        <v>120</v>
      </c>
    </row>
    <row r="334" spans="1:18" x14ac:dyDescent="0.3">
      <c r="A334">
        <v>245875</v>
      </c>
      <c r="B334" t="s">
        <v>77</v>
      </c>
      <c r="C334">
        <v>1336972</v>
      </c>
      <c r="D334" t="s">
        <v>77</v>
      </c>
      <c r="E334" t="s">
        <v>12</v>
      </c>
      <c r="F334" t="s">
        <v>12</v>
      </c>
      <c r="G334" t="s">
        <v>124</v>
      </c>
      <c r="H334" t="s">
        <v>150</v>
      </c>
      <c r="I334" t="s">
        <v>77</v>
      </c>
      <c r="J334" t="s">
        <v>42</v>
      </c>
      <c r="K334" t="s">
        <v>82</v>
      </c>
      <c r="L334" s="25">
        <v>44031</v>
      </c>
      <c r="M334">
        <v>7</v>
      </c>
      <c r="N334">
        <v>2020</v>
      </c>
      <c r="O334" t="s">
        <v>106</v>
      </c>
      <c r="P334">
        <v>171</v>
      </c>
      <c r="Q334" s="17">
        <v>44032.091567824071</v>
      </c>
      <c r="R334" t="s">
        <v>120</v>
      </c>
    </row>
    <row r="335" spans="1:18" x14ac:dyDescent="0.3">
      <c r="A335">
        <v>9687081</v>
      </c>
      <c r="B335" t="s">
        <v>79</v>
      </c>
      <c r="C335">
        <v>1330319</v>
      </c>
      <c r="D335" t="s">
        <v>109</v>
      </c>
      <c r="E335" t="s">
        <v>130</v>
      </c>
      <c r="F335" t="s">
        <v>17</v>
      </c>
      <c r="G335" t="s">
        <v>133</v>
      </c>
      <c r="H335" t="s">
        <v>148</v>
      </c>
      <c r="I335" t="s">
        <v>83</v>
      </c>
      <c r="J335" t="s">
        <v>84</v>
      </c>
      <c r="K335" t="s">
        <v>86</v>
      </c>
      <c r="L335" s="25">
        <v>44031</v>
      </c>
      <c r="M335">
        <v>7</v>
      </c>
      <c r="N335">
        <v>2020</v>
      </c>
      <c r="O335" t="s">
        <v>106</v>
      </c>
      <c r="P335">
        <v>170</v>
      </c>
      <c r="Q335" s="17">
        <v>44032.139782175924</v>
      </c>
      <c r="R335" t="s">
        <v>120</v>
      </c>
    </row>
    <row r="336" spans="1:18" x14ac:dyDescent="0.3">
      <c r="A336">
        <v>21534658</v>
      </c>
      <c r="B336" t="s">
        <v>78</v>
      </c>
      <c r="C336">
        <v>1333778</v>
      </c>
      <c r="D336" t="s">
        <v>77</v>
      </c>
      <c r="E336" t="s">
        <v>12</v>
      </c>
      <c r="F336" t="s">
        <v>12</v>
      </c>
      <c r="G336" t="s">
        <v>124</v>
      </c>
      <c r="H336" t="s">
        <v>146</v>
      </c>
      <c r="I336" t="s">
        <v>77</v>
      </c>
      <c r="J336" t="s">
        <v>42</v>
      </c>
      <c r="K336" t="s">
        <v>82</v>
      </c>
      <c r="L336" s="25">
        <v>44031</v>
      </c>
      <c r="M336">
        <v>7</v>
      </c>
      <c r="N336">
        <v>2020</v>
      </c>
      <c r="O336" t="s">
        <v>106</v>
      </c>
      <c r="P336">
        <v>170</v>
      </c>
      <c r="Q336" s="17">
        <v>44032.081521064814</v>
      </c>
      <c r="R336" t="s">
        <v>120</v>
      </c>
    </row>
    <row r="337" spans="1:18" x14ac:dyDescent="0.3">
      <c r="A337">
        <v>245880</v>
      </c>
      <c r="B337" t="s">
        <v>78</v>
      </c>
      <c r="C337">
        <v>1336935</v>
      </c>
      <c r="D337" t="s">
        <v>112</v>
      </c>
      <c r="E337" t="s">
        <v>12</v>
      </c>
      <c r="F337" t="s">
        <v>12</v>
      </c>
      <c r="G337" t="s">
        <v>124</v>
      </c>
      <c r="H337" t="s">
        <v>150</v>
      </c>
      <c r="I337" t="s">
        <v>81</v>
      </c>
      <c r="J337" t="s">
        <v>42</v>
      </c>
      <c r="K337" t="s">
        <v>82</v>
      </c>
      <c r="L337" s="25">
        <v>44031</v>
      </c>
      <c r="M337">
        <v>7</v>
      </c>
      <c r="N337">
        <v>2020</v>
      </c>
      <c r="O337" t="s">
        <v>106</v>
      </c>
      <c r="P337">
        <v>171</v>
      </c>
      <c r="Q337" s="17">
        <v>44032.092038888892</v>
      </c>
      <c r="R337" t="s">
        <v>120</v>
      </c>
    </row>
    <row r="338" spans="1:18" x14ac:dyDescent="0.3">
      <c r="A338">
        <v>9683318</v>
      </c>
      <c r="B338" t="s">
        <v>77</v>
      </c>
      <c r="C338">
        <v>1326857</v>
      </c>
      <c r="D338" t="s">
        <v>77</v>
      </c>
      <c r="E338">
        <v>966</v>
      </c>
      <c r="F338">
        <v>966</v>
      </c>
      <c r="G338" t="s">
        <v>127</v>
      </c>
      <c r="H338" t="s">
        <v>173</v>
      </c>
      <c r="I338" t="s">
        <v>77</v>
      </c>
      <c r="J338" t="s">
        <v>42</v>
      </c>
      <c r="K338" t="s">
        <v>86</v>
      </c>
      <c r="L338" s="25">
        <v>44031</v>
      </c>
      <c r="M338">
        <v>7</v>
      </c>
      <c r="N338">
        <v>2020</v>
      </c>
      <c r="O338" t="s">
        <v>106</v>
      </c>
      <c r="P338">
        <v>170</v>
      </c>
      <c r="Q338" s="17">
        <v>44032.098971412037</v>
      </c>
      <c r="R338" t="s">
        <v>120</v>
      </c>
    </row>
    <row r="339" spans="1:18" x14ac:dyDescent="0.3">
      <c r="A339">
        <v>9689878</v>
      </c>
      <c r="B339" t="s">
        <v>78</v>
      </c>
      <c r="C339">
        <v>1331767</v>
      </c>
      <c r="D339" t="s">
        <v>112</v>
      </c>
      <c r="E339" t="s">
        <v>12</v>
      </c>
      <c r="F339" t="s">
        <v>12</v>
      </c>
      <c r="G339" t="s">
        <v>124</v>
      </c>
      <c r="H339" t="s">
        <v>156</v>
      </c>
      <c r="I339" t="s">
        <v>81</v>
      </c>
      <c r="J339" t="s">
        <v>42</v>
      </c>
      <c r="K339" t="s">
        <v>82</v>
      </c>
      <c r="L339" s="25">
        <v>44031</v>
      </c>
      <c r="M339">
        <v>7</v>
      </c>
      <c r="N339">
        <v>2020</v>
      </c>
      <c r="O339" t="s">
        <v>106</v>
      </c>
      <c r="P339">
        <v>170</v>
      </c>
      <c r="Q339" s="17">
        <v>44032.076228472222</v>
      </c>
      <c r="R339" t="s">
        <v>120</v>
      </c>
    </row>
    <row r="340" spans="1:18" x14ac:dyDescent="0.3">
      <c r="A340">
        <v>242424</v>
      </c>
      <c r="B340" t="s">
        <v>72</v>
      </c>
      <c r="C340">
        <v>1326062</v>
      </c>
      <c r="D340" t="s">
        <v>104</v>
      </c>
      <c r="E340" t="s">
        <v>26</v>
      </c>
      <c r="F340" t="s">
        <v>26</v>
      </c>
      <c r="G340" t="s">
        <v>126</v>
      </c>
      <c r="H340" t="s">
        <v>168</v>
      </c>
      <c r="I340" t="s">
        <v>83</v>
      </c>
      <c r="J340" t="s">
        <v>84</v>
      </c>
      <c r="K340" t="s">
        <v>82</v>
      </c>
      <c r="L340" s="25">
        <v>44031</v>
      </c>
      <c r="M340">
        <v>7</v>
      </c>
      <c r="N340">
        <v>2020</v>
      </c>
      <c r="O340" t="s">
        <v>106</v>
      </c>
      <c r="P340">
        <v>170</v>
      </c>
      <c r="Q340" s="17">
        <v>44032.416636805552</v>
      </c>
      <c r="R340" t="s">
        <v>120</v>
      </c>
    </row>
    <row r="341" spans="1:18" x14ac:dyDescent="0.3">
      <c r="A341">
        <v>242534</v>
      </c>
      <c r="B341" t="s">
        <v>79</v>
      </c>
      <c r="C341">
        <v>1323981</v>
      </c>
      <c r="D341" t="s">
        <v>116</v>
      </c>
      <c r="E341" t="s">
        <v>26</v>
      </c>
      <c r="F341" t="s">
        <v>26</v>
      </c>
      <c r="G341" t="s">
        <v>126</v>
      </c>
      <c r="H341" t="s">
        <v>158</v>
      </c>
      <c r="I341" t="s">
        <v>83</v>
      </c>
      <c r="J341" t="s">
        <v>84</v>
      </c>
      <c r="K341" t="s">
        <v>82</v>
      </c>
      <c r="L341" s="25">
        <v>44031</v>
      </c>
      <c r="M341">
        <v>7</v>
      </c>
      <c r="N341">
        <v>2020</v>
      </c>
      <c r="O341" t="s">
        <v>106</v>
      </c>
      <c r="P341">
        <v>170</v>
      </c>
      <c r="Q341" s="17">
        <v>44029.839090972222</v>
      </c>
      <c r="R341" t="s">
        <v>120</v>
      </c>
    </row>
    <row r="342" spans="1:18" x14ac:dyDescent="0.3">
      <c r="A342">
        <v>9687729</v>
      </c>
      <c r="B342" t="s">
        <v>77</v>
      </c>
      <c r="C342">
        <v>1330699</v>
      </c>
      <c r="D342" t="s">
        <v>77</v>
      </c>
      <c r="E342">
        <v>820</v>
      </c>
      <c r="F342">
        <v>820</v>
      </c>
      <c r="G342" t="s">
        <v>125</v>
      </c>
      <c r="H342" t="s">
        <v>149</v>
      </c>
      <c r="I342" t="s">
        <v>77</v>
      </c>
      <c r="J342" t="s">
        <v>42</v>
      </c>
      <c r="K342" t="s">
        <v>82</v>
      </c>
      <c r="L342" s="25">
        <v>44031</v>
      </c>
      <c r="M342">
        <v>7</v>
      </c>
      <c r="N342">
        <v>2020</v>
      </c>
      <c r="O342" t="s">
        <v>106</v>
      </c>
      <c r="P342">
        <v>170</v>
      </c>
      <c r="Q342" s="17">
        <v>44032.175032407409</v>
      </c>
      <c r="R342" t="s">
        <v>120</v>
      </c>
    </row>
    <row r="343" spans="1:18" x14ac:dyDescent="0.3">
      <c r="A343">
        <v>21532942</v>
      </c>
      <c r="B343" t="s">
        <v>72</v>
      </c>
      <c r="C343">
        <v>1335345</v>
      </c>
      <c r="D343" t="s">
        <v>104</v>
      </c>
      <c r="E343">
        <v>845</v>
      </c>
      <c r="F343">
        <v>845</v>
      </c>
      <c r="G343" t="s">
        <v>122</v>
      </c>
      <c r="H343" t="s">
        <v>147</v>
      </c>
      <c r="I343" t="s">
        <v>83</v>
      </c>
      <c r="J343" t="s">
        <v>84</v>
      </c>
      <c r="K343" t="s">
        <v>86</v>
      </c>
      <c r="L343" s="25">
        <v>44031</v>
      </c>
      <c r="M343">
        <v>7</v>
      </c>
      <c r="N343">
        <v>2020</v>
      </c>
      <c r="O343" t="s">
        <v>106</v>
      </c>
      <c r="P343">
        <v>170</v>
      </c>
      <c r="Q343" s="17">
        <v>44032.41941412037</v>
      </c>
      <c r="R343" t="s">
        <v>120</v>
      </c>
    </row>
    <row r="344" spans="1:18" x14ac:dyDescent="0.3">
      <c r="A344">
        <v>9687074</v>
      </c>
      <c r="B344" t="s">
        <v>79</v>
      </c>
      <c r="C344">
        <v>1330333</v>
      </c>
      <c r="D344" t="s">
        <v>109</v>
      </c>
      <c r="E344" t="s">
        <v>130</v>
      </c>
      <c r="F344" t="s">
        <v>17</v>
      </c>
      <c r="G344" t="s">
        <v>133</v>
      </c>
      <c r="H344" t="s">
        <v>148</v>
      </c>
      <c r="I344" t="s">
        <v>83</v>
      </c>
      <c r="J344" t="s">
        <v>84</v>
      </c>
      <c r="K344" t="s">
        <v>86</v>
      </c>
      <c r="L344" s="25">
        <v>44031</v>
      </c>
      <c r="M344">
        <v>7</v>
      </c>
      <c r="N344">
        <v>2020</v>
      </c>
      <c r="O344" t="s">
        <v>106</v>
      </c>
      <c r="P344">
        <v>170</v>
      </c>
      <c r="Q344" s="17">
        <v>44032.13832337963</v>
      </c>
      <c r="R344" t="s">
        <v>120</v>
      </c>
    </row>
    <row r="345" spans="1:18" x14ac:dyDescent="0.3">
      <c r="A345">
        <v>241278</v>
      </c>
      <c r="B345" t="s">
        <v>72</v>
      </c>
      <c r="C345">
        <v>1321581</v>
      </c>
      <c r="D345" t="s">
        <v>104</v>
      </c>
      <c r="E345" t="s">
        <v>57</v>
      </c>
      <c r="F345" t="s">
        <v>57</v>
      </c>
      <c r="G345" t="s">
        <v>105</v>
      </c>
      <c r="H345" t="s">
        <v>161</v>
      </c>
      <c r="I345" t="s">
        <v>83</v>
      </c>
      <c r="J345" t="s">
        <v>84</v>
      </c>
      <c r="K345" t="s">
        <v>86</v>
      </c>
      <c r="L345" s="25">
        <v>44031</v>
      </c>
      <c r="M345">
        <v>7</v>
      </c>
      <c r="N345">
        <v>2020</v>
      </c>
      <c r="O345" t="s">
        <v>106</v>
      </c>
      <c r="P345">
        <v>170</v>
      </c>
      <c r="Q345" s="17">
        <v>44032.455329976852</v>
      </c>
      <c r="R345" t="s">
        <v>107</v>
      </c>
    </row>
    <row r="346" spans="1:18" x14ac:dyDescent="0.3">
      <c r="A346">
        <v>241392</v>
      </c>
      <c r="B346" t="s">
        <v>72</v>
      </c>
      <c r="C346">
        <v>1322110</v>
      </c>
      <c r="D346" t="s">
        <v>104</v>
      </c>
      <c r="E346" t="s">
        <v>58</v>
      </c>
      <c r="F346" t="s">
        <v>58</v>
      </c>
      <c r="G346" t="s">
        <v>110</v>
      </c>
      <c r="H346" t="s">
        <v>161</v>
      </c>
      <c r="I346" t="s">
        <v>83</v>
      </c>
      <c r="J346" t="s">
        <v>84</v>
      </c>
      <c r="K346" t="s">
        <v>86</v>
      </c>
      <c r="L346" s="25">
        <v>44031</v>
      </c>
      <c r="M346">
        <v>7</v>
      </c>
      <c r="N346">
        <v>2020</v>
      </c>
      <c r="O346" t="s">
        <v>106</v>
      </c>
      <c r="P346">
        <v>170</v>
      </c>
      <c r="Q346" s="17">
        <v>44032.465073842592</v>
      </c>
      <c r="R346" t="s">
        <v>107</v>
      </c>
    </row>
    <row r="347" spans="1:18" x14ac:dyDescent="0.3">
      <c r="A347">
        <v>9690199</v>
      </c>
      <c r="B347" t="s">
        <v>72</v>
      </c>
      <c r="C347">
        <v>1331541</v>
      </c>
      <c r="D347" t="s">
        <v>104</v>
      </c>
      <c r="E347" t="s">
        <v>58</v>
      </c>
      <c r="F347" t="s">
        <v>58</v>
      </c>
      <c r="G347" t="s">
        <v>110</v>
      </c>
      <c r="H347" t="s">
        <v>161</v>
      </c>
      <c r="I347" t="s">
        <v>83</v>
      </c>
      <c r="J347" t="s">
        <v>84</v>
      </c>
      <c r="K347" t="s">
        <v>86</v>
      </c>
      <c r="L347" s="25">
        <v>44031</v>
      </c>
      <c r="M347">
        <v>7</v>
      </c>
      <c r="N347">
        <v>2020</v>
      </c>
      <c r="O347" t="s">
        <v>106</v>
      </c>
      <c r="P347">
        <v>170</v>
      </c>
      <c r="Q347" s="17">
        <v>44032.423078935186</v>
      </c>
      <c r="R347" t="s">
        <v>111</v>
      </c>
    </row>
    <row r="348" spans="1:18" x14ac:dyDescent="0.3">
      <c r="A348">
        <v>9689985</v>
      </c>
      <c r="B348" t="s">
        <v>72</v>
      </c>
      <c r="C348">
        <v>1331577</v>
      </c>
      <c r="D348" t="s">
        <v>104</v>
      </c>
      <c r="E348" t="s">
        <v>58</v>
      </c>
      <c r="F348" t="s">
        <v>58</v>
      </c>
      <c r="G348" t="s">
        <v>110</v>
      </c>
      <c r="H348" t="s">
        <v>161</v>
      </c>
      <c r="I348" t="s">
        <v>83</v>
      </c>
      <c r="J348" t="s">
        <v>84</v>
      </c>
      <c r="K348" t="s">
        <v>86</v>
      </c>
      <c r="L348" s="25">
        <v>44031</v>
      </c>
      <c r="M348">
        <v>7</v>
      </c>
      <c r="N348">
        <v>2020</v>
      </c>
      <c r="O348" t="s">
        <v>106</v>
      </c>
      <c r="P348">
        <v>170</v>
      </c>
      <c r="Q348" s="17">
        <v>44032.424937847223</v>
      </c>
      <c r="R348" t="s">
        <v>111</v>
      </c>
    </row>
    <row r="349" spans="1:18" x14ac:dyDescent="0.3">
      <c r="A349">
        <v>9690929</v>
      </c>
      <c r="B349" t="s">
        <v>72</v>
      </c>
      <c r="C349">
        <v>1332870</v>
      </c>
      <c r="D349" t="s">
        <v>104</v>
      </c>
      <c r="E349" t="s">
        <v>58</v>
      </c>
      <c r="F349" t="s">
        <v>58</v>
      </c>
      <c r="G349" t="s">
        <v>110</v>
      </c>
      <c r="H349" t="s">
        <v>161</v>
      </c>
      <c r="I349" t="s">
        <v>83</v>
      </c>
      <c r="J349" t="s">
        <v>84</v>
      </c>
      <c r="K349" t="s">
        <v>86</v>
      </c>
      <c r="L349" s="25">
        <v>44031</v>
      </c>
      <c r="M349">
        <v>7</v>
      </c>
      <c r="N349">
        <v>2020</v>
      </c>
      <c r="O349" t="s">
        <v>106</v>
      </c>
      <c r="P349">
        <v>170</v>
      </c>
      <c r="Q349" s="17">
        <v>44032.44128900463</v>
      </c>
      <c r="R349" t="s">
        <v>108</v>
      </c>
    </row>
    <row r="350" spans="1:18" x14ac:dyDescent="0.3">
      <c r="A350">
        <v>21532279</v>
      </c>
      <c r="B350" t="s">
        <v>79</v>
      </c>
      <c r="C350">
        <v>1332963</v>
      </c>
      <c r="D350" t="s">
        <v>109</v>
      </c>
      <c r="E350" t="s">
        <v>113</v>
      </c>
      <c r="F350" t="s">
        <v>113</v>
      </c>
      <c r="G350" t="s">
        <v>59</v>
      </c>
      <c r="H350" t="s">
        <v>148</v>
      </c>
      <c r="I350" t="s">
        <v>83</v>
      </c>
      <c r="J350" t="s">
        <v>84</v>
      </c>
      <c r="K350" t="s">
        <v>90</v>
      </c>
      <c r="L350" s="25">
        <v>44031</v>
      </c>
      <c r="M350">
        <v>7</v>
      </c>
      <c r="N350">
        <v>2020</v>
      </c>
      <c r="O350" t="s">
        <v>106</v>
      </c>
      <c r="P350">
        <v>170</v>
      </c>
      <c r="Q350" s="17">
        <v>44032.423441203704</v>
      </c>
      <c r="R350" t="s">
        <v>114</v>
      </c>
    </row>
    <row r="351" spans="1:18" x14ac:dyDescent="0.3">
      <c r="A351">
        <v>243054</v>
      </c>
      <c r="B351" t="s">
        <v>79</v>
      </c>
      <c r="C351">
        <v>1326747</v>
      </c>
      <c r="D351" t="s">
        <v>116</v>
      </c>
      <c r="E351" t="s">
        <v>26</v>
      </c>
      <c r="F351" t="s">
        <v>26</v>
      </c>
      <c r="G351" t="s">
        <v>126</v>
      </c>
      <c r="H351" t="s">
        <v>163</v>
      </c>
      <c r="I351" t="s">
        <v>83</v>
      </c>
      <c r="J351" t="s">
        <v>84</v>
      </c>
      <c r="K351" t="s">
        <v>82</v>
      </c>
      <c r="L351" s="25">
        <v>44031</v>
      </c>
      <c r="M351">
        <v>7</v>
      </c>
      <c r="N351">
        <v>2020</v>
      </c>
      <c r="O351" t="s">
        <v>106</v>
      </c>
      <c r="P351">
        <v>170</v>
      </c>
      <c r="Q351" s="17">
        <v>44029.943383680555</v>
      </c>
      <c r="R351" t="s">
        <v>120</v>
      </c>
    </row>
    <row r="352" spans="1:18" x14ac:dyDescent="0.3">
      <c r="A352">
        <v>9687326</v>
      </c>
      <c r="B352" t="s">
        <v>79</v>
      </c>
      <c r="C352">
        <v>1330391</v>
      </c>
      <c r="D352" t="s">
        <v>109</v>
      </c>
      <c r="E352" t="s">
        <v>130</v>
      </c>
      <c r="F352" t="s">
        <v>17</v>
      </c>
      <c r="G352" t="s">
        <v>133</v>
      </c>
      <c r="H352" t="s">
        <v>148</v>
      </c>
      <c r="I352" t="s">
        <v>83</v>
      </c>
      <c r="J352" t="s">
        <v>84</v>
      </c>
      <c r="K352" t="s">
        <v>86</v>
      </c>
      <c r="L352" s="25">
        <v>44031</v>
      </c>
      <c r="M352">
        <v>7</v>
      </c>
      <c r="N352">
        <v>2020</v>
      </c>
      <c r="O352" t="s">
        <v>106</v>
      </c>
      <c r="P352">
        <v>170</v>
      </c>
      <c r="Q352" s="17">
        <v>44032.149019328703</v>
      </c>
      <c r="R352" t="s">
        <v>120</v>
      </c>
    </row>
    <row r="353" spans="1:18" x14ac:dyDescent="0.3">
      <c r="A353">
        <v>9687033</v>
      </c>
      <c r="B353" t="s">
        <v>79</v>
      </c>
      <c r="C353">
        <v>1330291</v>
      </c>
      <c r="D353" t="s">
        <v>109</v>
      </c>
      <c r="E353" t="s">
        <v>130</v>
      </c>
      <c r="F353" t="s">
        <v>17</v>
      </c>
      <c r="G353" t="s">
        <v>133</v>
      </c>
      <c r="H353" t="s">
        <v>148</v>
      </c>
      <c r="I353" t="s">
        <v>83</v>
      </c>
      <c r="J353" t="s">
        <v>84</v>
      </c>
      <c r="K353" t="s">
        <v>86</v>
      </c>
      <c r="L353" s="25">
        <v>44031</v>
      </c>
      <c r="M353">
        <v>7</v>
      </c>
      <c r="N353">
        <v>2020</v>
      </c>
      <c r="O353" t="s">
        <v>106</v>
      </c>
      <c r="P353">
        <v>170</v>
      </c>
      <c r="Q353" s="17">
        <v>44032.133598032407</v>
      </c>
      <c r="R353" t="s">
        <v>120</v>
      </c>
    </row>
    <row r="354" spans="1:18" x14ac:dyDescent="0.3">
      <c r="A354">
        <v>241414</v>
      </c>
      <c r="B354" t="s">
        <v>79</v>
      </c>
      <c r="C354">
        <v>1323103</v>
      </c>
      <c r="D354" t="s">
        <v>116</v>
      </c>
      <c r="E354" t="s">
        <v>26</v>
      </c>
      <c r="F354" t="s">
        <v>26</v>
      </c>
      <c r="G354" t="s">
        <v>126</v>
      </c>
      <c r="H354" t="s">
        <v>163</v>
      </c>
      <c r="I354" t="s">
        <v>83</v>
      </c>
      <c r="J354" t="s">
        <v>84</v>
      </c>
      <c r="K354" t="s">
        <v>82</v>
      </c>
      <c r="L354" s="25">
        <v>44031</v>
      </c>
      <c r="M354">
        <v>7</v>
      </c>
      <c r="N354">
        <v>2020</v>
      </c>
      <c r="O354" t="s">
        <v>106</v>
      </c>
      <c r="P354">
        <v>170</v>
      </c>
      <c r="Q354" s="17">
        <v>44029.821389699071</v>
      </c>
      <c r="R354" t="s">
        <v>120</v>
      </c>
    </row>
    <row r="355" spans="1:18" x14ac:dyDescent="0.3">
      <c r="A355">
        <v>9689150</v>
      </c>
      <c r="B355" t="s">
        <v>72</v>
      </c>
      <c r="C355">
        <v>1331427</v>
      </c>
      <c r="D355" t="s">
        <v>104</v>
      </c>
      <c r="E355">
        <v>820</v>
      </c>
      <c r="F355">
        <v>820</v>
      </c>
      <c r="G355" t="s">
        <v>125</v>
      </c>
      <c r="H355" t="s">
        <v>155</v>
      </c>
      <c r="I355" t="s">
        <v>81</v>
      </c>
      <c r="J355" t="s">
        <v>42</v>
      </c>
      <c r="K355" t="s">
        <v>82</v>
      </c>
      <c r="L355" s="25">
        <v>44031</v>
      </c>
      <c r="M355">
        <v>7</v>
      </c>
      <c r="N355">
        <v>2020</v>
      </c>
      <c r="O355" t="s">
        <v>106</v>
      </c>
      <c r="P355">
        <v>170</v>
      </c>
      <c r="Q355" s="17">
        <v>44032.238121296294</v>
      </c>
      <c r="R355" t="s">
        <v>120</v>
      </c>
    </row>
    <row r="356" spans="1:18" x14ac:dyDescent="0.3">
      <c r="A356">
        <v>21534261</v>
      </c>
      <c r="B356" t="s">
        <v>72</v>
      </c>
      <c r="C356">
        <v>1335128</v>
      </c>
      <c r="D356" t="s">
        <v>104</v>
      </c>
      <c r="E356" t="s">
        <v>12</v>
      </c>
      <c r="F356" t="s">
        <v>12</v>
      </c>
      <c r="G356" t="s">
        <v>124</v>
      </c>
      <c r="H356" t="s">
        <v>151</v>
      </c>
      <c r="I356" t="s">
        <v>83</v>
      </c>
      <c r="J356" t="s">
        <v>84</v>
      </c>
      <c r="K356" t="s">
        <v>82</v>
      </c>
      <c r="L356" s="25">
        <v>44031</v>
      </c>
      <c r="M356">
        <v>7</v>
      </c>
      <c r="N356">
        <v>2020</v>
      </c>
      <c r="O356" t="s">
        <v>106</v>
      </c>
      <c r="P356">
        <v>170</v>
      </c>
      <c r="Q356" s="17">
        <v>44032.08070648148</v>
      </c>
      <c r="R356" t="s">
        <v>120</v>
      </c>
    </row>
    <row r="357" spans="1:18" x14ac:dyDescent="0.3">
      <c r="A357">
        <v>245864</v>
      </c>
      <c r="B357" t="s">
        <v>78</v>
      </c>
      <c r="C357">
        <v>1336957</v>
      </c>
      <c r="D357" t="s">
        <v>112</v>
      </c>
      <c r="E357" t="s">
        <v>12</v>
      </c>
      <c r="F357" t="s">
        <v>12</v>
      </c>
      <c r="G357" t="s">
        <v>124</v>
      </c>
      <c r="H357" t="s">
        <v>156</v>
      </c>
      <c r="I357" t="s">
        <v>81</v>
      </c>
      <c r="J357" t="s">
        <v>42</v>
      </c>
      <c r="K357" t="s">
        <v>82</v>
      </c>
      <c r="L357" s="25">
        <v>44031</v>
      </c>
      <c r="M357">
        <v>7</v>
      </c>
      <c r="N357">
        <v>2020</v>
      </c>
      <c r="O357" t="s">
        <v>106</v>
      </c>
      <c r="P357">
        <v>171</v>
      </c>
      <c r="Q357" s="17">
        <v>44032.092045254627</v>
      </c>
      <c r="R357" t="s">
        <v>120</v>
      </c>
    </row>
    <row r="358" spans="1:18" x14ac:dyDescent="0.3">
      <c r="A358">
        <v>21532928</v>
      </c>
      <c r="B358" t="s">
        <v>77</v>
      </c>
      <c r="C358">
        <v>1332970</v>
      </c>
      <c r="D358" t="s">
        <v>77</v>
      </c>
      <c r="E358" t="s">
        <v>12</v>
      </c>
      <c r="F358" t="s">
        <v>12</v>
      </c>
      <c r="G358" t="s">
        <v>124</v>
      </c>
      <c r="H358" t="s">
        <v>156</v>
      </c>
      <c r="I358" t="s">
        <v>77</v>
      </c>
      <c r="J358" t="s">
        <v>42</v>
      </c>
      <c r="K358" t="s">
        <v>82</v>
      </c>
      <c r="L358" s="25">
        <v>44031</v>
      </c>
      <c r="M358">
        <v>7</v>
      </c>
      <c r="N358">
        <v>2020</v>
      </c>
      <c r="O358" t="s">
        <v>106</v>
      </c>
      <c r="P358">
        <v>170</v>
      </c>
      <c r="Q358" s="17">
        <v>44032.075650925923</v>
      </c>
      <c r="R358" t="s">
        <v>120</v>
      </c>
    </row>
    <row r="359" spans="1:18" x14ac:dyDescent="0.3">
      <c r="A359">
        <v>245710</v>
      </c>
      <c r="B359" t="s">
        <v>77</v>
      </c>
      <c r="C359">
        <v>1336857</v>
      </c>
      <c r="D359" t="s">
        <v>77</v>
      </c>
      <c r="E359" t="s">
        <v>12</v>
      </c>
      <c r="F359" t="s">
        <v>12</v>
      </c>
      <c r="G359" t="s">
        <v>124</v>
      </c>
      <c r="H359" t="s">
        <v>150</v>
      </c>
      <c r="I359" t="s">
        <v>77</v>
      </c>
      <c r="J359" t="s">
        <v>42</v>
      </c>
      <c r="K359" t="s">
        <v>82</v>
      </c>
      <c r="L359" s="25">
        <v>44031</v>
      </c>
      <c r="M359">
        <v>7</v>
      </c>
      <c r="N359">
        <v>2020</v>
      </c>
      <c r="O359" t="s">
        <v>106</v>
      </c>
      <c r="P359">
        <v>171</v>
      </c>
      <c r="Q359" s="17">
        <v>44032.092595138885</v>
      </c>
      <c r="R359" t="s">
        <v>120</v>
      </c>
    </row>
    <row r="360" spans="1:18" x14ac:dyDescent="0.3">
      <c r="A360">
        <v>9687189</v>
      </c>
      <c r="B360" t="s">
        <v>79</v>
      </c>
      <c r="C360">
        <v>1330348</v>
      </c>
      <c r="D360" t="s">
        <v>109</v>
      </c>
      <c r="E360" t="s">
        <v>130</v>
      </c>
      <c r="F360" t="s">
        <v>17</v>
      </c>
      <c r="G360" t="s">
        <v>133</v>
      </c>
      <c r="H360" t="s">
        <v>148</v>
      </c>
      <c r="I360" t="s">
        <v>83</v>
      </c>
      <c r="J360" t="s">
        <v>84</v>
      </c>
      <c r="K360" t="s">
        <v>86</v>
      </c>
      <c r="L360" s="25">
        <v>44031</v>
      </c>
      <c r="M360">
        <v>7</v>
      </c>
      <c r="N360">
        <v>2020</v>
      </c>
      <c r="O360" t="s">
        <v>106</v>
      </c>
      <c r="P360">
        <v>170</v>
      </c>
      <c r="Q360" s="17">
        <v>44032.141194675925</v>
      </c>
      <c r="R360" t="s">
        <v>120</v>
      </c>
    </row>
    <row r="361" spans="1:18" x14ac:dyDescent="0.3">
      <c r="A361">
        <v>9687470</v>
      </c>
      <c r="B361" t="s">
        <v>79</v>
      </c>
      <c r="C361">
        <v>1330448</v>
      </c>
      <c r="D361" t="s">
        <v>109</v>
      </c>
      <c r="E361" t="s">
        <v>130</v>
      </c>
      <c r="F361" t="s">
        <v>17</v>
      </c>
      <c r="G361" t="s">
        <v>133</v>
      </c>
      <c r="H361" t="s">
        <v>148</v>
      </c>
      <c r="I361" t="s">
        <v>83</v>
      </c>
      <c r="J361" t="s">
        <v>84</v>
      </c>
      <c r="K361" t="s">
        <v>86</v>
      </c>
      <c r="L361" s="25">
        <v>44031</v>
      </c>
      <c r="M361">
        <v>7</v>
      </c>
      <c r="N361">
        <v>2020</v>
      </c>
      <c r="O361" t="s">
        <v>106</v>
      </c>
      <c r="P361">
        <v>170</v>
      </c>
      <c r="Q361" s="17">
        <v>44032.15988298611</v>
      </c>
      <c r="R361" t="s">
        <v>120</v>
      </c>
    </row>
    <row r="362" spans="1:18" x14ac:dyDescent="0.3">
      <c r="A362">
        <v>9677862</v>
      </c>
      <c r="B362" t="s">
        <v>78</v>
      </c>
      <c r="C362">
        <v>1332919</v>
      </c>
      <c r="D362" t="s">
        <v>112</v>
      </c>
      <c r="E362" t="s">
        <v>12</v>
      </c>
      <c r="F362" t="s">
        <v>12</v>
      </c>
      <c r="G362" t="s">
        <v>124</v>
      </c>
      <c r="H362" t="s">
        <v>156</v>
      </c>
      <c r="I362" t="s">
        <v>81</v>
      </c>
      <c r="J362" t="s">
        <v>42</v>
      </c>
      <c r="K362" t="s">
        <v>82</v>
      </c>
      <c r="L362" s="25">
        <v>44031</v>
      </c>
      <c r="M362">
        <v>7</v>
      </c>
      <c r="N362">
        <v>2020</v>
      </c>
      <c r="O362" t="s">
        <v>106</v>
      </c>
      <c r="P362">
        <v>170</v>
      </c>
      <c r="Q362" s="17">
        <v>44032.076042245368</v>
      </c>
      <c r="R362" t="s">
        <v>120</v>
      </c>
    </row>
    <row r="363" spans="1:18" x14ac:dyDescent="0.3">
      <c r="A363">
        <v>9687222</v>
      </c>
      <c r="B363" t="s">
        <v>79</v>
      </c>
      <c r="C363">
        <v>1330377</v>
      </c>
      <c r="D363" t="s">
        <v>109</v>
      </c>
      <c r="E363" t="s">
        <v>130</v>
      </c>
      <c r="F363" t="s">
        <v>17</v>
      </c>
      <c r="G363" t="s">
        <v>133</v>
      </c>
      <c r="H363" t="s">
        <v>148</v>
      </c>
      <c r="I363" t="s">
        <v>83</v>
      </c>
      <c r="J363" t="s">
        <v>84</v>
      </c>
      <c r="K363" t="s">
        <v>86</v>
      </c>
      <c r="L363" s="25">
        <v>44031</v>
      </c>
      <c r="M363">
        <v>7</v>
      </c>
      <c r="N363">
        <v>2020</v>
      </c>
      <c r="O363" t="s">
        <v>106</v>
      </c>
      <c r="P363">
        <v>170</v>
      </c>
      <c r="Q363" s="17">
        <v>44032.153323148152</v>
      </c>
      <c r="R363" t="s">
        <v>120</v>
      </c>
    </row>
    <row r="364" spans="1:18" x14ac:dyDescent="0.3">
      <c r="A364">
        <v>9687359</v>
      </c>
      <c r="B364" t="s">
        <v>79</v>
      </c>
      <c r="C364">
        <v>1330426</v>
      </c>
      <c r="D364" t="s">
        <v>109</v>
      </c>
      <c r="E364" t="s">
        <v>130</v>
      </c>
      <c r="F364" t="s">
        <v>17</v>
      </c>
      <c r="G364" t="s">
        <v>133</v>
      </c>
      <c r="H364" t="s">
        <v>148</v>
      </c>
      <c r="I364" t="s">
        <v>83</v>
      </c>
      <c r="J364" t="s">
        <v>84</v>
      </c>
      <c r="K364" t="s">
        <v>86</v>
      </c>
      <c r="L364" s="25">
        <v>44031</v>
      </c>
      <c r="M364">
        <v>7</v>
      </c>
      <c r="N364">
        <v>2020</v>
      </c>
      <c r="O364" t="s">
        <v>106</v>
      </c>
      <c r="P364">
        <v>170</v>
      </c>
      <c r="Q364" s="17">
        <v>44032.155644791666</v>
      </c>
      <c r="R364" t="s">
        <v>120</v>
      </c>
    </row>
    <row r="365" spans="1:18" x14ac:dyDescent="0.3">
      <c r="A365">
        <v>9687037</v>
      </c>
      <c r="B365" t="s">
        <v>79</v>
      </c>
      <c r="C365">
        <v>1330277</v>
      </c>
      <c r="D365" t="s">
        <v>109</v>
      </c>
      <c r="E365" t="s">
        <v>130</v>
      </c>
      <c r="F365" t="s">
        <v>17</v>
      </c>
      <c r="G365" t="s">
        <v>133</v>
      </c>
      <c r="H365" t="s">
        <v>148</v>
      </c>
      <c r="I365" t="s">
        <v>83</v>
      </c>
      <c r="J365" t="s">
        <v>84</v>
      </c>
      <c r="K365" t="s">
        <v>86</v>
      </c>
      <c r="L365" s="25">
        <v>44031</v>
      </c>
      <c r="M365">
        <v>7</v>
      </c>
      <c r="N365">
        <v>2020</v>
      </c>
      <c r="O365" t="s">
        <v>106</v>
      </c>
      <c r="P365">
        <v>170</v>
      </c>
      <c r="Q365" s="17">
        <v>44032.138033101852</v>
      </c>
      <c r="R365" t="s">
        <v>120</v>
      </c>
    </row>
    <row r="366" spans="1:18" x14ac:dyDescent="0.3">
      <c r="A366">
        <v>21534580</v>
      </c>
      <c r="B366" t="s">
        <v>72</v>
      </c>
      <c r="C366">
        <v>1335155</v>
      </c>
      <c r="D366" t="s">
        <v>104</v>
      </c>
      <c r="E366" t="s">
        <v>12</v>
      </c>
      <c r="F366" t="s">
        <v>12</v>
      </c>
      <c r="G366" t="s">
        <v>124</v>
      </c>
      <c r="H366" t="s">
        <v>163</v>
      </c>
      <c r="I366" t="s">
        <v>83</v>
      </c>
      <c r="J366" t="s">
        <v>84</v>
      </c>
      <c r="K366" t="s">
        <v>82</v>
      </c>
      <c r="L366" s="25">
        <v>44031</v>
      </c>
      <c r="M366">
        <v>7</v>
      </c>
      <c r="N366">
        <v>2020</v>
      </c>
      <c r="O366" t="s">
        <v>106</v>
      </c>
      <c r="P366">
        <v>170</v>
      </c>
      <c r="Q366" s="17">
        <v>44032.084069675926</v>
      </c>
      <c r="R366" t="s">
        <v>120</v>
      </c>
    </row>
    <row r="367" spans="1:18" x14ac:dyDescent="0.3">
      <c r="A367">
        <v>21519599</v>
      </c>
      <c r="B367" t="s">
        <v>79</v>
      </c>
      <c r="C367">
        <v>1334136</v>
      </c>
      <c r="D367" t="s">
        <v>109</v>
      </c>
      <c r="E367" t="s">
        <v>12</v>
      </c>
      <c r="F367" t="s">
        <v>12</v>
      </c>
      <c r="G367" t="s">
        <v>124</v>
      </c>
      <c r="H367" t="s">
        <v>152</v>
      </c>
      <c r="I367" t="s">
        <v>81</v>
      </c>
      <c r="J367" t="s">
        <v>42</v>
      </c>
      <c r="K367" t="s">
        <v>82</v>
      </c>
      <c r="L367" s="25">
        <v>44031</v>
      </c>
      <c r="M367">
        <v>7</v>
      </c>
      <c r="N367">
        <v>2020</v>
      </c>
      <c r="O367" t="s">
        <v>106</v>
      </c>
      <c r="P367">
        <v>170</v>
      </c>
      <c r="Q367" s="17">
        <v>44032.069351620368</v>
      </c>
      <c r="R367" t="s">
        <v>120</v>
      </c>
    </row>
    <row r="368" spans="1:18" x14ac:dyDescent="0.3">
      <c r="A368">
        <v>245837</v>
      </c>
      <c r="B368" t="s">
        <v>78</v>
      </c>
      <c r="C368">
        <v>1336729</v>
      </c>
      <c r="D368" t="s">
        <v>112</v>
      </c>
      <c r="E368" t="s">
        <v>12</v>
      </c>
      <c r="F368" t="s">
        <v>12</v>
      </c>
      <c r="G368" t="s">
        <v>124</v>
      </c>
      <c r="H368" t="s">
        <v>156</v>
      </c>
      <c r="I368" t="s">
        <v>81</v>
      </c>
      <c r="J368" t="s">
        <v>42</v>
      </c>
      <c r="K368" t="s">
        <v>82</v>
      </c>
      <c r="L368" s="25">
        <v>44031</v>
      </c>
      <c r="M368">
        <v>7</v>
      </c>
      <c r="N368">
        <v>2020</v>
      </c>
      <c r="O368" t="s">
        <v>106</v>
      </c>
      <c r="P368">
        <v>170</v>
      </c>
      <c r="Q368" s="17">
        <v>44032.078795486108</v>
      </c>
      <c r="R368" t="s">
        <v>120</v>
      </c>
    </row>
    <row r="369" spans="1:18" x14ac:dyDescent="0.3">
      <c r="A369">
        <v>245798</v>
      </c>
      <c r="B369" t="s">
        <v>72</v>
      </c>
      <c r="C369">
        <v>1336978</v>
      </c>
      <c r="D369" t="s">
        <v>104</v>
      </c>
      <c r="E369" t="s">
        <v>12</v>
      </c>
      <c r="F369" t="s">
        <v>12</v>
      </c>
      <c r="G369" t="s">
        <v>124</v>
      </c>
      <c r="H369" t="s">
        <v>95</v>
      </c>
      <c r="I369" t="s">
        <v>81</v>
      </c>
      <c r="J369" t="s">
        <v>42</v>
      </c>
      <c r="K369" t="s">
        <v>82</v>
      </c>
      <c r="L369" s="25">
        <v>44031</v>
      </c>
      <c r="M369">
        <v>7</v>
      </c>
      <c r="N369">
        <v>2020</v>
      </c>
      <c r="O369" t="s">
        <v>106</v>
      </c>
      <c r="P369">
        <v>171</v>
      </c>
      <c r="Q369" s="17">
        <v>44032.091133564812</v>
      </c>
      <c r="R369" t="s">
        <v>120</v>
      </c>
    </row>
    <row r="370" spans="1:18" x14ac:dyDescent="0.3">
      <c r="A370">
        <v>21531861</v>
      </c>
      <c r="B370" t="s">
        <v>72</v>
      </c>
      <c r="C370">
        <v>1335272</v>
      </c>
      <c r="D370" t="s">
        <v>104</v>
      </c>
      <c r="E370" t="s">
        <v>12</v>
      </c>
      <c r="F370" t="s">
        <v>12</v>
      </c>
      <c r="G370" t="s">
        <v>124</v>
      </c>
      <c r="H370" t="s">
        <v>95</v>
      </c>
      <c r="I370" t="s">
        <v>81</v>
      </c>
      <c r="J370" t="s">
        <v>42</v>
      </c>
      <c r="K370" t="s">
        <v>82</v>
      </c>
      <c r="L370" s="25">
        <v>44031</v>
      </c>
      <c r="M370">
        <v>7</v>
      </c>
      <c r="N370">
        <v>2020</v>
      </c>
      <c r="O370" t="s">
        <v>106</v>
      </c>
      <c r="P370">
        <v>170</v>
      </c>
      <c r="Q370" s="17">
        <v>44032.084550347223</v>
      </c>
      <c r="R370" t="s">
        <v>120</v>
      </c>
    </row>
    <row r="371" spans="1:18" x14ac:dyDescent="0.3">
      <c r="A371">
        <v>9687035</v>
      </c>
      <c r="B371" t="s">
        <v>79</v>
      </c>
      <c r="C371">
        <v>1330275</v>
      </c>
      <c r="D371" t="s">
        <v>109</v>
      </c>
      <c r="E371" t="s">
        <v>130</v>
      </c>
      <c r="F371" t="s">
        <v>17</v>
      </c>
      <c r="G371" t="s">
        <v>133</v>
      </c>
      <c r="H371" t="s">
        <v>148</v>
      </c>
      <c r="I371" t="s">
        <v>83</v>
      </c>
      <c r="J371" t="s">
        <v>84</v>
      </c>
      <c r="K371" t="s">
        <v>86</v>
      </c>
      <c r="L371" s="25">
        <v>44031</v>
      </c>
      <c r="M371">
        <v>7</v>
      </c>
      <c r="N371">
        <v>2020</v>
      </c>
      <c r="O371" t="s">
        <v>106</v>
      </c>
      <c r="P371">
        <v>170</v>
      </c>
      <c r="Q371" s="17">
        <v>44032.135510416665</v>
      </c>
      <c r="R371" t="s">
        <v>120</v>
      </c>
    </row>
    <row r="372" spans="1:18" x14ac:dyDescent="0.3">
      <c r="A372">
        <v>9687327</v>
      </c>
      <c r="B372" t="s">
        <v>79</v>
      </c>
      <c r="C372">
        <v>1330392</v>
      </c>
      <c r="D372" t="s">
        <v>109</v>
      </c>
      <c r="E372" t="s">
        <v>130</v>
      </c>
      <c r="F372" t="s">
        <v>17</v>
      </c>
      <c r="G372" t="s">
        <v>133</v>
      </c>
      <c r="H372" t="s">
        <v>148</v>
      </c>
      <c r="I372" t="s">
        <v>83</v>
      </c>
      <c r="J372" t="s">
        <v>84</v>
      </c>
      <c r="K372" t="s">
        <v>86</v>
      </c>
      <c r="L372" s="25">
        <v>44031</v>
      </c>
      <c r="M372">
        <v>7</v>
      </c>
      <c r="N372">
        <v>2020</v>
      </c>
      <c r="O372" t="s">
        <v>106</v>
      </c>
      <c r="P372">
        <v>170</v>
      </c>
      <c r="Q372" s="17">
        <v>44032.149253819443</v>
      </c>
      <c r="R372" t="s">
        <v>120</v>
      </c>
    </row>
    <row r="373" spans="1:18" x14ac:dyDescent="0.3">
      <c r="A373">
        <v>9687049</v>
      </c>
      <c r="B373" t="s">
        <v>79</v>
      </c>
      <c r="C373">
        <v>1330292</v>
      </c>
      <c r="D373" t="s">
        <v>109</v>
      </c>
      <c r="E373" t="s">
        <v>130</v>
      </c>
      <c r="F373" t="s">
        <v>17</v>
      </c>
      <c r="G373" t="s">
        <v>133</v>
      </c>
      <c r="H373" t="s">
        <v>148</v>
      </c>
      <c r="I373" t="s">
        <v>83</v>
      </c>
      <c r="J373" t="s">
        <v>84</v>
      </c>
      <c r="K373" t="s">
        <v>86</v>
      </c>
      <c r="L373" s="25">
        <v>44031</v>
      </c>
      <c r="M373">
        <v>7</v>
      </c>
      <c r="N373">
        <v>2020</v>
      </c>
      <c r="O373" t="s">
        <v>106</v>
      </c>
      <c r="P373">
        <v>170</v>
      </c>
      <c r="Q373" s="17">
        <v>44032.134310185182</v>
      </c>
      <c r="R373" t="s">
        <v>120</v>
      </c>
    </row>
    <row r="374" spans="1:18" x14ac:dyDescent="0.3">
      <c r="A374">
        <v>9687682</v>
      </c>
      <c r="B374" t="s">
        <v>77</v>
      </c>
      <c r="C374">
        <v>1330713</v>
      </c>
      <c r="D374" t="s">
        <v>77</v>
      </c>
      <c r="E374">
        <v>820</v>
      </c>
      <c r="F374">
        <v>820</v>
      </c>
      <c r="G374" t="s">
        <v>125</v>
      </c>
      <c r="H374" t="s">
        <v>161</v>
      </c>
      <c r="I374" t="s">
        <v>77</v>
      </c>
      <c r="J374" t="s">
        <v>42</v>
      </c>
      <c r="K374" t="s">
        <v>82</v>
      </c>
      <c r="L374" s="25">
        <v>44031</v>
      </c>
      <c r="M374">
        <v>7</v>
      </c>
      <c r="N374">
        <v>2020</v>
      </c>
      <c r="O374" t="s">
        <v>106</v>
      </c>
      <c r="P374">
        <v>170</v>
      </c>
      <c r="Q374" s="17">
        <v>44032.200162152774</v>
      </c>
      <c r="R374" t="s">
        <v>120</v>
      </c>
    </row>
    <row r="375" spans="1:18" x14ac:dyDescent="0.3">
      <c r="A375">
        <v>21528752</v>
      </c>
      <c r="B375" t="s">
        <v>72</v>
      </c>
      <c r="C375">
        <v>1325197</v>
      </c>
      <c r="D375" t="s">
        <v>104</v>
      </c>
      <c r="E375" t="s">
        <v>128</v>
      </c>
      <c r="F375" t="s">
        <v>17</v>
      </c>
      <c r="G375" t="s">
        <v>129</v>
      </c>
      <c r="H375" t="s">
        <v>153</v>
      </c>
      <c r="I375" t="s">
        <v>81</v>
      </c>
      <c r="J375" t="s">
        <v>42</v>
      </c>
      <c r="K375" t="s">
        <v>86</v>
      </c>
      <c r="L375" s="25">
        <v>44031</v>
      </c>
      <c r="M375">
        <v>7</v>
      </c>
      <c r="N375">
        <v>2020</v>
      </c>
      <c r="O375" t="s">
        <v>106</v>
      </c>
      <c r="P375">
        <v>170</v>
      </c>
      <c r="Q375" s="17">
        <v>44032.160970486111</v>
      </c>
      <c r="R375" t="s">
        <v>120</v>
      </c>
    </row>
    <row r="376" spans="1:18" x14ac:dyDescent="0.3">
      <c r="A376">
        <v>242436</v>
      </c>
      <c r="B376" t="s">
        <v>79</v>
      </c>
      <c r="C376">
        <v>1325297</v>
      </c>
      <c r="D376" t="s">
        <v>116</v>
      </c>
      <c r="E376" t="s">
        <v>26</v>
      </c>
      <c r="F376" t="s">
        <v>26</v>
      </c>
      <c r="G376" t="s">
        <v>126</v>
      </c>
      <c r="H376" t="s">
        <v>159</v>
      </c>
      <c r="I376" t="s">
        <v>83</v>
      </c>
      <c r="J376" t="s">
        <v>84</v>
      </c>
      <c r="K376" t="s">
        <v>82</v>
      </c>
      <c r="L376" s="25">
        <v>44031</v>
      </c>
      <c r="M376">
        <v>7</v>
      </c>
      <c r="N376">
        <v>2020</v>
      </c>
      <c r="O376" t="s">
        <v>106</v>
      </c>
      <c r="P376">
        <v>170</v>
      </c>
      <c r="Q376" s="17">
        <v>44029.876947222219</v>
      </c>
      <c r="R376" t="s">
        <v>120</v>
      </c>
    </row>
    <row r="377" spans="1:18" x14ac:dyDescent="0.3">
      <c r="A377">
        <v>241801</v>
      </c>
      <c r="B377" t="s">
        <v>79</v>
      </c>
      <c r="C377">
        <v>1322954</v>
      </c>
      <c r="D377" t="s">
        <v>116</v>
      </c>
      <c r="E377" t="s">
        <v>26</v>
      </c>
      <c r="F377" t="s">
        <v>26</v>
      </c>
      <c r="G377" t="s">
        <v>126</v>
      </c>
      <c r="H377" t="s">
        <v>159</v>
      </c>
      <c r="I377" t="s">
        <v>83</v>
      </c>
      <c r="J377" t="s">
        <v>84</v>
      </c>
      <c r="K377" t="s">
        <v>82</v>
      </c>
      <c r="L377" s="25">
        <v>44031</v>
      </c>
      <c r="M377">
        <v>7</v>
      </c>
      <c r="N377">
        <v>2020</v>
      </c>
      <c r="O377" t="s">
        <v>106</v>
      </c>
      <c r="P377">
        <v>170</v>
      </c>
      <c r="Q377" s="17">
        <v>44029.818156250003</v>
      </c>
      <c r="R377" t="s">
        <v>120</v>
      </c>
    </row>
    <row r="378" spans="1:18" x14ac:dyDescent="0.3">
      <c r="A378">
        <v>9666518</v>
      </c>
      <c r="B378" t="s">
        <v>78</v>
      </c>
      <c r="C378">
        <v>1335011</v>
      </c>
      <c r="D378" t="s">
        <v>112</v>
      </c>
      <c r="E378" t="s">
        <v>12</v>
      </c>
      <c r="F378" t="s">
        <v>12</v>
      </c>
      <c r="G378" t="s">
        <v>124</v>
      </c>
      <c r="H378" t="s">
        <v>150</v>
      </c>
      <c r="I378" t="s">
        <v>81</v>
      </c>
      <c r="J378" t="s">
        <v>42</v>
      </c>
      <c r="K378" t="s">
        <v>82</v>
      </c>
      <c r="L378" s="25">
        <v>44031</v>
      </c>
      <c r="M378">
        <v>7</v>
      </c>
      <c r="N378">
        <v>2020</v>
      </c>
      <c r="O378" t="s">
        <v>106</v>
      </c>
      <c r="P378">
        <v>170</v>
      </c>
      <c r="Q378" s="17">
        <v>44032.082309606485</v>
      </c>
      <c r="R378" t="s">
        <v>120</v>
      </c>
    </row>
    <row r="379" spans="1:18" x14ac:dyDescent="0.3">
      <c r="A379">
        <v>9687064</v>
      </c>
      <c r="B379" t="s">
        <v>79</v>
      </c>
      <c r="C379">
        <v>1330297</v>
      </c>
      <c r="D379" t="s">
        <v>109</v>
      </c>
      <c r="E379" t="s">
        <v>130</v>
      </c>
      <c r="F379" t="s">
        <v>17</v>
      </c>
      <c r="G379" t="s">
        <v>133</v>
      </c>
      <c r="H379" t="s">
        <v>148</v>
      </c>
      <c r="I379" t="s">
        <v>83</v>
      </c>
      <c r="J379" t="s">
        <v>84</v>
      </c>
      <c r="K379" t="s">
        <v>86</v>
      </c>
      <c r="L379" s="25">
        <v>44031</v>
      </c>
      <c r="M379">
        <v>7</v>
      </c>
      <c r="N379">
        <v>2020</v>
      </c>
      <c r="O379" t="s">
        <v>106</v>
      </c>
      <c r="P379">
        <v>170</v>
      </c>
      <c r="Q379" s="17">
        <v>44032.136977546295</v>
      </c>
      <c r="R379" t="s">
        <v>120</v>
      </c>
    </row>
    <row r="380" spans="1:18" x14ac:dyDescent="0.3">
      <c r="A380">
        <v>9690909</v>
      </c>
      <c r="B380" t="s">
        <v>78</v>
      </c>
      <c r="C380">
        <v>1332905</v>
      </c>
      <c r="D380" t="s">
        <v>112</v>
      </c>
      <c r="E380" t="s">
        <v>12</v>
      </c>
      <c r="F380" t="s">
        <v>12</v>
      </c>
      <c r="G380" t="s">
        <v>124</v>
      </c>
      <c r="H380" t="s">
        <v>150</v>
      </c>
      <c r="I380" t="s">
        <v>81</v>
      </c>
      <c r="J380" t="s">
        <v>42</v>
      </c>
      <c r="K380" t="s">
        <v>82</v>
      </c>
      <c r="L380" s="25">
        <v>44031</v>
      </c>
      <c r="M380">
        <v>7</v>
      </c>
      <c r="N380">
        <v>2020</v>
      </c>
      <c r="O380" t="s">
        <v>106</v>
      </c>
      <c r="P380">
        <v>170</v>
      </c>
      <c r="Q380" s="17">
        <v>44032.075629976855</v>
      </c>
      <c r="R380" t="s">
        <v>120</v>
      </c>
    </row>
    <row r="381" spans="1:18" x14ac:dyDescent="0.3">
      <c r="A381">
        <v>9681429</v>
      </c>
      <c r="B381" t="s">
        <v>72</v>
      </c>
      <c r="C381">
        <v>1326353</v>
      </c>
      <c r="D381" t="s">
        <v>104</v>
      </c>
      <c r="E381" t="s">
        <v>26</v>
      </c>
      <c r="F381" t="s">
        <v>26</v>
      </c>
      <c r="G381" t="s">
        <v>126</v>
      </c>
      <c r="H381" t="s">
        <v>157</v>
      </c>
      <c r="I381" t="s">
        <v>83</v>
      </c>
      <c r="J381" t="s">
        <v>84</v>
      </c>
      <c r="K381" t="s">
        <v>82</v>
      </c>
      <c r="L381" s="25">
        <v>44031</v>
      </c>
      <c r="M381">
        <v>7</v>
      </c>
      <c r="N381">
        <v>2020</v>
      </c>
      <c r="O381" t="s">
        <v>106</v>
      </c>
      <c r="P381">
        <v>170</v>
      </c>
      <c r="Q381" s="17">
        <v>44032.088674999999</v>
      </c>
      <c r="R381" t="s">
        <v>120</v>
      </c>
    </row>
    <row r="382" spans="1:18" x14ac:dyDescent="0.3">
      <c r="A382">
        <v>241982</v>
      </c>
      <c r="B382" t="s">
        <v>79</v>
      </c>
      <c r="C382">
        <v>1323218</v>
      </c>
      <c r="D382" t="s">
        <v>116</v>
      </c>
      <c r="E382" t="s">
        <v>26</v>
      </c>
      <c r="F382" t="s">
        <v>26</v>
      </c>
      <c r="G382" t="s">
        <v>126</v>
      </c>
      <c r="H382" t="s">
        <v>163</v>
      </c>
      <c r="I382" t="s">
        <v>83</v>
      </c>
      <c r="J382" t="s">
        <v>84</v>
      </c>
      <c r="K382" t="s">
        <v>82</v>
      </c>
      <c r="L382" s="25">
        <v>44031</v>
      </c>
      <c r="M382">
        <v>7</v>
      </c>
      <c r="N382">
        <v>2020</v>
      </c>
      <c r="O382" t="s">
        <v>106</v>
      </c>
      <c r="P382">
        <v>170</v>
      </c>
      <c r="Q382" s="17">
        <v>44029.824742592595</v>
      </c>
      <c r="R382" t="s">
        <v>120</v>
      </c>
    </row>
    <row r="383" spans="1:18" x14ac:dyDescent="0.3">
      <c r="A383">
        <v>9687068</v>
      </c>
      <c r="B383" t="s">
        <v>79</v>
      </c>
      <c r="C383">
        <v>1330306</v>
      </c>
      <c r="D383" t="s">
        <v>109</v>
      </c>
      <c r="E383" t="s">
        <v>130</v>
      </c>
      <c r="F383" t="s">
        <v>17</v>
      </c>
      <c r="G383" t="s">
        <v>133</v>
      </c>
      <c r="H383" t="s">
        <v>148</v>
      </c>
      <c r="I383" t="s">
        <v>83</v>
      </c>
      <c r="J383" t="s">
        <v>84</v>
      </c>
      <c r="K383" t="s">
        <v>86</v>
      </c>
      <c r="L383" s="25">
        <v>44031</v>
      </c>
      <c r="M383">
        <v>7</v>
      </c>
      <c r="N383">
        <v>2020</v>
      </c>
      <c r="O383" t="s">
        <v>106</v>
      </c>
      <c r="P383">
        <v>170</v>
      </c>
      <c r="Q383" s="17">
        <v>44032.135049537035</v>
      </c>
      <c r="R383" t="s">
        <v>120</v>
      </c>
    </row>
    <row r="384" spans="1:18" x14ac:dyDescent="0.3">
      <c r="A384">
        <v>9687524</v>
      </c>
      <c r="B384" t="s">
        <v>79</v>
      </c>
      <c r="C384">
        <v>1330463</v>
      </c>
      <c r="D384" t="s">
        <v>109</v>
      </c>
      <c r="E384" t="s">
        <v>130</v>
      </c>
      <c r="F384" t="s">
        <v>17</v>
      </c>
      <c r="G384" t="s">
        <v>133</v>
      </c>
      <c r="H384" t="s">
        <v>148</v>
      </c>
      <c r="I384" t="s">
        <v>83</v>
      </c>
      <c r="J384" t="s">
        <v>84</v>
      </c>
      <c r="K384" t="s">
        <v>86</v>
      </c>
      <c r="L384" s="25">
        <v>44031</v>
      </c>
      <c r="M384">
        <v>7</v>
      </c>
      <c r="N384">
        <v>2020</v>
      </c>
      <c r="O384" t="s">
        <v>106</v>
      </c>
      <c r="P384">
        <v>170</v>
      </c>
      <c r="Q384" s="17">
        <v>44032.163800925926</v>
      </c>
      <c r="R384" t="s">
        <v>120</v>
      </c>
    </row>
    <row r="385" spans="1:18" x14ac:dyDescent="0.3">
      <c r="A385">
        <v>242311</v>
      </c>
      <c r="B385" t="s">
        <v>79</v>
      </c>
      <c r="C385">
        <v>1325285</v>
      </c>
      <c r="D385" t="s">
        <v>116</v>
      </c>
      <c r="E385" t="s">
        <v>26</v>
      </c>
      <c r="F385" t="s">
        <v>26</v>
      </c>
      <c r="G385" t="s">
        <v>126</v>
      </c>
      <c r="H385" t="s">
        <v>163</v>
      </c>
      <c r="I385" t="s">
        <v>83</v>
      </c>
      <c r="J385" t="s">
        <v>84</v>
      </c>
      <c r="K385" t="s">
        <v>82</v>
      </c>
      <c r="L385" s="25">
        <v>44031</v>
      </c>
      <c r="M385">
        <v>7</v>
      </c>
      <c r="N385">
        <v>2020</v>
      </c>
      <c r="O385" t="s">
        <v>106</v>
      </c>
      <c r="P385">
        <v>170</v>
      </c>
      <c r="Q385" s="17">
        <v>44029.881939814812</v>
      </c>
      <c r="R385" t="s">
        <v>120</v>
      </c>
    </row>
    <row r="386" spans="1:18" x14ac:dyDescent="0.3">
      <c r="A386">
        <v>9687578</v>
      </c>
      <c r="B386" t="s">
        <v>79</v>
      </c>
      <c r="C386">
        <v>1330472</v>
      </c>
      <c r="D386" t="s">
        <v>109</v>
      </c>
      <c r="E386" t="s">
        <v>130</v>
      </c>
      <c r="F386" t="s">
        <v>17</v>
      </c>
      <c r="G386" t="s">
        <v>133</v>
      </c>
      <c r="H386" t="s">
        <v>148</v>
      </c>
      <c r="I386" t="s">
        <v>83</v>
      </c>
      <c r="J386" t="s">
        <v>84</v>
      </c>
      <c r="K386" t="s">
        <v>86</v>
      </c>
      <c r="L386" s="25">
        <v>44031</v>
      </c>
      <c r="M386">
        <v>7</v>
      </c>
      <c r="N386">
        <v>2020</v>
      </c>
      <c r="O386" t="s">
        <v>106</v>
      </c>
      <c r="P386">
        <v>170</v>
      </c>
      <c r="Q386" s="17">
        <v>44032.164261689817</v>
      </c>
      <c r="R386" t="s">
        <v>120</v>
      </c>
    </row>
    <row r="387" spans="1:18" x14ac:dyDescent="0.3">
      <c r="A387">
        <v>9675825</v>
      </c>
      <c r="B387" t="s">
        <v>72</v>
      </c>
      <c r="C387">
        <v>1331399</v>
      </c>
      <c r="D387" t="s">
        <v>104</v>
      </c>
      <c r="E387" t="s">
        <v>12</v>
      </c>
      <c r="F387" t="s">
        <v>12</v>
      </c>
      <c r="G387" t="s">
        <v>124</v>
      </c>
      <c r="H387" t="s">
        <v>95</v>
      </c>
      <c r="I387" t="s">
        <v>81</v>
      </c>
      <c r="J387" t="s">
        <v>42</v>
      </c>
      <c r="K387" t="s">
        <v>82</v>
      </c>
      <c r="L387" s="25">
        <v>44031</v>
      </c>
      <c r="M387">
        <v>7</v>
      </c>
      <c r="N387">
        <v>2020</v>
      </c>
      <c r="O387" t="s">
        <v>106</v>
      </c>
      <c r="P387">
        <v>170</v>
      </c>
      <c r="Q387" s="17">
        <v>44032.073804745371</v>
      </c>
      <c r="R387" t="s">
        <v>120</v>
      </c>
    </row>
    <row r="388" spans="1:18" x14ac:dyDescent="0.3">
      <c r="A388">
        <v>9681031</v>
      </c>
      <c r="B388" t="s">
        <v>79</v>
      </c>
      <c r="C388">
        <v>1326187</v>
      </c>
      <c r="D388" t="s">
        <v>109</v>
      </c>
      <c r="E388" t="s">
        <v>26</v>
      </c>
      <c r="F388" t="s">
        <v>26</v>
      </c>
      <c r="G388" t="s">
        <v>126</v>
      </c>
      <c r="H388" t="s">
        <v>152</v>
      </c>
      <c r="I388" t="s">
        <v>81</v>
      </c>
      <c r="J388" t="s">
        <v>42</v>
      </c>
      <c r="K388" t="s">
        <v>82</v>
      </c>
      <c r="L388" s="25">
        <v>44031</v>
      </c>
      <c r="M388">
        <v>7</v>
      </c>
      <c r="N388">
        <v>2020</v>
      </c>
      <c r="O388" t="s">
        <v>106</v>
      </c>
      <c r="P388">
        <v>170</v>
      </c>
      <c r="Q388" s="17">
        <v>44032.079157175926</v>
      </c>
      <c r="R388" t="s">
        <v>120</v>
      </c>
    </row>
    <row r="389" spans="1:18" x14ac:dyDescent="0.3">
      <c r="A389">
        <v>21534806</v>
      </c>
      <c r="B389" t="s">
        <v>72</v>
      </c>
      <c r="C389">
        <v>1333982</v>
      </c>
      <c r="D389" t="s">
        <v>104</v>
      </c>
      <c r="E389" t="s">
        <v>12</v>
      </c>
      <c r="F389" t="s">
        <v>12</v>
      </c>
      <c r="G389" t="s">
        <v>124</v>
      </c>
      <c r="H389" t="s">
        <v>95</v>
      </c>
      <c r="I389" t="s">
        <v>81</v>
      </c>
      <c r="J389" t="s">
        <v>42</v>
      </c>
      <c r="K389" t="s">
        <v>82</v>
      </c>
      <c r="L389" s="25">
        <v>44031</v>
      </c>
      <c r="M389">
        <v>7</v>
      </c>
      <c r="N389">
        <v>2020</v>
      </c>
      <c r="O389" t="s">
        <v>106</v>
      </c>
      <c r="P389">
        <v>170</v>
      </c>
      <c r="Q389" s="17">
        <v>44032.078393055555</v>
      </c>
      <c r="R389" t="s">
        <v>120</v>
      </c>
    </row>
    <row r="390" spans="1:18" x14ac:dyDescent="0.3">
      <c r="A390">
        <v>9680339</v>
      </c>
      <c r="B390" t="s">
        <v>76</v>
      </c>
      <c r="C390">
        <v>1335845</v>
      </c>
      <c r="D390" t="s">
        <v>77</v>
      </c>
      <c r="E390" t="s">
        <v>12</v>
      </c>
      <c r="F390" t="s">
        <v>12</v>
      </c>
      <c r="G390" t="s">
        <v>124</v>
      </c>
      <c r="H390" t="s">
        <v>156</v>
      </c>
      <c r="I390" t="s">
        <v>77</v>
      </c>
      <c r="J390" t="s">
        <v>42</v>
      </c>
      <c r="K390" t="s">
        <v>82</v>
      </c>
      <c r="L390" s="25">
        <v>44031</v>
      </c>
      <c r="M390">
        <v>7</v>
      </c>
      <c r="N390">
        <v>2020</v>
      </c>
      <c r="O390" t="s">
        <v>106</v>
      </c>
      <c r="P390">
        <v>170</v>
      </c>
      <c r="Q390" s="17">
        <v>44032.079272569441</v>
      </c>
      <c r="R390" t="s">
        <v>120</v>
      </c>
    </row>
    <row r="391" spans="1:18" x14ac:dyDescent="0.3">
      <c r="A391">
        <v>242775</v>
      </c>
      <c r="B391" t="s">
        <v>79</v>
      </c>
      <c r="C391">
        <v>1327221</v>
      </c>
      <c r="D391" t="s">
        <v>116</v>
      </c>
      <c r="E391" t="s">
        <v>26</v>
      </c>
      <c r="F391" t="s">
        <v>26</v>
      </c>
      <c r="G391" t="s">
        <v>126</v>
      </c>
      <c r="H391" t="s">
        <v>158</v>
      </c>
      <c r="I391" t="s">
        <v>83</v>
      </c>
      <c r="J391" t="s">
        <v>84</v>
      </c>
      <c r="K391" t="s">
        <v>82</v>
      </c>
      <c r="L391" s="25">
        <v>44031</v>
      </c>
      <c r="M391">
        <v>7</v>
      </c>
      <c r="N391">
        <v>2020</v>
      </c>
      <c r="O391" t="s">
        <v>106</v>
      </c>
      <c r="P391">
        <v>170</v>
      </c>
      <c r="Q391" s="17">
        <v>44029.956113541666</v>
      </c>
      <c r="R391" t="s">
        <v>120</v>
      </c>
    </row>
    <row r="392" spans="1:18" x14ac:dyDescent="0.3">
      <c r="A392">
        <v>9687564</v>
      </c>
      <c r="B392" t="s">
        <v>79</v>
      </c>
      <c r="C392">
        <v>1330438</v>
      </c>
      <c r="D392" t="s">
        <v>109</v>
      </c>
      <c r="E392" t="s">
        <v>130</v>
      </c>
      <c r="F392" t="s">
        <v>17</v>
      </c>
      <c r="G392" t="s">
        <v>133</v>
      </c>
      <c r="H392" t="s">
        <v>148</v>
      </c>
      <c r="I392" t="s">
        <v>83</v>
      </c>
      <c r="J392" t="s">
        <v>84</v>
      </c>
      <c r="K392" t="s">
        <v>86</v>
      </c>
      <c r="L392" s="25">
        <v>44031</v>
      </c>
      <c r="M392">
        <v>7</v>
      </c>
      <c r="N392">
        <v>2020</v>
      </c>
      <c r="O392" t="s">
        <v>106</v>
      </c>
      <c r="P392">
        <v>170</v>
      </c>
      <c r="Q392" s="17">
        <v>44032.164330324071</v>
      </c>
      <c r="R392" t="s">
        <v>120</v>
      </c>
    </row>
    <row r="393" spans="1:18" x14ac:dyDescent="0.3">
      <c r="A393">
        <v>9682732</v>
      </c>
      <c r="B393" t="s">
        <v>72</v>
      </c>
      <c r="C393">
        <v>1331933</v>
      </c>
      <c r="D393" t="s">
        <v>104</v>
      </c>
      <c r="E393" t="s">
        <v>12</v>
      </c>
      <c r="F393" t="s">
        <v>12</v>
      </c>
      <c r="G393" t="s">
        <v>124</v>
      </c>
      <c r="H393" t="s">
        <v>95</v>
      </c>
      <c r="I393" t="s">
        <v>81</v>
      </c>
      <c r="J393" t="s">
        <v>42</v>
      </c>
      <c r="K393" t="s">
        <v>82</v>
      </c>
      <c r="L393" s="25">
        <v>44031</v>
      </c>
      <c r="M393">
        <v>7</v>
      </c>
      <c r="N393">
        <v>2020</v>
      </c>
      <c r="O393" t="s">
        <v>106</v>
      </c>
      <c r="P393">
        <v>170</v>
      </c>
      <c r="Q393" s="17">
        <v>44032.073741319444</v>
      </c>
      <c r="R393" t="s">
        <v>120</v>
      </c>
    </row>
    <row r="394" spans="1:18" x14ac:dyDescent="0.3">
      <c r="A394">
        <v>9687348</v>
      </c>
      <c r="B394" t="s">
        <v>79</v>
      </c>
      <c r="C394">
        <v>1330410</v>
      </c>
      <c r="D394" t="s">
        <v>109</v>
      </c>
      <c r="E394" t="s">
        <v>130</v>
      </c>
      <c r="F394" t="s">
        <v>17</v>
      </c>
      <c r="G394" t="s">
        <v>133</v>
      </c>
      <c r="H394" t="s">
        <v>148</v>
      </c>
      <c r="I394" t="s">
        <v>83</v>
      </c>
      <c r="J394" t="s">
        <v>84</v>
      </c>
      <c r="K394" t="s">
        <v>86</v>
      </c>
      <c r="L394" s="25">
        <v>44031</v>
      </c>
      <c r="M394">
        <v>7</v>
      </c>
      <c r="N394">
        <v>2020</v>
      </c>
      <c r="O394" t="s">
        <v>106</v>
      </c>
      <c r="P394">
        <v>170</v>
      </c>
      <c r="Q394" s="17">
        <v>44032.152799884258</v>
      </c>
      <c r="R394" t="s">
        <v>120</v>
      </c>
    </row>
    <row r="395" spans="1:18" x14ac:dyDescent="0.3">
      <c r="A395">
        <v>21527379</v>
      </c>
      <c r="B395" t="s">
        <v>79</v>
      </c>
      <c r="C395">
        <v>1323658</v>
      </c>
      <c r="D395" t="s">
        <v>116</v>
      </c>
      <c r="E395" t="s">
        <v>26</v>
      </c>
      <c r="F395" t="s">
        <v>26</v>
      </c>
      <c r="G395" t="s">
        <v>126</v>
      </c>
      <c r="H395" t="s">
        <v>159</v>
      </c>
      <c r="I395" t="s">
        <v>83</v>
      </c>
      <c r="J395" t="s">
        <v>84</v>
      </c>
      <c r="K395" t="s">
        <v>82</v>
      </c>
      <c r="L395" s="25">
        <v>44031</v>
      </c>
      <c r="M395">
        <v>7</v>
      </c>
      <c r="N395">
        <v>2020</v>
      </c>
      <c r="O395" t="s">
        <v>106</v>
      </c>
      <c r="P395">
        <v>170</v>
      </c>
      <c r="Q395" s="17">
        <v>44029.831653703703</v>
      </c>
      <c r="R395" t="s">
        <v>120</v>
      </c>
    </row>
    <row r="396" spans="1:18" x14ac:dyDescent="0.3">
      <c r="A396">
        <v>9678385</v>
      </c>
      <c r="B396" t="s">
        <v>78</v>
      </c>
      <c r="C396">
        <v>1318697</v>
      </c>
      <c r="D396" t="s">
        <v>116</v>
      </c>
      <c r="E396">
        <v>966</v>
      </c>
      <c r="F396">
        <v>966</v>
      </c>
      <c r="G396" t="s">
        <v>127</v>
      </c>
      <c r="H396" t="s">
        <v>151</v>
      </c>
      <c r="I396" t="s">
        <v>83</v>
      </c>
      <c r="J396" t="s">
        <v>84</v>
      </c>
      <c r="K396" t="s">
        <v>86</v>
      </c>
      <c r="L396" s="25">
        <v>44031</v>
      </c>
      <c r="M396">
        <v>7</v>
      </c>
      <c r="N396">
        <v>2020</v>
      </c>
      <c r="O396" t="s">
        <v>106</v>
      </c>
      <c r="P396">
        <v>170</v>
      </c>
      <c r="Q396" s="17">
        <v>44029.941578124999</v>
      </c>
      <c r="R396" t="s">
        <v>120</v>
      </c>
    </row>
    <row r="397" spans="1:18" x14ac:dyDescent="0.3">
      <c r="A397">
        <v>9687314</v>
      </c>
      <c r="B397" t="s">
        <v>79</v>
      </c>
      <c r="C397">
        <v>1330380</v>
      </c>
      <c r="D397" t="s">
        <v>109</v>
      </c>
      <c r="E397" t="s">
        <v>130</v>
      </c>
      <c r="F397" t="s">
        <v>17</v>
      </c>
      <c r="G397" t="s">
        <v>133</v>
      </c>
      <c r="H397" t="s">
        <v>148</v>
      </c>
      <c r="I397" t="s">
        <v>83</v>
      </c>
      <c r="J397" t="s">
        <v>84</v>
      </c>
      <c r="K397" t="s">
        <v>86</v>
      </c>
      <c r="L397" s="25">
        <v>44031</v>
      </c>
      <c r="M397">
        <v>7</v>
      </c>
      <c r="N397">
        <v>2020</v>
      </c>
      <c r="O397" t="s">
        <v>106</v>
      </c>
      <c r="P397">
        <v>170</v>
      </c>
      <c r="Q397" s="17">
        <v>44032.147745023147</v>
      </c>
      <c r="R397" t="s">
        <v>120</v>
      </c>
    </row>
    <row r="398" spans="1:18" x14ac:dyDescent="0.3">
      <c r="A398">
        <v>9687360</v>
      </c>
      <c r="B398" t="s">
        <v>79</v>
      </c>
      <c r="C398">
        <v>1330423</v>
      </c>
      <c r="D398" t="s">
        <v>109</v>
      </c>
      <c r="E398" t="s">
        <v>130</v>
      </c>
      <c r="F398" t="s">
        <v>17</v>
      </c>
      <c r="G398" t="s">
        <v>133</v>
      </c>
      <c r="H398" t="s">
        <v>148</v>
      </c>
      <c r="I398" t="s">
        <v>83</v>
      </c>
      <c r="J398" t="s">
        <v>84</v>
      </c>
      <c r="K398" t="s">
        <v>86</v>
      </c>
      <c r="L398" s="25">
        <v>44031</v>
      </c>
      <c r="M398">
        <v>7</v>
      </c>
      <c r="N398">
        <v>2020</v>
      </c>
      <c r="O398" t="s">
        <v>106</v>
      </c>
      <c r="P398">
        <v>170</v>
      </c>
      <c r="Q398" s="17">
        <v>44032.160987152776</v>
      </c>
      <c r="R398" t="s">
        <v>120</v>
      </c>
    </row>
    <row r="399" spans="1:18" x14ac:dyDescent="0.3">
      <c r="A399">
        <v>9687211</v>
      </c>
      <c r="B399" t="s">
        <v>79</v>
      </c>
      <c r="C399">
        <v>1330366</v>
      </c>
      <c r="D399" t="s">
        <v>109</v>
      </c>
      <c r="E399" t="s">
        <v>130</v>
      </c>
      <c r="F399" t="s">
        <v>17</v>
      </c>
      <c r="G399" t="s">
        <v>133</v>
      </c>
      <c r="H399" t="s">
        <v>148</v>
      </c>
      <c r="I399" t="s">
        <v>83</v>
      </c>
      <c r="J399" t="s">
        <v>84</v>
      </c>
      <c r="K399" t="s">
        <v>86</v>
      </c>
      <c r="L399" s="25">
        <v>44031</v>
      </c>
      <c r="M399">
        <v>7</v>
      </c>
      <c r="N399">
        <v>2020</v>
      </c>
      <c r="O399" t="s">
        <v>106</v>
      </c>
      <c r="P399">
        <v>170</v>
      </c>
      <c r="Q399" s="17">
        <v>44032.145676736109</v>
      </c>
      <c r="R399" t="s">
        <v>120</v>
      </c>
    </row>
    <row r="400" spans="1:18" x14ac:dyDescent="0.3">
      <c r="A400">
        <v>242553</v>
      </c>
      <c r="B400" t="s">
        <v>79</v>
      </c>
      <c r="C400">
        <v>1324807</v>
      </c>
      <c r="D400" t="s">
        <v>116</v>
      </c>
      <c r="E400" t="s">
        <v>26</v>
      </c>
      <c r="F400" t="s">
        <v>26</v>
      </c>
      <c r="G400" t="s">
        <v>126</v>
      </c>
      <c r="H400" t="s">
        <v>163</v>
      </c>
      <c r="I400" t="s">
        <v>83</v>
      </c>
      <c r="J400" t="s">
        <v>84</v>
      </c>
      <c r="K400" t="s">
        <v>82</v>
      </c>
      <c r="L400" s="25">
        <v>44031</v>
      </c>
      <c r="M400">
        <v>7</v>
      </c>
      <c r="N400">
        <v>2020</v>
      </c>
      <c r="O400" t="s">
        <v>106</v>
      </c>
      <c r="P400">
        <v>170</v>
      </c>
      <c r="Q400" s="17">
        <v>44029.862963888889</v>
      </c>
      <c r="R400" t="s">
        <v>120</v>
      </c>
    </row>
    <row r="401" spans="1:18" x14ac:dyDescent="0.3">
      <c r="A401">
        <v>9684020</v>
      </c>
      <c r="B401" t="s">
        <v>79</v>
      </c>
      <c r="C401">
        <v>1331652</v>
      </c>
      <c r="D401" t="s">
        <v>109</v>
      </c>
      <c r="E401" t="s">
        <v>12</v>
      </c>
      <c r="F401" t="s">
        <v>12</v>
      </c>
      <c r="G401" t="s">
        <v>124</v>
      </c>
      <c r="H401" t="s">
        <v>148</v>
      </c>
      <c r="I401" t="s">
        <v>83</v>
      </c>
      <c r="J401" t="s">
        <v>84</v>
      </c>
      <c r="K401" t="s">
        <v>82</v>
      </c>
      <c r="L401" s="25">
        <v>44031</v>
      </c>
      <c r="M401">
        <v>7</v>
      </c>
      <c r="N401">
        <v>2020</v>
      </c>
      <c r="O401" t="s">
        <v>106</v>
      </c>
      <c r="P401">
        <v>170</v>
      </c>
      <c r="Q401" s="17">
        <v>44032.078193518515</v>
      </c>
      <c r="R401" t="s">
        <v>120</v>
      </c>
    </row>
    <row r="402" spans="1:18" x14ac:dyDescent="0.3">
      <c r="A402">
        <v>21531927</v>
      </c>
      <c r="B402" t="s">
        <v>77</v>
      </c>
      <c r="C402">
        <v>1335296</v>
      </c>
      <c r="D402" t="s">
        <v>77</v>
      </c>
      <c r="E402" t="s">
        <v>12</v>
      </c>
      <c r="F402" t="s">
        <v>12</v>
      </c>
      <c r="G402" t="s">
        <v>124</v>
      </c>
      <c r="H402" t="s">
        <v>146</v>
      </c>
      <c r="I402" t="s">
        <v>77</v>
      </c>
      <c r="J402" t="s">
        <v>42</v>
      </c>
      <c r="K402" t="s">
        <v>82</v>
      </c>
      <c r="L402" s="25">
        <v>44031</v>
      </c>
      <c r="M402">
        <v>7</v>
      </c>
      <c r="N402">
        <v>2020</v>
      </c>
      <c r="O402" t="s">
        <v>106</v>
      </c>
      <c r="P402">
        <v>170</v>
      </c>
      <c r="Q402" s="17">
        <v>44032.089742939817</v>
      </c>
      <c r="R402" t="s">
        <v>120</v>
      </c>
    </row>
    <row r="403" spans="1:18" x14ac:dyDescent="0.3">
      <c r="A403">
        <v>9688284</v>
      </c>
      <c r="B403" t="s">
        <v>77</v>
      </c>
      <c r="C403">
        <v>1331752</v>
      </c>
      <c r="D403" t="s">
        <v>77</v>
      </c>
      <c r="E403" t="s">
        <v>12</v>
      </c>
      <c r="F403" t="s">
        <v>12</v>
      </c>
      <c r="G403" t="s">
        <v>124</v>
      </c>
      <c r="H403" t="s">
        <v>156</v>
      </c>
      <c r="I403" t="s">
        <v>77</v>
      </c>
      <c r="J403" t="s">
        <v>42</v>
      </c>
      <c r="K403" t="s">
        <v>82</v>
      </c>
      <c r="L403" s="25">
        <v>44031</v>
      </c>
      <c r="M403">
        <v>7</v>
      </c>
      <c r="N403">
        <v>2020</v>
      </c>
      <c r="O403" t="s">
        <v>106</v>
      </c>
      <c r="P403">
        <v>170</v>
      </c>
      <c r="Q403" s="17">
        <v>44032.076943981483</v>
      </c>
      <c r="R403" t="s">
        <v>120</v>
      </c>
    </row>
    <row r="404" spans="1:18" x14ac:dyDescent="0.3">
      <c r="A404">
        <v>245692</v>
      </c>
      <c r="B404" t="s">
        <v>77</v>
      </c>
      <c r="C404">
        <v>1336839</v>
      </c>
      <c r="D404" t="s">
        <v>77</v>
      </c>
      <c r="E404" t="s">
        <v>12</v>
      </c>
      <c r="F404" t="s">
        <v>12</v>
      </c>
      <c r="G404" t="s">
        <v>124</v>
      </c>
      <c r="H404" t="s">
        <v>150</v>
      </c>
      <c r="I404" t="s">
        <v>77</v>
      </c>
      <c r="J404" t="s">
        <v>42</v>
      </c>
      <c r="K404" t="s">
        <v>82</v>
      </c>
      <c r="L404" s="25">
        <v>44031</v>
      </c>
      <c r="M404">
        <v>7</v>
      </c>
      <c r="N404">
        <v>2020</v>
      </c>
      <c r="O404" t="s">
        <v>106</v>
      </c>
      <c r="P404">
        <v>171</v>
      </c>
      <c r="Q404" s="17">
        <v>44032.090141319444</v>
      </c>
      <c r="R404" t="s">
        <v>120</v>
      </c>
    </row>
    <row r="405" spans="1:18" x14ac:dyDescent="0.3">
      <c r="A405">
        <v>9687085</v>
      </c>
      <c r="B405" t="s">
        <v>79</v>
      </c>
      <c r="C405">
        <v>1330330</v>
      </c>
      <c r="D405" t="s">
        <v>109</v>
      </c>
      <c r="E405" t="s">
        <v>130</v>
      </c>
      <c r="F405" t="s">
        <v>17</v>
      </c>
      <c r="G405" t="s">
        <v>133</v>
      </c>
      <c r="H405" t="s">
        <v>148</v>
      </c>
      <c r="I405" t="s">
        <v>83</v>
      </c>
      <c r="J405" t="s">
        <v>84</v>
      </c>
      <c r="K405" t="s">
        <v>86</v>
      </c>
      <c r="L405" s="25">
        <v>44031</v>
      </c>
      <c r="M405">
        <v>7</v>
      </c>
      <c r="N405">
        <v>2020</v>
      </c>
      <c r="O405" t="s">
        <v>106</v>
      </c>
      <c r="P405">
        <v>170</v>
      </c>
      <c r="Q405" s="17">
        <v>44032.141581944445</v>
      </c>
      <c r="R405" t="s">
        <v>120</v>
      </c>
    </row>
    <row r="406" spans="1:18" x14ac:dyDescent="0.3">
      <c r="A406">
        <v>9687464</v>
      </c>
      <c r="B406" t="s">
        <v>79</v>
      </c>
      <c r="C406">
        <v>1330430</v>
      </c>
      <c r="D406" t="s">
        <v>109</v>
      </c>
      <c r="E406" t="s">
        <v>130</v>
      </c>
      <c r="F406" t="s">
        <v>17</v>
      </c>
      <c r="G406" t="s">
        <v>133</v>
      </c>
      <c r="H406" t="s">
        <v>148</v>
      </c>
      <c r="I406" t="s">
        <v>83</v>
      </c>
      <c r="J406" t="s">
        <v>84</v>
      </c>
      <c r="K406" t="s">
        <v>86</v>
      </c>
      <c r="L406" s="25">
        <v>44031</v>
      </c>
      <c r="M406">
        <v>7</v>
      </c>
      <c r="N406">
        <v>2020</v>
      </c>
      <c r="O406" t="s">
        <v>106</v>
      </c>
      <c r="P406">
        <v>170</v>
      </c>
      <c r="Q406" s="17">
        <v>44032.15980173611</v>
      </c>
      <c r="R406" t="s">
        <v>120</v>
      </c>
    </row>
    <row r="407" spans="1:18" x14ac:dyDescent="0.3">
      <c r="A407">
        <v>9663431</v>
      </c>
      <c r="B407" t="s">
        <v>79</v>
      </c>
      <c r="C407">
        <v>1323128</v>
      </c>
      <c r="D407" t="s">
        <v>116</v>
      </c>
      <c r="E407" t="s">
        <v>26</v>
      </c>
      <c r="F407" t="s">
        <v>26</v>
      </c>
      <c r="G407" t="s">
        <v>126</v>
      </c>
      <c r="H407" t="s">
        <v>158</v>
      </c>
      <c r="I407" t="s">
        <v>83</v>
      </c>
      <c r="J407" t="s">
        <v>84</v>
      </c>
      <c r="K407" t="s">
        <v>82</v>
      </c>
      <c r="L407" s="25">
        <v>44031</v>
      </c>
      <c r="M407">
        <v>7</v>
      </c>
      <c r="N407">
        <v>2020</v>
      </c>
      <c r="O407" t="s">
        <v>106</v>
      </c>
      <c r="P407">
        <v>170</v>
      </c>
      <c r="Q407" s="17">
        <v>44029.821885648147</v>
      </c>
      <c r="R407" t="s">
        <v>120</v>
      </c>
    </row>
    <row r="408" spans="1:18" x14ac:dyDescent="0.3">
      <c r="A408">
        <v>242961</v>
      </c>
      <c r="B408" t="s">
        <v>79</v>
      </c>
      <c r="C408">
        <v>1324714</v>
      </c>
      <c r="D408" t="s">
        <v>116</v>
      </c>
      <c r="E408" t="s">
        <v>26</v>
      </c>
      <c r="F408" t="s">
        <v>26</v>
      </c>
      <c r="G408" t="s">
        <v>126</v>
      </c>
      <c r="H408" t="s">
        <v>163</v>
      </c>
      <c r="I408" t="s">
        <v>83</v>
      </c>
      <c r="J408" t="s">
        <v>84</v>
      </c>
      <c r="K408" t="s">
        <v>82</v>
      </c>
      <c r="L408" s="25">
        <v>44031</v>
      </c>
      <c r="M408">
        <v>7</v>
      </c>
      <c r="N408">
        <v>2020</v>
      </c>
      <c r="O408" t="s">
        <v>106</v>
      </c>
      <c r="P408">
        <v>170</v>
      </c>
      <c r="Q408" s="17">
        <v>44029.858878356485</v>
      </c>
      <c r="R408" t="s">
        <v>120</v>
      </c>
    </row>
    <row r="409" spans="1:18" x14ac:dyDescent="0.3">
      <c r="A409">
        <v>9687480</v>
      </c>
      <c r="B409" t="s">
        <v>79</v>
      </c>
      <c r="C409">
        <v>1330473</v>
      </c>
      <c r="D409" t="s">
        <v>109</v>
      </c>
      <c r="E409" t="s">
        <v>130</v>
      </c>
      <c r="F409" t="s">
        <v>17</v>
      </c>
      <c r="G409" t="s">
        <v>133</v>
      </c>
      <c r="H409" t="s">
        <v>148</v>
      </c>
      <c r="I409" t="s">
        <v>83</v>
      </c>
      <c r="J409" t="s">
        <v>84</v>
      </c>
      <c r="K409" t="s">
        <v>86</v>
      </c>
      <c r="L409" s="25">
        <v>44031</v>
      </c>
      <c r="M409">
        <v>7</v>
      </c>
      <c r="N409">
        <v>2020</v>
      </c>
      <c r="O409" t="s">
        <v>106</v>
      </c>
      <c r="P409">
        <v>170</v>
      </c>
      <c r="Q409" s="17">
        <v>44032.163981712962</v>
      </c>
      <c r="R409" t="s">
        <v>120</v>
      </c>
    </row>
    <row r="410" spans="1:18" x14ac:dyDescent="0.3">
      <c r="A410">
        <v>21527632</v>
      </c>
      <c r="B410" t="s">
        <v>79</v>
      </c>
      <c r="C410">
        <v>1324957</v>
      </c>
      <c r="D410" t="s">
        <v>116</v>
      </c>
      <c r="E410" t="s">
        <v>26</v>
      </c>
      <c r="F410" t="s">
        <v>26</v>
      </c>
      <c r="G410" t="s">
        <v>126</v>
      </c>
      <c r="H410" t="s">
        <v>163</v>
      </c>
      <c r="I410" t="s">
        <v>83</v>
      </c>
      <c r="J410" t="s">
        <v>84</v>
      </c>
      <c r="K410" t="s">
        <v>82</v>
      </c>
      <c r="L410" s="25">
        <v>44031</v>
      </c>
      <c r="M410">
        <v>7</v>
      </c>
      <c r="N410">
        <v>2020</v>
      </c>
      <c r="O410" t="s">
        <v>106</v>
      </c>
      <c r="P410">
        <v>170</v>
      </c>
      <c r="Q410" s="17">
        <v>44029.866295717591</v>
      </c>
      <c r="R410" t="s">
        <v>120</v>
      </c>
    </row>
    <row r="411" spans="1:18" x14ac:dyDescent="0.3">
      <c r="A411">
        <v>21532077</v>
      </c>
      <c r="B411" t="s">
        <v>72</v>
      </c>
      <c r="C411">
        <v>1334662</v>
      </c>
      <c r="D411" t="s">
        <v>104</v>
      </c>
      <c r="E411">
        <v>845</v>
      </c>
      <c r="F411">
        <v>845</v>
      </c>
      <c r="G411" t="s">
        <v>122</v>
      </c>
      <c r="H411" t="s">
        <v>147</v>
      </c>
      <c r="I411" t="s">
        <v>83</v>
      </c>
      <c r="J411" t="s">
        <v>84</v>
      </c>
      <c r="K411" t="s">
        <v>86</v>
      </c>
      <c r="L411" s="25">
        <v>44031</v>
      </c>
      <c r="M411">
        <v>7</v>
      </c>
      <c r="N411">
        <v>2020</v>
      </c>
      <c r="O411" t="s">
        <v>106</v>
      </c>
      <c r="P411">
        <v>170</v>
      </c>
      <c r="Q411" s="17">
        <v>44032.420287615743</v>
      </c>
      <c r="R411" t="s">
        <v>120</v>
      </c>
    </row>
    <row r="412" spans="1:18" x14ac:dyDescent="0.3">
      <c r="A412">
        <v>242205</v>
      </c>
      <c r="B412" t="s">
        <v>72</v>
      </c>
      <c r="C412">
        <v>1323902</v>
      </c>
      <c r="D412" t="s">
        <v>104</v>
      </c>
      <c r="E412" t="s">
        <v>26</v>
      </c>
      <c r="F412" t="s">
        <v>26</v>
      </c>
      <c r="G412" t="s">
        <v>126</v>
      </c>
      <c r="H412" t="s">
        <v>160</v>
      </c>
      <c r="I412" t="s">
        <v>81</v>
      </c>
      <c r="J412" t="s">
        <v>42</v>
      </c>
      <c r="K412" t="s">
        <v>82</v>
      </c>
      <c r="L412" s="25">
        <v>44031</v>
      </c>
      <c r="M412">
        <v>7</v>
      </c>
      <c r="N412">
        <v>2020</v>
      </c>
      <c r="O412" t="s">
        <v>106</v>
      </c>
      <c r="P412">
        <v>170</v>
      </c>
      <c r="Q412" s="17">
        <v>44032.080230902779</v>
      </c>
      <c r="R412" t="s">
        <v>120</v>
      </c>
    </row>
    <row r="413" spans="1:18" x14ac:dyDescent="0.3">
      <c r="A413">
        <v>242490</v>
      </c>
      <c r="B413" t="s">
        <v>72</v>
      </c>
      <c r="C413">
        <v>1324838</v>
      </c>
      <c r="D413" t="s">
        <v>116</v>
      </c>
      <c r="E413" t="s">
        <v>26</v>
      </c>
      <c r="F413" t="s">
        <v>26</v>
      </c>
      <c r="G413" t="s">
        <v>126</v>
      </c>
      <c r="H413" t="s">
        <v>163</v>
      </c>
      <c r="I413" t="s">
        <v>83</v>
      </c>
      <c r="J413" t="s">
        <v>84</v>
      </c>
      <c r="K413" t="s">
        <v>82</v>
      </c>
      <c r="L413" s="25">
        <v>44031</v>
      </c>
      <c r="M413">
        <v>7</v>
      </c>
      <c r="N413">
        <v>2020</v>
      </c>
      <c r="O413" t="s">
        <v>106</v>
      </c>
      <c r="P413">
        <v>170</v>
      </c>
      <c r="Q413" s="17">
        <v>44029.863516898149</v>
      </c>
      <c r="R413" t="s">
        <v>120</v>
      </c>
    </row>
    <row r="414" spans="1:18" x14ac:dyDescent="0.3">
      <c r="A414">
        <v>9687472</v>
      </c>
      <c r="B414" t="s">
        <v>79</v>
      </c>
      <c r="C414">
        <v>1330454</v>
      </c>
      <c r="D414" t="s">
        <v>109</v>
      </c>
      <c r="E414" t="s">
        <v>130</v>
      </c>
      <c r="F414" t="s">
        <v>17</v>
      </c>
      <c r="G414" t="s">
        <v>133</v>
      </c>
      <c r="H414" t="s">
        <v>148</v>
      </c>
      <c r="I414" t="s">
        <v>83</v>
      </c>
      <c r="J414" t="s">
        <v>84</v>
      </c>
      <c r="K414" t="s">
        <v>86</v>
      </c>
      <c r="L414" s="25">
        <v>44031</v>
      </c>
      <c r="M414">
        <v>7</v>
      </c>
      <c r="N414">
        <v>2020</v>
      </c>
      <c r="O414" t="s">
        <v>106</v>
      </c>
      <c r="P414">
        <v>170</v>
      </c>
      <c r="Q414" s="17">
        <v>44032.160610879633</v>
      </c>
      <c r="R414" t="s">
        <v>120</v>
      </c>
    </row>
    <row r="415" spans="1:18" x14ac:dyDescent="0.3">
      <c r="A415">
        <v>9680878</v>
      </c>
      <c r="B415" t="s">
        <v>72</v>
      </c>
      <c r="C415">
        <v>1323584</v>
      </c>
      <c r="D415" t="s">
        <v>104</v>
      </c>
      <c r="E415" t="s">
        <v>118</v>
      </c>
      <c r="F415" t="s">
        <v>17</v>
      </c>
      <c r="G415" t="s">
        <v>119</v>
      </c>
      <c r="H415" t="s">
        <v>153</v>
      </c>
      <c r="I415" t="s">
        <v>81</v>
      </c>
      <c r="J415" t="s">
        <v>42</v>
      </c>
      <c r="K415" t="s">
        <v>86</v>
      </c>
      <c r="L415" s="25">
        <v>44031</v>
      </c>
      <c r="M415">
        <v>7</v>
      </c>
      <c r="N415">
        <v>2020</v>
      </c>
      <c r="O415" t="s">
        <v>106</v>
      </c>
      <c r="P415">
        <v>170</v>
      </c>
      <c r="Q415" s="17">
        <v>44032.2356</v>
      </c>
      <c r="R415" t="s">
        <v>120</v>
      </c>
    </row>
    <row r="416" spans="1:18" x14ac:dyDescent="0.3">
      <c r="A416">
        <v>9677412</v>
      </c>
      <c r="B416" t="s">
        <v>76</v>
      </c>
      <c r="C416">
        <v>1336219</v>
      </c>
      <c r="D416" t="s">
        <v>77</v>
      </c>
      <c r="E416" t="s">
        <v>12</v>
      </c>
      <c r="F416" t="s">
        <v>12</v>
      </c>
      <c r="G416" t="s">
        <v>124</v>
      </c>
      <c r="H416" t="s">
        <v>150</v>
      </c>
      <c r="I416" t="s">
        <v>77</v>
      </c>
      <c r="J416" t="s">
        <v>42</v>
      </c>
      <c r="K416" t="s">
        <v>82</v>
      </c>
      <c r="L416" s="25">
        <v>44031</v>
      </c>
      <c r="M416">
        <v>7</v>
      </c>
      <c r="N416">
        <v>2020</v>
      </c>
      <c r="O416" t="s">
        <v>106</v>
      </c>
      <c r="P416">
        <v>170</v>
      </c>
      <c r="Q416" s="17">
        <v>44032.083793981481</v>
      </c>
      <c r="R416" t="s">
        <v>120</v>
      </c>
    </row>
    <row r="417" spans="1:18" x14ac:dyDescent="0.3">
      <c r="A417">
        <v>9687721</v>
      </c>
      <c r="B417" t="s">
        <v>72</v>
      </c>
      <c r="C417">
        <v>1330718</v>
      </c>
      <c r="D417" t="s">
        <v>104</v>
      </c>
      <c r="E417">
        <v>820</v>
      </c>
      <c r="F417">
        <v>820</v>
      </c>
      <c r="G417" t="s">
        <v>125</v>
      </c>
      <c r="H417" t="s">
        <v>155</v>
      </c>
      <c r="I417" t="s">
        <v>81</v>
      </c>
      <c r="J417" t="s">
        <v>42</v>
      </c>
      <c r="K417" t="s">
        <v>82</v>
      </c>
      <c r="L417" s="25">
        <v>44031</v>
      </c>
      <c r="M417">
        <v>7</v>
      </c>
      <c r="N417">
        <v>2020</v>
      </c>
      <c r="O417" t="s">
        <v>106</v>
      </c>
      <c r="P417">
        <v>170</v>
      </c>
      <c r="Q417" s="17">
        <v>44032.200147916665</v>
      </c>
      <c r="R417" t="s">
        <v>120</v>
      </c>
    </row>
    <row r="418" spans="1:18" x14ac:dyDescent="0.3">
      <c r="A418">
        <v>9687714</v>
      </c>
      <c r="B418" t="s">
        <v>79</v>
      </c>
      <c r="C418">
        <v>1330804</v>
      </c>
      <c r="D418" t="s">
        <v>116</v>
      </c>
      <c r="E418">
        <v>820</v>
      </c>
      <c r="F418">
        <v>820</v>
      </c>
      <c r="G418" t="s">
        <v>125</v>
      </c>
      <c r="H418" t="s">
        <v>161</v>
      </c>
      <c r="I418" t="s">
        <v>83</v>
      </c>
      <c r="J418" t="s">
        <v>84</v>
      </c>
      <c r="K418" t="s">
        <v>82</v>
      </c>
      <c r="L418" s="25">
        <v>44031</v>
      </c>
      <c r="M418">
        <v>7</v>
      </c>
      <c r="N418">
        <v>2020</v>
      </c>
      <c r="O418" t="s">
        <v>106</v>
      </c>
      <c r="P418">
        <v>170</v>
      </c>
      <c r="Q418" s="17">
        <v>44030.207192476853</v>
      </c>
      <c r="R418" t="s">
        <v>120</v>
      </c>
    </row>
    <row r="419" spans="1:18" x14ac:dyDescent="0.3">
      <c r="A419">
        <v>245891</v>
      </c>
      <c r="B419" t="s">
        <v>78</v>
      </c>
      <c r="C419">
        <v>1336752</v>
      </c>
      <c r="D419" t="s">
        <v>112</v>
      </c>
      <c r="E419" t="s">
        <v>12</v>
      </c>
      <c r="F419" t="s">
        <v>12</v>
      </c>
      <c r="G419" t="s">
        <v>124</v>
      </c>
      <c r="H419" t="s">
        <v>156</v>
      </c>
      <c r="I419" t="s">
        <v>81</v>
      </c>
      <c r="J419" t="s">
        <v>42</v>
      </c>
      <c r="K419" t="s">
        <v>82</v>
      </c>
      <c r="L419" s="25">
        <v>44031</v>
      </c>
      <c r="M419">
        <v>7</v>
      </c>
      <c r="N419">
        <v>2020</v>
      </c>
      <c r="O419" t="s">
        <v>106</v>
      </c>
      <c r="P419">
        <v>171</v>
      </c>
      <c r="Q419" s="17">
        <v>44032.08826527778</v>
      </c>
      <c r="R419" t="s">
        <v>120</v>
      </c>
    </row>
    <row r="420" spans="1:18" x14ac:dyDescent="0.3">
      <c r="A420">
        <v>9687321</v>
      </c>
      <c r="B420" t="s">
        <v>79</v>
      </c>
      <c r="C420">
        <v>1330386</v>
      </c>
      <c r="D420" t="s">
        <v>109</v>
      </c>
      <c r="E420" t="s">
        <v>130</v>
      </c>
      <c r="F420" t="s">
        <v>17</v>
      </c>
      <c r="G420" t="s">
        <v>133</v>
      </c>
      <c r="H420" t="s">
        <v>148</v>
      </c>
      <c r="I420" t="s">
        <v>83</v>
      </c>
      <c r="J420" t="s">
        <v>84</v>
      </c>
      <c r="K420" t="s">
        <v>86</v>
      </c>
      <c r="L420" s="25">
        <v>44031</v>
      </c>
      <c r="M420">
        <v>7</v>
      </c>
      <c r="N420">
        <v>2020</v>
      </c>
      <c r="O420" t="s">
        <v>106</v>
      </c>
      <c r="P420">
        <v>170</v>
      </c>
      <c r="Q420" s="17">
        <v>44032.156135185185</v>
      </c>
      <c r="R420" t="s">
        <v>120</v>
      </c>
    </row>
    <row r="421" spans="1:18" x14ac:dyDescent="0.3">
      <c r="A421">
        <v>241769</v>
      </c>
      <c r="B421" t="s">
        <v>79</v>
      </c>
      <c r="C421">
        <v>1323702</v>
      </c>
      <c r="D421" t="s">
        <v>116</v>
      </c>
      <c r="E421" t="s">
        <v>26</v>
      </c>
      <c r="F421" t="s">
        <v>26</v>
      </c>
      <c r="G421" t="s">
        <v>126</v>
      </c>
      <c r="H421" t="s">
        <v>158</v>
      </c>
      <c r="I421" t="s">
        <v>83</v>
      </c>
      <c r="J421" t="s">
        <v>84</v>
      </c>
      <c r="K421" t="s">
        <v>82</v>
      </c>
      <c r="L421" s="25">
        <v>44031</v>
      </c>
      <c r="M421">
        <v>7</v>
      </c>
      <c r="N421">
        <v>2020</v>
      </c>
      <c r="O421" t="s">
        <v>106</v>
      </c>
      <c r="P421">
        <v>170</v>
      </c>
      <c r="Q421" s="17">
        <v>44029.831653703703</v>
      </c>
      <c r="R421" t="s">
        <v>120</v>
      </c>
    </row>
    <row r="422" spans="1:18" x14ac:dyDescent="0.3">
      <c r="A422">
        <v>9666410</v>
      </c>
      <c r="B422" t="s">
        <v>72</v>
      </c>
      <c r="C422">
        <v>1326473</v>
      </c>
      <c r="D422" t="s">
        <v>104</v>
      </c>
      <c r="E422" t="s">
        <v>26</v>
      </c>
      <c r="F422" t="s">
        <v>26</v>
      </c>
      <c r="G422" t="s">
        <v>126</v>
      </c>
      <c r="H422" t="s">
        <v>163</v>
      </c>
      <c r="I422" t="s">
        <v>83</v>
      </c>
      <c r="J422" t="s">
        <v>84</v>
      </c>
      <c r="K422" t="s">
        <v>82</v>
      </c>
      <c r="L422" s="25">
        <v>44031</v>
      </c>
      <c r="M422">
        <v>7</v>
      </c>
      <c r="N422">
        <v>2020</v>
      </c>
      <c r="O422" t="s">
        <v>106</v>
      </c>
      <c r="P422">
        <v>170</v>
      </c>
      <c r="Q422" s="17">
        <v>44032.416435069441</v>
      </c>
      <c r="R422" t="s">
        <v>120</v>
      </c>
    </row>
    <row r="423" spans="1:18" x14ac:dyDescent="0.3">
      <c r="A423">
        <v>245759</v>
      </c>
      <c r="B423" t="s">
        <v>72</v>
      </c>
      <c r="C423">
        <v>1336870</v>
      </c>
      <c r="D423" t="s">
        <v>104</v>
      </c>
      <c r="E423" t="s">
        <v>12</v>
      </c>
      <c r="F423" t="s">
        <v>12</v>
      </c>
      <c r="G423" t="s">
        <v>124</v>
      </c>
      <c r="H423" t="s">
        <v>170</v>
      </c>
      <c r="I423" t="s">
        <v>83</v>
      </c>
      <c r="J423" t="s">
        <v>84</v>
      </c>
      <c r="K423" t="s">
        <v>82</v>
      </c>
      <c r="L423" s="25">
        <v>44031</v>
      </c>
      <c r="M423">
        <v>7</v>
      </c>
      <c r="N423">
        <v>2020</v>
      </c>
      <c r="O423" t="s">
        <v>106</v>
      </c>
      <c r="P423">
        <v>171</v>
      </c>
      <c r="Q423" s="17">
        <v>44032.088159722225</v>
      </c>
      <c r="R423" t="s">
        <v>120</v>
      </c>
    </row>
    <row r="424" spans="1:18" x14ac:dyDescent="0.3">
      <c r="A424">
        <v>21527611</v>
      </c>
      <c r="B424" t="s">
        <v>79</v>
      </c>
      <c r="C424">
        <v>1325655</v>
      </c>
      <c r="D424" t="s">
        <v>116</v>
      </c>
      <c r="E424" t="s">
        <v>26</v>
      </c>
      <c r="F424" t="s">
        <v>26</v>
      </c>
      <c r="G424" t="s">
        <v>126</v>
      </c>
      <c r="H424" t="s">
        <v>163</v>
      </c>
      <c r="I424" t="s">
        <v>83</v>
      </c>
      <c r="J424" t="s">
        <v>84</v>
      </c>
      <c r="K424" t="s">
        <v>82</v>
      </c>
      <c r="L424" s="25">
        <v>44031</v>
      </c>
      <c r="M424">
        <v>7</v>
      </c>
      <c r="N424">
        <v>2020</v>
      </c>
      <c r="O424" t="s">
        <v>106</v>
      </c>
      <c r="P424">
        <v>170</v>
      </c>
      <c r="Q424" s="17">
        <v>44029.904257291666</v>
      </c>
      <c r="R424" t="s">
        <v>120</v>
      </c>
    </row>
    <row r="425" spans="1:18" x14ac:dyDescent="0.3">
      <c r="A425">
        <v>242854</v>
      </c>
      <c r="B425" t="s">
        <v>72</v>
      </c>
      <c r="C425">
        <v>1326073</v>
      </c>
      <c r="D425" t="s">
        <v>104</v>
      </c>
      <c r="E425" t="s">
        <v>26</v>
      </c>
      <c r="F425" t="s">
        <v>26</v>
      </c>
      <c r="G425" t="s">
        <v>126</v>
      </c>
      <c r="H425" t="s">
        <v>160</v>
      </c>
      <c r="I425" t="s">
        <v>81</v>
      </c>
      <c r="J425" t="s">
        <v>42</v>
      </c>
      <c r="K425" t="s">
        <v>82</v>
      </c>
      <c r="L425" s="25">
        <v>44031</v>
      </c>
      <c r="M425">
        <v>7</v>
      </c>
      <c r="N425">
        <v>2020</v>
      </c>
      <c r="O425" t="s">
        <v>106</v>
      </c>
      <c r="P425">
        <v>170</v>
      </c>
      <c r="Q425" s="17">
        <v>44032.088794907409</v>
      </c>
      <c r="R425" t="s">
        <v>120</v>
      </c>
    </row>
    <row r="426" spans="1:18" x14ac:dyDescent="0.3">
      <c r="A426">
        <v>245785</v>
      </c>
      <c r="B426" t="s">
        <v>72</v>
      </c>
      <c r="C426">
        <v>1336887</v>
      </c>
      <c r="D426" t="s">
        <v>104</v>
      </c>
      <c r="E426" t="s">
        <v>12</v>
      </c>
      <c r="F426" t="s">
        <v>12</v>
      </c>
      <c r="G426" t="s">
        <v>124</v>
      </c>
      <c r="H426" t="s">
        <v>151</v>
      </c>
      <c r="I426" t="s">
        <v>83</v>
      </c>
      <c r="J426" t="s">
        <v>84</v>
      </c>
      <c r="K426" t="s">
        <v>82</v>
      </c>
      <c r="L426" s="25">
        <v>44031</v>
      </c>
      <c r="M426">
        <v>7</v>
      </c>
      <c r="N426">
        <v>2020</v>
      </c>
      <c r="O426" t="s">
        <v>106</v>
      </c>
      <c r="P426">
        <v>171</v>
      </c>
      <c r="Q426" s="17">
        <v>44032.090110648147</v>
      </c>
      <c r="R426" t="s">
        <v>120</v>
      </c>
    </row>
    <row r="427" spans="1:18" x14ac:dyDescent="0.3">
      <c r="A427">
        <v>9680913</v>
      </c>
      <c r="B427" t="s">
        <v>72</v>
      </c>
      <c r="C427">
        <v>1326259</v>
      </c>
      <c r="D427" t="s">
        <v>104</v>
      </c>
      <c r="E427" t="s">
        <v>26</v>
      </c>
      <c r="F427" t="s">
        <v>26</v>
      </c>
      <c r="G427" t="s">
        <v>126</v>
      </c>
      <c r="H427" t="s">
        <v>163</v>
      </c>
      <c r="I427" t="s">
        <v>83</v>
      </c>
      <c r="J427" t="s">
        <v>84</v>
      </c>
      <c r="K427" t="s">
        <v>82</v>
      </c>
      <c r="L427" s="25">
        <v>44031</v>
      </c>
      <c r="M427">
        <v>7</v>
      </c>
      <c r="N427">
        <v>2020</v>
      </c>
      <c r="O427" t="s">
        <v>106</v>
      </c>
      <c r="P427">
        <v>170</v>
      </c>
      <c r="Q427" s="17">
        <v>44032.416825578701</v>
      </c>
      <c r="R427" t="s">
        <v>120</v>
      </c>
    </row>
    <row r="428" spans="1:18" x14ac:dyDescent="0.3">
      <c r="A428">
        <v>242568</v>
      </c>
      <c r="B428" t="s">
        <v>79</v>
      </c>
      <c r="C428">
        <v>1327192</v>
      </c>
      <c r="D428" t="s">
        <v>116</v>
      </c>
      <c r="E428" t="s">
        <v>26</v>
      </c>
      <c r="F428" t="s">
        <v>26</v>
      </c>
      <c r="G428" t="s">
        <v>126</v>
      </c>
      <c r="H428" t="s">
        <v>159</v>
      </c>
      <c r="I428" t="s">
        <v>83</v>
      </c>
      <c r="J428" t="s">
        <v>84</v>
      </c>
      <c r="K428" t="s">
        <v>82</v>
      </c>
      <c r="L428" s="25">
        <v>44031</v>
      </c>
      <c r="M428">
        <v>7</v>
      </c>
      <c r="N428">
        <v>2020</v>
      </c>
      <c r="O428" t="s">
        <v>106</v>
      </c>
      <c r="P428">
        <v>170</v>
      </c>
      <c r="Q428" s="17">
        <v>44029.956113541666</v>
      </c>
      <c r="R428" t="s">
        <v>120</v>
      </c>
    </row>
    <row r="429" spans="1:18" x14ac:dyDescent="0.3">
      <c r="A429">
        <v>241117</v>
      </c>
      <c r="B429" t="s">
        <v>72</v>
      </c>
      <c r="C429">
        <v>1320116</v>
      </c>
      <c r="D429" t="s">
        <v>104</v>
      </c>
      <c r="E429" t="s">
        <v>58</v>
      </c>
      <c r="F429" t="s">
        <v>58</v>
      </c>
      <c r="G429" t="s">
        <v>110</v>
      </c>
      <c r="H429" t="s">
        <v>161</v>
      </c>
      <c r="I429" t="s">
        <v>83</v>
      </c>
      <c r="J429" t="s">
        <v>84</v>
      </c>
      <c r="K429" t="s">
        <v>86</v>
      </c>
      <c r="L429" s="25">
        <v>44031</v>
      </c>
      <c r="M429">
        <v>7</v>
      </c>
      <c r="N429">
        <v>2020</v>
      </c>
      <c r="O429" t="s">
        <v>106</v>
      </c>
      <c r="P429">
        <v>170</v>
      </c>
      <c r="Q429" s="17">
        <v>44032.441778125001</v>
      </c>
      <c r="R429" t="s">
        <v>107</v>
      </c>
    </row>
    <row r="430" spans="1:18" x14ac:dyDescent="0.3">
      <c r="A430">
        <v>241383</v>
      </c>
      <c r="B430" t="s">
        <v>72</v>
      </c>
      <c r="C430">
        <v>1322120</v>
      </c>
      <c r="D430" t="s">
        <v>104</v>
      </c>
      <c r="E430" t="s">
        <v>57</v>
      </c>
      <c r="F430" t="s">
        <v>57</v>
      </c>
      <c r="G430" t="s">
        <v>105</v>
      </c>
      <c r="H430" t="s">
        <v>161</v>
      </c>
      <c r="I430" t="s">
        <v>83</v>
      </c>
      <c r="J430" t="s">
        <v>84</v>
      </c>
      <c r="K430" t="s">
        <v>86</v>
      </c>
      <c r="L430" s="25">
        <v>44031</v>
      </c>
      <c r="M430">
        <v>7</v>
      </c>
      <c r="N430">
        <v>2020</v>
      </c>
      <c r="O430" t="s">
        <v>106</v>
      </c>
      <c r="P430">
        <v>170</v>
      </c>
      <c r="Q430" s="17">
        <v>44032.470181944445</v>
      </c>
      <c r="R430" t="s">
        <v>107</v>
      </c>
    </row>
    <row r="431" spans="1:18" x14ac:dyDescent="0.3">
      <c r="A431">
        <v>241797</v>
      </c>
      <c r="B431" t="s">
        <v>72</v>
      </c>
      <c r="C431">
        <v>1322422</v>
      </c>
      <c r="D431" t="s">
        <v>104</v>
      </c>
      <c r="E431" t="s">
        <v>58</v>
      </c>
      <c r="F431" t="s">
        <v>58</v>
      </c>
      <c r="G431" t="s">
        <v>110</v>
      </c>
      <c r="H431" t="s">
        <v>161</v>
      </c>
      <c r="I431" t="s">
        <v>83</v>
      </c>
      <c r="J431" t="s">
        <v>84</v>
      </c>
      <c r="K431" t="s">
        <v>86</v>
      </c>
      <c r="L431" s="25">
        <v>44031</v>
      </c>
      <c r="M431">
        <v>7</v>
      </c>
      <c r="N431">
        <v>2020</v>
      </c>
      <c r="O431" t="s">
        <v>106</v>
      </c>
      <c r="P431">
        <v>170</v>
      </c>
      <c r="Q431" s="17">
        <v>44032.471536574078</v>
      </c>
      <c r="R431" t="s">
        <v>107</v>
      </c>
    </row>
    <row r="432" spans="1:18" x14ac:dyDescent="0.3">
      <c r="A432">
        <v>9689837</v>
      </c>
      <c r="B432" t="s">
        <v>72</v>
      </c>
      <c r="C432">
        <v>1332884</v>
      </c>
      <c r="D432" t="s">
        <v>104</v>
      </c>
      <c r="E432" t="s">
        <v>58</v>
      </c>
      <c r="F432" t="s">
        <v>58</v>
      </c>
      <c r="G432" t="s">
        <v>110</v>
      </c>
      <c r="H432" t="s">
        <v>161</v>
      </c>
      <c r="I432" t="s">
        <v>83</v>
      </c>
      <c r="J432" t="s">
        <v>84</v>
      </c>
      <c r="K432" t="s">
        <v>86</v>
      </c>
      <c r="L432" s="25">
        <v>44031</v>
      </c>
      <c r="M432">
        <v>7</v>
      </c>
      <c r="N432">
        <v>2020</v>
      </c>
      <c r="O432" t="s">
        <v>106</v>
      </c>
      <c r="P432">
        <v>170</v>
      </c>
      <c r="Q432" s="17">
        <v>44032.441992129628</v>
      </c>
      <c r="R432" t="s">
        <v>111</v>
      </c>
    </row>
    <row r="433" spans="1:18" x14ac:dyDescent="0.3">
      <c r="A433">
        <v>21531677</v>
      </c>
      <c r="B433" t="s">
        <v>72</v>
      </c>
      <c r="C433">
        <v>1332935</v>
      </c>
      <c r="D433" t="s">
        <v>104</v>
      </c>
      <c r="E433" t="s">
        <v>113</v>
      </c>
      <c r="F433" t="s">
        <v>113</v>
      </c>
      <c r="G433" t="s">
        <v>59</v>
      </c>
      <c r="H433" t="s">
        <v>169</v>
      </c>
      <c r="I433" t="s">
        <v>83</v>
      </c>
      <c r="J433" t="s">
        <v>84</v>
      </c>
      <c r="K433" t="s">
        <v>90</v>
      </c>
      <c r="L433" s="25">
        <v>44031</v>
      </c>
      <c r="M433">
        <v>7</v>
      </c>
      <c r="N433">
        <v>2020</v>
      </c>
      <c r="O433" t="s">
        <v>106</v>
      </c>
      <c r="P433">
        <v>170</v>
      </c>
      <c r="Q433" s="17">
        <v>44032.422557754631</v>
      </c>
      <c r="R433" t="s">
        <v>114</v>
      </c>
    </row>
    <row r="434" spans="1:18" x14ac:dyDescent="0.3">
      <c r="A434">
        <v>21530885</v>
      </c>
      <c r="B434" t="s">
        <v>78</v>
      </c>
      <c r="C434">
        <v>1333786</v>
      </c>
      <c r="D434" t="s">
        <v>112</v>
      </c>
      <c r="E434" t="s">
        <v>12</v>
      </c>
      <c r="F434" t="s">
        <v>12</v>
      </c>
      <c r="G434" t="s">
        <v>124</v>
      </c>
      <c r="H434" t="s">
        <v>150</v>
      </c>
      <c r="I434" t="s">
        <v>81</v>
      </c>
      <c r="J434" t="s">
        <v>42</v>
      </c>
      <c r="K434" t="s">
        <v>82</v>
      </c>
      <c r="L434" s="25">
        <v>44031</v>
      </c>
      <c r="M434">
        <v>7</v>
      </c>
      <c r="N434">
        <v>2020</v>
      </c>
      <c r="O434" t="s">
        <v>106</v>
      </c>
      <c r="P434">
        <v>170</v>
      </c>
      <c r="Q434" s="17">
        <v>44032.079501388886</v>
      </c>
      <c r="R434" t="s">
        <v>120</v>
      </c>
    </row>
    <row r="435" spans="1:18" x14ac:dyDescent="0.3">
      <c r="A435">
        <v>9680250</v>
      </c>
      <c r="B435" t="s">
        <v>78</v>
      </c>
      <c r="C435">
        <v>1335709</v>
      </c>
      <c r="D435" t="s">
        <v>112</v>
      </c>
      <c r="E435" t="s">
        <v>12</v>
      </c>
      <c r="F435" t="s">
        <v>12</v>
      </c>
      <c r="G435" t="s">
        <v>124</v>
      </c>
      <c r="H435" t="s">
        <v>150</v>
      </c>
      <c r="I435" t="s">
        <v>81</v>
      </c>
      <c r="J435" t="s">
        <v>42</v>
      </c>
      <c r="K435" t="s">
        <v>82</v>
      </c>
      <c r="L435" s="25">
        <v>44031</v>
      </c>
      <c r="M435">
        <v>7</v>
      </c>
      <c r="N435">
        <v>2020</v>
      </c>
      <c r="O435" t="s">
        <v>106</v>
      </c>
      <c r="P435">
        <v>170</v>
      </c>
      <c r="Q435" s="17">
        <v>44032.089143287034</v>
      </c>
      <c r="R435" t="s">
        <v>120</v>
      </c>
    </row>
    <row r="436" spans="1:18" x14ac:dyDescent="0.3">
      <c r="A436">
        <v>242189</v>
      </c>
      <c r="B436" t="s">
        <v>79</v>
      </c>
      <c r="C436">
        <v>1324477</v>
      </c>
      <c r="D436" t="s">
        <v>116</v>
      </c>
      <c r="E436" t="s">
        <v>26</v>
      </c>
      <c r="F436" t="s">
        <v>26</v>
      </c>
      <c r="G436" t="s">
        <v>126</v>
      </c>
      <c r="H436" t="s">
        <v>163</v>
      </c>
      <c r="I436" t="s">
        <v>83</v>
      </c>
      <c r="J436" t="s">
        <v>84</v>
      </c>
      <c r="K436" t="s">
        <v>82</v>
      </c>
      <c r="L436" s="25">
        <v>44031</v>
      </c>
      <c r="M436">
        <v>7</v>
      </c>
      <c r="N436">
        <v>2020</v>
      </c>
      <c r="O436" t="s">
        <v>106</v>
      </c>
      <c r="P436">
        <v>170</v>
      </c>
      <c r="Q436" s="17">
        <v>44029.852059837962</v>
      </c>
      <c r="R436" t="s">
        <v>120</v>
      </c>
    </row>
    <row r="437" spans="1:18" x14ac:dyDescent="0.3">
      <c r="A437">
        <v>21528622</v>
      </c>
      <c r="B437" t="s">
        <v>72</v>
      </c>
      <c r="C437">
        <v>1325379</v>
      </c>
      <c r="D437" t="s">
        <v>104</v>
      </c>
      <c r="E437">
        <v>4142</v>
      </c>
      <c r="F437" t="s">
        <v>17</v>
      </c>
      <c r="G437" t="s">
        <v>123</v>
      </c>
      <c r="H437" t="s">
        <v>153</v>
      </c>
      <c r="I437" t="s">
        <v>81</v>
      </c>
      <c r="J437" t="s">
        <v>42</v>
      </c>
      <c r="K437" t="s">
        <v>86</v>
      </c>
      <c r="L437" s="25">
        <v>44031</v>
      </c>
      <c r="M437">
        <v>7</v>
      </c>
      <c r="N437">
        <v>2020</v>
      </c>
      <c r="O437" t="s">
        <v>106</v>
      </c>
      <c r="P437">
        <v>170</v>
      </c>
      <c r="Q437" s="17">
        <v>44032.173193055554</v>
      </c>
      <c r="R437" t="s">
        <v>120</v>
      </c>
    </row>
    <row r="438" spans="1:18" x14ac:dyDescent="0.3">
      <c r="A438">
        <v>242373</v>
      </c>
      <c r="B438" t="s">
        <v>72</v>
      </c>
      <c r="C438">
        <v>1324830</v>
      </c>
      <c r="D438" t="s">
        <v>104</v>
      </c>
      <c r="E438" t="s">
        <v>26</v>
      </c>
      <c r="F438" t="s">
        <v>26</v>
      </c>
      <c r="G438" t="s">
        <v>126</v>
      </c>
      <c r="H438" t="s">
        <v>154</v>
      </c>
      <c r="I438" t="s">
        <v>81</v>
      </c>
      <c r="J438" t="s">
        <v>42</v>
      </c>
      <c r="K438" t="s">
        <v>82</v>
      </c>
      <c r="L438" s="25">
        <v>44031</v>
      </c>
      <c r="M438">
        <v>7</v>
      </c>
      <c r="N438">
        <v>2020</v>
      </c>
      <c r="O438" t="s">
        <v>106</v>
      </c>
      <c r="P438">
        <v>170</v>
      </c>
      <c r="Q438" s="17">
        <v>44032.085766782409</v>
      </c>
      <c r="R438" t="s">
        <v>120</v>
      </c>
    </row>
    <row r="439" spans="1:18" x14ac:dyDescent="0.3">
      <c r="A439">
        <v>9687345</v>
      </c>
      <c r="B439" t="s">
        <v>79</v>
      </c>
      <c r="C439">
        <v>1330412</v>
      </c>
      <c r="D439" t="s">
        <v>109</v>
      </c>
      <c r="E439" t="s">
        <v>130</v>
      </c>
      <c r="F439" t="s">
        <v>17</v>
      </c>
      <c r="G439" t="s">
        <v>133</v>
      </c>
      <c r="H439" t="s">
        <v>148</v>
      </c>
      <c r="I439" t="s">
        <v>83</v>
      </c>
      <c r="J439" t="s">
        <v>84</v>
      </c>
      <c r="K439" t="s">
        <v>86</v>
      </c>
      <c r="L439" s="25">
        <v>44031</v>
      </c>
      <c r="M439">
        <v>7</v>
      </c>
      <c r="N439">
        <v>2020</v>
      </c>
      <c r="O439" t="s">
        <v>106</v>
      </c>
      <c r="P439">
        <v>170</v>
      </c>
      <c r="Q439" s="17">
        <v>44032.157878124999</v>
      </c>
      <c r="R439" t="s">
        <v>120</v>
      </c>
    </row>
    <row r="440" spans="1:18" x14ac:dyDescent="0.3">
      <c r="A440">
        <v>242574</v>
      </c>
      <c r="B440" t="s">
        <v>79</v>
      </c>
      <c r="C440">
        <v>1323877</v>
      </c>
      <c r="D440" t="s">
        <v>116</v>
      </c>
      <c r="E440" t="s">
        <v>26</v>
      </c>
      <c r="F440" t="s">
        <v>26</v>
      </c>
      <c r="G440" t="s">
        <v>126</v>
      </c>
      <c r="H440" t="s">
        <v>163</v>
      </c>
      <c r="I440" t="s">
        <v>83</v>
      </c>
      <c r="J440" t="s">
        <v>84</v>
      </c>
      <c r="K440" t="s">
        <v>82</v>
      </c>
      <c r="L440" s="25">
        <v>44031</v>
      </c>
      <c r="M440">
        <v>7</v>
      </c>
      <c r="N440">
        <v>2020</v>
      </c>
      <c r="O440" t="s">
        <v>106</v>
      </c>
      <c r="P440">
        <v>170</v>
      </c>
      <c r="Q440" s="17">
        <v>44029.835097800926</v>
      </c>
      <c r="R440" t="s">
        <v>120</v>
      </c>
    </row>
    <row r="441" spans="1:18" x14ac:dyDescent="0.3">
      <c r="A441">
        <v>21534441</v>
      </c>
      <c r="B441" t="s">
        <v>72</v>
      </c>
      <c r="C441">
        <v>1335092</v>
      </c>
      <c r="D441" t="s">
        <v>104</v>
      </c>
      <c r="E441">
        <v>845</v>
      </c>
      <c r="F441">
        <v>845</v>
      </c>
      <c r="G441" t="s">
        <v>122</v>
      </c>
      <c r="H441" t="s">
        <v>147</v>
      </c>
      <c r="I441" t="s">
        <v>83</v>
      </c>
      <c r="J441" t="s">
        <v>84</v>
      </c>
      <c r="K441" t="s">
        <v>86</v>
      </c>
      <c r="L441" s="25">
        <v>44031</v>
      </c>
      <c r="M441">
        <v>7</v>
      </c>
      <c r="N441">
        <v>2020</v>
      </c>
      <c r="O441" t="s">
        <v>106</v>
      </c>
      <c r="P441">
        <v>170</v>
      </c>
      <c r="Q441" s="17">
        <v>44032.42011550926</v>
      </c>
      <c r="R441" t="s">
        <v>120</v>
      </c>
    </row>
    <row r="442" spans="1:18" x14ac:dyDescent="0.3">
      <c r="A442">
        <v>9680938</v>
      </c>
      <c r="B442" t="s">
        <v>78</v>
      </c>
      <c r="C442">
        <v>1331680</v>
      </c>
      <c r="D442" t="s">
        <v>112</v>
      </c>
      <c r="E442" t="s">
        <v>12</v>
      </c>
      <c r="F442" t="s">
        <v>12</v>
      </c>
      <c r="G442" t="s">
        <v>124</v>
      </c>
      <c r="H442" t="s">
        <v>150</v>
      </c>
      <c r="I442" t="s">
        <v>81</v>
      </c>
      <c r="J442" t="s">
        <v>42</v>
      </c>
      <c r="K442" t="s">
        <v>82</v>
      </c>
      <c r="L442" s="25">
        <v>44031</v>
      </c>
      <c r="M442">
        <v>7</v>
      </c>
      <c r="N442">
        <v>2020</v>
      </c>
      <c r="O442" t="s">
        <v>106</v>
      </c>
      <c r="P442">
        <v>170</v>
      </c>
      <c r="Q442" s="17">
        <v>44032.076384259257</v>
      </c>
      <c r="R442" t="s">
        <v>120</v>
      </c>
    </row>
    <row r="443" spans="1:18" x14ac:dyDescent="0.3">
      <c r="A443">
        <v>9687469</v>
      </c>
      <c r="B443" t="s">
        <v>79</v>
      </c>
      <c r="C443">
        <v>1330446</v>
      </c>
      <c r="D443" t="s">
        <v>109</v>
      </c>
      <c r="E443" t="s">
        <v>130</v>
      </c>
      <c r="F443" t="s">
        <v>17</v>
      </c>
      <c r="G443" t="s">
        <v>133</v>
      </c>
      <c r="H443" t="s">
        <v>148</v>
      </c>
      <c r="I443" t="s">
        <v>83</v>
      </c>
      <c r="J443" t="s">
        <v>84</v>
      </c>
      <c r="K443" t="s">
        <v>86</v>
      </c>
      <c r="L443" s="25">
        <v>44031</v>
      </c>
      <c r="M443">
        <v>7</v>
      </c>
      <c r="N443">
        <v>2020</v>
      </c>
      <c r="O443" t="s">
        <v>106</v>
      </c>
      <c r="P443">
        <v>170</v>
      </c>
      <c r="Q443" s="17">
        <v>44032.159365277781</v>
      </c>
      <c r="R443" t="s">
        <v>120</v>
      </c>
    </row>
    <row r="444" spans="1:18" x14ac:dyDescent="0.3">
      <c r="A444">
        <v>21526461</v>
      </c>
      <c r="B444" t="s">
        <v>72</v>
      </c>
      <c r="C444">
        <v>1323894</v>
      </c>
      <c r="D444" t="s">
        <v>116</v>
      </c>
      <c r="E444" t="s">
        <v>26</v>
      </c>
      <c r="F444" t="s">
        <v>26</v>
      </c>
      <c r="G444" t="s">
        <v>126</v>
      </c>
      <c r="H444" t="s">
        <v>163</v>
      </c>
      <c r="I444" t="s">
        <v>83</v>
      </c>
      <c r="J444" t="s">
        <v>84</v>
      </c>
      <c r="K444" t="s">
        <v>82</v>
      </c>
      <c r="L444" s="25">
        <v>44031</v>
      </c>
      <c r="M444">
        <v>7</v>
      </c>
      <c r="N444">
        <v>2020</v>
      </c>
      <c r="O444" t="s">
        <v>106</v>
      </c>
      <c r="P444">
        <v>170</v>
      </c>
      <c r="Q444" s="17">
        <v>44029.839090972222</v>
      </c>
      <c r="R444" t="s">
        <v>120</v>
      </c>
    </row>
    <row r="445" spans="1:18" x14ac:dyDescent="0.3">
      <c r="A445">
        <v>9687363</v>
      </c>
      <c r="B445" t="s">
        <v>79</v>
      </c>
      <c r="C445">
        <v>1330429</v>
      </c>
      <c r="D445" t="s">
        <v>109</v>
      </c>
      <c r="E445" t="s">
        <v>130</v>
      </c>
      <c r="F445" t="s">
        <v>17</v>
      </c>
      <c r="G445" t="s">
        <v>133</v>
      </c>
      <c r="H445" t="s">
        <v>148</v>
      </c>
      <c r="I445" t="s">
        <v>83</v>
      </c>
      <c r="J445" t="s">
        <v>84</v>
      </c>
      <c r="K445" t="s">
        <v>86</v>
      </c>
      <c r="L445" s="25">
        <v>44031</v>
      </c>
      <c r="M445">
        <v>7</v>
      </c>
      <c r="N445">
        <v>2020</v>
      </c>
      <c r="O445" t="s">
        <v>106</v>
      </c>
      <c r="P445">
        <v>170</v>
      </c>
      <c r="Q445" s="17">
        <v>44032.156809722219</v>
      </c>
      <c r="R445" t="s">
        <v>120</v>
      </c>
    </row>
    <row r="446" spans="1:18" x14ac:dyDescent="0.3">
      <c r="A446">
        <v>9687336</v>
      </c>
      <c r="B446" t="s">
        <v>79</v>
      </c>
      <c r="C446">
        <v>1330395</v>
      </c>
      <c r="D446" t="s">
        <v>109</v>
      </c>
      <c r="E446" t="s">
        <v>130</v>
      </c>
      <c r="F446" t="s">
        <v>17</v>
      </c>
      <c r="G446" t="s">
        <v>133</v>
      </c>
      <c r="H446" t="s">
        <v>148</v>
      </c>
      <c r="I446" t="s">
        <v>83</v>
      </c>
      <c r="J446" t="s">
        <v>84</v>
      </c>
      <c r="K446" t="s">
        <v>86</v>
      </c>
      <c r="L446" s="25">
        <v>44031</v>
      </c>
      <c r="M446">
        <v>7</v>
      </c>
      <c r="N446">
        <v>2020</v>
      </c>
      <c r="O446" t="s">
        <v>106</v>
      </c>
      <c r="P446">
        <v>170</v>
      </c>
      <c r="Q446" s="17">
        <v>44032.151207060182</v>
      </c>
      <c r="R446" t="s">
        <v>120</v>
      </c>
    </row>
    <row r="447" spans="1:18" x14ac:dyDescent="0.3">
      <c r="A447">
        <v>245496</v>
      </c>
      <c r="B447" t="s">
        <v>72</v>
      </c>
      <c r="C447">
        <v>1337137</v>
      </c>
      <c r="D447" t="s">
        <v>104</v>
      </c>
      <c r="E447" t="s">
        <v>12</v>
      </c>
      <c r="F447" t="s">
        <v>12</v>
      </c>
      <c r="G447" t="s">
        <v>124</v>
      </c>
      <c r="H447" t="s">
        <v>95</v>
      </c>
      <c r="I447" t="s">
        <v>81</v>
      </c>
      <c r="J447" t="s">
        <v>42</v>
      </c>
      <c r="K447" t="s">
        <v>82</v>
      </c>
      <c r="L447" s="25">
        <v>44031</v>
      </c>
      <c r="M447">
        <v>7</v>
      </c>
      <c r="N447">
        <v>2020</v>
      </c>
      <c r="O447" t="s">
        <v>106</v>
      </c>
      <c r="P447">
        <v>170</v>
      </c>
      <c r="Q447" s="17">
        <v>44032.17502638889</v>
      </c>
      <c r="R447" t="s">
        <v>120</v>
      </c>
    </row>
    <row r="448" spans="1:18" x14ac:dyDescent="0.3">
      <c r="A448">
        <v>242309</v>
      </c>
      <c r="B448" t="s">
        <v>79</v>
      </c>
      <c r="C448">
        <v>1323097</v>
      </c>
      <c r="D448" t="s">
        <v>116</v>
      </c>
      <c r="E448" t="s">
        <v>26</v>
      </c>
      <c r="F448" t="s">
        <v>26</v>
      </c>
      <c r="G448" t="s">
        <v>126</v>
      </c>
      <c r="H448" t="s">
        <v>163</v>
      </c>
      <c r="I448" t="s">
        <v>83</v>
      </c>
      <c r="J448" t="s">
        <v>84</v>
      </c>
      <c r="K448" t="s">
        <v>82</v>
      </c>
      <c r="L448" s="25">
        <v>44031</v>
      </c>
      <c r="M448">
        <v>7</v>
      </c>
      <c r="N448">
        <v>2020</v>
      </c>
      <c r="O448" t="s">
        <v>106</v>
      </c>
      <c r="P448">
        <v>170</v>
      </c>
      <c r="Q448" s="17">
        <v>44029.820723958335</v>
      </c>
      <c r="R448" t="s">
        <v>120</v>
      </c>
    </row>
    <row r="449" spans="1:18" x14ac:dyDescent="0.3">
      <c r="A449">
        <v>21533236</v>
      </c>
      <c r="B449" t="s">
        <v>79</v>
      </c>
      <c r="C449">
        <v>1333911</v>
      </c>
      <c r="D449" t="s">
        <v>109</v>
      </c>
      <c r="E449" t="s">
        <v>12</v>
      </c>
      <c r="F449" t="s">
        <v>12</v>
      </c>
      <c r="G449" t="s">
        <v>124</v>
      </c>
      <c r="H449" t="s">
        <v>148</v>
      </c>
      <c r="I449" t="s">
        <v>83</v>
      </c>
      <c r="J449" t="s">
        <v>84</v>
      </c>
      <c r="K449" t="s">
        <v>82</v>
      </c>
      <c r="L449" s="25">
        <v>44031</v>
      </c>
      <c r="M449">
        <v>7</v>
      </c>
      <c r="N449">
        <v>2020</v>
      </c>
      <c r="O449" t="s">
        <v>106</v>
      </c>
      <c r="P449">
        <v>170</v>
      </c>
      <c r="Q449" s="17">
        <v>44032.41922708333</v>
      </c>
      <c r="R449" t="s">
        <v>120</v>
      </c>
    </row>
    <row r="450" spans="1:18" x14ac:dyDescent="0.3">
      <c r="A450">
        <v>9687210</v>
      </c>
      <c r="B450" t="s">
        <v>79</v>
      </c>
      <c r="C450">
        <v>1330367</v>
      </c>
      <c r="D450" t="s">
        <v>109</v>
      </c>
      <c r="E450" t="s">
        <v>130</v>
      </c>
      <c r="F450" t="s">
        <v>17</v>
      </c>
      <c r="G450" t="s">
        <v>133</v>
      </c>
      <c r="H450" t="s">
        <v>148</v>
      </c>
      <c r="I450" t="s">
        <v>83</v>
      </c>
      <c r="J450" t="s">
        <v>84</v>
      </c>
      <c r="K450" t="s">
        <v>86</v>
      </c>
      <c r="L450" s="25">
        <v>44031</v>
      </c>
      <c r="M450">
        <v>7</v>
      </c>
      <c r="N450">
        <v>2020</v>
      </c>
      <c r="O450" t="s">
        <v>106</v>
      </c>
      <c r="P450">
        <v>170</v>
      </c>
      <c r="Q450" s="17">
        <v>44032.146642361113</v>
      </c>
      <c r="R450" t="s">
        <v>120</v>
      </c>
    </row>
    <row r="451" spans="1:18" x14ac:dyDescent="0.3">
      <c r="A451">
        <v>245755</v>
      </c>
      <c r="B451" t="s">
        <v>78</v>
      </c>
      <c r="C451">
        <v>1336988</v>
      </c>
      <c r="D451" t="s">
        <v>112</v>
      </c>
      <c r="E451" t="s">
        <v>12</v>
      </c>
      <c r="F451" t="s">
        <v>12</v>
      </c>
      <c r="G451" t="s">
        <v>124</v>
      </c>
      <c r="H451" t="s">
        <v>156</v>
      </c>
      <c r="I451" t="s">
        <v>81</v>
      </c>
      <c r="J451" t="s">
        <v>42</v>
      </c>
      <c r="K451" t="s">
        <v>82</v>
      </c>
      <c r="L451" s="25">
        <v>44031</v>
      </c>
      <c r="M451">
        <v>7</v>
      </c>
      <c r="N451">
        <v>2020</v>
      </c>
      <c r="O451" t="s">
        <v>106</v>
      </c>
      <c r="P451">
        <v>171</v>
      </c>
      <c r="Q451" s="17">
        <v>44032.092578935182</v>
      </c>
      <c r="R451" t="s">
        <v>120</v>
      </c>
    </row>
    <row r="452" spans="1:18" x14ac:dyDescent="0.3">
      <c r="A452">
        <v>9687192</v>
      </c>
      <c r="B452" t="s">
        <v>79</v>
      </c>
      <c r="C452">
        <v>1330350</v>
      </c>
      <c r="D452" t="s">
        <v>109</v>
      </c>
      <c r="E452" t="s">
        <v>130</v>
      </c>
      <c r="F452" t="s">
        <v>17</v>
      </c>
      <c r="G452" t="s">
        <v>133</v>
      </c>
      <c r="H452" t="s">
        <v>148</v>
      </c>
      <c r="I452" t="s">
        <v>83</v>
      </c>
      <c r="J452" t="s">
        <v>84</v>
      </c>
      <c r="K452" t="s">
        <v>86</v>
      </c>
      <c r="L452" s="25">
        <v>44031</v>
      </c>
      <c r="M452">
        <v>7</v>
      </c>
      <c r="N452">
        <v>2020</v>
      </c>
      <c r="O452" t="s">
        <v>106</v>
      </c>
      <c r="P452">
        <v>170</v>
      </c>
      <c r="Q452" s="17">
        <v>44032.142476388886</v>
      </c>
      <c r="R452" t="s">
        <v>120</v>
      </c>
    </row>
    <row r="453" spans="1:18" x14ac:dyDescent="0.3">
      <c r="A453">
        <v>9687066</v>
      </c>
      <c r="B453" t="s">
        <v>79</v>
      </c>
      <c r="C453">
        <v>1330304</v>
      </c>
      <c r="D453" t="s">
        <v>109</v>
      </c>
      <c r="E453" t="s">
        <v>130</v>
      </c>
      <c r="F453" t="s">
        <v>17</v>
      </c>
      <c r="G453" t="s">
        <v>133</v>
      </c>
      <c r="H453" t="s">
        <v>148</v>
      </c>
      <c r="I453" t="s">
        <v>83</v>
      </c>
      <c r="J453" t="s">
        <v>84</v>
      </c>
      <c r="K453" t="s">
        <v>86</v>
      </c>
      <c r="L453" s="25">
        <v>44031</v>
      </c>
      <c r="M453">
        <v>7</v>
      </c>
      <c r="N453">
        <v>2020</v>
      </c>
      <c r="O453" t="s">
        <v>106</v>
      </c>
      <c r="P453">
        <v>170</v>
      </c>
      <c r="Q453" s="17">
        <v>44032.134558449077</v>
      </c>
      <c r="R453" t="s">
        <v>120</v>
      </c>
    </row>
    <row r="454" spans="1:18" x14ac:dyDescent="0.3">
      <c r="A454">
        <v>9687565</v>
      </c>
      <c r="B454" t="s">
        <v>79</v>
      </c>
      <c r="C454">
        <v>1330436</v>
      </c>
      <c r="D454" t="s">
        <v>109</v>
      </c>
      <c r="E454" t="s">
        <v>130</v>
      </c>
      <c r="F454" t="s">
        <v>17</v>
      </c>
      <c r="G454" t="s">
        <v>133</v>
      </c>
      <c r="H454" t="s">
        <v>148</v>
      </c>
      <c r="I454" t="s">
        <v>83</v>
      </c>
      <c r="J454" t="s">
        <v>84</v>
      </c>
      <c r="K454" t="s">
        <v>86</v>
      </c>
      <c r="L454" s="25">
        <v>44031</v>
      </c>
      <c r="M454">
        <v>7</v>
      </c>
      <c r="N454">
        <v>2020</v>
      </c>
      <c r="O454" t="s">
        <v>106</v>
      </c>
      <c r="P454">
        <v>170</v>
      </c>
      <c r="Q454" s="17">
        <v>44032.157228124997</v>
      </c>
      <c r="R454" t="s">
        <v>120</v>
      </c>
    </row>
    <row r="455" spans="1:18" x14ac:dyDescent="0.3">
      <c r="A455">
        <v>21534375</v>
      </c>
      <c r="B455" t="s">
        <v>77</v>
      </c>
      <c r="C455">
        <v>1335451</v>
      </c>
      <c r="D455" t="s">
        <v>77</v>
      </c>
      <c r="E455" t="s">
        <v>12</v>
      </c>
      <c r="F455" t="s">
        <v>12</v>
      </c>
      <c r="G455" t="s">
        <v>124</v>
      </c>
      <c r="H455" t="s">
        <v>156</v>
      </c>
      <c r="I455" t="s">
        <v>77</v>
      </c>
      <c r="J455" t="s">
        <v>42</v>
      </c>
      <c r="K455" t="s">
        <v>82</v>
      </c>
      <c r="L455" s="25">
        <v>44031</v>
      </c>
      <c r="M455">
        <v>7</v>
      </c>
      <c r="N455">
        <v>2020</v>
      </c>
      <c r="O455" t="s">
        <v>106</v>
      </c>
      <c r="P455">
        <v>170</v>
      </c>
      <c r="Q455" s="17">
        <v>44032.086014699074</v>
      </c>
      <c r="R455" t="s">
        <v>120</v>
      </c>
    </row>
    <row r="456" spans="1:18" x14ac:dyDescent="0.3">
      <c r="A456">
        <v>21534261</v>
      </c>
      <c r="B456" t="s">
        <v>72</v>
      </c>
      <c r="C456">
        <v>1335129</v>
      </c>
      <c r="D456" t="s">
        <v>104</v>
      </c>
      <c r="E456" t="s">
        <v>12</v>
      </c>
      <c r="F456" t="s">
        <v>12</v>
      </c>
      <c r="G456" t="s">
        <v>124</v>
      </c>
      <c r="H456" t="s">
        <v>151</v>
      </c>
      <c r="I456" t="s">
        <v>83</v>
      </c>
      <c r="J456" t="s">
        <v>84</v>
      </c>
      <c r="K456" t="s">
        <v>82</v>
      </c>
      <c r="L456" s="25">
        <v>44031</v>
      </c>
      <c r="M456">
        <v>7</v>
      </c>
      <c r="N456">
        <v>2020</v>
      </c>
      <c r="O456" t="s">
        <v>106</v>
      </c>
      <c r="P456">
        <v>170</v>
      </c>
      <c r="Q456" s="17">
        <v>44032.081259722225</v>
      </c>
      <c r="R456" t="s">
        <v>120</v>
      </c>
    </row>
    <row r="457" spans="1:18" x14ac:dyDescent="0.3">
      <c r="A457">
        <v>21534360</v>
      </c>
      <c r="B457" t="s">
        <v>72</v>
      </c>
      <c r="C457">
        <v>1335229</v>
      </c>
      <c r="D457" t="s">
        <v>104</v>
      </c>
      <c r="E457" t="s">
        <v>12</v>
      </c>
      <c r="F457" t="s">
        <v>12</v>
      </c>
      <c r="G457" t="s">
        <v>124</v>
      </c>
      <c r="H457" t="s">
        <v>163</v>
      </c>
      <c r="I457" t="s">
        <v>83</v>
      </c>
      <c r="J457" t="s">
        <v>84</v>
      </c>
      <c r="K457" t="s">
        <v>82</v>
      </c>
      <c r="L457" s="25">
        <v>44031</v>
      </c>
      <c r="M457">
        <v>7</v>
      </c>
      <c r="N457">
        <v>2020</v>
      </c>
      <c r="O457" t="s">
        <v>106</v>
      </c>
      <c r="P457">
        <v>170</v>
      </c>
      <c r="Q457" s="17">
        <v>44032.080792361114</v>
      </c>
      <c r="R457" t="s">
        <v>120</v>
      </c>
    </row>
    <row r="458" spans="1:18" x14ac:dyDescent="0.3">
      <c r="A458">
        <v>245247</v>
      </c>
      <c r="B458" t="s">
        <v>72</v>
      </c>
      <c r="C458">
        <v>1337101</v>
      </c>
      <c r="D458" t="s">
        <v>104</v>
      </c>
      <c r="E458" t="s">
        <v>12</v>
      </c>
      <c r="F458" t="s">
        <v>12</v>
      </c>
      <c r="G458" t="s">
        <v>124</v>
      </c>
      <c r="H458" t="s">
        <v>163</v>
      </c>
      <c r="I458" t="s">
        <v>83</v>
      </c>
      <c r="J458" t="s">
        <v>84</v>
      </c>
      <c r="K458" t="s">
        <v>82</v>
      </c>
      <c r="L458" s="25">
        <v>44031</v>
      </c>
      <c r="M458">
        <v>7</v>
      </c>
      <c r="N458">
        <v>2020</v>
      </c>
      <c r="O458" t="s">
        <v>106</v>
      </c>
      <c r="P458">
        <v>170</v>
      </c>
      <c r="Q458" s="17">
        <v>44032.17585925926</v>
      </c>
      <c r="R458" t="s">
        <v>120</v>
      </c>
    </row>
    <row r="459" spans="1:18" x14ac:dyDescent="0.3">
      <c r="A459">
        <v>21530918</v>
      </c>
      <c r="B459" t="s">
        <v>78</v>
      </c>
      <c r="C459">
        <v>1335636</v>
      </c>
      <c r="D459" t="s">
        <v>112</v>
      </c>
      <c r="E459" t="s">
        <v>12</v>
      </c>
      <c r="F459" t="s">
        <v>12</v>
      </c>
      <c r="G459" t="s">
        <v>124</v>
      </c>
      <c r="H459" t="s">
        <v>150</v>
      </c>
      <c r="I459" t="s">
        <v>81</v>
      </c>
      <c r="J459" t="s">
        <v>42</v>
      </c>
      <c r="K459" t="s">
        <v>82</v>
      </c>
      <c r="L459" s="25">
        <v>44031</v>
      </c>
      <c r="M459">
        <v>7</v>
      </c>
      <c r="N459">
        <v>2020</v>
      </c>
      <c r="O459" t="s">
        <v>106</v>
      </c>
      <c r="P459">
        <v>170</v>
      </c>
      <c r="Q459" s="17">
        <v>44032.083995023146</v>
      </c>
      <c r="R459" t="s">
        <v>120</v>
      </c>
    </row>
    <row r="460" spans="1:18" x14ac:dyDescent="0.3">
      <c r="A460">
        <v>9687519</v>
      </c>
      <c r="B460" t="s">
        <v>79</v>
      </c>
      <c r="C460">
        <v>1330447</v>
      </c>
      <c r="D460" t="s">
        <v>109</v>
      </c>
      <c r="E460" t="s">
        <v>130</v>
      </c>
      <c r="F460" t="s">
        <v>17</v>
      </c>
      <c r="G460" t="s">
        <v>133</v>
      </c>
      <c r="H460" t="s">
        <v>148</v>
      </c>
      <c r="I460" t="s">
        <v>83</v>
      </c>
      <c r="J460" t="s">
        <v>84</v>
      </c>
      <c r="K460" t="s">
        <v>86</v>
      </c>
      <c r="L460" s="25">
        <v>44031</v>
      </c>
      <c r="M460">
        <v>7</v>
      </c>
      <c r="N460">
        <v>2020</v>
      </c>
      <c r="O460" t="s">
        <v>106</v>
      </c>
      <c r="P460">
        <v>170</v>
      </c>
      <c r="Q460" s="17">
        <v>44032.429805555556</v>
      </c>
      <c r="R460" t="s">
        <v>120</v>
      </c>
    </row>
    <row r="461" spans="1:18" x14ac:dyDescent="0.3">
      <c r="A461">
        <v>21529017</v>
      </c>
      <c r="B461" t="s">
        <v>72</v>
      </c>
      <c r="C461">
        <v>1326405</v>
      </c>
      <c r="D461" t="s">
        <v>104</v>
      </c>
      <c r="E461" t="s">
        <v>26</v>
      </c>
      <c r="F461" t="s">
        <v>26</v>
      </c>
      <c r="G461" t="s">
        <v>126</v>
      </c>
      <c r="H461" t="s">
        <v>147</v>
      </c>
      <c r="I461" t="s">
        <v>83</v>
      </c>
      <c r="J461" t="s">
        <v>84</v>
      </c>
      <c r="K461" t="s">
        <v>82</v>
      </c>
      <c r="L461" s="25">
        <v>44031</v>
      </c>
      <c r="M461">
        <v>7</v>
      </c>
      <c r="N461">
        <v>2020</v>
      </c>
      <c r="O461" t="s">
        <v>106</v>
      </c>
      <c r="P461">
        <v>170</v>
      </c>
      <c r="Q461" s="17">
        <v>44032.088817592594</v>
      </c>
      <c r="R461" t="s">
        <v>120</v>
      </c>
    </row>
    <row r="462" spans="1:18" x14ac:dyDescent="0.3">
      <c r="A462">
        <v>245478</v>
      </c>
      <c r="B462" t="s">
        <v>72</v>
      </c>
      <c r="C462">
        <v>1337165</v>
      </c>
      <c r="D462" t="s">
        <v>104</v>
      </c>
      <c r="E462" t="s">
        <v>12</v>
      </c>
      <c r="F462" t="s">
        <v>12</v>
      </c>
      <c r="G462" t="s">
        <v>124</v>
      </c>
      <c r="H462" t="s">
        <v>159</v>
      </c>
      <c r="I462" t="s">
        <v>83</v>
      </c>
      <c r="J462" t="s">
        <v>84</v>
      </c>
      <c r="K462" t="s">
        <v>82</v>
      </c>
      <c r="L462" s="25">
        <v>44031</v>
      </c>
      <c r="M462">
        <v>7</v>
      </c>
      <c r="N462">
        <v>2020</v>
      </c>
      <c r="O462" t="s">
        <v>106</v>
      </c>
      <c r="P462">
        <v>170</v>
      </c>
      <c r="Q462" s="17">
        <v>44032.175004398145</v>
      </c>
      <c r="R462" t="s">
        <v>120</v>
      </c>
    </row>
    <row r="463" spans="1:18" x14ac:dyDescent="0.3">
      <c r="A463">
        <v>9687666</v>
      </c>
      <c r="B463" t="s">
        <v>72</v>
      </c>
      <c r="C463">
        <v>1330690</v>
      </c>
      <c r="D463" t="s">
        <v>104</v>
      </c>
      <c r="E463">
        <v>820</v>
      </c>
      <c r="F463">
        <v>820</v>
      </c>
      <c r="G463" t="s">
        <v>125</v>
      </c>
      <c r="H463" t="s">
        <v>155</v>
      </c>
      <c r="I463" t="s">
        <v>81</v>
      </c>
      <c r="J463" t="s">
        <v>42</v>
      </c>
      <c r="K463" t="s">
        <v>82</v>
      </c>
      <c r="L463" s="25">
        <v>44031</v>
      </c>
      <c r="M463">
        <v>7</v>
      </c>
      <c r="N463">
        <v>2020</v>
      </c>
      <c r="O463" t="s">
        <v>106</v>
      </c>
      <c r="P463">
        <v>170</v>
      </c>
      <c r="Q463" s="17">
        <v>44032.089400925928</v>
      </c>
      <c r="R463" t="s">
        <v>120</v>
      </c>
    </row>
    <row r="464" spans="1:18" x14ac:dyDescent="0.3">
      <c r="A464">
        <v>242073</v>
      </c>
      <c r="B464" t="s">
        <v>72</v>
      </c>
      <c r="C464">
        <v>1323740</v>
      </c>
      <c r="D464" t="s">
        <v>104</v>
      </c>
      <c r="E464" t="s">
        <v>118</v>
      </c>
      <c r="F464" t="s">
        <v>17</v>
      </c>
      <c r="G464" t="s">
        <v>119</v>
      </c>
      <c r="H464" t="s">
        <v>153</v>
      </c>
      <c r="I464" t="s">
        <v>81</v>
      </c>
      <c r="J464" t="s">
        <v>42</v>
      </c>
      <c r="K464" t="s">
        <v>86</v>
      </c>
      <c r="L464" s="25">
        <v>44031</v>
      </c>
      <c r="M464">
        <v>7</v>
      </c>
      <c r="N464">
        <v>2020</v>
      </c>
      <c r="O464" t="s">
        <v>106</v>
      </c>
      <c r="P464">
        <v>170</v>
      </c>
      <c r="Q464" s="17">
        <v>44032.234676157408</v>
      </c>
      <c r="R464" t="s">
        <v>120</v>
      </c>
    </row>
    <row r="465" spans="1:18" x14ac:dyDescent="0.3">
      <c r="A465">
        <v>245596</v>
      </c>
      <c r="B465" t="s">
        <v>79</v>
      </c>
      <c r="C465">
        <v>1337208</v>
      </c>
      <c r="D465" t="s">
        <v>109</v>
      </c>
      <c r="E465" t="s">
        <v>12</v>
      </c>
      <c r="F465" t="s">
        <v>12</v>
      </c>
      <c r="G465" t="s">
        <v>124</v>
      </c>
      <c r="H465" t="s">
        <v>148</v>
      </c>
      <c r="I465" t="s">
        <v>83</v>
      </c>
      <c r="J465" t="s">
        <v>84</v>
      </c>
      <c r="K465" t="s">
        <v>82</v>
      </c>
      <c r="L465" s="25">
        <v>44031</v>
      </c>
      <c r="M465">
        <v>7</v>
      </c>
      <c r="N465">
        <v>2020</v>
      </c>
      <c r="O465" t="s">
        <v>106</v>
      </c>
      <c r="P465">
        <v>170</v>
      </c>
      <c r="Q465" s="17">
        <v>44032.132602083337</v>
      </c>
      <c r="R465" t="s">
        <v>120</v>
      </c>
    </row>
    <row r="466" spans="1:18" x14ac:dyDescent="0.3">
      <c r="A466">
        <v>21534363</v>
      </c>
      <c r="B466" t="s">
        <v>77</v>
      </c>
      <c r="C466">
        <v>1335470</v>
      </c>
      <c r="D466" t="s">
        <v>77</v>
      </c>
      <c r="E466" t="s">
        <v>12</v>
      </c>
      <c r="F466" t="s">
        <v>12</v>
      </c>
      <c r="G466" t="s">
        <v>124</v>
      </c>
      <c r="H466" t="s">
        <v>156</v>
      </c>
      <c r="I466" t="s">
        <v>77</v>
      </c>
      <c r="J466" t="s">
        <v>42</v>
      </c>
      <c r="K466" t="s">
        <v>82</v>
      </c>
      <c r="L466" s="25">
        <v>44031</v>
      </c>
      <c r="M466">
        <v>7</v>
      </c>
      <c r="N466">
        <v>2020</v>
      </c>
      <c r="O466" t="s">
        <v>106</v>
      </c>
      <c r="P466">
        <v>170</v>
      </c>
      <c r="Q466" s="17">
        <v>44032.083933912036</v>
      </c>
      <c r="R466" t="s">
        <v>120</v>
      </c>
    </row>
    <row r="467" spans="1:18" x14ac:dyDescent="0.3">
      <c r="A467">
        <v>21534288</v>
      </c>
      <c r="B467" t="s">
        <v>78</v>
      </c>
      <c r="C467">
        <v>1333355</v>
      </c>
      <c r="D467" t="s">
        <v>112</v>
      </c>
      <c r="E467" t="s">
        <v>12</v>
      </c>
      <c r="F467" t="s">
        <v>12</v>
      </c>
      <c r="G467" t="s">
        <v>124</v>
      </c>
      <c r="H467" t="s">
        <v>150</v>
      </c>
      <c r="I467" t="s">
        <v>81</v>
      </c>
      <c r="J467" t="s">
        <v>42</v>
      </c>
      <c r="K467" t="s">
        <v>82</v>
      </c>
      <c r="L467" s="25">
        <v>44031</v>
      </c>
      <c r="M467">
        <v>7</v>
      </c>
      <c r="N467">
        <v>2020</v>
      </c>
      <c r="O467" t="s">
        <v>106</v>
      </c>
      <c r="P467">
        <v>170</v>
      </c>
      <c r="Q467" s="17">
        <v>44032.079584837964</v>
      </c>
      <c r="R467" t="s">
        <v>120</v>
      </c>
    </row>
    <row r="468" spans="1:18" x14ac:dyDescent="0.3">
      <c r="A468">
        <v>242187</v>
      </c>
      <c r="B468" t="s">
        <v>72</v>
      </c>
      <c r="C468">
        <v>1322804</v>
      </c>
      <c r="D468" t="s">
        <v>104</v>
      </c>
      <c r="E468" t="s">
        <v>136</v>
      </c>
      <c r="F468" t="s">
        <v>17</v>
      </c>
      <c r="G468" t="s">
        <v>137</v>
      </c>
      <c r="H468" t="s">
        <v>153</v>
      </c>
      <c r="I468" t="s">
        <v>81</v>
      </c>
      <c r="J468" t="s">
        <v>42</v>
      </c>
      <c r="K468" t="s">
        <v>86</v>
      </c>
      <c r="L468" s="25">
        <v>44031</v>
      </c>
      <c r="M468">
        <v>7</v>
      </c>
      <c r="N468">
        <v>2020</v>
      </c>
      <c r="O468" t="s">
        <v>106</v>
      </c>
      <c r="P468">
        <v>170</v>
      </c>
      <c r="Q468" s="17">
        <v>44032.16012685185</v>
      </c>
      <c r="R468" t="s">
        <v>120</v>
      </c>
    </row>
    <row r="469" spans="1:18" x14ac:dyDescent="0.3">
      <c r="A469">
        <v>9681205</v>
      </c>
      <c r="B469" t="s">
        <v>78</v>
      </c>
      <c r="C469">
        <v>1335370</v>
      </c>
      <c r="D469" t="s">
        <v>112</v>
      </c>
      <c r="E469" t="s">
        <v>12</v>
      </c>
      <c r="F469" t="s">
        <v>12</v>
      </c>
      <c r="G469" t="s">
        <v>124</v>
      </c>
      <c r="H469" t="s">
        <v>150</v>
      </c>
      <c r="I469" t="s">
        <v>81</v>
      </c>
      <c r="J469" t="s">
        <v>42</v>
      </c>
      <c r="K469" t="s">
        <v>82</v>
      </c>
      <c r="L469" s="25">
        <v>44031</v>
      </c>
      <c r="M469">
        <v>7</v>
      </c>
      <c r="N469">
        <v>2020</v>
      </c>
      <c r="O469" t="s">
        <v>106</v>
      </c>
      <c r="P469">
        <v>170</v>
      </c>
      <c r="Q469" s="17">
        <v>44032.087294560188</v>
      </c>
      <c r="R469" t="s">
        <v>120</v>
      </c>
    </row>
    <row r="470" spans="1:18" x14ac:dyDescent="0.3">
      <c r="A470">
        <v>242352</v>
      </c>
      <c r="B470" t="s">
        <v>79</v>
      </c>
      <c r="C470">
        <v>1323102</v>
      </c>
      <c r="D470" t="s">
        <v>116</v>
      </c>
      <c r="E470" t="s">
        <v>26</v>
      </c>
      <c r="F470" t="s">
        <v>26</v>
      </c>
      <c r="G470" t="s">
        <v>126</v>
      </c>
      <c r="H470" t="s">
        <v>158</v>
      </c>
      <c r="I470" t="s">
        <v>83</v>
      </c>
      <c r="J470" t="s">
        <v>84</v>
      </c>
      <c r="K470" t="s">
        <v>82</v>
      </c>
      <c r="L470" s="25">
        <v>44031</v>
      </c>
      <c r="M470">
        <v>7</v>
      </c>
      <c r="N470">
        <v>2020</v>
      </c>
      <c r="O470" t="s">
        <v>106</v>
      </c>
      <c r="P470">
        <v>170</v>
      </c>
      <c r="Q470" s="17">
        <v>44029.821885648147</v>
      </c>
      <c r="R470" t="s">
        <v>120</v>
      </c>
    </row>
    <row r="471" spans="1:18" x14ac:dyDescent="0.3">
      <c r="A471">
        <v>9678120</v>
      </c>
      <c r="B471" t="s">
        <v>78</v>
      </c>
      <c r="C471">
        <v>1331683</v>
      </c>
      <c r="D471" t="s">
        <v>112</v>
      </c>
      <c r="E471" t="s">
        <v>12</v>
      </c>
      <c r="F471" t="s">
        <v>12</v>
      </c>
      <c r="G471" t="s">
        <v>124</v>
      </c>
      <c r="H471" t="s">
        <v>150</v>
      </c>
      <c r="I471" t="s">
        <v>81</v>
      </c>
      <c r="J471" t="s">
        <v>42</v>
      </c>
      <c r="K471" t="s">
        <v>82</v>
      </c>
      <c r="L471" s="25">
        <v>44031</v>
      </c>
      <c r="M471">
        <v>7</v>
      </c>
      <c r="N471">
        <v>2020</v>
      </c>
      <c r="O471" t="s">
        <v>106</v>
      </c>
      <c r="P471">
        <v>170</v>
      </c>
      <c r="Q471" s="17">
        <v>44032.076399768521</v>
      </c>
      <c r="R471" t="s">
        <v>120</v>
      </c>
    </row>
    <row r="472" spans="1:18" x14ac:dyDescent="0.3">
      <c r="A472">
        <v>245422</v>
      </c>
      <c r="B472" t="s">
        <v>72</v>
      </c>
      <c r="C472">
        <v>1337099</v>
      </c>
      <c r="D472" t="s">
        <v>104</v>
      </c>
      <c r="E472" t="s">
        <v>12</v>
      </c>
      <c r="F472" t="s">
        <v>12</v>
      </c>
      <c r="G472" t="s">
        <v>124</v>
      </c>
      <c r="H472" t="s">
        <v>163</v>
      </c>
      <c r="I472" t="s">
        <v>83</v>
      </c>
      <c r="J472" t="s">
        <v>84</v>
      </c>
      <c r="K472" t="s">
        <v>82</v>
      </c>
      <c r="L472" s="25">
        <v>44031</v>
      </c>
      <c r="M472">
        <v>7</v>
      </c>
      <c r="N472">
        <v>2020</v>
      </c>
      <c r="O472" t="s">
        <v>106</v>
      </c>
      <c r="P472">
        <v>170</v>
      </c>
      <c r="Q472" s="17">
        <v>44032.135541087962</v>
      </c>
      <c r="R472" t="s">
        <v>120</v>
      </c>
    </row>
    <row r="473" spans="1:18" x14ac:dyDescent="0.3">
      <c r="A473">
        <v>9679941</v>
      </c>
      <c r="B473" t="s">
        <v>72</v>
      </c>
      <c r="C473">
        <v>1335817</v>
      </c>
      <c r="D473" t="s">
        <v>104</v>
      </c>
      <c r="E473" t="s">
        <v>12</v>
      </c>
      <c r="F473" t="s">
        <v>12</v>
      </c>
      <c r="G473" t="s">
        <v>124</v>
      </c>
      <c r="H473" t="s">
        <v>95</v>
      </c>
      <c r="I473" t="s">
        <v>81</v>
      </c>
      <c r="J473" t="s">
        <v>42</v>
      </c>
      <c r="K473" t="s">
        <v>82</v>
      </c>
      <c r="L473" s="25">
        <v>44031</v>
      </c>
      <c r="M473">
        <v>7</v>
      </c>
      <c r="N473">
        <v>2020</v>
      </c>
      <c r="O473" t="s">
        <v>106</v>
      </c>
      <c r="P473">
        <v>170</v>
      </c>
      <c r="Q473" s="17">
        <v>44032.088092824073</v>
      </c>
      <c r="R473" t="s">
        <v>120</v>
      </c>
    </row>
    <row r="474" spans="1:18" x14ac:dyDescent="0.3">
      <c r="A474">
        <v>9687319</v>
      </c>
      <c r="B474" t="s">
        <v>79</v>
      </c>
      <c r="C474">
        <v>1330387</v>
      </c>
      <c r="D474" t="s">
        <v>109</v>
      </c>
      <c r="E474" t="s">
        <v>130</v>
      </c>
      <c r="F474" t="s">
        <v>17</v>
      </c>
      <c r="G474" t="s">
        <v>133</v>
      </c>
      <c r="H474" t="s">
        <v>148</v>
      </c>
      <c r="I474" t="s">
        <v>83</v>
      </c>
      <c r="J474" t="s">
        <v>84</v>
      </c>
      <c r="K474" t="s">
        <v>86</v>
      </c>
      <c r="L474" s="25">
        <v>44031</v>
      </c>
      <c r="M474">
        <v>7</v>
      </c>
      <c r="N474">
        <v>2020</v>
      </c>
      <c r="O474" t="s">
        <v>106</v>
      </c>
      <c r="P474">
        <v>170</v>
      </c>
      <c r="Q474" s="17">
        <v>44032.148860185189</v>
      </c>
      <c r="R474" t="s">
        <v>120</v>
      </c>
    </row>
    <row r="475" spans="1:18" x14ac:dyDescent="0.3">
      <c r="A475">
        <v>9675427</v>
      </c>
      <c r="B475" t="s">
        <v>72</v>
      </c>
      <c r="C475">
        <v>1335932</v>
      </c>
      <c r="D475" t="s">
        <v>104</v>
      </c>
      <c r="E475" t="s">
        <v>12</v>
      </c>
      <c r="F475" t="s">
        <v>12</v>
      </c>
      <c r="G475" t="s">
        <v>124</v>
      </c>
      <c r="H475" t="s">
        <v>163</v>
      </c>
      <c r="I475" t="s">
        <v>83</v>
      </c>
      <c r="J475" t="s">
        <v>84</v>
      </c>
      <c r="K475" t="s">
        <v>82</v>
      </c>
      <c r="L475" s="25">
        <v>44031</v>
      </c>
      <c r="M475">
        <v>7</v>
      </c>
      <c r="N475">
        <v>2020</v>
      </c>
      <c r="O475" t="s">
        <v>106</v>
      </c>
      <c r="P475">
        <v>170</v>
      </c>
      <c r="Q475" s="17">
        <v>44032.077701041664</v>
      </c>
      <c r="R475" t="s">
        <v>120</v>
      </c>
    </row>
    <row r="476" spans="1:18" x14ac:dyDescent="0.3">
      <c r="A476">
        <v>9687048</v>
      </c>
      <c r="B476" t="s">
        <v>79</v>
      </c>
      <c r="C476">
        <v>1330287</v>
      </c>
      <c r="D476" t="s">
        <v>109</v>
      </c>
      <c r="E476" t="s">
        <v>130</v>
      </c>
      <c r="F476" t="s">
        <v>17</v>
      </c>
      <c r="G476" t="s">
        <v>133</v>
      </c>
      <c r="H476" t="s">
        <v>148</v>
      </c>
      <c r="I476" t="s">
        <v>83</v>
      </c>
      <c r="J476" t="s">
        <v>84</v>
      </c>
      <c r="K476" t="s">
        <v>86</v>
      </c>
      <c r="L476" s="25">
        <v>44031</v>
      </c>
      <c r="M476">
        <v>7</v>
      </c>
      <c r="N476">
        <v>2020</v>
      </c>
      <c r="O476" t="s">
        <v>106</v>
      </c>
      <c r="P476">
        <v>170</v>
      </c>
      <c r="Q476" s="17">
        <v>44032.133202662037</v>
      </c>
      <c r="R476" t="s">
        <v>120</v>
      </c>
    </row>
    <row r="477" spans="1:18" x14ac:dyDescent="0.3">
      <c r="A477">
        <v>21531501</v>
      </c>
      <c r="B477" t="s">
        <v>72</v>
      </c>
      <c r="C477">
        <v>1336367</v>
      </c>
      <c r="D477" t="s">
        <v>104</v>
      </c>
      <c r="E477" t="s">
        <v>12</v>
      </c>
      <c r="F477" t="s">
        <v>12</v>
      </c>
      <c r="G477" t="s">
        <v>124</v>
      </c>
      <c r="H477" t="s">
        <v>163</v>
      </c>
      <c r="I477" t="s">
        <v>83</v>
      </c>
      <c r="J477" t="s">
        <v>84</v>
      </c>
      <c r="K477" t="s">
        <v>82</v>
      </c>
      <c r="L477" s="25">
        <v>44031</v>
      </c>
      <c r="M477">
        <v>7</v>
      </c>
      <c r="N477">
        <v>2020</v>
      </c>
      <c r="O477" t="s">
        <v>106</v>
      </c>
      <c r="P477">
        <v>170</v>
      </c>
      <c r="Q477" s="17">
        <v>44032.087051620372</v>
      </c>
      <c r="R477" t="s">
        <v>120</v>
      </c>
    </row>
    <row r="478" spans="1:18" x14ac:dyDescent="0.3">
      <c r="A478">
        <v>9677832</v>
      </c>
      <c r="B478" t="s">
        <v>72</v>
      </c>
      <c r="C478">
        <v>1331724</v>
      </c>
      <c r="D478" t="s">
        <v>104</v>
      </c>
      <c r="E478" t="s">
        <v>12</v>
      </c>
      <c r="F478" t="s">
        <v>12</v>
      </c>
      <c r="G478" t="s">
        <v>124</v>
      </c>
      <c r="H478" t="s">
        <v>95</v>
      </c>
      <c r="I478" t="s">
        <v>81</v>
      </c>
      <c r="J478" t="s">
        <v>42</v>
      </c>
      <c r="K478" t="s">
        <v>82</v>
      </c>
      <c r="L478" s="25">
        <v>44031</v>
      </c>
      <c r="M478">
        <v>7</v>
      </c>
      <c r="N478">
        <v>2020</v>
      </c>
      <c r="O478" t="s">
        <v>106</v>
      </c>
      <c r="P478">
        <v>170</v>
      </c>
      <c r="Q478" s="17">
        <v>44032.073563194448</v>
      </c>
      <c r="R478" t="s">
        <v>120</v>
      </c>
    </row>
    <row r="479" spans="1:18" x14ac:dyDescent="0.3">
      <c r="A479">
        <v>9687715</v>
      </c>
      <c r="B479" t="s">
        <v>72</v>
      </c>
      <c r="C479">
        <v>1330688</v>
      </c>
      <c r="D479" t="s">
        <v>104</v>
      </c>
      <c r="E479">
        <v>820</v>
      </c>
      <c r="F479">
        <v>820</v>
      </c>
      <c r="G479" t="s">
        <v>125</v>
      </c>
      <c r="H479" t="s">
        <v>155</v>
      </c>
      <c r="I479" t="s">
        <v>81</v>
      </c>
      <c r="J479" t="s">
        <v>42</v>
      </c>
      <c r="K479" t="s">
        <v>82</v>
      </c>
      <c r="L479" s="25">
        <v>44031</v>
      </c>
      <c r="M479">
        <v>7</v>
      </c>
      <c r="N479">
        <v>2020</v>
      </c>
      <c r="O479" t="s">
        <v>106</v>
      </c>
      <c r="P479">
        <v>170</v>
      </c>
      <c r="Q479" s="17">
        <v>44032.086528125001</v>
      </c>
      <c r="R479" t="s">
        <v>120</v>
      </c>
    </row>
    <row r="480" spans="1:18" x14ac:dyDescent="0.3">
      <c r="A480">
        <v>9664068</v>
      </c>
      <c r="B480" t="s">
        <v>72</v>
      </c>
      <c r="C480">
        <v>1323935</v>
      </c>
      <c r="D480" t="s">
        <v>104</v>
      </c>
      <c r="E480" t="s">
        <v>26</v>
      </c>
      <c r="F480" t="s">
        <v>26</v>
      </c>
      <c r="G480" t="s">
        <v>126</v>
      </c>
      <c r="H480" t="s">
        <v>157</v>
      </c>
      <c r="I480" t="s">
        <v>83</v>
      </c>
      <c r="J480" t="s">
        <v>84</v>
      </c>
      <c r="K480" t="s">
        <v>82</v>
      </c>
      <c r="L480" s="25">
        <v>44031</v>
      </c>
      <c r="M480">
        <v>7</v>
      </c>
      <c r="N480">
        <v>2020</v>
      </c>
      <c r="O480" t="s">
        <v>106</v>
      </c>
      <c r="P480">
        <v>170</v>
      </c>
      <c r="Q480" s="17">
        <v>44032.083385995371</v>
      </c>
      <c r="R480" t="s">
        <v>120</v>
      </c>
    </row>
    <row r="481" spans="1:18" x14ac:dyDescent="0.3">
      <c r="A481">
        <v>9677481</v>
      </c>
      <c r="B481" t="s">
        <v>79</v>
      </c>
      <c r="C481">
        <v>1334787</v>
      </c>
      <c r="D481" t="s">
        <v>109</v>
      </c>
      <c r="E481" t="s">
        <v>12</v>
      </c>
      <c r="F481" t="s">
        <v>12</v>
      </c>
      <c r="G481" t="s">
        <v>124</v>
      </c>
      <c r="H481" t="s">
        <v>148</v>
      </c>
      <c r="I481" t="s">
        <v>83</v>
      </c>
      <c r="J481" t="s">
        <v>84</v>
      </c>
      <c r="K481" t="s">
        <v>82</v>
      </c>
      <c r="L481" s="25">
        <v>44031</v>
      </c>
      <c r="M481">
        <v>7</v>
      </c>
      <c r="N481">
        <v>2020</v>
      </c>
      <c r="O481" t="s">
        <v>106</v>
      </c>
      <c r="P481">
        <v>170</v>
      </c>
      <c r="Q481" s="17">
        <v>44032.076427083332</v>
      </c>
      <c r="R481" t="s">
        <v>120</v>
      </c>
    </row>
    <row r="482" spans="1:18" x14ac:dyDescent="0.3">
      <c r="A482">
        <v>9687061</v>
      </c>
      <c r="B482" t="s">
        <v>79</v>
      </c>
      <c r="C482">
        <v>1330296</v>
      </c>
      <c r="D482" t="s">
        <v>109</v>
      </c>
      <c r="E482" t="s">
        <v>130</v>
      </c>
      <c r="F482" t="s">
        <v>17</v>
      </c>
      <c r="G482" t="s">
        <v>133</v>
      </c>
      <c r="H482" t="s">
        <v>148</v>
      </c>
      <c r="I482" t="s">
        <v>83</v>
      </c>
      <c r="J482" t="s">
        <v>84</v>
      </c>
      <c r="K482" t="s">
        <v>86</v>
      </c>
      <c r="L482" s="25">
        <v>44031</v>
      </c>
      <c r="M482">
        <v>7</v>
      </c>
      <c r="N482">
        <v>2020</v>
      </c>
      <c r="O482" t="s">
        <v>106</v>
      </c>
      <c r="P482">
        <v>170</v>
      </c>
      <c r="Q482" s="17">
        <v>44032.134484374998</v>
      </c>
      <c r="R482" t="s">
        <v>120</v>
      </c>
    </row>
    <row r="483" spans="1:18" x14ac:dyDescent="0.3">
      <c r="A483">
        <v>9687690</v>
      </c>
      <c r="B483" t="s">
        <v>77</v>
      </c>
      <c r="C483">
        <v>1331375</v>
      </c>
      <c r="D483" t="s">
        <v>77</v>
      </c>
      <c r="E483">
        <v>820</v>
      </c>
      <c r="F483">
        <v>820</v>
      </c>
      <c r="G483" t="s">
        <v>125</v>
      </c>
      <c r="H483" t="s">
        <v>149</v>
      </c>
      <c r="I483" t="s">
        <v>77</v>
      </c>
      <c r="J483" t="s">
        <v>42</v>
      </c>
      <c r="K483" t="s">
        <v>82</v>
      </c>
      <c r="L483" s="25">
        <v>44031</v>
      </c>
      <c r="M483">
        <v>7</v>
      </c>
      <c r="N483">
        <v>2020</v>
      </c>
      <c r="O483" t="s">
        <v>106</v>
      </c>
      <c r="P483">
        <v>170</v>
      </c>
      <c r="Q483" s="17">
        <v>44032.240235648147</v>
      </c>
      <c r="R483" t="s">
        <v>120</v>
      </c>
    </row>
    <row r="484" spans="1:18" x14ac:dyDescent="0.3">
      <c r="A484">
        <v>9663446</v>
      </c>
      <c r="B484" t="s">
        <v>72</v>
      </c>
      <c r="C484">
        <v>1323623</v>
      </c>
      <c r="D484" t="s">
        <v>104</v>
      </c>
      <c r="E484" t="s">
        <v>26</v>
      </c>
      <c r="F484" t="s">
        <v>26</v>
      </c>
      <c r="G484" t="s">
        <v>126</v>
      </c>
      <c r="H484" t="s">
        <v>157</v>
      </c>
      <c r="I484" t="s">
        <v>83</v>
      </c>
      <c r="J484" t="s">
        <v>84</v>
      </c>
      <c r="K484" t="s">
        <v>82</v>
      </c>
      <c r="L484" s="25">
        <v>44031</v>
      </c>
      <c r="M484">
        <v>7</v>
      </c>
      <c r="N484">
        <v>2020</v>
      </c>
      <c r="O484" t="s">
        <v>106</v>
      </c>
      <c r="P484">
        <v>170</v>
      </c>
      <c r="Q484" s="17">
        <v>44032.080057638887</v>
      </c>
      <c r="R484" t="s">
        <v>120</v>
      </c>
    </row>
    <row r="485" spans="1:18" x14ac:dyDescent="0.3">
      <c r="A485">
        <v>9687070</v>
      </c>
      <c r="B485" t="s">
        <v>79</v>
      </c>
      <c r="C485">
        <v>1330307</v>
      </c>
      <c r="D485" t="s">
        <v>109</v>
      </c>
      <c r="E485" t="s">
        <v>130</v>
      </c>
      <c r="F485" t="s">
        <v>17</v>
      </c>
      <c r="G485" t="s">
        <v>133</v>
      </c>
      <c r="H485" t="s">
        <v>148</v>
      </c>
      <c r="I485" t="s">
        <v>83</v>
      </c>
      <c r="J485" t="s">
        <v>84</v>
      </c>
      <c r="K485" t="s">
        <v>86</v>
      </c>
      <c r="L485" s="25">
        <v>44031</v>
      </c>
      <c r="M485">
        <v>7</v>
      </c>
      <c r="N485">
        <v>2020</v>
      </c>
      <c r="O485" t="s">
        <v>106</v>
      </c>
      <c r="P485">
        <v>170</v>
      </c>
      <c r="Q485" s="17">
        <v>44032.135411805553</v>
      </c>
      <c r="R485" t="s">
        <v>120</v>
      </c>
    </row>
    <row r="486" spans="1:18" x14ac:dyDescent="0.3">
      <c r="A486">
        <v>21525894</v>
      </c>
      <c r="B486" t="s">
        <v>79</v>
      </c>
      <c r="C486">
        <v>1323480</v>
      </c>
      <c r="D486" t="s">
        <v>116</v>
      </c>
      <c r="E486" t="s">
        <v>26</v>
      </c>
      <c r="F486" t="s">
        <v>26</v>
      </c>
      <c r="G486" t="s">
        <v>126</v>
      </c>
      <c r="H486" t="s">
        <v>163</v>
      </c>
      <c r="I486" t="s">
        <v>83</v>
      </c>
      <c r="J486" t="s">
        <v>84</v>
      </c>
      <c r="K486" t="s">
        <v>82</v>
      </c>
      <c r="L486" s="25">
        <v>44031</v>
      </c>
      <c r="M486">
        <v>7</v>
      </c>
      <c r="N486">
        <v>2020</v>
      </c>
      <c r="O486" t="s">
        <v>106</v>
      </c>
      <c r="P486">
        <v>170</v>
      </c>
      <c r="Q486" s="17">
        <v>44029.829031828704</v>
      </c>
      <c r="R486" t="s">
        <v>120</v>
      </c>
    </row>
    <row r="487" spans="1:18" x14ac:dyDescent="0.3">
      <c r="A487">
        <v>9687574</v>
      </c>
      <c r="B487" t="s">
        <v>79</v>
      </c>
      <c r="C487">
        <v>1330458</v>
      </c>
      <c r="D487" t="s">
        <v>109</v>
      </c>
      <c r="E487" t="s">
        <v>130</v>
      </c>
      <c r="F487" t="s">
        <v>17</v>
      </c>
      <c r="G487" t="s">
        <v>133</v>
      </c>
      <c r="H487" t="s">
        <v>148</v>
      </c>
      <c r="I487" t="s">
        <v>83</v>
      </c>
      <c r="J487" t="s">
        <v>84</v>
      </c>
      <c r="K487" t="s">
        <v>86</v>
      </c>
      <c r="L487" s="25">
        <v>44031</v>
      </c>
      <c r="M487">
        <v>7</v>
      </c>
      <c r="N487">
        <v>2020</v>
      </c>
      <c r="O487" t="s">
        <v>106</v>
      </c>
      <c r="P487">
        <v>170</v>
      </c>
      <c r="Q487" s="17">
        <v>44032.163198726848</v>
      </c>
      <c r="R487" t="s">
        <v>120</v>
      </c>
    </row>
    <row r="488" spans="1:18" x14ac:dyDescent="0.3">
      <c r="A488">
        <v>9687351</v>
      </c>
      <c r="B488" t="s">
        <v>79</v>
      </c>
      <c r="C488">
        <v>1330415</v>
      </c>
      <c r="D488" t="s">
        <v>109</v>
      </c>
      <c r="E488" t="s">
        <v>130</v>
      </c>
      <c r="F488" t="s">
        <v>17</v>
      </c>
      <c r="G488" t="s">
        <v>133</v>
      </c>
      <c r="H488" t="s">
        <v>148</v>
      </c>
      <c r="I488" t="s">
        <v>83</v>
      </c>
      <c r="J488" t="s">
        <v>84</v>
      </c>
      <c r="K488" t="s">
        <v>86</v>
      </c>
      <c r="L488" s="25">
        <v>44031</v>
      </c>
      <c r="M488">
        <v>7</v>
      </c>
      <c r="N488">
        <v>2020</v>
      </c>
      <c r="O488" t="s">
        <v>106</v>
      </c>
      <c r="P488">
        <v>170</v>
      </c>
      <c r="Q488" s="17">
        <v>44032.154186689811</v>
      </c>
      <c r="R488" t="s">
        <v>120</v>
      </c>
    </row>
    <row r="489" spans="1:18" x14ac:dyDescent="0.3">
      <c r="A489">
        <v>9687076</v>
      </c>
      <c r="B489" t="s">
        <v>79</v>
      </c>
      <c r="C489">
        <v>1330315</v>
      </c>
      <c r="D489" t="s">
        <v>109</v>
      </c>
      <c r="E489" t="s">
        <v>130</v>
      </c>
      <c r="F489" t="s">
        <v>17</v>
      </c>
      <c r="G489" t="s">
        <v>133</v>
      </c>
      <c r="H489" t="s">
        <v>148</v>
      </c>
      <c r="I489" t="s">
        <v>83</v>
      </c>
      <c r="J489" t="s">
        <v>84</v>
      </c>
      <c r="K489" t="s">
        <v>86</v>
      </c>
      <c r="L489" s="25">
        <v>44031</v>
      </c>
      <c r="M489">
        <v>7</v>
      </c>
      <c r="N489">
        <v>2020</v>
      </c>
      <c r="O489" t="s">
        <v>106</v>
      </c>
      <c r="P489">
        <v>170</v>
      </c>
      <c r="Q489" s="17">
        <v>44032.136320370373</v>
      </c>
      <c r="R489" t="s">
        <v>120</v>
      </c>
    </row>
    <row r="490" spans="1:18" x14ac:dyDescent="0.3">
      <c r="A490">
        <v>9687083</v>
      </c>
      <c r="B490" t="s">
        <v>79</v>
      </c>
      <c r="C490">
        <v>1330324</v>
      </c>
      <c r="D490" t="s">
        <v>109</v>
      </c>
      <c r="E490" t="s">
        <v>130</v>
      </c>
      <c r="F490" t="s">
        <v>17</v>
      </c>
      <c r="G490" t="s">
        <v>133</v>
      </c>
      <c r="H490" t="s">
        <v>148</v>
      </c>
      <c r="I490" t="s">
        <v>83</v>
      </c>
      <c r="J490" t="s">
        <v>84</v>
      </c>
      <c r="K490" t="s">
        <v>86</v>
      </c>
      <c r="L490" s="25">
        <v>44031</v>
      </c>
      <c r="M490">
        <v>7</v>
      </c>
      <c r="N490">
        <v>2020</v>
      </c>
      <c r="O490" t="s">
        <v>106</v>
      </c>
      <c r="P490">
        <v>170</v>
      </c>
      <c r="Q490" s="17">
        <v>44032.146184837962</v>
      </c>
      <c r="R490" t="s">
        <v>120</v>
      </c>
    </row>
    <row r="491" spans="1:18" x14ac:dyDescent="0.3">
      <c r="A491">
        <v>9687362</v>
      </c>
      <c r="B491" t="s">
        <v>79</v>
      </c>
      <c r="C491">
        <v>1330422</v>
      </c>
      <c r="D491" t="s">
        <v>109</v>
      </c>
      <c r="E491" t="s">
        <v>130</v>
      </c>
      <c r="F491" t="s">
        <v>17</v>
      </c>
      <c r="G491" t="s">
        <v>133</v>
      </c>
      <c r="H491" t="s">
        <v>148</v>
      </c>
      <c r="I491" t="s">
        <v>83</v>
      </c>
      <c r="J491" t="s">
        <v>84</v>
      </c>
      <c r="K491" t="s">
        <v>86</v>
      </c>
      <c r="L491" s="25">
        <v>44031</v>
      </c>
      <c r="M491">
        <v>7</v>
      </c>
      <c r="N491">
        <v>2020</v>
      </c>
      <c r="O491" t="s">
        <v>106</v>
      </c>
      <c r="P491">
        <v>170</v>
      </c>
      <c r="Q491" s="17">
        <v>44032.155797916668</v>
      </c>
      <c r="R491" t="s">
        <v>120</v>
      </c>
    </row>
    <row r="492" spans="1:18" x14ac:dyDescent="0.3">
      <c r="A492">
        <v>21524996</v>
      </c>
      <c r="B492" t="s">
        <v>72</v>
      </c>
      <c r="C492">
        <v>1322936</v>
      </c>
      <c r="D492" t="s">
        <v>104</v>
      </c>
      <c r="E492" t="s">
        <v>26</v>
      </c>
      <c r="F492" t="s">
        <v>26</v>
      </c>
      <c r="G492" t="s">
        <v>126</v>
      </c>
      <c r="H492" t="s">
        <v>147</v>
      </c>
      <c r="I492" t="s">
        <v>83</v>
      </c>
      <c r="J492" t="s">
        <v>84</v>
      </c>
      <c r="K492" t="s">
        <v>82</v>
      </c>
      <c r="L492" s="25">
        <v>44031</v>
      </c>
      <c r="M492">
        <v>7</v>
      </c>
      <c r="N492">
        <v>2020</v>
      </c>
      <c r="O492" t="s">
        <v>106</v>
      </c>
      <c r="P492">
        <v>170</v>
      </c>
      <c r="Q492" s="17">
        <v>44032.073712731479</v>
      </c>
      <c r="R492" t="s">
        <v>120</v>
      </c>
    </row>
    <row r="493" spans="1:18" x14ac:dyDescent="0.3">
      <c r="A493">
        <v>242916</v>
      </c>
      <c r="B493" t="s">
        <v>79</v>
      </c>
      <c r="C493">
        <v>1327207</v>
      </c>
      <c r="D493" t="s">
        <v>116</v>
      </c>
      <c r="E493" t="s">
        <v>26</v>
      </c>
      <c r="F493" t="s">
        <v>26</v>
      </c>
      <c r="G493" t="s">
        <v>126</v>
      </c>
      <c r="H493" t="s">
        <v>159</v>
      </c>
      <c r="I493" t="s">
        <v>83</v>
      </c>
      <c r="J493" t="s">
        <v>84</v>
      </c>
      <c r="K493" t="s">
        <v>82</v>
      </c>
      <c r="L493" s="25">
        <v>44031</v>
      </c>
      <c r="M493">
        <v>7</v>
      </c>
      <c r="N493">
        <v>2020</v>
      </c>
      <c r="O493" t="s">
        <v>106</v>
      </c>
      <c r="P493">
        <v>170</v>
      </c>
      <c r="Q493" s="17">
        <v>44029.956873958334</v>
      </c>
      <c r="R493" t="s">
        <v>120</v>
      </c>
    </row>
    <row r="494" spans="1:18" x14ac:dyDescent="0.3">
      <c r="A494">
        <v>21530837</v>
      </c>
      <c r="B494" t="s">
        <v>72</v>
      </c>
      <c r="C494">
        <v>1334904</v>
      </c>
      <c r="D494" t="s">
        <v>104</v>
      </c>
      <c r="E494" t="s">
        <v>12</v>
      </c>
      <c r="F494" t="s">
        <v>12</v>
      </c>
      <c r="G494" t="s">
        <v>124</v>
      </c>
      <c r="H494" t="s">
        <v>95</v>
      </c>
      <c r="I494" t="s">
        <v>81</v>
      </c>
      <c r="J494" t="s">
        <v>42</v>
      </c>
      <c r="K494" t="s">
        <v>82</v>
      </c>
      <c r="L494" s="25">
        <v>44031</v>
      </c>
      <c r="M494">
        <v>7</v>
      </c>
      <c r="N494">
        <v>2020</v>
      </c>
      <c r="O494" t="s">
        <v>106</v>
      </c>
      <c r="P494">
        <v>170</v>
      </c>
      <c r="Q494" s="17">
        <v>44032.082209375003</v>
      </c>
      <c r="R494" t="s">
        <v>120</v>
      </c>
    </row>
    <row r="495" spans="1:18" x14ac:dyDescent="0.3">
      <c r="A495">
        <v>21526579</v>
      </c>
      <c r="B495" t="s">
        <v>79</v>
      </c>
      <c r="C495">
        <v>1323529</v>
      </c>
      <c r="D495" t="s">
        <v>116</v>
      </c>
      <c r="E495" t="s">
        <v>26</v>
      </c>
      <c r="F495" t="s">
        <v>26</v>
      </c>
      <c r="G495" t="s">
        <v>126</v>
      </c>
      <c r="H495" t="s">
        <v>163</v>
      </c>
      <c r="I495" t="s">
        <v>83</v>
      </c>
      <c r="J495" t="s">
        <v>84</v>
      </c>
      <c r="K495" t="s">
        <v>82</v>
      </c>
      <c r="L495" s="25">
        <v>44031</v>
      </c>
      <c r="M495">
        <v>7</v>
      </c>
      <c r="N495">
        <v>2020</v>
      </c>
      <c r="O495" t="s">
        <v>106</v>
      </c>
      <c r="P495">
        <v>170</v>
      </c>
      <c r="Q495" s="17">
        <v>44029.829031828704</v>
      </c>
      <c r="R495" t="s">
        <v>120</v>
      </c>
    </row>
    <row r="496" spans="1:18" x14ac:dyDescent="0.3">
      <c r="A496">
        <v>245839</v>
      </c>
      <c r="B496" t="s">
        <v>78</v>
      </c>
      <c r="C496">
        <v>1336974</v>
      </c>
      <c r="D496" t="s">
        <v>112</v>
      </c>
      <c r="E496" t="s">
        <v>12</v>
      </c>
      <c r="F496" t="s">
        <v>12</v>
      </c>
      <c r="G496" t="s">
        <v>124</v>
      </c>
      <c r="H496" t="s">
        <v>150</v>
      </c>
      <c r="I496" t="s">
        <v>81</v>
      </c>
      <c r="J496" t="s">
        <v>42</v>
      </c>
      <c r="K496" t="s">
        <v>82</v>
      </c>
      <c r="L496" s="25">
        <v>44031</v>
      </c>
      <c r="M496">
        <v>7</v>
      </c>
      <c r="N496">
        <v>2020</v>
      </c>
      <c r="O496" t="s">
        <v>106</v>
      </c>
      <c r="P496">
        <v>171</v>
      </c>
      <c r="Q496" s="17">
        <v>44032.09167627315</v>
      </c>
      <c r="R496" t="s">
        <v>120</v>
      </c>
    </row>
    <row r="497" spans="1:18" x14ac:dyDescent="0.3">
      <c r="A497">
        <v>9676481</v>
      </c>
      <c r="B497" t="s">
        <v>72</v>
      </c>
      <c r="C497">
        <v>1333978</v>
      </c>
      <c r="D497" t="s">
        <v>104</v>
      </c>
      <c r="E497" t="s">
        <v>12</v>
      </c>
      <c r="F497" t="s">
        <v>12</v>
      </c>
      <c r="G497" t="s">
        <v>124</v>
      </c>
      <c r="H497" t="s">
        <v>95</v>
      </c>
      <c r="I497" t="s">
        <v>81</v>
      </c>
      <c r="J497" t="s">
        <v>42</v>
      </c>
      <c r="K497" t="s">
        <v>82</v>
      </c>
      <c r="L497" s="25">
        <v>44031</v>
      </c>
      <c r="M497">
        <v>7</v>
      </c>
      <c r="N497">
        <v>2020</v>
      </c>
      <c r="O497" t="s">
        <v>106</v>
      </c>
      <c r="P497">
        <v>170</v>
      </c>
      <c r="Q497" s="17">
        <v>44032.078281944443</v>
      </c>
      <c r="R497" t="s">
        <v>120</v>
      </c>
    </row>
    <row r="498" spans="1:18" x14ac:dyDescent="0.3">
      <c r="A498">
        <v>245701</v>
      </c>
      <c r="B498" t="s">
        <v>78</v>
      </c>
      <c r="C498">
        <v>1336835</v>
      </c>
      <c r="D498" t="s">
        <v>112</v>
      </c>
      <c r="E498" t="s">
        <v>12</v>
      </c>
      <c r="F498" t="s">
        <v>12</v>
      </c>
      <c r="G498" t="s">
        <v>124</v>
      </c>
      <c r="H498" t="s">
        <v>150</v>
      </c>
      <c r="I498" t="s">
        <v>81</v>
      </c>
      <c r="J498" t="s">
        <v>42</v>
      </c>
      <c r="K498" t="s">
        <v>82</v>
      </c>
      <c r="L498" s="25">
        <v>44031</v>
      </c>
      <c r="M498">
        <v>7</v>
      </c>
      <c r="N498">
        <v>2020</v>
      </c>
      <c r="O498" t="s">
        <v>106</v>
      </c>
      <c r="P498">
        <v>171</v>
      </c>
      <c r="Q498" s="17">
        <v>44032.09039085648</v>
      </c>
      <c r="R498" t="s">
        <v>120</v>
      </c>
    </row>
    <row r="499" spans="1:18" x14ac:dyDescent="0.3">
      <c r="A499">
        <v>21533651</v>
      </c>
      <c r="B499" t="s">
        <v>72</v>
      </c>
      <c r="C499">
        <v>1336586</v>
      </c>
      <c r="D499" t="s">
        <v>104</v>
      </c>
      <c r="E499" t="s">
        <v>12</v>
      </c>
      <c r="F499" t="s">
        <v>12</v>
      </c>
      <c r="G499" t="s">
        <v>124</v>
      </c>
      <c r="H499" t="s">
        <v>95</v>
      </c>
      <c r="I499" t="s">
        <v>81</v>
      </c>
      <c r="J499" t="s">
        <v>42</v>
      </c>
      <c r="K499" t="s">
        <v>82</v>
      </c>
      <c r="L499" s="25">
        <v>44031</v>
      </c>
      <c r="M499">
        <v>7</v>
      </c>
      <c r="N499">
        <v>2020</v>
      </c>
      <c r="O499" t="s">
        <v>106</v>
      </c>
      <c r="P499">
        <v>170</v>
      </c>
      <c r="Q499" s="17">
        <v>44032.088445717593</v>
      </c>
      <c r="R499" t="s">
        <v>120</v>
      </c>
    </row>
    <row r="500" spans="1:18" x14ac:dyDescent="0.3">
      <c r="A500">
        <v>242172</v>
      </c>
      <c r="B500" t="s">
        <v>79</v>
      </c>
      <c r="C500">
        <v>1323267</v>
      </c>
      <c r="D500" t="s">
        <v>116</v>
      </c>
      <c r="E500" t="s">
        <v>26</v>
      </c>
      <c r="F500" t="s">
        <v>26</v>
      </c>
      <c r="G500" t="s">
        <v>126</v>
      </c>
      <c r="H500" t="s">
        <v>163</v>
      </c>
      <c r="I500" t="s">
        <v>83</v>
      </c>
      <c r="J500" t="s">
        <v>84</v>
      </c>
      <c r="K500" t="s">
        <v>82</v>
      </c>
      <c r="L500" s="25">
        <v>44031</v>
      </c>
      <c r="M500">
        <v>7</v>
      </c>
      <c r="N500">
        <v>2020</v>
      </c>
      <c r="O500" t="s">
        <v>106</v>
      </c>
      <c r="P500">
        <v>170</v>
      </c>
      <c r="Q500" s="17">
        <v>44029.824742592595</v>
      </c>
      <c r="R500" t="s">
        <v>120</v>
      </c>
    </row>
    <row r="501" spans="1:18" x14ac:dyDescent="0.3">
      <c r="A501">
        <v>9687177</v>
      </c>
      <c r="B501" t="s">
        <v>79</v>
      </c>
      <c r="C501">
        <v>1330334</v>
      </c>
      <c r="D501" t="s">
        <v>109</v>
      </c>
      <c r="E501" t="s">
        <v>130</v>
      </c>
      <c r="F501" t="s">
        <v>17</v>
      </c>
      <c r="G501" t="s">
        <v>133</v>
      </c>
      <c r="H501" t="s">
        <v>148</v>
      </c>
      <c r="I501" t="s">
        <v>83</v>
      </c>
      <c r="J501" t="s">
        <v>84</v>
      </c>
      <c r="K501" t="s">
        <v>86</v>
      </c>
      <c r="L501" s="25">
        <v>44031</v>
      </c>
      <c r="M501">
        <v>7</v>
      </c>
      <c r="N501">
        <v>2020</v>
      </c>
      <c r="O501" t="s">
        <v>106</v>
      </c>
      <c r="P501">
        <v>170</v>
      </c>
      <c r="Q501" s="17">
        <v>44032.14286886574</v>
      </c>
      <c r="R501" t="s">
        <v>120</v>
      </c>
    </row>
    <row r="502" spans="1:18" x14ac:dyDescent="0.3">
      <c r="A502">
        <v>9687077</v>
      </c>
      <c r="B502" t="s">
        <v>79</v>
      </c>
      <c r="C502">
        <v>1330320</v>
      </c>
      <c r="D502" t="s">
        <v>109</v>
      </c>
      <c r="E502" t="s">
        <v>130</v>
      </c>
      <c r="F502" t="s">
        <v>17</v>
      </c>
      <c r="G502" t="s">
        <v>133</v>
      </c>
      <c r="H502" t="s">
        <v>148</v>
      </c>
      <c r="I502" t="s">
        <v>83</v>
      </c>
      <c r="J502" t="s">
        <v>84</v>
      </c>
      <c r="K502" t="s">
        <v>86</v>
      </c>
      <c r="L502" s="25">
        <v>44031</v>
      </c>
      <c r="M502">
        <v>7</v>
      </c>
      <c r="N502">
        <v>2020</v>
      </c>
      <c r="O502" t="s">
        <v>106</v>
      </c>
      <c r="P502">
        <v>170</v>
      </c>
      <c r="Q502" s="17">
        <v>44032.148699074074</v>
      </c>
      <c r="R502" t="s">
        <v>120</v>
      </c>
    </row>
    <row r="503" spans="1:18" x14ac:dyDescent="0.3">
      <c r="A503">
        <v>9687212</v>
      </c>
      <c r="B503" t="s">
        <v>79</v>
      </c>
      <c r="C503">
        <v>1330369</v>
      </c>
      <c r="D503" t="s">
        <v>109</v>
      </c>
      <c r="E503" t="s">
        <v>130</v>
      </c>
      <c r="F503" t="s">
        <v>17</v>
      </c>
      <c r="G503" t="s">
        <v>133</v>
      </c>
      <c r="H503" t="s">
        <v>148</v>
      </c>
      <c r="I503" t="s">
        <v>83</v>
      </c>
      <c r="J503" t="s">
        <v>84</v>
      </c>
      <c r="K503" t="s">
        <v>86</v>
      </c>
      <c r="L503" s="25">
        <v>44031</v>
      </c>
      <c r="M503">
        <v>7</v>
      </c>
      <c r="N503">
        <v>2020</v>
      </c>
      <c r="O503" t="s">
        <v>106</v>
      </c>
      <c r="P503">
        <v>170</v>
      </c>
      <c r="Q503" s="17">
        <v>44032.146618981482</v>
      </c>
      <c r="R503" t="s">
        <v>120</v>
      </c>
    </row>
    <row r="504" spans="1:18" x14ac:dyDescent="0.3">
      <c r="A504">
        <v>21534848</v>
      </c>
      <c r="B504" t="s">
        <v>72</v>
      </c>
      <c r="C504">
        <v>1334428</v>
      </c>
      <c r="D504" t="s">
        <v>104</v>
      </c>
      <c r="E504" t="s">
        <v>12</v>
      </c>
      <c r="F504" t="s">
        <v>12</v>
      </c>
      <c r="G504" t="s">
        <v>124</v>
      </c>
      <c r="H504" t="s">
        <v>95</v>
      </c>
      <c r="I504" t="s">
        <v>81</v>
      </c>
      <c r="J504" t="s">
        <v>42</v>
      </c>
      <c r="K504" t="s">
        <v>82</v>
      </c>
      <c r="L504" s="25">
        <v>44031</v>
      </c>
      <c r="M504">
        <v>7</v>
      </c>
      <c r="N504">
        <v>2020</v>
      </c>
      <c r="O504" t="s">
        <v>106</v>
      </c>
      <c r="P504">
        <v>170</v>
      </c>
      <c r="Q504" s="17">
        <v>44032.075964467593</v>
      </c>
      <c r="R504" t="s">
        <v>120</v>
      </c>
    </row>
    <row r="505" spans="1:18" x14ac:dyDescent="0.3">
      <c r="A505">
        <v>21525894</v>
      </c>
      <c r="B505" t="s">
        <v>79</v>
      </c>
      <c r="C505">
        <v>1323482</v>
      </c>
      <c r="D505" t="s">
        <v>116</v>
      </c>
      <c r="E505" t="s">
        <v>26</v>
      </c>
      <c r="F505" t="s">
        <v>26</v>
      </c>
      <c r="G505" t="s">
        <v>126</v>
      </c>
      <c r="H505" t="s">
        <v>163</v>
      </c>
      <c r="I505" t="s">
        <v>83</v>
      </c>
      <c r="J505" t="s">
        <v>84</v>
      </c>
      <c r="K505" t="s">
        <v>82</v>
      </c>
      <c r="L505" s="25">
        <v>44031</v>
      </c>
      <c r="M505">
        <v>7</v>
      </c>
      <c r="N505">
        <v>2020</v>
      </c>
      <c r="O505" t="s">
        <v>106</v>
      </c>
      <c r="P505">
        <v>170</v>
      </c>
      <c r="Q505" s="17">
        <v>44029.829031828704</v>
      </c>
      <c r="R505" t="s">
        <v>120</v>
      </c>
    </row>
    <row r="506" spans="1:18" x14ac:dyDescent="0.3">
      <c r="A506">
        <v>242906</v>
      </c>
      <c r="B506" t="s">
        <v>72</v>
      </c>
      <c r="C506">
        <v>1325975</v>
      </c>
      <c r="D506" t="s">
        <v>104</v>
      </c>
      <c r="E506" t="s">
        <v>26</v>
      </c>
      <c r="F506" t="s">
        <v>26</v>
      </c>
      <c r="G506" t="s">
        <v>126</v>
      </c>
      <c r="H506" t="s">
        <v>163</v>
      </c>
      <c r="I506" t="s">
        <v>83</v>
      </c>
      <c r="J506" t="s">
        <v>84</v>
      </c>
      <c r="K506" t="s">
        <v>82</v>
      </c>
      <c r="L506" s="25">
        <v>44031</v>
      </c>
      <c r="M506">
        <v>7</v>
      </c>
      <c r="N506">
        <v>2020</v>
      </c>
      <c r="O506" t="s">
        <v>106</v>
      </c>
      <c r="P506">
        <v>170</v>
      </c>
      <c r="Q506" s="17">
        <v>44032.416228472219</v>
      </c>
      <c r="R506" t="s">
        <v>120</v>
      </c>
    </row>
    <row r="507" spans="1:18" x14ac:dyDescent="0.3">
      <c r="A507">
        <v>242496</v>
      </c>
      <c r="B507" t="s">
        <v>72</v>
      </c>
      <c r="C507">
        <v>1325740</v>
      </c>
      <c r="D507" t="s">
        <v>104</v>
      </c>
      <c r="E507" t="s">
        <v>26</v>
      </c>
      <c r="F507" t="s">
        <v>26</v>
      </c>
      <c r="G507" t="s">
        <v>126</v>
      </c>
      <c r="H507" t="s">
        <v>157</v>
      </c>
      <c r="I507" t="s">
        <v>83</v>
      </c>
      <c r="J507" t="s">
        <v>84</v>
      </c>
      <c r="K507" t="s">
        <v>82</v>
      </c>
      <c r="L507" s="25">
        <v>44031</v>
      </c>
      <c r="M507">
        <v>7</v>
      </c>
      <c r="N507">
        <v>2020</v>
      </c>
      <c r="O507" t="s">
        <v>106</v>
      </c>
      <c r="P507">
        <v>170</v>
      </c>
      <c r="Q507" s="17">
        <v>44032.088580555559</v>
      </c>
      <c r="R507" t="s">
        <v>120</v>
      </c>
    </row>
    <row r="508" spans="1:18" x14ac:dyDescent="0.3">
      <c r="A508">
        <v>21534578</v>
      </c>
      <c r="B508" t="s">
        <v>76</v>
      </c>
      <c r="C508">
        <v>1335164</v>
      </c>
      <c r="D508" t="s">
        <v>77</v>
      </c>
      <c r="E508" t="s">
        <v>12</v>
      </c>
      <c r="F508" t="s">
        <v>12</v>
      </c>
      <c r="G508" t="s">
        <v>124</v>
      </c>
      <c r="H508" t="s">
        <v>156</v>
      </c>
      <c r="I508" t="s">
        <v>77</v>
      </c>
      <c r="J508" t="s">
        <v>42</v>
      </c>
      <c r="K508" t="s">
        <v>82</v>
      </c>
      <c r="L508" s="25">
        <v>44031</v>
      </c>
      <c r="M508">
        <v>7</v>
      </c>
      <c r="N508">
        <v>2020</v>
      </c>
      <c r="O508" t="s">
        <v>106</v>
      </c>
      <c r="P508">
        <v>170</v>
      </c>
      <c r="Q508" s="17">
        <v>44032.079280555554</v>
      </c>
      <c r="R508" t="s">
        <v>120</v>
      </c>
    </row>
    <row r="509" spans="1:18" x14ac:dyDescent="0.3">
      <c r="A509">
        <v>9678296</v>
      </c>
      <c r="B509" t="s">
        <v>72</v>
      </c>
      <c r="C509">
        <v>1331941</v>
      </c>
      <c r="D509" t="s">
        <v>104</v>
      </c>
      <c r="E509" t="s">
        <v>12</v>
      </c>
      <c r="F509" t="s">
        <v>12</v>
      </c>
      <c r="G509" t="s">
        <v>124</v>
      </c>
      <c r="H509" t="s">
        <v>95</v>
      </c>
      <c r="I509" t="s">
        <v>81</v>
      </c>
      <c r="J509" t="s">
        <v>42</v>
      </c>
      <c r="K509" t="s">
        <v>82</v>
      </c>
      <c r="L509" s="25">
        <v>44031</v>
      </c>
      <c r="M509">
        <v>7</v>
      </c>
      <c r="N509">
        <v>2020</v>
      </c>
      <c r="O509" t="s">
        <v>106</v>
      </c>
      <c r="P509">
        <v>170</v>
      </c>
      <c r="Q509" s="17">
        <v>44032.071526157408</v>
      </c>
      <c r="R509" t="s">
        <v>120</v>
      </c>
    </row>
    <row r="510" spans="1:18" x14ac:dyDescent="0.3">
      <c r="A510">
        <v>242675</v>
      </c>
      <c r="B510" t="s">
        <v>72</v>
      </c>
      <c r="C510">
        <v>1324118</v>
      </c>
      <c r="D510" t="s">
        <v>104</v>
      </c>
      <c r="E510" t="s">
        <v>26</v>
      </c>
      <c r="F510" t="s">
        <v>26</v>
      </c>
      <c r="G510" t="s">
        <v>126</v>
      </c>
      <c r="H510" t="s">
        <v>157</v>
      </c>
      <c r="I510" t="s">
        <v>83</v>
      </c>
      <c r="J510" t="s">
        <v>84</v>
      </c>
      <c r="K510" t="s">
        <v>82</v>
      </c>
      <c r="L510" s="25">
        <v>44031</v>
      </c>
      <c r="M510">
        <v>7</v>
      </c>
      <c r="N510">
        <v>2020</v>
      </c>
      <c r="O510" t="s">
        <v>106</v>
      </c>
      <c r="P510">
        <v>170</v>
      </c>
      <c r="Q510" s="17">
        <v>44032.084393055557</v>
      </c>
      <c r="R510" t="s">
        <v>120</v>
      </c>
    </row>
    <row r="511" spans="1:18" x14ac:dyDescent="0.3">
      <c r="A511">
        <v>245874</v>
      </c>
      <c r="B511" t="s">
        <v>78</v>
      </c>
      <c r="C511">
        <v>1336936</v>
      </c>
      <c r="D511" t="s">
        <v>112</v>
      </c>
      <c r="E511" t="s">
        <v>12</v>
      </c>
      <c r="F511" t="s">
        <v>12</v>
      </c>
      <c r="G511" t="s">
        <v>124</v>
      </c>
      <c r="H511" t="s">
        <v>150</v>
      </c>
      <c r="I511" t="s">
        <v>81</v>
      </c>
      <c r="J511" t="s">
        <v>42</v>
      </c>
      <c r="K511" t="s">
        <v>82</v>
      </c>
      <c r="L511" s="25">
        <v>44031</v>
      </c>
      <c r="M511">
        <v>7</v>
      </c>
      <c r="N511">
        <v>2020</v>
      </c>
      <c r="O511" t="s">
        <v>106</v>
      </c>
      <c r="P511">
        <v>171</v>
      </c>
      <c r="Q511" s="17">
        <v>44032.09168622685</v>
      </c>
      <c r="R511" t="s">
        <v>120</v>
      </c>
    </row>
    <row r="512" spans="1:18" x14ac:dyDescent="0.3">
      <c r="A512">
        <v>241918</v>
      </c>
      <c r="B512" t="s">
        <v>79</v>
      </c>
      <c r="C512">
        <v>1323717</v>
      </c>
      <c r="D512" t="s">
        <v>116</v>
      </c>
      <c r="E512" t="s">
        <v>26</v>
      </c>
      <c r="F512" t="s">
        <v>26</v>
      </c>
      <c r="G512" t="s">
        <v>126</v>
      </c>
      <c r="H512" t="s">
        <v>163</v>
      </c>
      <c r="I512" t="s">
        <v>83</v>
      </c>
      <c r="J512" t="s">
        <v>84</v>
      </c>
      <c r="K512" t="s">
        <v>82</v>
      </c>
      <c r="L512" s="25">
        <v>44031</v>
      </c>
      <c r="M512">
        <v>7</v>
      </c>
      <c r="N512">
        <v>2020</v>
      </c>
      <c r="O512" t="s">
        <v>106</v>
      </c>
      <c r="P512">
        <v>170</v>
      </c>
      <c r="Q512" s="17">
        <v>44029.831653703703</v>
      </c>
      <c r="R512" t="s">
        <v>120</v>
      </c>
    </row>
    <row r="513" spans="1:18" x14ac:dyDescent="0.3">
      <c r="A513">
        <v>9687320</v>
      </c>
      <c r="B513" t="s">
        <v>79</v>
      </c>
      <c r="C513">
        <v>1330384</v>
      </c>
      <c r="D513" t="s">
        <v>109</v>
      </c>
      <c r="E513" t="s">
        <v>130</v>
      </c>
      <c r="F513" t="s">
        <v>17</v>
      </c>
      <c r="G513" t="s">
        <v>133</v>
      </c>
      <c r="H513" t="s">
        <v>148</v>
      </c>
      <c r="I513" t="s">
        <v>83</v>
      </c>
      <c r="J513" t="s">
        <v>84</v>
      </c>
      <c r="K513" t="s">
        <v>86</v>
      </c>
      <c r="L513" s="25">
        <v>44031</v>
      </c>
      <c r="M513">
        <v>7</v>
      </c>
      <c r="N513">
        <v>2020</v>
      </c>
      <c r="O513" t="s">
        <v>106</v>
      </c>
      <c r="P513">
        <v>170</v>
      </c>
      <c r="Q513" s="17">
        <v>44032.15025648148</v>
      </c>
      <c r="R513" t="s">
        <v>120</v>
      </c>
    </row>
    <row r="514" spans="1:18" x14ac:dyDescent="0.3">
      <c r="A514">
        <v>245171</v>
      </c>
      <c r="B514" t="s">
        <v>72</v>
      </c>
      <c r="C514">
        <v>1337045</v>
      </c>
      <c r="D514" t="s">
        <v>104</v>
      </c>
      <c r="E514" t="s">
        <v>12</v>
      </c>
      <c r="F514" t="s">
        <v>12</v>
      </c>
      <c r="G514" t="s">
        <v>124</v>
      </c>
      <c r="H514" t="s">
        <v>151</v>
      </c>
      <c r="I514" t="s">
        <v>83</v>
      </c>
      <c r="J514" t="s">
        <v>84</v>
      </c>
      <c r="K514" t="s">
        <v>82</v>
      </c>
      <c r="L514" s="25">
        <v>44031</v>
      </c>
      <c r="M514">
        <v>7</v>
      </c>
      <c r="N514">
        <v>2020</v>
      </c>
      <c r="O514" t="s">
        <v>106</v>
      </c>
      <c r="P514">
        <v>170</v>
      </c>
      <c r="Q514" s="17">
        <v>44032.130188657407</v>
      </c>
      <c r="R514" t="s">
        <v>120</v>
      </c>
    </row>
    <row r="515" spans="1:18" x14ac:dyDescent="0.3">
      <c r="A515">
        <v>21534633</v>
      </c>
      <c r="B515" t="s">
        <v>78</v>
      </c>
      <c r="C515">
        <v>1333352</v>
      </c>
      <c r="D515" t="s">
        <v>112</v>
      </c>
      <c r="E515" t="s">
        <v>12</v>
      </c>
      <c r="F515" t="s">
        <v>12</v>
      </c>
      <c r="G515" t="s">
        <v>124</v>
      </c>
      <c r="H515" t="s">
        <v>162</v>
      </c>
      <c r="I515" t="s">
        <v>81</v>
      </c>
      <c r="J515" t="s">
        <v>42</v>
      </c>
      <c r="K515" t="s">
        <v>82</v>
      </c>
      <c r="L515" s="25">
        <v>44031</v>
      </c>
      <c r="M515">
        <v>7</v>
      </c>
      <c r="N515">
        <v>2020</v>
      </c>
      <c r="O515" t="s">
        <v>106</v>
      </c>
      <c r="P515">
        <v>170</v>
      </c>
      <c r="Q515" s="17">
        <v>44032.07871400463</v>
      </c>
      <c r="R515" t="s">
        <v>120</v>
      </c>
    </row>
    <row r="516" spans="1:18" x14ac:dyDescent="0.3">
      <c r="A516">
        <v>9687204</v>
      </c>
      <c r="B516" t="s">
        <v>79</v>
      </c>
      <c r="C516">
        <v>1330361</v>
      </c>
      <c r="D516" t="s">
        <v>109</v>
      </c>
      <c r="E516" t="s">
        <v>130</v>
      </c>
      <c r="F516" t="s">
        <v>17</v>
      </c>
      <c r="G516" t="s">
        <v>133</v>
      </c>
      <c r="H516" t="s">
        <v>148</v>
      </c>
      <c r="I516" t="s">
        <v>83</v>
      </c>
      <c r="J516" t="s">
        <v>84</v>
      </c>
      <c r="K516" t="s">
        <v>86</v>
      </c>
      <c r="L516" s="25">
        <v>44031</v>
      </c>
      <c r="M516">
        <v>7</v>
      </c>
      <c r="N516">
        <v>2020</v>
      </c>
      <c r="O516" t="s">
        <v>106</v>
      </c>
      <c r="P516">
        <v>170</v>
      </c>
      <c r="Q516" s="17">
        <v>44032.145112268518</v>
      </c>
      <c r="R516" t="s">
        <v>120</v>
      </c>
    </row>
    <row r="517" spans="1:18" x14ac:dyDescent="0.3">
      <c r="A517">
        <v>241823</v>
      </c>
      <c r="B517" t="s">
        <v>72</v>
      </c>
      <c r="C517">
        <v>1322873</v>
      </c>
      <c r="D517" t="s">
        <v>104</v>
      </c>
      <c r="E517" t="s">
        <v>118</v>
      </c>
      <c r="F517" t="s">
        <v>17</v>
      </c>
      <c r="G517" t="s">
        <v>119</v>
      </c>
      <c r="H517" t="s">
        <v>153</v>
      </c>
      <c r="I517" t="s">
        <v>81</v>
      </c>
      <c r="J517" t="s">
        <v>42</v>
      </c>
      <c r="K517" t="s">
        <v>86</v>
      </c>
      <c r="L517" s="25">
        <v>44031</v>
      </c>
      <c r="M517">
        <v>7</v>
      </c>
      <c r="N517">
        <v>2020</v>
      </c>
      <c r="O517" t="s">
        <v>106</v>
      </c>
      <c r="P517">
        <v>170</v>
      </c>
      <c r="Q517" s="17">
        <v>44032.16667175926</v>
      </c>
      <c r="R517" t="s">
        <v>120</v>
      </c>
    </row>
    <row r="518" spans="1:18" x14ac:dyDescent="0.3">
      <c r="A518">
        <v>9687185</v>
      </c>
      <c r="B518" t="s">
        <v>79</v>
      </c>
      <c r="C518">
        <v>1330344</v>
      </c>
      <c r="D518" t="s">
        <v>109</v>
      </c>
      <c r="E518" t="s">
        <v>130</v>
      </c>
      <c r="F518" t="s">
        <v>17</v>
      </c>
      <c r="G518" t="s">
        <v>133</v>
      </c>
      <c r="H518" t="s">
        <v>148</v>
      </c>
      <c r="I518" t="s">
        <v>83</v>
      </c>
      <c r="J518" t="s">
        <v>84</v>
      </c>
      <c r="K518" t="s">
        <v>86</v>
      </c>
      <c r="L518" s="25">
        <v>44031</v>
      </c>
      <c r="M518">
        <v>7</v>
      </c>
      <c r="N518">
        <v>2020</v>
      </c>
      <c r="O518" t="s">
        <v>106</v>
      </c>
      <c r="P518">
        <v>170</v>
      </c>
      <c r="Q518" s="17">
        <v>44032.14058472222</v>
      </c>
      <c r="R518" t="s">
        <v>120</v>
      </c>
    </row>
    <row r="519" spans="1:18" x14ac:dyDescent="0.3">
      <c r="A519">
        <v>9687706</v>
      </c>
      <c r="B519" t="s">
        <v>72</v>
      </c>
      <c r="C519">
        <v>1330693</v>
      </c>
      <c r="D519" t="s">
        <v>104</v>
      </c>
      <c r="E519">
        <v>820</v>
      </c>
      <c r="F519">
        <v>820</v>
      </c>
      <c r="G519" t="s">
        <v>125</v>
      </c>
      <c r="H519" t="s">
        <v>161</v>
      </c>
      <c r="I519" t="s">
        <v>83</v>
      </c>
      <c r="J519" t="s">
        <v>84</v>
      </c>
      <c r="K519" t="s">
        <v>82</v>
      </c>
      <c r="L519" s="25">
        <v>44031</v>
      </c>
      <c r="M519">
        <v>7</v>
      </c>
      <c r="N519">
        <v>2020</v>
      </c>
      <c r="O519" t="s">
        <v>106</v>
      </c>
      <c r="P519">
        <v>170</v>
      </c>
      <c r="Q519" s="17">
        <v>44032.453445601852</v>
      </c>
      <c r="R519" t="s">
        <v>120</v>
      </c>
    </row>
    <row r="520" spans="1:18" x14ac:dyDescent="0.3">
      <c r="A520">
        <v>9687223</v>
      </c>
      <c r="B520" t="s">
        <v>79</v>
      </c>
      <c r="C520">
        <v>1330378</v>
      </c>
      <c r="D520" t="s">
        <v>109</v>
      </c>
      <c r="E520" t="s">
        <v>130</v>
      </c>
      <c r="F520" t="s">
        <v>17</v>
      </c>
      <c r="G520" t="s">
        <v>133</v>
      </c>
      <c r="H520" t="s">
        <v>148</v>
      </c>
      <c r="I520" t="s">
        <v>83</v>
      </c>
      <c r="J520" t="s">
        <v>84</v>
      </c>
      <c r="K520" t="s">
        <v>86</v>
      </c>
      <c r="L520" s="25">
        <v>44031</v>
      </c>
      <c r="M520">
        <v>7</v>
      </c>
      <c r="N520">
        <v>2020</v>
      </c>
      <c r="O520" t="s">
        <v>106</v>
      </c>
      <c r="P520">
        <v>170</v>
      </c>
      <c r="Q520" s="17">
        <v>44032.147197800929</v>
      </c>
      <c r="R520" t="s">
        <v>120</v>
      </c>
    </row>
    <row r="521" spans="1:18" x14ac:dyDescent="0.3">
      <c r="A521">
        <v>245650</v>
      </c>
      <c r="B521" t="s">
        <v>72</v>
      </c>
      <c r="C521">
        <v>1337211</v>
      </c>
      <c r="D521" t="s">
        <v>104</v>
      </c>
      <c r="E521" t="s">
        <v>12</v>
      </c>
      <c r="F521" t="s">
        <v>12</v>
      </c>
      <c r="G521" t="s">
        <v>124</v>
      </c>
      <c r="H521" t="s">
        <v>159</v>
      </c>
      <c r="I521" t="s">
        <v>83</v>
      </c>
      <c r="J521" t="s">
        <v>84</v>
      </c>
      <c r="K521" t="s">
        <v>82</v>
      </c>
      <c r="L521" s="25">
        <v>44031</v>
      </c>
      <c r="M521">
        <v>7</v>
      </c>
      <c r="N521">
        <v>2020</v>
      </c>
      <c r="O521" t="s">
        <v>106</v>
      </c>
      <c r="P521">
        <v>170</v>
      </c>
      <c r="Q521" s="17">
        <v>44032.177970833334</v>
      </c>
      <c r="R521" t="s">
        <v>120</v>
      </c>
    </row>
    <row r="522" spans="1:18" x14ac:dyDescent="0.3">
      <c r="A522">
        <v>9687036</v>
      </c>
      <c r="B522" t="s">
        <v>79</v>
      </c>
      <c r="C522">
        <v>1330276</v>
      </c>
      <c r="D522" t="s">
        <v>109</v>
      </c>
      <c r="E522" t="s">
        <v>130</v>
      </c>
      <c r="F522" t="s">
        <v>17</v>
      </c>
      <c r="G522" t="s">
        <v>133</v>
      </c>
      <c r="H522" t="s">
        <v>148</v>
      </c>
      <c r="I522" t="s">
        <v>83</v>
      </c>
      <c r="J522" t="s">
        <v>84</v>
      </c>
      <c r="K522" t="s">
        <v>86</v>
      </c>
      <c r="L522" s="25">
        <v>44031</v>
      </c>
      <c r="M522">
        <v>7</v>
      </c>
      <c r="N522">
        <v>2020</v>
      </c>
      <c r="O522" t="s">
        <v>106</v>
      </c>
      <c r="P522">
        <v>170</v>
      </c>
      <c r="Q522" s="17">
        <v>44032.133324421295</v>
      </c>
      <c r="R522" t="s">
        <v>120</v>
      </c>
    </row>
    <row r="523" spans="1:18" x14ac:dyDescent="0.3">
      <c r="A523">
        <v>9687051</v>
      </c>
      <c r="B523" t="s">
        <v>79</v>
      </c>
      <c r="C523">
        <v>1330293</v>
      </c>
      <c r="D523" t="s">
        <v>109</v>
      </c>
      <c r="E523" t="s">
        <v>130</v>
      </c>
      <c r="F523" t="s">
        <v>17</v>
      </c>
      <c r="G523" t="s">
        <v>133</v>
      </c>
      <c r="H523" t="s">
        <v>148</v>
      </c>
      <c r="I523" t="s">
        <v>83</v>
      </c>
      <c r="J523" t="s">
        <v>84</v>
      </c>
      <c r="K523" t="s">
        <v>86</v>
      </c>
      <c r="L523" s="25">
        <v>44031</v>
      </c>
      <c r="M523">
        <v>7</v>
      </c>
      <c r="N523">
        <v>2020</v>
      </c>
      <c r="O523" t="s">
        <v>106</v>
      </c>
      <c r="P523">
        <v>170</v>
      </c>
      <c r="Q523" s="17">
        <v>44032.133604513889</v>
      </c>
      <c r="R523" t="s">
        <v>120</v>
      </c>
    </row>
    <row r="524" spans="1:18" x14ac:dyDescent="0.3">
      <c r="A524">
        <v>9661757</v>
      </c>
      <c r="B524" t="s">
        <v>78</v>
      </c>
      <c r="C524">
        <v>1335007</v>
      </c>
      <c r="D524" t="s">
        <v>109</v>
      </c>
      <c r="E524" t="s">
        <v>12</v>
      </c>
      <c r="F524" t="s">
        <v>12</v>
      </c>
      <c r="G524" t="s">
        <v>124</v>
      </c>
      <c r="H524" t="s">
        <v>148</v>
      </c>
      <c r="I524" t="s">
        <v>83</v>
      </c>
      <c r="J524" t="s">
        <v>84</v>
      </c>
      <c r="K524" t="s">
        <v>82</v>
      </c>
      <c r="L524" s="25">
        <v>44031</v>
      </c>
      <c r="M524">
        <v>7</v>
      </c>
      <c r="N524">
        <v>2020</v>
      </c>
      <c r="O524" t="s">
        <v>106</v>
      </c>
      <c r="P524">
        <v>170</v>
      </c>
      <c r="Q524" s="17">
        <v>44032.078376851852</v>
      </c>
      <c r="R524" t="s">
        <v>120</v>
      </c>
    </row>
    <row r="525" spans="1:18" x14ac:dyDescent="0.3">
      <c r="A525">
        <v>9687054</v>
      </c>
      <c r="B525" t="s">
        <v>79</v>
      </c>
      <c r="C525">
        <v>1330310</v>
      </c>
      <c r="D525" t="s">
        <v>109</v>
      </c>
      <c r="E525" t="s">
        <v>130</v>
      </c>
      <c r="F525" t="s">
        <v>17</v>
      </c>
      <c r="G525" t="s">
        <v>133</v>
      </c>
      <c r="H525" t="s">
        <v>148</v>
      </c>
      <c r="I525" t="s">
        <v>83</v>
      </c>
      <c r="J525" t="s">
        <v>84</v>
      </c>
      <c r="K525" t="s">
        <v>86</v>
      </c>
      <c r="L525" s="25">
        <v>44031</v>
      </c>
      <c r="M525">
        <v>7</v>
      </c>
      <c r="N525">
        <v>2020</v>
      </c>
      <c r="O525" t="s">
        <v>106</v>
      </c>
      <c r="P525">
        <v>170</v>
      </c>
      <c r="Q525" s="17">
        <v>44032.131443865743</v>
      </c>
      <c r="R525" t="s">
        <v>120</v>
      </c>
    </row>
    <row r="526" spans="1:18" x14ac:dyDescent="0.3">
      <c r="A526">
        <v>9687575</v>
      </c>
      <c r="B526" t="s">
        <v>79</v>
      </c>
      <c r="C526">
        <v>1330459</v>
      </c>
      <c r="D526" t="s">
        <v>109</v>
      </c>
      <c r="E526" t="s">
        <v>130</v>
      </c>
      <c r="F526" t="s">
        <v>17</v>
      </c>
      <c r="G526" t="s">
        <v>133</v>
      </c>
      <c r="H526" t="s">
        <v>148</v>
      </c>
      <c r="I526" t="s">
        <v>83</v>
      </c>
      <c r="J526" t="s">
        <v>84</v>
      </c>
      <c r="K526" t="s">
        <v>86</v>
      </c>
      <c r="L526" s="25">
        <v>44031</v>
      </c>
      <c r="M526">
        <v>7</v>
      </c>
      <c r="N526">
        <v>2020</v>
      </c>
      <c r="O526" t="s">
        <v>106</v>
      </c>
      <c r="P526">
        <v>170</v>
      </c>
      <c r="Q526" s="17">
        <v>44032.163606944443</v>
      </c>
      <c r="R526" t="s">
        <v>120</v>
      </c>
    </row>
    <row r="527" spans="1:18" x14ac:dyDescent="0.3">
      <c r="A527">
        <v>21525962</v>
      </c>
      <c r="B527" t="s">
        <v>72</v>
      </c>
      <c r="C527">
        <v>1323203</v>
      </c>
      <c r="D527" t="s">
        <v>104</v>
      </c>
      <c r="E527" t="s">
        <v>26</v>
      </c>
      <c r="F527" t="s">
        <v>26</v>
      </c>
      <c r="G527" t="s">
        <v>126</v>
      </c>
      <c r="H527" t="s">
        <v>147</v>
      </c>
      <c r="I527" t="s">
        <v>83</v>
      </c>
      <c r="J527" t="s">
        <v>84</v>
      </c>
      <c r="K527" t="s">
        <v>82</v>
      </c>
      <c r="L527" s="25">
        <v>44031</v>
      </c>
      <c r="M527">
        <v>7</v>
      </c>
      <c r="N527">
        <v>2020</v>
      </c>
      <c r="O527" t="s">
        <v>106</v>
      </c>
      <c r="P527">
        <v>170</v>
      </c>
      <c r="Q527" s="17">
        <v>44032.074907060189</v>
      </c>
      <c r="R527" t="s">
        <v>120</v>
      </c>
    </row>
    <row r="528" spans="1:18" x14ac:dyDescent="0.3">
      <c r="A528">
        <v>9687340</v>
      </c>
      <c r="B528" t="s">
        <v>79</v>
      </c>
      <c r="C528">
        <v>1330405</v>
      </c>
      <c r="D528" t="s">
        <v>109</v>
      </c>
      <c r="E528" t="s">
        <v>130</v>
      </c>
      <c r="F528" t="s">
        <v>17</v>
      </c>
      <c r="G528" t="s">
        <v>133</v>
      </c>
      <c r="H528" t="s">
        <v>148</v>
      </c>
      <c r="I528" t="s">
        <v>83</v>
      </c>
      <c r="J528" t="s">
        <v>84</v>
      </c>
      <c r="K528" t="s">
        <v>86</v>
      </c>
      <c r="L528" s="25">
        <v>44031</v>
      </c>
      <c r="M528">
        <v>7</v>
      </c>
      <c r="N528">
        <v>2020</v>
      </c>
      <c r="O528" t="s">
        <v>106</v>
      </c>
      <c r="P528">
        <v>170</v>
      </c>
      <c r="Q528" s="17">
        <v>44032.425621296294</v>
      </c>
      <c r="R528" t="s">
        <v>120</v>
      </c>
    </row>
    <row r="529" spans="1:18" x14ac:dyDescent="0.3">
      <c r="A529">
        <v>9687067</v>
      </c>
      <c r="B529" t="s">
        <v>79</v>
      </c>
      <c r="C529">
        <v>1330305</v>
      </c>
      <c r="D529" t="s">
        <v>109</v>
      </c>
      <c r="E529" t="s">
        <v>130</v>
      </c>
      <c r="F529" t="s">
        <v>17</v>
      </c>
      <c r="G529" t="s">
        <v>133</v>
      </c>
      <c r="H529" t="s">
        <v>148</v>
      </c>
      <c r="I529" t="s">
        <v>83</v>
      </c>
      <c r="J529" t="s">
        <v>84</v>
      </c>
      <c r="K529" t="s">
        <v>86</v>
      </c>
      <c r="L529" s="25">
        <v>44031</v>
      </c>
      <c r="M529">
        <v>7</v>
      </c>
      <c r="N529">
        <v>2020</v>
      </c>
      <c r="O529" t="s">
        <v>106</v>
      </c>
      <c r="P529">
        <v>170</v>
      </c>
      <c r="Q529" s="17">
        <v>44032.142007638889</v>
      </c>
      <c r="R529" t="s">
        <v>120</v>
      </c>
    </row>
    <row r="530" spans="1:18" x14ac:dyDescent="0.3">
      <c r="A530">
        <v>21531360</v>
      </c>
      <c r="B530" t="s">
        <v>78</v>
      </c>
      <c r="C530">
        <v>1333906</v>
      </c>
      <c r="D530" t="s">
        <v>112</v>
      </c>
      <c r="E530" t="s">
        <v>12</v>
      </c>
      <c r="F530" t="s">
        <v>12</v>
      </c>
      <c r="G530" t="s">
        <v>124</v>
      </c>
      <c r="H530" t="s">
        <v>150</v>
      </c>
      <c r="I530" t="s">
        <v>81</v>
      </c>
      <c r="J530" t="s">
        <v>42</v>
      </c>
      <c r="K530" t="s">
        <v>82</v>
      </c>
      <c r="L530" s="25">
        <v>44031</v>
      </c>
      <c r="M530">
        <v>7</v>
      </c>
      <c r="N530">
        <v>2020</v>
      </c>
      <c r="O530" t="s">
        <v>106</v>
      </c>
      <c r="P530">
        <v>170</v>
      </c>
      <c r="Q530" s="17">
        <v>44032.080368981478</v>
      </c>
      <c r="R530" t="s">
        <v>120</v>
      </c>
    </row>
    <row r="531" spans="1:18" x14ac:dyDescent="0.3">
      <c r="A531">
        <v>9687704</v>
      </c>
      <c r="B531" t="s">
        <v>77</v>
      </c>
      <c r="C531">
        <v>1330698</v>
      </c>
      <c r="D531" t="s">
        <v>77</v>
      </c>
      <c r="E531">
        <v>820</v>
      </c>
      <c r="F531">
        <v>820</v>
      </c>
      <c r="G531" t="s">
        <v>125</v>
      </c>
      <c r="H531" t="s">
        <v>149</v>
      </c>
      <c r="I531" t="s">
        <v>77</v>
      </c>
      <c r="J531" t="s">
        <v>42</v>
      </c>
      <c r="K531" t="s">
        <v>82</v>
      </c>
      <c r="L531" s="25">
        <v>44031</v>
      </c>
      <c r="M531">
        <v>7</v>
      </c>
      <c r="N531">
        <v>2020</v>
      </c>
      <c r="O531" t="s">
        <v>106</v>
      </c>
      <c r="P531">
        <v>170</v>
      </c>
      <c r="Q531" s="17">
        <v>44032.173790277775</v>
      </c>
      <c r="R531" t="s">
        <v>120</v>
      </c>
    </row>
    <row r="532" spans="1:18" x14ac:dyDescent="0.3">
      <c r="A532">
        <v>9678850</v>
      </c>
      <c r="B532" t="s">
        <v>72</v>
      </c>
      <c r="C532">
        <v>1318673</v>
      </c>
      <c r="D532" t="s">
        <v>104</v>
      </c>
      <c r="E532">
        <v>966</v>
      </c>
      <c r="F532">
        <v>966</v>
      </c>
      <c r="G532" t="s">
        <v>127</v>
      </c>
      <c r="H532" t="s">
        <v>151</v>
      </c>
      <c r="I532" t="s">
        <v>83</v>
      </c>
      <c r="J532" t="s">
        <v>84</v>
      </c>
      <c r="K532" t="s">
        <v>86</v>
      </c>
      <c r="L532" s="25">
        <v>44031</v>
      </c>
      <c r="M532">
        <v>7</v>
      </c>
      <c r="N532">
        <v>2020</v>
      </c>
      <c r="O532" t="s">
        <v>106</v>
      </c>
      <c r="P532">
        <v>170</v>
      </c>
      <c r="Q532" s="17">
        <v>44032.080498379626</v>
      </c>
      <c r="R532" t="s">
        <v>120</v>
      </c>
    </row>
    <row r="533" spans="1:18" x14ac:dyDescent="0.3">
      <c r="A533">
        <v>242960</v>
      </c>
      <c r="B533" t="s">
        <v>79</v>
      </c>
      <c r="C533">
        <v>1327140</v>
      </c>
      <c r="D533" t="s">
        <v>116</v>
      </c>
      <c r="E533" t="s">
        <v>26</v>
      </c>
      <c r="F533" t="s">
        <v>26</v>
      </c>
      <c r="G533" t="s">
        <v>126</v>
      </c>
      <c r="H533" t="s">
        <v>159</v>
      </c>
      <c r="I533" t="s">
        <v>83</v>
      </c>
      <c r="J533" t="s">
        <v>84</v>
      </c>
      <c r="K533" t="s">
        <v>82</v>
      </c>
      <c r="L533" s="25">
        <v>44031</v>
      </c>
      <c r="M533">
        <v>7</v>
      </c>
      <c r="N533">
        <v>2020</v>
      </c>
      <c r="O533" t="s">
        <v>106</v>
      </c>
      <c r="P533">
        <v>170</v>
      </c>
      <c r="Q533" s="17">
        <v>44029.956113541666</v>
      </c>
      <c r="R533" t="s">
        <v>120</v>
      </c>
    </row>
    <row r="534" spans="1:18" x14ac:dyDescent="0.3">
      <c r="A534">
        <v>241679</v>
      </c>
      <c r="B534" t="s">
        <v>79</v>
      </c>
      <c r="C534">
        <v>1323596</v>
      </c>
      <c r="D534" t="s">
        <v>116</v>
      </c>
      <c r="E534" t="s">
        <v>26</v>
      </c>
      <c r="F534" t="s">
        <v>26</v>
      </c>
      <c r="G534" t="s">
        <v>126</v>
      </c>
      <c r="H534" t="s">
        <v>163</v>
      </c>
      <c r="I534" t="s">
        <v>83</v>
      </c>
      <c r="J534" t="s">
        <v>84</v>
      </c>
      <c r="K534" t="s">
        <v>82</v>
      </c>
      <c r="L534" s="25">
        <v>44031</v>
      </c>
      <c r="M534">
        <v>7</v>
      </c>
      <c r="N534">
        <v>2020</v>
      </c>
      <c r="O534" t="s">
        <v>106</v>
      </c>
      <c r="P534">
        <v>170</v>
      </c>
      <c r="Q534" s="17">
        <v>44029.831653703703</v>
      </c>
      <c r="R534" t="s">
        <v>120</v>
      </c>
    </row>
    <row r="535" spans="1:18" x14ac:dyDescent="0.3">
      <c r="A535">
        <v>21526344</v>
      </c>
      <c r="B535" t="s">
        <v>72</v>
      </c>
      <c r="C535">
        <v>1323210</v>
      </c>
      <c r="D535" t="s">
        <v>104</v>
      </c>
      <c r="E535" t="s">
        <v>26</v>
      </c>
      <c r="F535" t="s">
        <v>26</v>
      </c>
      <c r="G535" t="s">
        <v>126</v>
      </c>
      <c r="H535" t="s">
        <v>147</v>
      </c>
      <c r="I535" t="s">
        <v>83</v>
      </c>
      <c r="J535" t="s">
        <v>84</v>
      </c>
      <c r="K535" t="s">
        <v>82</v>
      </c>
      <c r="L535" s="25">
        <v>44031</v>
      </c>
      <c r="M535">
        <v>7</v>
      </c>
      <c r="N535">
        <v>2020</v>
      </c>
      <c r="O535" t="s">
        <v>106</v>
      </c>
      <c r="P535">
        <v>170</v>
      </c>
      <c r="Q535" s="17">
        <v>44032.07461747685</v>
      </c>
      <c r="R535" t="s">
        <v>120</v>
      </c>
    </row>
    <row r="536" spans="1:18" x14ac:dyDescent="0.3">
      <c r="A536">
        <v>241680</v>
      </c>
      <c r="B536" t="s">
        <v>72</v>
      </c>
      <c r="C536">
        <v>1322603</v>
      </c>
      <c r="D536" t="s">
        <v>104</v>
      </c>
      <c r="E536" t="s">
        <v>118</v>
      </c>
      <c r="F536" t="s">
        <v>17</v>
      </c>
      <c r="G536" t="s">
        <v>119</v>
      </c>
      <c r="H536" t="s">
        <v>153</v>
      </c>
      <c r="I536" t="s">
        <v>81</v>
      </c>
      <c r="J536" t="s">
        <v>42</v>
      </c>
      <c r="K536" t="s">
        <v>86</v>
      </c>
      <c r="L536" s="25">
        <v>44031</v>
      </c>
      <c r="M536">
        <v>7</v>
      </c>
      <c r="N536">
        <v>2020</v>
      </c>
      <c r="O536" t="s">
        <v>106</v>
      </c>
      <c r="P536">
        <v>170</v>
      </c>
      <c r="Q536" s="17">
        <v>44032.144170023152</v>
      </c>
      <c r="R536" t="s">
        <v>120</v>
      </c>
    </row>
    <row r="537" spans="1:18" x14ac:dyDescent="0.3">
      <c r="A537">
        <v>9681626</v>
      </c>
      <c r="B537" t="s">
        <v>79</v>
      </c>
      <c r="C537">
        <v>1331734</v>
      </c>
      <c r="D537" t="s">
        <v>109</v>
      </c>
      <c r="E537" t="s">
        <v>12</v>
      </c>
      <c r="F537" t="s">
        <v>12</v>
      </c>
      <c r="G537" t="s">
        <v>124</v>
      </c>
      <c r="H537" t="s">
        <v>148</v>
      </c>
      <c r="I537" t="s">
        <v>83</v>
      </c>
      <c r="J537" t="s">
        <v>84</v>
      </c>
      <c r="K537" t="s">
        <v>82</v>
      </c>
      <c r="L537" s="25">
        <v>44031</v>
      </c>
      <c r="M537">
        <v>7</v>
      </c>
      <c r="N537">
        <v>2020</v>
      </c>
      <c r="O537" t="s">
        <v>106</v>
      </c>
      <c r="P537">
        <v>170</v>
      </c>
      <c r="Q537" s="17">
        <v>44032.070655902775</v>
      </c>
      <c r="R537" t="s">
        <v>120</v>
      </c>
    </row>
    <row r="538" spans="1:18" x14ac:dyDescent="0.3">
      <c r="A538">
        <v>9687567</v>
      </c>
      <c r="B538" t="s">
        <v>79</v>
      </c>
      <c r="C538">
        <v>1330441</v>
      </c>
      <c r="D538" t="s">
        <v>109</v>
      </c>
      <c r="E538" t="s">
        <v>130</v>
      </c>
      <c r="F538" t="s">
        <v>17</v>
      </c>
      <c r="G538" t="s">
        <v>133</v>
      </c>
      <c r="H538" t="s">
        <v>148</v>
      </c>
      <c r="I538" t="s">
        <v>83</v>
      </c>
      <c r="J538" t="s">
        <v>84</v>
      </c>
      <c r="K538" t="s">
        <v>86</v>
      </c>
      <c r="L538" s="25">
        <v>44031</v>
      </c>
      <c r="M538">
        <v>7</v>
      </c>
      <c r="N538">
        <v>2020</v>
      </c>
      <c r="O538" t="s">
        <v>106</v>
      </c>
      <c r="P538">
        <v>170</v>
      </c>
      <c r="Q538" s="17">
        <v>44032.160301851851</v>
      </c>
      <c r="R538" t="s">
        <v>120</v>
      </c>
    </row>
    <row r="539" spans="1:18" x14ac:dyDescent="0.3">
      <c r="A539">
        <v>9680922</v>
      </c>
      <c r="B539" t="s">
        <v>77</v>
      </c>
      <c r="C539">
        <v>1331984</v>
      </c>
      <c r="D539" t="s">
        <v>77</v>
      </c>
      <c r="E539" t="s">
        <v>12</v>
      </c>
      <c r="F539" t="s">
        <v>12</v>
      </c>
      <c r="G539" t="s">
        <v>124</v>
      </c>
      <c r="H539" t="s">
        <v>150</v>
      </c>
      <c r="I539" t="s">
        <v>77</v>
      </c>
      <c r="J539" t="s">
        <v>42</v>
      </c>
      <c r="K539" t="s">
        <v>82</v>
      </c>
      <c r="L539" s="25">
        <v>44031</v>
      </c>
      <c r="M539">
        <v>7</v>
      </c>
      <c r="N539">
        <v>2020</v>
      </c>
      <c r="O539" t="s">
        <v>106</v>
      </c>
      <c r="P539">
        <v>170</v>
      </c>
      <c r="Q539" s="17">
        <v>44032.072342129628</v>
      </c>
      <c r="R539" t="s">
        <v>120</v>
      </c>
    </row>
    <row r="540" spans="1:18" x14ac:dyDescent="0.3">
      <c r="A540">
        <v>21533405</v>
      </c>
      <c r="B540" t="s">
        <v>72</v>
      </c>
      <c r="C540">
        <v>1333049</v>
      </c>
      <c r="D540" t="s">
        <v>104</v>
      </c>
      <c r="E540" t="s">
        <v>12</v>
      </c>
      <c r="F540" t="s">
        <v>12</v>
      </c>
      <c r="G540" t="s">
        <v>124</v>
      </c>
      <c r="H540" t="s">
        <v>95</v>
      </c>
      <c r="I540" t="s">
        <v>81</v>
      </c>
      <c r="J540" t="s">
        <v>42</v>
      </c>
      <c r="K540" t="s">
        <v>82</v>
      </c>
      <c r="L540" s="25">
        <v>44031</v>
      </c>
      <c r="M540">
        <v>7</v>
      </c>
      <c r="N540">
        <v>2020</v>
      </c>
      <c r="O540" t="s">
        <v>106</v>
      </c>
      <c r="P540">
        <v>170</v>
      </c>
      <c r="Q540" s="17">
        <v>44032.079205555558</v>
      </c>
      <c r="R540" t="s">
        <v>120</v>
      </c>
    </row>
    <row r="541" spans="1:18" x14ac:dyDescent="0.3">
      <c r="A541">
        <v>9687184</v>
      </c>
      <c r="B541" t="s">
        <v>79</v>
      </c>
      <c r="C541">
        <v>1330341</v>
      </c>
      <c r="D541" t="s">
        <v>109</v>
      </c>
      <c r="E541" t="s">
        <v>130</v>
      </c>
      <c r="F541" t="s">
        <v>17</v>
      </c>
      <c r="G541" t="s">
        <v>133</v>
      </c>
      <c r="H541" t="s">
        <v>148</v>
      </c>
      <c r="I541" t="s">
        <v>83</v>
      </c>
      <c r="J541" t="s">
        <v>84</v>
      </c>
      <c r="K541" t="s">
        <v>86</v>
      </c>
      <c r="L541" s="25">
        <v>44031</v>
      </c>
      <c r="M541">
        <v>7</v>
      </c>
      <c r="N541">
        <v>2020</v>
      </c>
      <c r="O541" t="s">
        <v>106</v>
      </c>
      <c r="P541">
        <v>170</v>
      </c>
      <c r="Q541" s="17">
        <v>44032.154028472221</v>
      </c>
      <c r="R541" t="s">
        <v>120</v>
      </c>
    </row>
    <row r="542" spans="1:18" x14ac:dyDescent="0.3">
      <c r="A542">
        <v>245502</v>
      </c>
      <c r="B542" t="s">
        <v>72</v>
      </c>
      <c r="C542">
        <v>1337185</v>
      </c>
      <c r="D542" t="s">
        <v>104</v>
      </c>
      <c r="E542" t="s">
        <v>26</v>
      </c>
      <c r="F542" t="s">
        <v>26</v>
      </c>
      <c r="G542" t="s">
        <v>126</v>
      </c>
      <c r="H542" t="s">
        <v>147</v>
      </c>
      <c r="I542" t="s">
        <v>83</v>
      </c>
      <c r="J542" t="s">
        <v>84</v>
      </c>
      <c r="K542" t="s">
        <v>82</v>
      </c>
      <c r="L542" s="25">
        <v>44031</v>
      </c>
      <c r="M542">
        <v>7</v>
      </c>
      <c r="N542">
        <v>2020</v>
      </c>
      <c r="O542" t="s">
        <v>106</v>
      </c>
      <c r="P542">
        <v>170</v>
      </c>
      <c r="Q542" s="17">
        <v>44032.117230324075</v>
      </c>
      <c r="R542" t="s">
        <v>120</v>
      </c>
    </row>
    <row r="543" spans="1:18" x14ac:dyDescent="0.3">
      <c r="A543">
        <v>9687390</v>
      </c>
      <c r="B543" t="s">
        <v>72</v>
      </c>
      <c r="C543">
        <v>1330272</v>
      </c>
      <c r="D543" t="s">
        <v>104</v>
      </c>
      <c r="E543" t="s">
        <v>138</v>
      </c>
      <c r="F543" t="s">
        <v>17</v>
      </c>
      <c r="G543" t="s">
        <v>139</v>
      </c>
      <c r="H543" t="s">
        <v>153</v>
      </c>
      <c r="I543" t="s">
        <v>81</v>
      </c>
      <c r="J543" t="s">
        <v>42</v>
      </c>
      <c r="K543" t="s">
        <v>86</v>
      </c>
      <c r="L543" s="25">
        <v>44031</v>
      </c>
      <c r="M543">
        <v>7</v>
      </c>
      <c r="N543">
        <v>2020</v>
      </c>
      <c r="O543" t="s">
        <v>106</v>
      </c>
      <c r="P543">
        <v>170</v>
      </c>
      <c r="Q543" s="17">
        <v>44032.144431365741</v>
      </c>
      <c r="R543" t="s">
        <v>120</v>
      </c>
    </row>
    <row r="544" spans="1:18" x14ac:dyDescent="0.3">
      <c r="A544">
        <v>21533421</v>
      </c>
      <c r="B544" t="s">
        <v>78</v>
      </c>
      <c r="C544">
        <v>1334743</v>
      </c>
      <c r="D544" t="s">
        <v>112</v>
      </c>
      <c r="E544" t="s">
        <v>12</v>
      </c>
      <c r="F544" t="s">
        <v>12</v>
      </c>
      <c r="G544" t="s">
        <v>124</v>
      </c>
      <c r="H544" t="s">
        <v>150</v>
      </c>
      <c r="I544" t="s">
        <v>81</v>
      </c>
      <c r="J544" t="s">
        <v>42</v>
      </c>
      <c r="K544" t="s">
        <v>82</v>
      </c>
      <c r="L544" s="25">
        <v>44031</v>
      </c>
      <c r="M544">
        <v>7</v>
      </c>
      <c r="N544">
        <v>2020</v>
      </c>
      <c r="O544" t="s">
        <v>106</v>
      </c>
      <c r="P544">
        <v>170</v>
      </c>
      <c r="Q544" s="17">
        <v>44032.08117824074</v>
      </c>
      <c r="R544" t="s">
        <v>120</v>
      </c>
    </row>
    <row r="545" spans="1:18" x14ac:dyDescent="0.3">
      <c r="A545">
        <v>9662106</v>
      </c>
      <c r="B545" t="s">
        <v>72</v>
      </c>
      <c r="C545">
        <v>1306374</v>
      </c>
      <c r="D545" t="s">
        <v>104</v>
      </c>
      <c r="E545" t="s">
        <v>118</v>
      </c>
      <c r="F545" t="s">
        <v>17</v>
      </c>
      <c r="G545" t="s">
        <v>119</v>
      </c>
      <c r="H545" t="s">
        <v>153</v>
      </c>
      <c r="I545" t="s">
        <v>81</v>
      </c>
      <c r="J545" t="s">
        <v>42</v>
      </c>
      <c r="K545" t="s">
        <v>86</v>
      </c>
      <c r="L545" s="25">
        <v>44031</v>
      </c>
      <c r="M545">
        <v>7</v>
      </c>
      <c r="N545">
        <v>2020</v>
      </c>
      <c r="O545" t="s">
        <v>106</v>
      </c>
      <c r="P545">
        <v>170</v>
      </c>
      <c r="Q545" s="17">
        <v>44032.234900000003</v>
      </c>
      <c r="R545" t="s">
        <v>120</v>
      </c>
    </row>
    <row r="546" spans="1:18" x14ac:dyDescent="0.3">
      <c r="A546">
        <v>9687334</v>
      </c>
      <c r="B546" t="s">
        <v>79</v>
      </c>
      <c r="C546">
        <v>1330399</v>
      </c>
      <c r="D546" t="s">
        <v>109</v>
      </c>
      <c r="E546" t="s">
        <v>130</v>
      </c>
      <c r="F546" t="s">
        <v>17</v>
      </c>
      <c r="G546" t="s">
        <v>133</v>
      </c>
      <c r="H546" t="s">
        <v>148</v>
      </c>
      <c r="I546" t="s">
        <v>83</v>
      </c>
      <c r="J546" t="s">
        <v>84</v>
      </c>
      <c r="K546" t="s">
        <v>86</v>
      </c>
      <c r="L546" s="25">
        <v>44031</v>
      </c>
      <c r="M546">
        <v>7</v>
      </c>
      <c r="N546">
        <v>2020</v>
      </c>
      <c r="O546" t="s">
        <v>106</v>
      </c>
      <c r="P546">
        <v>170</v>
      </c>
      <c r="Q546" s="17">
        <v>44032.152271296298</v>
      </c>
      <c r="R546" t="s">
        <v>120</v>
      </c>
    </row>
    <row r="547" spans="1:18" x14ac:dyDescent="0.3">
      <c r="A547">
        <v>9687466</v>
      </c>
      <c r="B547" t="s">
        <v>79</v>
      </c>
      <c r="C547">
        <v>1330433</v>
      </c>
      <c r="D547" t="s">
        <v>109</v>
      </c>
      <c r="E547" t="s">
        <v>130</v>
      </c>
      <c r="F547" t="s">
        <v>17</v>
      </c>
      <c r="G547" t="s">
        <v>133</v>
      </c>
      <c r="H547" t="s">
        <v>148</v>
      </c>
      <c r="I547" t="s">
        <v>83</v>
      </c>
      <c r="J547" t="s">
        <v>84</v>
      </c>
      <c r="K547" t="s">
        <v>86</v>
      </c>
      <c r="L547" s="25">
        <v>44031</v>
      </c>
      <c r="M547">
        <v>7</v>
      </c>
      <c r="N547">
        <v>2020</v>
      </c>
      <c r="O547" t="s">
        <v>106</v>
      </c>
      <c r="P547">
        <v>170</v>
      </c>
      <c r="Q547" s="17">
        <v>44032.162178935185</v>
      </c>
      <c r="R547" t="s">
        <v>120</v>
      </c>
    </row>
    <row r="548" spans="1:18" x14ac:dyDescent="0.3">
      <c r="A548">
        <v>245821</v>
      </c>
      <c r="B548" t="s">
        <v>79</v>
      </c>
      <c r="C548">
        <v>1336951</v>
      </c>
      <c r="D548" t="s">
        <v>109</v>
      </c>
      <c r="E548" t="s">
        <v>12</v>
      </c>
      <c r="F548" t="s">
        <v>12</v>
      </c>
      <c r="G548" t="s">
        <v>124</v>
      </c>
      <c r="H548" t="s">
        <v>148</v>
      </c>
      <c r="I548" t="s">
        <v>83</v>
      </c>
      <c r="J548" t="s">
        <v>84</v>
      </c>
      <c r="K548" t="s">
        <v>82</v>
      </c>
      <c r="L548" s="25">
        <v>44031</v>
      </c>
      <c r="M548">
        <v>7</v>
      </c>
      <c r="N548">
        <v>2020</v>
      </c>
      <c r="O548" t="s">
        <v>106</v>
      </c>
      <c r="P548">
        <v>171</v>
      </c>
      <c r="Q548" s="17">
        <v>44032.08939050926</v>
      </c>
      <c r="R548" t="s">
        <v>120</v>
      </c>
    </row>
    <row r="549" spans="1:18" x14ac:dyDescent="0.3">
      <c r="A549">
        <v>9678016</v>
      </c>
      <c r="B549" t="s">
        <v>76</v>
      </c>
      <c r="C549">
        <v>1336224</v>
      </c>
      <c r="D549" t="s">
        <v>77</v>
      </c>
      <c r="E549" t="s">
        <v>12</v>
      </c>
      <c r="F549" t="s">
        <v>12</v>
      </c>
      <c r="G549" t="s">
        <v>124</v>
      </c>
      <c r="H549" t="s">
        <v>156</v>
      </c>
      <c r="I549" t="s">
        <v>77</v>
      </c>
      <c r="J549" t="s">
        <v>42</v>
      </c>
      <c r="K549" t="s">
        <v>82</v>
      </c>
      <c r="L549" s="25">
        <v>44031</v>
      </c>
      <c r="M549">
        <v>7</v>
      </c>
      <c r="N549">
        <v>2020</v>
      </c>
      <c r="O549" t="s">
        <v>106</v>
      </c>
      <c r="P549">
        <v>170</v>
      </c>
      <c r="Q549" s="17">
        <v>44032.086615509259</v>
      </c>
      <c r="R549" t="s">
        <v>120</v>
      </c>
    </row>
    <row r="550" spans="1:18" x14ac:dyDescent="0.3">
      <c r="A550">
        <v>21533564</v>
      </c>
      <c r="B550" t="s">
        <v>72</v>
      </c>
      <c r="C550">
        <v>1333705</v>
      </c>
      <c r="D550" t="s">
        <v>104</v>
      </c>
      <c r="E550">
        <v>845</v>
      </c>
      <c r="F550">
        <v>845</v>
      </c>
      <c r="G550" t="s">
        <v>122</v>
      </c>
      <c r="H550" t="s">
        <v>147</v>
      </c>
      <c r="I550" t="s">
        <v>83</v>
      </c>
      <c r="J550" t="s">
        <v>84</v>
      </c>
      <c r="K550" t="s">
        <v>86</v>
      </c>
      <c r="L550" s="25">
        <v>44031</v>
      </c>
      <c r="M550">
        <v>7</v>
      </c>
      <c r="N550">
        <v>2020</v>
      </c>
      <c r="O550" t="s">
        <v>106</v>
      </c>
      <c r="P550">
        <v>170</v>
      </c>
      <c r="Q550" s="17">
        <v>44032.416344328703</v>
      </c>
      <c r="R550" t="s">
        <v>120</v>
      </c>
    </row>
    <row r="551" spans="1:18" x14ac:dyDescent="0.3">
      <c r="A551">
        <v>21525894</v>
      </c>
      <c r="B551" t="s">
        <v>79</v>
      </c>
      <c r="C551">
        <v>1323486</v>
      </c>
      <c r="D551" t="s">
        <v>116</v>
      </c>
      <c r="E551" t="s">
        <v>26</v>
      </c>
      <c r="F551" t="s">
        <v>26</v>
      </c>
      <c r="G551" t="s">
        <v>126</v>
      </c>
      <c r="H551" t="s">
        <v>163</v>
      </c>
      <c r="I551" t="s">
        <v>83</v>
      </c>
      <c r="J551" t="s">
        <v>84</v>
      </c>
      <c r="K551" t="s">
        <v>82</v>
      </c>
      <c r="L551" s="25">
        <v>44031</v>
      </c>
      <c r="M551">
        <v>7</v>
      </c>
      <c r="N551">
        <v>2020</v>
      </c>
      <c r="O551" t="s">
        <v>106</v>
      </c>
      <c r="P551">
        <v>170</v>
      </c>
      <c r="Q551" s="17">
        <v>44029.829031828704</v>
      </c>
      <c r="R551" t="s">
        <v>120</v>
      </c>
    </row>
    <row r="552" spans="1:18" x14ac:dyDescent="0.3">
      <c r="A552">
        <v>9687663</v>
      </c>
      <c r="B552" t="s">
        <v>72</v>
      </c>
      <c r="C552">
        <v>1330670</v>
      </c>
      <c r="D552" t="s">
        <v>104</v>
      </c>
      <c r="E552">
        <v>820</v>
      </c>
      <c r="F552">
        <v>820</v>
      </c>
      <c r="G552" t="s">
        <v>125</v>
      </c>
      <c r="H552" t="s">
        <v>155</v>
      </c>
      <c r="I552" t="s">
        <v>81</v>
      </c>
      <c r="J552" t="s">
        <v>42</v>
      </c>
      <c r="K552" t="s">
        <v>82</v>
      </c>
      <c r="L552" s="25">
        <v>44031</v>
      </c>
      <c r="M552">
        <v>7</v>
      </c>
      <c r="N552">
        <v>2020</v>
      </c>
      <c r="O552" t="s">
        <v>106</v>
      </c>
      <c r="P552">
        <v>170</v>
      </c>
      <c r="Q552" s="17">
        <v>44032.074137847223</v>
      </c>
      <c r="R552" t="s">
        <v>120</v>
      </c>
    </row>
    <row r="553" spans="1:18" x14ac:dyDescent="0.3">
      <c r="A553">
        <v>9682945</v>
      </c>
      <c r="B553" t="s">
        <v>79</v>
      </c>
      <c r="C553">
        <v>1326125</v>
      </c>
      <c r="D553" t="s">
        <v>116</v>
      </c>
      <c r="E553" t="s">
        <v>26</v>
      </c>
      <c r="F553" t="s">
        <v>26</v>
      </c>
      <c r="G553" t="s">
        <v>126</v>
      </c>
      <c r="H553" t="s">
        <v>159</v>
      </c>
      <c r="I553" t="s">
        <v>83</v>
      </c>
      <c r="J553" t="s">
        <v>84</v>
      </c>
      <c r="K553" t="s">
        <v>82</v>
      </c>
      <c r="L553" s="25">
        <v>44031</v>
      </c>
      <c r="M553">
        <v>7</v>
      </c>
      <c r="N553">
        <v>2020</v>
      </c>
      <c r="O553" t="s">
        <v>106</v>
      </c>
      <c r="P553">
        <v>170</v>
      </c>
      <c r="Q553" s="17">
        <v>44029.924976041664</v>
      </c>
      <c r="R553" t="s">
        <v>120</v>
      </c>
    </row>
    <row r="554" spans="1:18" x14ac:dyDescent="0.3">
      <c r="A554">
        <v>9687218</v>
      </c>
      <c r="B554" t="s">
        <v>79</v>
      </c>
      <c r="C554">
        <v>1330370</v>
      </c>
      <c r="D554" t="s">
        <v>109</v>
      </c>
      <c r="E554" t="s">
        <v>130</v>
      </c>
      <c r="F554" t="s">
        <v>17</v>
      </c>
      <c r="G554" t="s">
        <v>133</v>
      </c>
      <c r="H554" t="s">
        <v>148</v>
      </c>
      <c r="I554" t="s">
        <v>83</v>
      </c>
      <c r="J554" t="s">
        <v>84</v>
      </c>
      <c r="K554" t="s">
        <v>86</v>
      </c>
      <c r="L554" s="25">
        <v>44031</v>
      </c>
      <c r="M554">
        <v>7</v>
      </c>
      <c r="N554">
        <v>2020</v>
      </c>
      <c r="O554" t="s">
        <v>106</v>
      </c>
      <c r="P554">
        <v>170</v>
      </c>
      <c r="Q554" s="17">
        <v>44032.147384027776</v>
      </c>
      <c r="R554" t="s">
        <v>120</v>
      </c>
    </row>
    <row r="555" spans="1:18" x14ac:dyDescent="0.3">
      <c r="A555">
        <v>21531856</v>
      </c>
      <c r="B555" t="s">
        <v>78</v>
      </c>
      <c r="C555">
        <v>1336035</v>
      </c>
      <c r="D555" t="s">
        <v>112</v>
      </c>
      <c r="E555" t="s">
        <v>12</v>
      </c>
      <c r="F555" t="s">
        <v>12</v>
      </c>
      <c r="G555" t="s">
        <v>124</v>
      </c>
      <c r="H555" t="s">
        <v>150</v>
      </c>
      <c r="I555" t="s">
        <v>81</v>
      </c>
      <c r="J555" t="s">
        <v>42</v>
      </c>
      <c r="K555" t="s">
        <v>82</v>
      </c>
      <c r="L555" s="25">
        <v>44031</v>
      </c>
      <c r="M555">
        <v>7</v>
      </c>
      <c r="N555">
        <v>2020</v>
      </c>
      <c r="O555" t="s">
        <v>106</v>
      </c>
      <c r="P555">
        <v>170</v>
      </c>
      <c r="Q555" s="17">
        <v>44032.085400578704</v>
      </c>
      <c r="R555" t="s">
        <v>120</v>
      </c>
    </row>
    <row r="556" spans="1:18" x14ac:dyDescent="0.3">
      <c r="A556">
        <v>9687034</v>
      </c>
      <c r="B556" t="s">
        <v>79</v>
      </c>
      <c r="C556">
        <v>1330284</v>
      </c>
      <c r="D556" t="s">
        <v>109</v>
      </c>
      <c r="E556" t="s">
        <v>130</v>
      </c>
      <c r="F556" t="s">
        <v>17</v>
      </c>
      <c r="G556" t="s">
        <v>133</v>
      </c>
      <c r="H556" t="s">
        <v>148</v>
      </c>
      <c r="I556" t="s">
        <v>83</v>
      </c>
      <c r="J556" t="s">
        <v>84</v>
      </c>
      <c r="K556" t="s">
        <v>86</v>
      </c>
      <c r="L556" s="25">
        <v>44031</v>
      </c>
      <c r="M556">
        <v>7</v>
      </c>
      <c r="N556">
        <v>2020</v>
      </c>
      <c r="O556" t="s">
        <v>106</v>
      </c>
      <c r="P556">
        <v>170</v>
      </c>
      <c r="Q556" s="17">
        <v>44032.129908101851</v>
      </c>
      <c r="R556" t="s">
        <v>120</v>
      </c>
    </row>
    <row r="557" spans="1:18" x14ac:dyDescent="0.3">
      <c r="A557">
        <v>245712</v>
      </c>
      <c r="B557" t="s">
        <v>78</v>
      </c>
      <c r="C557">
        <v>1336736</v>
      </c>
      <c r="D557" t="s">
        <v>112</v>
      </c>
      <c r="E557" t="s">
        <v>12</v>
      </c>
      <c r="F557" t="s">
        <v>12</v>
      </c>
      <c r="G557" t="s">
        <v>124</v>
      </c>
      <c r="H557" t="s">
        <v>150</v>
      </c>
      <c r="I557" t="s">
        <v>81</v>
      </c>
      <c r="J557" t="s">
        <v>42</v>
      </c>
      <c r="K557" t="s">
        <v>82</v>
      </c>
      <c r="L557" s="25">
        <v>44031</v>
      </c>
      <c r="M557">
        <v>7</v>
      </c>
      <c r="N557">
        <v>2020</v>
      </c>
      <c r="O557" t="s">
        <v>106</v>
      </c>
      <c r="P557">
        <v>170</v>
      </c>
      <c r="Q557" s="17">
        <v>44032.08872349537</v>
      </c>
      <c r="R557" t="s">
        <v>120</v>
      </c>
    </row>
    <row r="558" spans="1:18" x14ac:dyDescent="0.3">
      <c r="A558">
        <v>9680326</v>
      </c>
      <c r="B558" t="s">
        <v>78</v>
      </c>
      <c r="C558">
        <v>1336536</v>
      </c>
      <c r="D558" t="s">
        <v>112</v>
      </c>
      <c r="E558" t="s">
        <v>12</v>
      </c>
      <c r="F558" t="s">
        <v>12</v>
      </c>
      <c r="G558" t="s">
        <v>124</v>
      </c>
      <c r="H558" t="s">
        <v>156</v>
      </c>
      <c r="I558" t="s">
        <v>81</v>
      </c>
      <c r="J558" t="s">
        <v>42</v>
      </c>
      <c r="K558" t="s">
        <v>82</v>
      </c>
      <c r="L558" s="25">
        <v>44031</v>
      </c>
      <c r="M558">
        <v>7</v>
      </c>
      <c r="N558">
        <v>2020</v>
      </c>
      <c r="O558" t="s">
        <v>106</v>
      </c>
      <c r="P558">
        <v>170</v>
      </c>
      <c r="Q558" s="17">
        <v>44032.076642824075</v>
      </c>
      <c r="R558" t="s">
        <v>120</v>
      </c>
    </row>
    <row r="559" spans="1:18" x14ac:dyDescent="0.3">
      <c r="A559">
        <v>245347</v>
      </c>
      <c r="B559" t="s">
        <v>72</v>
      </c>
      <c r="C559">
        <v>1337071</v>
      </c>
      <c r="D559" t="s">
        <v>104</v>
      </c>
      <c r="E559" t="s">
        <v>12</v>
      </c>
      <c r="F559" t="s">
        <v>12</v>
      </c>
      <c r="G559" t="s">
        <v>124</v>
      </c>
      <c r="H559" t="s">
        <v>151</v>
      </c>
      <c r="I559" t="s">
        <v>83</v>
      </c>
      <c r="J559" t="s">
        <v>84</v>
      </c>
      <c r="K559" t="s">
        <v>82</v>
      </c>
      <c r="L559" s="25">
        <v>44031</v>
      </c>
      <c r="M559">
        <v>7</v>
      </c>
      <c r="N559">
        <v>2020</v>
      </c>
      <c r="O559" t="s">
        <v>106</v>
      </c>
      <c r="P559">
        <v>170</v>
      </c>
      <c r="Q559" s="17">
        <v>44032.131376504629</v>
      </c>
      <c r="R559" t="s">
        <v>120</v>
      </c>
    </row>
    <row r="560" spans="1:18" x14ac:dyDescent="0.3">
      <c r="A560">
        <v>242592</v>
      </c>
      <c r="B560" t="s">
        <v>79</v>
      </c>
      <c r="C560">
        <v>1323967</v>
      </c>
      <c r="D560" t="s">
        <v>116</v>
      </c>
      <c r="E560" t="s">
        <v>26</v>
      </c>
      <c r="F560" t="s">
        <v>26</v>
      </c>
      <c r="G560" t="s">
        <v>126</v>
      </c>
      <c r="H560" t="s">
        <v>159</v>
      </c>
      <c r="I560" t="s">
        <v>83</v>
      </c>
      <c r="J560" t="s">
        <v>84</v>
      </c>
      <c r="K560" t="s">
        <v>82</v>
      </c>
      <c r="L560" s="25">
        <v>44031</v>
      </c>
      <c r="M560">
        <v>7</v>
      </c>
      <c r="N560">
        <v>2020</v>
      </c>
      <c r="O560" t="s">
        <v>106</v>
      </c>
      <c r="P560">
        <v>170</v>
      </c>
      <c r="Q560" s="17">
        <v>44029.839090972222</v>
      </c>
      <c r="R560" t="s">
        <v>120</v>
      </c>
    </row>
    <row r="561" spans="1:18" x14ac:dyDescent="0.3">
      <c r="A561">
        <v>9679380</v>
      </c>
      <c r="B561" t="s">
        <v>76</v>
      </c>
      <c r="C561">
        <v>1335986</v>
      </c>
      <c r="D561" t="s">
        <v>77</v>
      </c>
      <c r="E561" t="s">
        <v>12</v>
      </c>
      <c r="F561" t="s">
        <v>12</v>
      </c>
      <c r="G561" t="s">
        <v>124</v>
      </c>
      <c r="H561" t="s">
        <v>156</v>
      </c>
      <c r="I561" t="s">
        <v>77</v>
      </c>
      <c r="J561" t="s">
        <v>42</v>
      </c>
      <c r="K561" t="s">
        <v>82</v>
      </c>
      <c r="L561" s="25">
        <v>44031</v>
      </c>
      <c r="M561">
        <v>7</v>
      </c>
      <c r="N561">
        <v>2020</v>
      </c>
      <c r="O561" t="s">
        <v>106</v>
      </c>
      <c r="P561">
        <v>170</v>
      </c>
      <c r="Q561" s="17">
        <v>44032.085243171299</v>
      </c>
      <c r="R561" t="s">
        <v>120</v>
      </c>
    </row>
    <row r="562" spans="1:18" x14ac:dyDescent="0.3">
      <c r="A562">
        <v>21532395</v>
      </c>
      <c r="B562" t="s">
        <v>72</v>
      </c>
      <c r="C562">
        <v>1335299</v>
      </c>
      <c r="D562" t="s">
        <v>104</v>
      </c>
      <c r="E562">
        <v>845</v>
      </c>
      <c r="F562">
        <v>845</v>
      </c>
      <c r="G562" t="s">
        <v>122</v>
      </c>
      <c r="H562" t="s">
        <v>147</v>
      </c>
      <c r="I562" t="s">
        <v>83</v>
      </c>
      <c r="J562" t="s">
        <v>84</v>
      </c>
      <c r="K562" t="s">
        <v>86</v>
      </c>
      <c r="L562" s="25">
        <v>44031</v>
      </c>
      <c r="M562">
        <v>7</v>
      </c>
      <c r="N562">
        <v>2020</v>
      </c>
      <c r="O562" t="s">
        <v>106</v>
      </c>
      <c r="P562">
        <v>170</v>
      </c>
      <c r="Q562" s="17">
        <v>44032.418826388886</v>
      </c>
      <c r="R562" t="s">
        <v>120</v>
      </c>
    </row>
    <row r="563" spans="1:18" x14ac:dyDescent="0.3">
      <c r="A563">
        <v>9687724</v>
      </c>
      <c r="B563" t="s">
        <v>72</v>
      </c>
      <c r="C563">
        <v>1330719</v>
      </c>
      <c r="D563" t="s">
        <v>104</v>
      </c>
      <c r="E563">
        <v>820</v>
      </c>
      <c r="F563">
        <v>820</v>
      </c>
      <c r="G563" t="s">
        <v>125</v>
      </c>
      <c r="H563" t="s">
        <v>155</v>
      </c>
      <c r="I563" t="s">
        <v>81</v>
      </c>
      <c r="J563" t="s">
        <v>42</v>
      </c>
      <c r="K563" t="s">
        <v>82</v>
      </c>
      <c r="L563" s="25">
        <v>44031</v>
      </c>
      <c r="M563">
        <v>7</v>
      </c>
      <c r="N563">
        <v>2020</v>
      </c>
      <c r="O563" t="s">
        <v>106</v>
      </c>
      <c r="P563">
        <v>170</v>
      </c>
      <c r="Q563" s="17">
        <v>44032.202162731483</v>
      </c>
      <c r="R563" t="s">
        <v>120</v>
      </c>
    </row>
    <row r="564" spans="1:18" x14ac:dyDescent="0.3">
      <c r="A564">
        <v>9687527</v>
      </c>
      <c r="B564" t="s">
        <v>79</v>
      </c>
      <c r="C564">
        <v>1330470</v>
      </c>
      <c r="D564" t="s">
        <v>109</v>
      </c>
      <c r="E564" t="s">
        <v>130</v>
      </c>
      <c r="F564" t="s">
        <v>17</v>
      </c>
      <c r="G564" t="s">
        <v>133</v>
      </c>
      <c r="H564" t="s">
        <v>148</v>
      </c>
      <c r="I564" t="s">
        <v>83</v>
      </c>
      <c r="J564" t="s">
        <v>84</v>
      </c>
      <c r="K564" t="s">
        <v>86</v>
      </c>
      <c r="L564" s="25">
        <v>44031</v>
      </c>
      <c r="M564">
        <v>7</v>
      </c>
      <c r="N564">
        <v>2020</v>
      </c>
      <c r="O564" t="s">
        <v>106</v>
      </c>
      <c r="P564">
        <v>170</v>
      </c>
      <c r="Q564" s="17">
        <v>44032.163558217595</v>
      </c>
      <c r="R564" t="s">
        <v>120</v>
      </c>
    </row>
    <row r="565" spans="1:18" x14ac:dyDescent="0.3">
      <c r="A565">
        <v>241539</v>
      </c>
      <c r="B565" t="s">
        <v>79</v>
      </c>
      <c r="C565">
        <v>1323423</v>
      </c>
      <c r="D565" t="s">
        <v>116</v>
      </c>
      <c r="E565" t="s">
        <v>26</v>
      </c>
      <c r="F565" t="s">
        <v>26</v>
      </c>
      <c r="G565" t="s">
        <v>126</v>
      </c>
      <c r="H565" t="s">
        <v>163</v>
      </c>
      <c r="I565" t="s">
        <v>83</v>
      </c>
      <c r="J565" t="s">
        <v>84</v>
      </c>
      <c r="K565" t="s">
        <v>82</v>
      </c>
      <c r="L565" s="25">
        <v>44031</v>
      </c>
      <c r="M565">
        <v>7</v>
      </c>
      <c r="N565">
        <v>2020</v>
      </c>
      <c r="O565" t="s">
        <v>106</v>
      </c>
      <c r="P565">
        <v>170</v>
      </c>
      <c r="Q565" s="17">
        <v>44029.829031828704</v>
      </c>
      <c r="R565" t="s">
        <v>120</v>
      </c>
    </row>
    <row r="566" spans="1:18" x14ac:dyDescent="0.3">
      <c r="A566">
        <v>21533655</v>
      </c>
      <c r="B566" t="s">
        <v>72</v>
      </c>
      <c r="C566">
        <v>1335591</v>
      </c>
      <c r="D566" t="s">
        <v>104</v>
      </c>
      <c r="E566">
        <v>845</v>
      </c>
      <c r="F566">
        <v>845</v>
      </c>
      <c r="G566" t="s">
        <v>122</v>
      </c>
      <c r="H566" t="s">
        <v>147</v>
      </c>
      <c r="I566" t="s">
        <v>83</v>
      </c>
      <c r="J566" t="s">
        <v>84</v>
      </c>
      <c r="K566" t="s">
        <v>86</v>
      </c>
      <c r="L566" s="25">
        <v>44031</v>
      </c>
      <c r="M566">
        <v>7</v>
      </c>
      <c r="N566">
        <v>2020</v>
      </c>
      <c r="O566" t="s">
        <v>106</v>
      </c>
      <c r="P566">
        <v>170</v>
      </c>
      <c r="Q566" s="17">
        <v>44032.419308912038</v>
      </c>
      <c r="R566" t="s">
        <v>120</v>
      </c>
    </row>
    <row r="567" spans="1:18" x14ac:dyDescent="0.3">
      <c r="A567">
        <v>21533649</v>
      </c>
      <c r="B567" t="s">
        <v>77</v>
      </c>
      <c r="C567">
        <v>1336693</v>
      </c>
      <c r="D567" t="s">
        <v>77</v>
      </c>
      <c r="E567" t="s">
        <v>12</v>
      </c>
      <c r="F567" t="s">
        <v>12</v>
      </c>
      <c r="G567" t="s">
        <v>124</v>
      </c>
      <c r="H567" t="s">
        <v>102</v>
      </c>
      <c r="I567" t="s">
        <v>77</v>
      </c>
      <c r="J567" t="s">
        <v>42</v>
      </c>
      <c r="K567" t="s">
        <v>82</v>
      </c>
      <c r="L567" s="25">
        <v>44031</v>
      </c>
      <c r="M567">
        <v>7</v>
      </c>
      <c r="N567">
        <v>2020</v>
      </c>
      <c r="O567" t="s">
        <v>106</v>
      </c>
      <c r="P567">
        <v>170</v>
      </c>
      <c r="Q567" s="17">
        <v>44032.077537152778</v>
      </c>
      <c r="R567" t="s">
        <v>120</v>
      </c>
    </row>
    <row r="568" spans="1:18" x14ac:dyDescent="0.3">
      <c r="A568">
        <v>242141</v>
      </c>
      <c r="B568" t="s">
        <v>72</v>
      </c>
      <c r="C568">
        <v>1323074</v>
      </c>
      <c r="D568" t="s">
        <v>104</v>
      </c>
      <c r="E568" t="s">
        <v>26</v>
      </c>
      <c r="F568" t="s">
        <v>26</v>
      </c>
      <c r="G568" t="s">
        <v>126</v>
      </c>
      <c r="H568" t="s">
        <v>160</v>
      </c>
      <c r="I568" t="s">
        <v>81</v>
      </c>
      <c r="J568" t="s">
        <v>42</v>
      </c>
      <c r="K568" t="s">
        <v>82</v>
      </c>
      <c r="L568" s="25">
        <v>44031</v>
      </c>
      <c r="M568">
        <v>7</v>
      </c>
      <c r="N568">
        <v>2020</v>
      </c>
      <c r="O568" t="s">
        <v>106</v>
      </c>
      <c r="P568">
        <v>170</v>
      </c>
      <c r="Q568" s="17">
        <v>44032.0711912037</v>
      </c>
      <c r="R568" t="s">
        <v>120</v>
      </c>
    </row>
    <row r="569" spans="1:18" x14ac:dyDescent="0.3">
      <c r="A569">
        <v>21527687</v>
      </c>
      <c r="B569" t="s">
        <v>72</v>
      </c>
      <c r="C569">
        <v>1324476</v>
      </c>
      <c r="D569" t="s">
        <v>104</v>
      </c>
      <c r="E569" t="s">
        <v>26</v>
      </c>
      <c r="F569" t="s">
        <v>26</v>
      </c>
      <c r="G569" t="s">
        <v>126</v>
      </c>
      <c r="H569" t="s">
        <v>147</v>
      </c>
      <c r="I569" t="s">
        <v>83</v>
      </c>
      <c r="J569" t="s">
        <v>84</v>
      </c>
      <c r="K569" t="s">
        <v>82</v>
      </c>
      <c r="L569" s="25">
        <v>44031</v>
      </c>
      <c r="M569">
        <v>7</v>
      </c>
      <c r="N569">
        <v>2020</v>
      </c>
      <c r="O569" t="s">
        <v>106</v>
      </c>
      <c r="P569">
        <v>170</v>
      </c>
      <c r="Q569" s="17">
        <v>44032.084625810188</v>
      </c>
      <c r="R569" t="s">
        <v>120</v>
      </c>
    </row>
    <row r="570" spans="1:18" x14ac:dyDescent="0.3">
      <c r="A570">
        <v>9687478</v>
      </c>
      <c r="B570" t="s">
        <v>79</v>
      </c>
      <c r="C570">
        <v>1330462</v>
      </c>
      <c r="D570" t="s">
        <v>109</v>
      </c>
      <c r="E570" t="s">
        <v>130</v>
      </c>
      <c r="F570" t="s">
        <v>17</v>
      </c>
      <c r="G570" t="s">
        <v>133</v>
      </c>
      <c r="H570" t="s">
        <v>148</v>
      </c>
      <c r="I570" t="s">
        <v>83</v>
      </c>
      <c r="J570" t="s">
        <v>84</v>
      </c>
      <c r="K570" t="s">
        <v>86</v>
      </c>
      <c r="L570" s="25">
        <v>44031</v>
      </c>
      <c r="M570">
        <v>7</v>
      </c>
      <c r="N570">
        <v>2020</v>
      </c>
      <c r="O570" t="s">
        <v>106</v>
      </c>
      <c r="P570">
        <v>170</v>
      </c>
      <c r="Q570" s="17">
        <v>44032.164015162038</v>
      </c>
      <c r="R570" t="s">
        <v>120</v>
      </c>
    </row>
    <row r="571" spans="1:18" x14ac:dyDescent="0.3">
      <c r="A571">
        <v>21528180</v>
      </c>
      <c r="B571" t="s">
        <v>72</v>
      </c>
      <c r="C571">
        <v>1323387</v>
      </c>
      <c r="D571" t="s">
        <v>104</v>
      </c>
      <c r="E571" t="s">
        <v>134</v>
      </c>
      <c r="F571" t="s">
        <v>17</v>
      </c>
      <c r="G571" t="s">
        <v>135</v>
      </c>
      <c r="H571" t="s">
        <v>153</v>
      </c>
      <c r="I571" t="s">
        <v>81</v>
      </c>
      <c r="J571" t="s">
        <v>42</v>
      </c>
      <c r="K571" t="s">
        <v>86</v>
      </c>
      <c r="L571" s="25">
        <v>44031</v>
      </c>
      <c r="M571">
        <v>7</v>
      </c>
      <c r="N571">
        <v>2020</v>
      </c>
      <c r="O571" t="s">
        <v>106</v>
      </c>
      <c r="P571">
        <v>170</v>
      </c>
      <c r="Q571" s="17">
        <v>44032.242247222224</v>
      </c>
      <c r="R571" t="s">
        <v>120</v>
      </c>
    </row>
    <row r="572" spans="1:18" x14ac:dyDescent="0.3">
      <c r="A572">
        <v>9687079</v>
      </c>
      <c r="B572" t="s">
        <v>79</v>
      </c>
      <c r="C572">
        <v>1330314</v>
      </c>
      <c r="D572" t="s">
        <v>109</v>
      </c>
      <c r="E572" t="s">
        <v>130</v>
      </c>
      <c r="F572" t="s">
        <v>17</v>
      </c>
      <c r="G572" t="s">
        <v>133</v>
      </c>
      <c r="H572" t="s">
        <v>148</v>
      </c>
      <c r="I572" t="s">
        <v>83</v>
      </c>
      <c r="J572" t="s">
        <v>84</v>
      </c>
      <c r="K572" t="s">
        <v>86</v>
      </c>
      <c r="L572" s="25">
        <v>44031</v>
      </c>
      <c r="M572">
        <v>7</v>
      </c>
      <c r="N572">
        <v>2020</v>
      </c>
      <c r="O572" t="s">
        <v>106</v>
      </c>
      <c r="P572">
        <v>170</v>
      </c>
      <c r="Q572" s="17">
        <v>44032.136566550929</v>
      </c>
      <c r="R572" t="s">
        <v>120</v>
      </c>
    </row>
    <row r="573" spans="1:18" x14ac:dyDescent="0.3">
      <c r="A573">
        <v>9687338</v>
      </c>
      <c r="B573" t="s">
        <v>79</v>
      </c>
      <c r="C573">
        <v>1330400</v>
      </c>
      <c r="D573" t="s">
        <v>109</v>
      </c>
      <c r="E573" t="s">
        <v>130</v>
      </c>
      <c r="F573" t="s">
        <v>17</v>
      </c>
      <c r="G573" t="s">
        <v>133</v>
      </c>
      <c r="H573" t="s">
        <v>148</v>
      </c>
      <c r="I573" t="s">
        <v>83</v>
      </c>
      <c r="J573" t="s">
        <v>84</v>
      </c>
      <c r="K573" t="s">
        <v>86</v>
      </c>
      <c r="L573" s="25">
        <v>44031</v>
      </c>
      <c r="M573">
        <v>7</v>
      </c>
      <c r="N573">
        <v>2020</v>
      </c>
      <c r="O573" t="s">
        <v>106</v>
      </c>
      <c r="P573">
        <v>170</v>
      </c>
      <c r="Q573" s="17">
        <v>44032.151346527775</v>
      </c>
      <c r="R573" t="s">
        <v>120</v>
      </c>
    </row>
    <row r="574" spans="1:18" x14ac:dyDescent="0.3">
      <c r="A574">
        <v>21533430</v>
      </c>
      <c r="B574" t="s">
        <v>78</v>
      </c>
      <c r="C574">
        <v>1335355</v>
      </c>
      <c r="D574" t="s">
        <v>112</v>
      </c>
      <c r="E574" t="s">
        <v>12</v>
      </c>
      <c r="F574" t="s">
        <v>12</v>
      </c>
      <c r="G574" t="s">
        <v>124</v>
      </c>
      <c r="H574" t="s">
        <v>150</v>
      </c>
      <c r="I574" t="s">
        <v>81</v>
      </c>
      <c r="J574" t="s">
        <v>42</v>
      </c>
      <c r="K574" t="s">
        <v>82</v>
      </c>
      <c r="L574" s="25">
        <v>44031</v>
      </c>
      <c r="M574">
        <v>7</v>
      </c>
      <c r="N574">
        <v>2020</v>
      </c>
      <c r="O574" t="s">
        <v>106</v>
      </c>
      <c r="P574">
        <v>170</v>
      </c>
      <c r="Q574" s="17">
        <v>44032.083371296299</v>
      </c>
      <c r="R574" t="s">
        <v>120</v>
      </c>
    </row>
    <row r="575" spans="1:18" x14ac:dyDescent="0.3">
      <c r="A575">
        <v>9687710</v>
      </c>
      <c r="B575" t="s">
        <v>72</v>
      </c>
      <c r="C575">
        <v>1330689</v>
      </c>
      <c r="D575" t="s">
        <v>104</v>
      </c>
      <c r="E575">
        <v>820</v>
      </c>
      <c r="F575">
        <v>820</v>
      </c>
      <c r="G575" t="s">
        <v>125</v>
      </c>
      <c r="H575" t="s">
        <v>155</v>
      </c>
      <c r="I575" t="s">
        <v>81</v>
      </c>
      <c r="J575" t="s">
        <v>42</v>
      </c>
      <c r="K575" t="s">
        <v>82</v>
      </c>
      <c r="L575" s="25">
        <v>44031</v>
      </c>
      <c r="M575">
        <v>7</v>
      </c>
      <c r="N575">
        <v>2020</v>
      </c>
      <c r="O575" t="s">
        <v>106</v>
      </c>
      <c r="P575">
        <v>170</v>
      </c>
      <c r="Q575" s="17">
        <v>44032.081681944444</v>
      </c>
      <c r="R575" t="s">
        <v>120</v>
      </c>
    </row>
    <row r="576" spans="1:18" x14ac:dyDescent="0.3">
      <c r="A576">
        <v>21526947</v>
      </c>
      <c r="B576" t="s">
        <v>72</v>
      </c>
      <c r="C576">
        <v>1323494</v>
      </c>
      <c r="D576" t="s">
        <v>104</v>
      </c>
      <c r="E576" t="s">
        <v>26</v>
      </c>
      <c r="F576" t="s">
        <v>26</v>
      </c>
      <c r="G576" t="s">
        <v>126</v>
      </c>
      <c r="H576" t="s">
        <v>147</v>
      </c>
      <c r="I576" t="s">
        <v>83</v>
      </c>
      <c r="J576" t="s">
        <v>84</v>
      </c>
      <c r="K576" t="s">
        <v>82</v>
      </c>
      <c r="L576" s="25">
        <v>44031</v>
      </c>
      <c r="M576">
        <v>7</v>
      </c>
      <c r="N576">
        <v>2020</v>
      </c>
      <c r="O576" t="s">
        <v>106</v>
      </c>
      <c r="P576">
        <v>170</v>
      </c>
      <c r="Q576" s="17">
        <v>44032.079843749998</v>
      </c>
      <c r="R576" t="s">
        <v>120</v>
      </c>
    </row>
    <row r="577" spans="1:18" x14ac:dyDescent="0.3">
      <c r="A577">
        <v>9681352</v>
      </c>
      <c r="B577" t="s">
        <v>72</v>
      </c>
      <c r="C577">
        <v>1325409</v>
      </c>
      <c r="D577" t="s">
        <v>104</v>
      </c>
      <c r="E577" t="s">
        <v>131</v>
      </c>
      <c r="F577" t="s">
        <v>17</v>
      </c>
      <c r="G577" t="s">
        <v>132</v>
      </c>
      <c r="H577" t="s">
        <v>153</v>
      </c>
      <c r="I577" t="s">
        <v>81</v>
      </c>
      <c r="J577" t="s">
        <v>42</v>
      </c>
      <c r="K577" t="s">
        <v>86</v>
      </c>
      <c r="L577" s="25">
        <v>44031</v>
      </c>
      <c r="M577">
        <v>7</v>
      </c>
      <c r="N577">
        <v>2020</v>
      </c>
      <c r="O577" t="s">
        <v>106</v>
      </c>
      <c r="P577">
        <v>170</v>
      </c>
      <c r="Q577" s="17">
        <v>44032.202781018517</v>
      </c>
      <c r="R577" t="s">
        <v>120</v>
      </c>
    </row>
    <row r="578" spans="1:18" x14ac:dyDescent="0.3">
      <c r="A578">
        <v>21526337</v>
      </c>
      <c r="B578" t="s">
        <v>72</v>
      </c>
      <c r="C578">
        <v>1324141</v>
      </c>
      <c r="D578" t="s">
        <v>104</v>
      </c>
      <c r="E578" t="s">
        <v>26</v>
      </c>
      <c r="F578" t="s">
        <v>26</v>
      </c>
      <c r="G578" t="s">
        <v>126</v>
      </c>
      <c r="H578" t="s">
        <v>160</v>
      </c>
      <c r="I578" t="s">
        <v>81</v>
      </c>
      <c r="J578" t="s">
        <v>42</v>
      </c>
      <c r="K578" t="s">
        <v>82</v>
      </c>
      <c r="L578" s="25">
        <v>44031</v>
      </c>
      <c r="M578">
        <v>7</v>
      </c>
      <c r="N578">
        <v>2020</v>
      </c>
      <c r="O578" t="s">
        <v>106</v>
      </c>
      <c r="P578">
        <v>170</v>
      </c>
      <c r="Q578" s="17">
        <v>44032.082502083336</v>
      </c>
      <c r="R578" t="s">
        <v>120</v>
      </c>
    </row>
    <row r="579" spans="1:18" x14ac:dyDescent="0.3">
      <c r="A579">
        <v>9687044</v>
      </c>
      <c r="B579" t="s">
        <v>79</v>
      </c>
      <c r="C579">
        <v>1330289</v>
      </c>
      <c r="D579" t="s">
        <v>109</v>
      </c>
      <c r="E579" t="s">
        <v>130</v>
      </c>
      <c r="F579" t="s">
        <v>17</v>
      </c>
      <c r="G579" t="s">
        <v>133</v>
      </c>
      <c r="H579" t="s">
        <v>148</v>
      </c>
      <c r="I579" t="s">
        <v>83</v>
      </c>
      <c r="J579" t="s">
        <v>84</v>
      </c>
      <c r="K579" t="s">
        <v>86</v>
      </c>
      <c r="L579" s="25">
        <v>44031</v>
      </c>
      <c r="M579">
        <v>7</v>
      </c>
      <c r="N579">
        <v>2020</v>
      </c>
      <c r="O579" t="s">
        <v>106</v>
      </c>
      <c r="P579">
        <v>170</v>
      </c>
      <c r="Q579" s="17">
        <v>44032.131725115738</v>
      </c>
      <c r="R579" t="s">
        <v>120</v>
      </c>
    </row>
    <row r="580" spans="1:18" x14ac:dyDescent="0.3">
      <c r="A580">
        <v>9687087</v>
      </c>
      <c r="B580" t="s">
        <v>79</v>
      </c>
      <c r="C580">
        <v>1330332</v>
      </c>
      <c r="D580" t="s">
        <v>109</v>
      </c>
      <c r="E580" t="s">
        <v>130</v>
      </c>
      <c r="F580" t="s">
        <v>17</v>
      </c>
      <c r="G580" t="s">
        <v>133</v>
      </c>
      <c r="H580" t="s">
        <v>148</v>
      </c>
      <c r="I580" t="s">
        <v>83</v>
      </c>
      <c r="J580" t="s">
        <v>84</v>
      </c>
      <c r="K580" t="s">
        <v>86</v>
      </c>
      <c r="L580" s="25">
        <v>44031</v>
      </c>
      <c r="M580">
        <v>7</v>
      </c>
      <c r="N580">
        <v>2020</v>
      </c>
      <c r="O580" t="s">
        <v>106</v>
      </c>
      <c r="P580">
        <v>170</v>
      </c>
      <c r="Q580" s="17">
        <v>44032.13947800926</v>
      </c>
      <c r="R580" t="s">
        <v>120</v>
      </c>
    </row>
    <row r="581" spans="1:18" x14ac:dyDescent="0.3">
      <c r="A581">
        <v>9687579</v>
      </c>
      <c r="B581" t="s">
        <v>79</v>
      </c>
      <c r="C581">
        <v>1330475</v>
      </c>
      <c r="D581" t="s">
        <v>109</v>
      </c>
      <c r="E581" t="s">
        <v>130</v>
      </c>
      <c r="F581" t="s">
        <v>17</v>
      </c>
      <c r="G581" t="s">
        <v>133</v>
      </c>
      <c r="H581" t="s">
        <v>148</v>
      </c>
      <c r="I581" t="s">
        <v>83</v>
      </c>
      <c r="J581" t="s">
        <v>84</v>
      </c>
      <c r="K581" t="s">
        <v>86</v>
      </c>
      <c r="L581" s="25">
        <v>44031</v>
      </c>
      <c r="M581">
        <v>7</v>
      </c>
      <c r="N581">
        <v>2020</v>
      </c>
      <c r="O581" t="s">
        <v>106</v>
      </c>
      <c r="P581">
        <v>170</v>
      </c>
      <c r="Q581" s="17">
        <v>44032.430590162039</v>
      </c>
      <c r="R581" t="s">
        <v>120</v>
      </c>
    </row>
    <row r="582" spans="1:18" x14ac:dyDescent="0.3">
      <c r="A582">
        <v>241885</v>
      </c>
      <c r="B582" t="s">
        <v>79</v>
      </c>
      <c r="C582">
        <v>1322787</v>
      </c>
      <c r="D582" t="s">
        <v>116</v>
      </c>
      <c r="E582" t="s">
        <v>26</v>
      </c>
      <c r="F582" t="s">
        <v>26</v>
      </c>
      <c r="G582" t="s">
        <v>126</v>
      </c>
      <c r="H582" t="s">
        <v>159</v>
      </c>
      <c r="I582" t="s">
        <v>83</v>
      </c>
      <c r="J582" t="s">
        <v>84</v>
      </c>
      <c r="K582" t="s">
        <v>82</v>
      </c>
      <c r="L582" s="25">
        <v>44031</v>
      </c>
      <c r="M582">
        <v>7</v>
      </c>
      <c r="N582">
        <v>2020</v>
      </c>
      <c r="O582" t="s">
        <v>106</v>
      </c>
      <c r="P582">
        <v>170</v>
      </c>
      <c r="Q582" s="17">
        <v>44029.814035300929</v>
      </c>
      <c r="R582" t="s">
        <v>120</v>
      </c>
    </row>
    <row r="583" spans="1:18" x14ac:dyDescent="0.3">
      <c r="A583">
        <v>9687356</v>
      </c>
      <c r="B583" t="s">
        <v>79</v>
      </c>
      <c r="C583">
        <v>1330421</v>
      </c>
      <c r="D583" t="s">
        <v>109</v>
      </c>
      <c r="E583" t="s">
        <v>130</v>
      </c>
      <c r="F583" t="s">
        <v>17</v>
      </c>
      <c r="G583" t="s">
        <v>133</v>
      </c>
      <c r="H583" t="s">
        <v>148</v>
      </c>
      <c r="I583" t="s">
        <v>83</v>
      </c>
      <c r="J583" t="s">
        <v>84</v>
      </c>
      <c r="K583" t="s">
        <v>86</v>
      </c>
      <c r="L583" s="25">
        <v>44031</v>
      </c>
      <c r="M583">
        <v>7</v>
      </c>
      <c r="N583">
        <v>2020</v>
      </c>
      <c r="O583" t="s">
        <v>106</v>
      </c>
      <c r="P583">
        <v>170</v>
      </c>
      <c r="Q583" s="17">
        <v>44032.429321759257</v>
      </c>
      <c r="R583" t="s">
        <v>120</v>
      </c>
    </row>
    <row r="584" spans="1:18" x14ac:dyDescent="0.3">
      <c r="A584">
        <v>9680964</v>
      </c>
      <c r="B584" t="s">
        <v>72</v>
      </c>
      <c r="C584">
        <v>1323362</v>
      </c>
      <c r="D584" t="s">
        <v>104</v>
      </c>
      <c r="E584" t="s">
        <v>118</v>
      </c>
      <c r="F584" t="s">
        <v>17</v>
      </c>
      <c r="G584" t="s">
        <v>119</v>
      </c>
      <c r="H584" t="s">
        <v>153</v>
      </c>
      <c r="I584" t="s">
        <v>81</v>
      </c>
      <c r="J584" t="s">
        <v>42</v>
      </c>
      <c r="K584" t="s">
        <v>86</v>
      </c>
      <c r="L584" s="25">
        <v>44031</v>
      </c>
      <c r="M584">
        <v>7</v>
      </c>
      <c r="N584">
        <v>2020</v>
      </c>
      <c r="O584" t="s">
        <v>106</v>
      </c>
      <c r="P584">
        <v>170</v>
      </c>
      <c r="Q584" s="17">
        <v>44032.184655439814</v>
      </c>
      <c r="R584" t="s">
        <v>120</v>
      </c>
    </row>
    <row r="585" spans="1:18" x14ac:dyDescent="0.3">
      <c r="A585">
        <v>9687339</v>
      </c>
      <c r="B585" t="s">
        <v>79</v>
      </c>
      <c r="C585">
        <v>1330404</v>
      </c>
      <c r="D585" t="s">
        <v>109</v>
      </c>
      <c r="E585" t="s">
        <v>130</v>
      </c>
      <c r="F585" t="s">
        <v>17</v>
      </c>
      <c r="G585" t="s">
        <v>133</v>
      </c>
      <c r="H585" t="s">
        <v>148</v>
      </c>
      <c r="I585" t="s">
        <v>83</v>
      </c>
      <c r="J585" t="s">
        <v>84</v>
      </c>
      <c r="K585" t="s">
        <v>86</v>
      </c>
      <c r="L585" s="25">
        <v>44031</v>
      </c>
      <c r="M585">
        <v>7</v>
      </c>
      <c r="N585">
        <v>2020</v>
      </c>
      <c r="O585" t="s">
        <v>106</v>
      </c>
      <c r="P585">
        <v>170</v>
      </c>
      <c r="Q585" s="17">
        <v>44032.160951736114</v>
      </c>
      <c r="R585" t="s">
        <v>120</v>
      </c>
    </row>
    <row r="586" spans="1:18" x14ac:dyDescent="0.3">
      <c r="A586">
        <v>9687078</v>
      </c>
      <c r="B586" t="s">
        <v>79</v>
      </c>
      <c r="C586">
        <v>1330318</v>
      </c>
      <c r="D586" t="s">
        <v>109</v>
      </c>
      <c r="E586" t="s">
        <v>130</v>
      </c>
      <c r="F586" t="s">
        <v>17</v>
      </c>
      <c r="G586" t="s">
        <v>133</v>
      </c>
      <c r="H586" t="s">
        <v>148</v>
      </c>
      <c r="I586" t="s">
        <v>83</v>
      </c>
      <c r="J586" t="s">
        <v>84</v>
      </c>
      <c r="K586" t="s">
        <v>86</v>
      </c>
      <c r="L586" s="25">
        <v>44031</v>
      </c>
      <c r="M586">
        <v>7</v>
      </c>
      <c r="N586">
        <v>2020</v>
      </c>
      <c r="O586" t="s">
        <v>106</v>
      </c>
      <c r="P586">
        <v>170</v>
      </c>
      <c r="Q586" s="17">
        <v>44032.136648495369</v>
      </c>
      <c r="R586" t="s">
        <v>120</v>
      </c>
    </row>
    <row r="587" spans="1:18" x14ac:dyDescent="0.3">
      <c r="A587">
        <v>9679297</v>
      </c>
      <c r="B587" t="s">
        <v>78</v>
      </c>
      <c r="C587">
        <v>1336220</v>
      </c>
      <c r="D587" t="s">
        <v>112</v>
      </c>
      <c r="E587" t="s">
        <v>12</v>
      </c>
      <c r="F587" t="s">
        <v>12</v>
      </c>
      <c r="G587" t="s">
        <v>124</v>
      </c>
      <c r="H587" t="s">
        <v>150</v>
      </c>
      <c r="I587" t="s">
        <v>81</v>
      </c>
      <c r="J587" t="s">
        <v>42</v>
      </c>
      <c r="K587" t="s">
        <v>82</v>
      </c>
      <c r="L587" s="25">
        <v>44031</v>
      </c>
      <c r="M587">
        <v>7</v>
      </c>
      <c r="N587">
        <v>2020</v>
      </c>
      <c r="O587" t="s">
        <v>106</v>
      </c>
      <c r="P587">
        <v>170</v>
      </c>
      <c r="Q587" s="17">
        <v>44032.088627430552</v>
      </c>
      <c r="R587" t="s">
        <v>120</v>
      </c>
    </row>
    <row r="588" spans="1:18" x14ac:dyDescent="0.3">
      <c r="A588">
        <v>9687576</v>
      </c>
      <c r="B588" t="s">
        <v>79</v>
      </c>
      <c r="C588">
        <v>1330467</v>
      </c>
      <c r="D588" t="s">
        <v>116</v>
      </c>
      <c r="E588" t="s">
        <v>130</v>
      </c>
      <c r="F588" t="s">
        <v>17</v>
      </c>
      <c r="G588" t="s">
        <v>133</v>
      </c>
      <c r="H588" t="s">
        <v>146</v>
      </c>
      <c r="I588" t="s">
        <v>83</v>
      </c>
      <c r="J588" t="s">
        <v>84</v>
      </c>
      <c r="K588" t="s">
        <v>86</v>
      </c>
      <c r="L588" s="25">
        <v>44031</v>
      </c>
      <c r="M588">
        <v>7</v>
      </c>
      <c r="N588">
        <v>2020</v>
      </c>
      <c r="O588" t="s">
        <v>106</v>
      </c>
      <c r="P588">
        <v>170</v>
      </c>
      <c r="Q588" s="17">
        <v>44030.144314120371</v>
      </c>
      <c r="R588" t="s">
        <v>120</v>
      </c>
    </row>
    <row r="589" spans="1:18" x14ac:dyDescent="0.3">
      <c r="A589">
        <v>21533426</v>
      </c>
      <c r="B589" t="s">
        <v>72</v>
      </c>
      <c r="C589">
        <v>1335347</v>
      </c>
      <c r="D589" t="s">
        <v>104</v>
      </c>
      <c r="E589">
        <v>845</v>
      </c>
      <c r="F589">
        <v>845</v>
      </c>
      <c r="G589" t="s">
        <v>122</v>
      </c>
      <c r="H589" t="s">
        <v>147</v>
      </c>
      <c r="I589" t="s">
        <v>83</v>
      </c>
      <c r="J589" t="s">
        <v>84</v>
      </c>
      <c r="K589" t="s">
        <v>86</v>
      </c>
      <c r="L589" s="25">
        <v>44031</v>
      </c>
      <c r="M589">
        <v>7</v>
      </c>
      <c r="N589">
        <v>2020</v>
      </c>
      <c r="O589" t="s">
        <v>106</v>
      </c>
      <c r="P589">
        <v>170</v>
      </c>
      <c r="Q589" s="17">
        <v>44032.421051736113</v>
      </c>
      <c r="R589" t="s">
        <v>120</v>
      </c>
    </row>
    <row r="590" spans="1:18" x14ac:dyDescent="0.3">
      <c r="A590">
        <v>21526560</v>
      </c>
      <c r="B590" t="s">
        <v>79</v>
      </c>
      <c r="C590">
        <v>1323451</v>
      </c>
      <c r="D590" t="s">
        <v>116</v>
      </c>
      <c r="E590" t="s">
        <v>26</v>
      </c>
      <c r="F590" t="s">
        <v>26</v>
      </c>
      <c r="G590" t="s">
        <v>126</v>
      </c>
      <c r="H590" t="s">
        <v>159</v>
      </c>
      <c r="I590" t="s">
        <v>83</v>
      </c>
      <c r="J590" t="s">
        <v>84</v>
      </c>
      <c r="K590" t="s">
        <v>82</v>
      </c>
      <c r="L590" s="25">
        <v>44031</v>
      </c>
      <c r="M590">
        <v>7</v>
      </c>
      <c r="N590">
        <v>2020</v>
      </c>
      <c r="O590" t="s">
        <v>106</v>
      </c>
      <c r="P590">
        <v>170</v>
      </c>
      <c r="Q590" s="17">
        <v>44029.828561458336</v>
      </c>
      <c r="R590" t="s">
        <v>120</v>
      </c>
    </row>
    <row r="591" spans="1:18" x14ac:dyDescent="0.3">
      <c r="A591">
        <v>21533349</v>
      </c>
      <c r="B591" t="s">
        <v>72</v>
      </c>
      <c r="C591">
        <v>1335015</v>
      </c>
      <c r="D591" t="s">
        <v>104</v>
      </c>
      <c r="E591" t="s">
        <v>12</v>
      </c>
      <c r="F591" t="s">
        <v>12</v>
      </c>
      <c r="G591" t="s">
        <v>124</v>
      </c>
      <c r="H591" t="s">
        <v>159</v>
      </c>
      <c r="I591" t="s">
        <v>83</v>
      </c>
      <c r="J591" t="s">
        <v>84</v>
      </c>
      <c r="K591" t="s">
        <v>82</v>
      </c>
      <c r="L591" s="25">
        <v>44031</v>
      </c>
      <c r="M591">
        <v>7</v>
      </c>
      <c r="N591">
        <v>2020</v>
      </c>
      <c r="O591" t="s">
        <v>106</v>
      </c>
      <c r="P591">
        <v>170</v>
      </c>
      <c r="Q591" s="17">
        <v>44032.085850347219</v>
      </c>
      <c r="R591" t="s">
        <v>120</v>
      </c>
    </row>
    <row r="592" spans="1:18" x14ac:dyDescent="0.3">
      <c r="A592">
        <v>9687178</v>
      </c>
      <c r="B592" t="s">
        <v>79</v>
      </c>
      <c r="C592">
        <v>1330335</v>
      </c>
      <c r="D592" t="s">
        <v>109</v>
      </c>
      <c r="E592" t="s">
        <v>130</v>
      </c>
      <c r="F592" t="s">
        <v>17</v>
      </c>
      <c r="G592" t="s">
        <v>133</v>
      </c>
      <c r="H592" t="s">
        <v>148</v>
      </c>
      <c r="I592" t="s">
        <v>83</v>
      </c>
      <c r="J592" t="s">
        <v>84</v>
      </c>
      <c r="K592" t="s">
        <v>86</v>
      </c>
      <c r="L592" s="25">
        <v>44031</v>
      </c>
      <c r="M592">
        <v>7</v>
      </c>
      <c r="N592">
        <v>2020</v>
      </c>
      <c r="O592" t="s">
        <v>106</v>
      </c>
      <c r="P592">
        <v>170</v>
      </c>
      <c r="Q592" s="17">
        <v>44032.140659490738</v>
      </c>
      <c r="R592" t="s">
        <v>120</v>
      </c>
    </row>
    <row r="593" spans="1:18" x14ac:dyDescent="0.3">
      <c r="A593">
        <v>21532080</v>
      </c>
      <c r="B593" t="s">
        <v>79</v>
      </c>
      <c r="C593">
        <v>1333293</v>
      </c>
      <c r="D593" t="s">
        <v>116</v>
      </c>
      <c r="E593">
        <v>845</v>
      </c>
      <c r="F593">
        <v>845</v>
      </c>
      <c r="G593" t="s">
        <v>122</v>
      </c>
      <c r="H593" t="s">
        <v>146</v>
      </c>
      <c r="I593" t="s">
        <v>83</v>
      </c>
      <c r="J593" t="s">
        <v>84</v>
      </c>
      <c r="K593" t="s">
        <v>86</v>
      </c>
      <c r="L593" s="25">
        <v>44031</v>
      </c>
      <c r="M593">
        <v>7</v>
      </c>
      <c r="N593">
        <v>2020</v>
      </c>
      <c r="O593" t="s">
        <v>106</v>
      </c>
      <c r="P593">
        <v>170</v>
      </c>
      <c r="Q593" s="17">
        <v>44031.049337731478</v>
      </c>
      <c r="R593" t="s">
        <v>120</v>
      </c>
    </row>
    <row r="594" spans="1:18" x14ac:dyDescent="0.3">
      <c r="A594">
        <v>9687179</v>
      </c>
      <c r="B594" t="s">
        <v>79</v>
      </c>
      <c r="C594">
        <v>1330336</v>
      </c>
      <c r="D594" t="s">
        <v>109</v>
      </c>
      <c r="E594" t="s">
        <v>130</v>
      </c>
      <c r="F594" t="s">
        <v>17</v>
      </c>
      <c r="G594" t="s">
        <v>133</v>
      </c>
      <c r="H594" t="s">
        <v>148</v>
      </c>
      <c r="I594" t="s">
        <v>83</v>
      </c>
      <c r="J594" t="s">
        <v>84</v>
      </c>
      <c r="K594" t="s">
        <v>86</v>
      </c>
      <c r="L594" s="25">
        <v>44031</v>
      </c>
      <c r="M594">
        <v>7</v>
      </c>
      <c r="N594">
        <v>2020</v>
      </c>
      <c r="O594" t="s">
        <v>106</v>
      </c>
      <c r="P594">
        <v>170</v>
      </c>
      <c r="Q594" s="17">
        <v>44032.141884143515</v>
      </c>
      <c r="R594" t="s">
        <v>120</v>
      </c>
    </row>
    <row r="595" spans="1:18" x14ac:dyDescent="0.3">
      <c r="A595">
        <v>9687196</v>
      </c>
      <c r="B595" t="s">
        <v>79</v>
      </c>
      <c r="C595">
        <v>1330353</v>
      </c>
      <c r="D595" t="s">
        <v>109</v>
      </c>
      <c r="E595" t="s">
        <v>130</v>
      </c>
      <c r="F595" t="s">
        <v>17</v>
      </c>
      <c r="G595" t="s">
        <v>133</v>
      </c>
      <c r="H595" t="s">
        <v>148</v>
      </c>
      <c r="I595" t="s">
        <v>83</v>
      </c>
      <c r="J595" t="s">
        <v>84</v>
      </c>
      <c r="K595" t="s">
        <v>86</v>
      </c>
      <c r="L595" s="25">
        <v>44031</v>
      </c>
      <c r="M595">
        <v>7</v>
      </c>
      <c r="N595">
        <v>2020</v>
      </c>
      <c r="O595" t="s">
        <v>106</v>
      </c>
      <c r="P595">
        <v>170</v>
      </c>
      <c r="Q595" s="17">
        <v>44032.146055902776</v>
      </c>
      <c r="R595" t="s">
        <v>120</v>
      </c>
    </row>
    <row r="596" spans="1:18" x14ac:dyDescent="0.3">
      <c r="A596">
        <v>9688043</v>
      </c>
      <c r="B596" t="s">
        <v>72</v>
      </c>
      <c r="C596">
        <v>1331607</v>
      </c>
      <c r="D596" t="s">
        <v>104</v>
      </c>
      <c r="E596">
        <v>820</v>
      </c>
      <c r="F596">
        <v>820</v>
      </c>
      <c r="G596" t="s">
        <v>125</v>
      </c>
      <c r="H596" t="s">
        <v>155</v>
      </c>
      <c r="I596" t="s">
        <v>81</v>
      </c>
      <c r="J596" t="s">
        <v>42</v>
      </c>
      <c r="K596" t="s">
        <v>82</v>
      </c>
      <c r="L596" s="25">
        <v>44031</v>
      </c>
      <c r="M596">
        <v>7</v>
      </c>
      <c r="N596">
        <v>2020</v>
      </c>
      <c r="O596" t="s">
        <v>106</v>
      </c>
      <c r="P596">
        <v>170</v>
      </c>
      <c r="Q596" s="17">
        <v>44032.237100694445</v>
      </c>
      <c r="R596" t="s">
        <v>120</v>
      </c>
    </row>
    <row r="597" spans="1:18" x14ac:dyDescent="0.3">
      <c r="A597">
        <v>242005</v>
      </c>
      <c r="B597" t="s">
        <v>79</v>
      </c>
      <c r="C597">
        <v>1323251</v>
      </c>
      <c r="D597" t="s">
        <v>116</v>
      </c>
      <c r="E597" t="s">
        <v>26</v>
      </c>
      <c r="F597" t="s">
        <v>26</v>
      </c>
      <c r="G597" t="s">
        <v>126</v>
      </c>
      <c r="H597" t="s">
        <v>163</v>
      </c>
      <c r="I597" t="s">
        <v>83</v>
      </c>
      <c r="J597" t="s">
        <v>84</v>
      </c>
      <c r="K597" t="s">
        <v>82</v>
      </c>
      <c r="L597" s="25">
        <v>44031</v>
      </c>
      <c r="M597">
        <v>7</v>
      </c>
      <c r="N597">
        <v>2020</v>
      </c>
      <c r="O597" t="s">
        <v>106</v>
      </c>
      <c r="P597">
        <v>170</v>
      </c>
      <c r="Q597" s="17">
        <v>44029.824742592595</v>
      </c>
      <c r="R597" t="s">
        <v>120</v>
      </c>
    </row>
    <row r="598" spans="1:18" x14ac:dyDescent="0.3">
      <c r="A598">
        <v>242153</v>
      </c>
      <c r="B598" t="s">
        <v>79</v>
      </c>
      <c r="C598">
        <v>1323852</v>
      </c>
      <c r="D598" t="s">
        <v>116</v>
      </c>
      <c r="E598" t="s">
        <v>26</v>
      </c>
      <c r="F598" t="s">
        <v>26</v>
      </c>
      <c r="G598" t="s">
        <v>126</v>
      </c>
      <c r="H598" t="s">
        <v>163</v>
      </c>
      <c r="I598" t="s">
        <v>83</v>
      </c>
      <c r="J598" t="s">
        <v>84</v>
      </c>
      <c r="K598" t="s">
        <v>82</v>
      </c>
      <c r="L598" s="25">
        <v>44031</v>
      </c>
      <c r="M598">
        <v>7</v>
      </c>
      <c r="N598">
        <v>2020</v>
      </c>
      <c r="O598" t="s">
        <v>106</v>
      </c>
      <c r="P598">
        <v>170</v>
      </c>
      <c r="Q598" s="17">
        <v>44029.835097800926</v>
      </c>
      <c r="R598" t="s">
        <v>120</v>
      </c>
    </row>
    <row r="599" spans="1:18" x14ac:dyDescent="0.3">
      <c r="A599">
        <v>9680333</v>
      </c>
      <c r="B599" t="s">
        <v>72</v>
      </c>
      <c r="C599">
        <v>1336487</v>
      </c>
      <c r="D599" t="s">
        <v>104</v>
      </c>
      <c r="E599" t="s">
        <v>12</v>
      </c>
      <c r="F599" t="s">
        <v>12</v>
      </c>
      <c r="G599" t="s">
        <v>124</v>
      </c>
      <c r="H599" t="s">
        <v>95</v>
      </c>
      <c r="I599" t="s">
        <v>81</v>
      </c>
      <c r="J599" t="s">
        <v>42</v>
      </c>
      <c r="K599" t="s">
        <v>82</v>
      </c>
      <c r="L599" s="25">
        <v>44031</v>
      </c>
      <c r="M599">
        <v>7</v>
      </c>
      <c r="N599">
        <v>2020</v>
      </c>
      <c r="O599" t="s">
        <v>106</v>
      </c>
      <c r="P599">
        <v>170</v>
      </c>
      <c r="Q599" s="17">
        <v>44032.073486574074</v>
      </c>
      <c r="R599" t="s">
        <v>120</v>
      </c>
    </row>
    <row r="600" spans="1:18" x14ac:dyDescent="0.3">
      <c r="A600">
        <v>9687517</v>
      </c>
      <c r="B600" t="s">
        <v>79</v>
      </c>
      <c r="C600">
        <v>1330442</v>
      </c>
      <c r="D600" t="s">
        <v>109</v>
      </c>
      <c r="E600" t="s">
        <v>130</v>
      </c>
      <c r="F600" t="s">
        <v>17</v>
      </c>
      <c r="G600" t="s">
        <v>133</v>
      </c>
      <c r="H600" t="s">
        <v>148</v>
      </c>
      <c r="I600" t="s">
        <v>83</v>
      </c>
      <c r="J600" t="s">
        <v>84</v>
      </c>
      <c r="K600" t="s">
        <v>86</v>
      </c>
      <c r="L600" s="25">
        <v>44031</v>
      </c>
      <c r="M600">
        <v>7</v>
      </c>
      <c r="N600">
        <v>2020</v>
      </c>
      <c r="O600" t="s">
        <v>106</v>
      </c>
      <c r="P600">
        <v>170</v>
      </c>
      <c r="Q600" s="17">
        <v>44032.15887511574</v>
      </c>
      <c r="R600" t="s">
        <v>120</v>
      </c>
    </row>
    <row r="601" spans="1:18" x14ac:dyDescent="0.3">
      <c r="A601">
        <v>245807</v>
      </c>
      <c r="B601" t="s">
        <v>78</v>
      </c>
      <c r="C601">
        <v>1337011</v>
      </c>
      <c r="D601" t="s">
        <v>112</v>
      </c>
      <c r="E601" t="s">
        <v>12</v>
      </c>
      <c r="F601" t="s">
        <v>12</v>
      </c>
      <c r="G601" t="s">
        <v>124</v>
      </c>
      <c r="H601" t="s">
        <v>150</v>
      </c>
      <c r="I601" t="s">
        <v>81</v>
      </c>
      <c r="J601" t="s">
        <v>42</v>
      </c>
      <c r="K601" t="s">
        <v>82</v>
      </c>
      <c r="L601" s="25">
        <v>44031</v>
      </c>
      <c r="M601">
        <v>7</v>
      </c>
      <c r="N601">
        <v>2020</v>
      </c>
      <c r="O601" t="s">
        <v>106</v>
      </c>
      <c r="P601">
        <v>171</v>
      </c>
      <c r="Q601" s="17">
        <v>44032.135316319444</v>
      </c>
      <c r="R601" t="s">
        <v>120</v>
      </c>
    </row>
    <row r="602" spans="1:18" x14ac:dyDescent="0.3">
      <c r="A602">
        <v>9680961</v>
      </c>
      <c r="B602" t="s">
        <v>76</v>
      </c>
      <c r="C602">
        <v>1334973</v>
      </c>
      <c r="D602" t="s">
        <v>77</v>
      </c>
      <c r="E602" t="s">
        <v>12</v>
      </c>
      <c r="F602" t="s">
        <v>12</v>
      </c>
      <c r="G602" t="s">
        <v>124</v>
      </c>
      <c r="H602" t="s">
        <v>156</v>
      </c>
      <c r="I602" t="s">
        <v>77</v>
      </c>
      <c r="J602" t="s">
        <v>42</v>
      </c>
      <c r="K602" t="s">
        <v>82</v>
      </c>
      <c r="L602" s="25">
        <v>44031</v>
      </c>
      <c r="M602">
        <v>7</v>
      </c>
      <c r="N602">
        <v>2020</v>
      </c>
      <c r="O602" t="s">
        <v>106</v>
      </c>
      <c r="P602">
        <v>170</v>
      </c>
      <c r="Q602" s="17">
        <v>44032.08297708333</v>
      </c>
      <c r="R602" t="s">
        <v>120</v>
      </c>
    </row>
    <row r="603" spans="1:18" x14ac:dyDescent="0.3">
      <c r="A603">
        <v>9687089</v>
      </c>
      <c r="B603" t="s">
        <v>79</v>
      </c>
      <c r="C603">
        <v>1330327</v>
      </c>
      <c r="D603" t="s">
        <v>109</v>
      </c>
      <c r="E603" t="s">
        <v>130</v>
      </c>
      <c r="F603" t="s">
        <v>17</v>
      </c>
      <c r="G603" t="s">
        <v>133</v>
      </c>
      <c r="H603" t="s">
        <v>148</v>
      </c>
      <c r="I603" t="s">
        <v>83</v>
      </c>
      <c r="J603" t="s">
        <v>84</v>
      </c>
      <c r="K603" t="s">
        <v>86</v>
      </c>
      <c r="L603" s="25">
        <v>44031</v>
      </c>
      <c r="M603">
        <v>7</v>
      </c>
      <c r="N603">
        <v>2020</v>
      </c>
      <c r="O603" t="s">
        <v>106</v>
      </c>
      <c r="P603">
        <v>170</v>
      </c>
      <c r="Q603" s="17">
        <v>44032.139036111112</v>
      </c>
      <c r="R603" t="s">
        <v>120</v>
      </c>
    </row>
    <row r="604" spans="1:18" x14ac:dyDescent="0.3">
      <c r="A604">
        <v>245764</v>
      </c>
      <c r="B604" t="s">
        <v>77</v>
      </c>
      <c r="C604">
        <v>1336879</v>
      </c>
      <c r="D604" t="s">
        <v>77</v>
      </c>
      <c r="E604" t="s">
        <v>12</v>
      </c>
      <c r="F604" t="s">
        <v>12</v>
      </c>
      <c r="G604" t="s">
        <v>124</v>
      </c>
      <c r="H604" t="s">
        <v>150</v>
      </c>
      <c r="I604" t="s">
        <v>77</v>
      </c>
      <c r="J604" t="s">
        <v>42</v>
      </c>
      <c r="K604" t="s">
        <v>82</v>
      </c>
      <c r="L604" s="25">
        <v>44031</v>
      </c>
      <c r="M604">
        <v>7</v>
      </c>
      <c r="N604">
        <v>2020</v>
      </c>
      <c r="O604" t="s">
        <v>106</v>
      </c>
      <c r="P604">
        <v>171</v>
      </c>
      <c r="Q604" s="17">
        <v>44032.09225173611</v>
      </c>
      <c r="R604" t="s">
        <v>120</v>
      </c>
    </row>
    <row r="605" spans="1:18" x14ac:dyDescent="0.3">
      <c r="A605">
        <v>21532779</v>
      </c>
      <c r="B605" t="s">
        <v>72</v>
      </c>
      <c r="C605">
        <v>1335743</v>
      </c>
      <c r="D605" t="s">
        <v>104</v>
      </c>
      <c r="E605" t="s">
        <v>12</v>
      </c>
      <c r="F605" t="s">
        <v>12</v>
      </c>
      <c r="G605" t="s">
        <v>124</v>
      </c>
      <c r="H605" t="s">
        <v>95</v>
      </c>
      <c r="I605" t="s">
        <v>81</v>
      </c>
      <c r="J605" t="s">
        <v>42</v>
      </c>
      <c r="K605" t="s">
        <v>82</v>
      </c>
      <c r="L605" s="25">
        <v>44031</v>
      </c>
      <c r="M605">
        <v>7</v>
      </c>
      <c r="N605">
        <v>2020</v>
      </c>
      <c r="O605" t="s">
        <v>106</v>
      </c>
      <c r="P605">
        <v>170</v>
      </c>
      <c r="Q605" s="17">
        <v>44032.072297106482</v>
      </c>
      <c r="R605" t="s">
        <v>120</v>
      </c>
    </row>
    <row r="606" spans="1:18" x14ac:dyDescent="0.3">
      <c r="A606">
        <v>9667743</v>
      </c>
      <c r="B606" t="s">
        <v>79</v>
      </c>
      <c r="C606">
        <v>1327153</v>
      </c>
      <c r="D606" t="s">
        <v>116</v>
      </c>
      <c r="E606" t="s">
        <v>26</v>
      </c>
      <c r="F606" t="s">
        <v>26</v>
      </c>
      <c r="G606" t="s">
        <v>126</v>
      </c>
      <c r="H606" t="s">
        <v>163</v>
      </c>
      <c r="I606" t="s">
        <v>83</v>
      </c>
      <c r="J606" t="s">
        <v>84</v>
      </c>
      <c r="K606" t="s">
        <v>82</v>
      </c>
      <c r="L606" s="25">
        <v>44031</v>
      </c>
      <c r="M606">
        <v>7</v>
      </c>
      <c r="N606">
        <v>2020</v>
      </c>
      <c r="O606" t="s">
        <v>106</v>
      </c>
      <c r="P606">
        <v>170</v>
      </c>
      <c r="Q606" s="17">
        <v>44029.956873958334</v>
      </c>
      <c r="R606" t="s">
        <v>120</v>
      </c>
    </row>
    <row r="607" spans="1:18" x14ac:dyDescent="0.3">
      <c r="A607">
        <v>9687530</v>
      </c>
      <c r="B607" t="s">
        <v>79</v>
      </c>
      <c r="C607">
        <v>1330476</v>
      </c>
      <c r="D607" t="s">
        <v>109</v>
      </c>
      <c r="E607" t="s">
        <v>130</v>
      </c>
      <c r="F607" t="s">
        <v>17</v>
      </c>
      <c r="G607" t="s">
        <v>133</v>
      </c>
      <c r="H607" t="s">
        <v>148</v>
      </c>
      <c r="I607" t="s">
        <v>83</v>
      </c>
      <c r="J607" t="s">
        <v>84</v>
      </c>
      <c r="K607" t="s">
        <v>86</v>
      </c>
      <c r="L607" s="25">
        <v>44031</v>
      </c>
      <c r="M607">
        <v>7</v>
      </c>
      <c r="N607">
        <v>2020</v>
      </c>
      <c r="O607" t="s">
        <v>106</v>
      </c>
      <c r="P607">
        <v>170</v>
      </c>
      <c r="Q607" s="17">
        <v>44032.43066111111</v>
      </c>
      <c r="R607" t="s">
        <v>120</v>
      </c>
    </row>
    <row r="608" spans="1:18" x14ac:dyDescent="0.3">
      <c r="A608">
        <v>9687349</v>
      </c>
      <c r="B608" t="s">
        <v>79</v>
      </c>
      <c r="C608">
        <v>1330416</v>
      </c>
      <c r="D608" t="s">
        <v>109</v>
      </c>
      <c r="E608" t="s">
        <v>130</v>
      </c>
      <c r="F608" t="s">
        <v>17</v>
      </c>
      <c r="G608" t="s">
        <v>133</v>
      </c>
      <c r="H608" t="s">
        <v>148</v>
      </c>
      <c r="I608" t="s">
        <v>83</v>
      </c>
      <c r="J608" t="s">
        <v>84</v>
      </c>
      <c r="K608" t="s">
        <v>86</v>
      </c>
      <c r="L608" s="25">
        <v>44031</v>
      </c>
      <c r="M608">
        <v>7</v>
      </c>
      <c r="N608">
        <v>2020</v>
      </c>
      <c r="O608" t="s">
        <v>106</v>
      </c>
      <c r="P608">
        <v>170</v>
      </c>
      <c r="Q608" s="17">
        <v>44032.160391666665</v>
      </c>
      <c r="R608" t="s">
        <v>120</v>
      </c>
    </row>
    <row r="609" spans="1:18" x14ac:dyDescent="0.3">
      <c r="A609">
        <v>9687062</v>
      </c>
      <c r="B609" t="s">
        <v>79</v>
      </c>
      <c r="C609">
        <v>1330316</v>
      </c>
      <c r="D609" t="s">
        <v>109</v>
      </c>
      <c r="E609" t="s">
        <v>130</v>
      </c>
      <c r="F609" t="s">
        <v>17</v>
      </c>
      <c r="G609" t="s">
        <v>133</v>
      </c>
      <c r="H609" t="s">
        <v>148</v>
      </c>
      <c r="I609" t="s">
        <v>83</v>
      </c>
      <c r="J609" t="s">
        <v>84</v>
      </c>
      <c r="K609" t="s">
        <v>86</v>
      </c>
      <c r="L609" s="25">
        <v>44031</v>
      </c>
      <c r="M609">
        <v>7</v>
      </c>
      <c r="N609">
        <v>2020</v>
      </c>
      <c r="O609" t="s">
        <v>106</v>
      </c>
      <c r="P609">
        <v>170</v>
      </c>
      <c r="Q609" s="17">
        <v>44032.142865393522</v>
      </c>
      <c r="R609" t="s">
        <v>120</v>
      </c>
    </row>
    <row r="610" spans="1:18" x14ac:dyDescent="0.3">
      <c r="A610">
        <v>9687386</v>
      </c>
      <c r="B610" t="s">
        <v>72</v>
      </c>
      <c r="C610">
        <v>1330273</v>
      </c>
      <c r="D610" t="s">
        <v>104</v>
      </c>
      <c r="E610" t="s">
        <v>138</v>
      </c>
      <c r="F610" t="s">
        <v>17</v>
      </c>
      <c r="G610" t="s">
        <v>139</v>
      </c>
      <c r="H610" t="s">
        <v>153</v>
      </c>
      <c r="I610" t="s">
        <v>81</v>
      </c>
      <c r="J610" t="s">
        <v>42</v>
      </c>
      <c r="K610" t="s">
        <v>86</v>
      </c>
      <c r="L610" s="25">
        <v>44031</v>
      </c>
      <c r="M610">
        <v>7</v>
      </c>
      <c r="N610">
        <v>2020</v>
      </c>
      <c r="O610" t="s">
        <v>106</v>
      </c>
      <c r="P610">
        <v>170</v>
      </c>
      <c r="Q610" s="17">
        <v>44032.129853472223</v>
      </c>
      <c r="R610" t="s">
        <v>120</v>
      </c>
    </row>
    <row r="611" spans="1:18" x14ac:dyDescent="0.3">
      <c r="A611">
        <v>9687217</v>
      </c>
      <c r="B611" t="s">
        <v>79</v>
      </c>
      <c r="C611">
        <v>1330373</v>
      </c>
      <c r="D611" t="s">
        <v>109</v>
      </c>
      <c r="E611" t="s">
        <v>130</v>
      </c>
      <c r="F611" t="s">
        <v>17</v>
      </c>
      <c r="G611" t="s">
        <v>133</v>
      </c>
      <c r="H611" t="s">
        <v>148</v>
      </c>
      <c r="I611" t="s">
        <v>83</v>
      </c>
      <c r="J611" t="s">
        <v>84</v>
      </c>
      <c r="K611" t="s">
        <v>86</v>
      </c>
      <c r="L611" s="25">
        <v>44031</v>
      </c>
      <c r="M611">
        <v>7</v>
      </c>
      <c r="N611">
        <v>2020</v>
      </c>
      <c r="O611" t="s">
        <v>106</v>
      </c>
      <c r="P611">
        <v>170</v>
      </c>
      <c r="Q611" s="17">
        <v>44032.148147106484</v>
      </c>
      <c r="R611" t="s">
        <v>120</v>
      </c>
    </row>
    <row r="612" spans="1:18" x14ac:dyDescent="0.3">
      <c r="A612">
        <v>245786</v>
      </c>
      <c r="B612" t="s">
        <v>72</v>
      </c>
      <c r="C612">
        <v>1336882</v>
      </c>
      <c r="D612" t="s">
        <v>104</v>
      </c>
      <c r="E612" t="s">
        <v>12</v>
      </c>
      <c r="F612" t="s">
        <v>12</v>
      </c>
      <c r="G612" t="s">
        <v>124</v>
      </c>
      <c r="H612" t="s">
        <v>151</v>
      </c>
      <c r="I612" t="s">
        <v>83</v>
      </c>
      <c r="J612" t="s">
        <v>84</v>
      </c>
      <c r="K612" t="s">
        <v>82</v>
      </c>
      <c r="L612" s="25">
        <v>44031</v>
      </c>
      <c r="M612">
        <v>7</v>
      </c>
      <c r="N612">
        <v>2020</v>
      </c>
      <c r="O612" t="s">
        <v>106</v>
      </c>
      <c r="P612">
        <v>171</v>
      </c>
      <c r="Q612" s="17">
        <v>44032.088671412035</v>
      </c>
      <c r="R612" t="s">
        <v>120</v>
      </c>
    </row>
    <row r="613" spans="1:18" x14ac:dyDescent="0.3">
      <c r="A613">
        <v>21534628</v>
      </c>
      <c r="B613" t="s">
        <v>78</v>
      </c>
      <c r="C613">
        <v>1333081</v>
      </c>
      <c r="D613" t="s">
        <v>112</v>
      </c>
      <c r="E613" t="s">
        <v>12</v>
      </c>
      <c r="F613" t="s">
        <v>12</v>
      </c>
      <c r="G613" t="s">
        <v>124</v>
      </c>
      <c r="H613" t="s">
        <v>156</v>
      </c>
      <c r="I613" t="s">
        <v>81</v>
      </c>
      <c r="J613" t="s">
        <v>42</v>
      </c>
      <c r="K613" t="s">
        <v>82</v>
      </c>
      <c r="L613" s="25">
        <v>44031</v>
      </c>
      <c r="M613">
        <v>7</v>
      </c>
      <c r="N613">
        <v>2020</v>
      </c>
      <c r="O613" t="s">
        <v>106</v>
      </c>
      <c r="P613">
        <v>170</v>
      </c>
      <c r="Q613" s="17">
        <v>44032.077466319446</v>
      </c>
      <c r="R613" t="s">
        <v>120</v>
      </c>
    </row>
    <row r="614" spans="1:18" x14ac:dyDescent="0.3">
      <c r="A614">
        <v>9687572</v>
      </c>
      <c r="B614" t="s">
        <v>79</v>
      </c>
      <c r="C614">
        <v>1330464</v>
      </c>
      <c r="D614" t="s">
        <v>109</v>
      </c>
      <c r="E614" t="s">
        <v>130</v>
      </c>
      <c r="F614" t="s">
        <v>17</v>
      </c>
      <c r="G614" t="s">
        <v>133</v>
      </c>
      <c r="H614" t="s">
        <v>148</v>
      </c>
      <c r="I614" t="s">
        <v>83</v>
      </c>
      <c r="J614" t="s">
        <v>84</v>
      </c>
      <c r="K614" t="s">
        <v>86</v>
      </c>
      <c r="L614" s="25">
        <v>44031</v>
      </c>
      <c r="M614">
        <v>7</v>
      </c>
      <c r="N614">
        <v>2020</v>
      </c>
      <c r="O614" t="s">
        <v>106</v>
      </c>
      <c r="P614">
        <v>170</v>
      </c>
      <c r="Q614" s="17">
        <v>44032.163008680553</v>
      </c>
      <c r="R614" t="s">
        <v>120</v>
      </c>
    </row>
    <row r="615" spans="1:18" x14ac:dyDescent="0.3">
      <c r="A615">
        <v>241596</v>
      </c>
      <c r="B615" t="s">
        <v>72</v>
      </c>
      <c r="C615">
        <v>1323137</v>
      </c>
      <c r="D615" t="s">
        <v>104</v>
      </c>
      <c r="E615" t="s">
        <v>26</v>
      </c>
      <c r="F615" t="s">
        <v>26</v>
      </c>
      <c r="G615" t="s">
        <v>126</v>
      </c>
      <c r="H615" t="s">
        <v>157</v>
      </c>
      <c r="I615" t="s">
        <v>83</v>
      </c>
      <c r="J615" t="s">
        <v>84</v>
      </c>
      <c r="K615" t="s">
        <v>82</v>
      </c>
      <c r="L615" s="25">
        <v>44031</v>
      </c>
      <c r="M615">
        <v>7</v>
      </c>
      <c r="N615">
        <v>2020</v>
      </c>
      <c r="O615" t="s">
        <v>106</v>
      </c>
      <c r="P615">
        <v>170</v>
      </c>
      <c r="Q615" s="17">
        <v>44032.074792476851</v>
      </c>
      <c r="R615" t="s">
        <v>120</v>
      </c>
    </row>
    <row r="616" spans="1:18" x14ac:dyDescent="0.3">
      <c r="A616">
        <v>9687183</v>
      </c>
      <c r="B616" t="s">
        <v>79</v>
      </c>
      <c r="C616">
        <v>1330339</v>
      </c>
      <c r="D616" t="s">
        <v>109</v>
      </c>
      <c r="E616" t="s">
        <v>130</v>
      </c>
      <c r="F616" t="s">
        <v>17</v>
      </c>
      <c r="G616" t="s">
        <v>133</v>
      </c>
      <c r="H616" t="s">
        <v>148</v>
      </c>
      <c r="I616" t="s">
        <v>83</v>
      </c>
      <c r="J616" t="s">
        <v>84</v>
      </c>
      <c r="K616" t="s">
        <v>86</v>
      </c>
      <c r="L616" s="25">
        <v>44031</v>
      </c>
      <c r="M616">
        <v>7</v>
      </c>
      <c r="N616">
        <v>2020</v>
      </c>
      <c r="O616" t="s">
        <v>106</v>
      </c>
      <c r="P616">
        <v>170</v>
      </c>
      <c r="Q616" s="17">
        <v>44032.14323159722</v>
      </c>
      <c r="R616" t="s">
        <v>120</v>
      </c>
    </row>
    <row r="617" spans="1:18" x14ac:dyDescent="0.3">
      <c r="A617">
        <v>9682824</v>
      </c>
      <c r="B617" t="s">
        <v>72</v>
      </c>
      <c r="C617">
        <v>1327213</v>
      </c>
      <c r="D617" t="s">
        <v>104</v>
      </c>
      <c r="E617" t="s">
        <v>26</v>
      </c>
      <c r="F617" t="s">
        <v>26</v>
      </c>
      <c r="G617" t="s">
        <v>126</v>
      </c>
      <c r="H617" t="s">
        <v>157</v>
      </c>
      <c r="I617" t="s">
        <v>83</v>
      </c>
      <c r="J617" t="s">
        <v>84</v>
      </c>
      <c r="K617" t="s">
        <v>82</v>
      </c>
      <c r="L617" s="25">
        <v>44031</v>
      </c>
      <c r="M617">
        <v>7</v>
      </c>
      <c r="N617">
        <v>2020</v>
      </c>
      <c r="O617" t="s">
        <v>106</v>
      </c>
      <c r="P617">
        <v>170</v>
      </c>
      <c r="Q617" s="17">
        <v>44032.097762847225</v>
      </c>
      <c r="R617" t="s">
        <v>120</v>
      </c>
    </row>
    <row r="618" spans="1:18" x14ac:dyDescent="0.3">
      <c r="A618">
        <v>9687330</v>
      </c>
      <c r="B618" t="s">
        <v>79</v>
      </c>
      <c r="C618">
        <v>1330396</v>
      </c>
      <c r="D618" t="s">
        <v>109</v>
      </c>
      <c r="E618" t="s">
        <v>130</v>
      </c>
      <c r="F618" t="s">
        <v>17</v>
      </c>
      <c r="G618" t="s">
        <v>133</v>
      </c>
      <c r="H618" t="s">
        <v>148</v>
      </c>
      <c r="I618" t="s">
        <v>83</v>
      </c>
      <c r="J618" t="s">
        <v>84</v>
      </c>
      <c r="K618" t="s">
        <v>86</v>
      </c>
      <c r="L618" s="25">
        <v>44031</v>
      </c>
      <c r="M618">
        <v>7</v>
      </c>
      <c r="N618">
        <v>2020</v>
      </c>
      <c r="O618" t="s">
        <v>106</v>
      </c>
      <c r="P618">
        <v>170</v>
      </c>
      <c r="Q618" s="17">
        <v>44032.152258564813</v>
      </c>
      <c r="R618" t="s">
        <v>120</v>
      </c>
    </row>
    <row r="619" spans="1:18" x14ac:dyDescent="0.3">
      <c r="A619">
        <v>242656</v>
      </c>
      <c r="B619" t="s">
        <v>72</v>
      </c>
      <c r="C619">
        <v>1326320</v>
      </c>
      <c r="D619" t="s">
        <v>104</v>
      </c>
      <c r="E619" t="s">
        <v>26</v>
      </c>
      <c r="F619" t="s">
        <v>26</v>
      </c>
      <c r="G619" t="s">
        <v>126</v>
      </c>
      <c r="H619" t="s">
        <v>163</v>
      </c>
      <c r="I619" t="s">
        <v>83</v>
      </c>
      <c r="J619" t="s">
        <v>84</v>
      </c>
      <c r="K619" t="s">
        <v>82</v>
      </c>
      <c r="L619" s="25">
        <v>44031</v>
      </c>
      <c r="M619">
        <v>7</v>
      </c>
      <c r="N619">
        <v>2020</v>
      </c>
      <c r="O619" t="s">
        <v>106</v>
      </c>
      <c r="P619">
        <v>170</v>
      </c>
      <c r="Q619" s="17">
        <v>44032.415912152777</v>
      </c>
      <c r="R619" t="s">
        <v>120</v>
      </c>
    </row>
    <row r="620" spans="1:18" x14ac:dyDescent="0.3">
      <c r="A620">
        <v>9688592</v>
      </c>
      <c r="B620" t="s">
        <v>78</v>
      </c>
      <c r="C620">
        <v>1331386</v>
      </c>
      <c r="D620" t="s">
        <v>112</v>
      </c>
      <c r="E620" t="s">
        <v>12</v>
      </c>
      <c r="F620" t="s">
        <v>12</v>
      </c>
      <c r="G620" t="s">
        <v>124</v>
      </c>
      <c r="H620" t="s">
        <v>156</v>
      </c>
      <c r="I620" t="s">
        <v>81</v>
      </c>
      <c r="J620" t="s">
        <v>42</v>
      </c>
      <c r="K620" t="s">
        <v>82</v>
      </c>
      <c r="L620" s="25">
        <v>44031</v>
      </c>
      <c r="M620">
        <v>7</v>
      </c>
      <c r="N620">
        <v>2020</v>
      </c>
      <c r="O620" t="s">
        <v>106</v>
      </c>
      <c r="P620">
        <v>170</v>
      </c>
      <c r="Q620" s="17">
        <v>44032.076553240739</v>
      </c>
      <c r="R620" t="s">
        <v>120</v>
      </c>
    </row>
    <row r="621" spans="1:18" x14ac:dyDescent="0.3">
      <c r="A621">
        <v>21531199</v>
      </c>
      <c r="B621" t="s">
        <v>77</v>
      </c>
      <c r="C621">
        <v>1336241</v>
      </c>
      <c r="D621" t="s">
        <v>77</v>
      </c>
      <c r="E621" t="s">
        <v>12</v>
      </c>
      <c r="F621" t="s">
        <v>12</v>
      </c>
      <c r="G621" t="s">
        <v>124</v>
      </c>
      <c r="H621" t="s">
        <v>156</v>
      </c>
      <c r="I621" t="s">
        <v>77</v>
      </c>
      <c r="J621" t="s">
        <v>42</v>
      </c>
      <c r="K621" t="s">
        <v>82</v>
      </c>
      <c r="L621" s="25">
        <v>44031</v>
      </c>
      <c r="M621">
        <v>7</v>
      </c>
      <c r="N621">
        <v>2020</v>
      </c>
      <c r="O621" t="s">
        <v>106</v>
      </c>
      <c r="P621">
        <v>170</v>
      </c>
      <c r="Q621" s="17">
        <v>44032.085211226855</v>
      </c>
      <c r="R621" t="s">
        <v>120</v>
      </c>
    </row>
    <row r="622" spans="1:18" x14ac:dyDescent="0.3">
      <c r="A622">
        <v>9687343</v>
      </c>
      <c r="B622" t="s">
        <v>79</v>
      </c>
      <c r="C622">
        <v>1330407</v>
      </c>
      <c r="D622" t="s">
        <v>109</v>
      </c>
      <c r="E622" t="s">
        <v>130</v>
      </c>
      <c r="F622" t="s">
        <v>17</v>
      </c>
      <c r="G622" t="s">
        <v>133</v>
      </c>
      <c r="H622" t="s">
        <v>148</v>
      </c>
      <c r="I622" t="s">
        <v>83</v>
      </c>
      <c r="J622" t="s">
        <v>84</v>
      </c>
      <c r="K622" t="s">
        <v>86</v>
      </c>
      <c r="L622" s="25">
        <v>44031</v>
      </c>
      <c r="M622">
        <v>7</v>
      </c>
      <c r="N622">
        <v>2020</v>
      </c>
      <c r="O622" t="s">
        <v>106</v>
      </c>
      <c r="P622">
        <v>170</v>
      </c>
      <c r="Q622" s="17">
        <v>44032.152721064813</v>
      </c>
      <c r="R622" t="s">
        <v>120</v>
      </c>
    </row>
    <row r="623" spans="1:18" x14ac:dyDescent="0.3">
      <c r="A623">
        <v>9687520</v>
      </c>
      <c r="B623" t="s">
        <v>79</v>
      </c>
      <c r="C623">
        <v>1330450</v>
      </c>
      <c r="D623" t="s">
        <v>109</v>
      </c>
      <c r="E623" t="s">
        <v>130</v>
      </c>
      <c r="F623" t="s">
        <v>17</v>
      </c>
      <c r="G623" t="s">
        <v>133</v>
      </c>
      <c r="H623" t="s">
        <v>148</v>
      </c>
      <c r="I623" t="s">
        <v>83</v>
      </c>
      <c r="J623" t="s">
        <v>84</v>
      </c>
      <c r="K623" t="s">
        <v>86</v>
      </c>
      <c r="L623" s="25">
        <v>44031</v>
      </c>
      <c r="M623">
        <v>7</v>
      </c>
      <c r="N623">
        <v>2020</v>
      </c>
      <c r="O623" t="s">
        <v>106</v>
      </c>
      <c r="P623">
        <v>170</v>
      </c>
      <c r="Q623" s="17">
        <v>44032.162671874998</v>
      </c>
      <c r="R623" t="s">
        <v>120</v>
      </c>
    </row>
    <row r="624" spans="1:18" x14ac:dyDescent="0.3">
      <c r="A624">
        <v>245858</v>
      </c>
      <c r="B624" t="s">
        <v>78</v>
      </c>
      <c r="C624">
        <v>1336948</v>
      </c>
      <c r="D624" t="s">
        <v>112</v>
      </c>
      <c r="E624" t="s">
        <v>12</v>
      </c>
      <c r="F624" t="s">
        <v>12</v>
      </c>
      <c r="G624" t="s">
        <v>124</v>
      </c>
      <c r="H624" t="s">
        <v>150</v>
      </c>
      <c r="I624" t="s">
        <v>81</v>
      </c>
      <c r="J624" t="s">
        <v>42</v>
      </c>
      <c r="K624" t="s">
        <v>82</v>
      </c>
      <c r="L624" s="25">
        <v>44031</v>
      </c>
      <c r="M624">
        <v>7</v>
      </c>
      <c r="N624">
        <v>2020</v>
      </c>
      <c r="O624" t="s">
        <v>106</v>
      </c>
      <c r="P624">
        <v>171</v>
      </c>
      <c r="Q624" s="17">
        <v>44032.091053935183</v>
      </c>
      <c r="R624" t="s">
        <v>120</v>
      </c>
    </row>
    <row r="625" spans="1:18" x14ac:dyDescent="0.3">
      <c r="A625">
        <v>9687354</v>
      </c>
      <c r="B625" t="s">
        <v>79</v>
      </c>
      <c r="C625">
        <v>1330455</v>
      </c>
      <c r="D625" t="s">
        <v>109</v>
      </c>
      <c r="E625" t="s">
        <v>130</v>
      </c>
      <c r="F625" t="s">
        <v>17</v>
      </c>
      <c r="G625" t="s">
        <v>133</v>
      </c>
      <c r="H625" t="s">
        <v>148</v>
      </c>
      <c r="I625" t="s">
        <v>83</v>
      </c>
      <c r="J625" t="s">
        <v>84</v>
      </c>
      <c r="K625" t="s">
        <v>86</v>
      </c>
      <c r="L625" s="25">
        <v>44031</v>
      </c>
      <c r="M625">
        <v>7</v>
      </c>
      <c r="N625">
        <v>2020</v>
      </c>
      <c r="O625" t="s">
        <v>106</v>
      </c>
      <c r="P625">
        <v>170</v>
      </c>
      <c r="Q625" s="17">
        <v>44032.156878587964</v>
      </c>
      <c r="R625" t="s">
        <v>120</v>
      </c>
    </row>
    <row r="626" spans="1:18" x14ac:dyDescent="0.3">
      <c r="A626">
        <v>9687198</v>
      </c>
      <c r="B626" t="s">
        <v>79</v>
      </c>
      <c r="C626">
        <v>1330355</v>
      </c>
      <c r="D626" t="s">
        <v>109</v>
      </c>
      <c r="E626" t="s">
        <v>130</v>
      </c>
      <c r="F626" t="s">
        <v>17</v>
      </c>
      <c r="G626" t="s">
        <v>133</v>
      </c>
      <c r="H626" t="s">
        <v>148</v>
      </c>
      <c r="I626" t="s">
        <v>83</v>
      </c>
      <c r="J626" t="s">
        <v>84</v>
      </c>
      <c r="K626" t="s">
        <v>86</v>
      </c>
      <c r="L626" s="25">
        <v>44031</v>
      </c>
      <c r="M626">
        <v>7</v>
      </c>
      <c r="N626">
        <v>2020</v>
      </c>
      <c r="O626" t="s">
        <v>106</v>
      </c>
      <c r="P626">
        <v>170</v>
      </c>
      <c r="Q626" s="17">
        <v>44032.147786111113</v>
      </c>
      <c r="R626" t="s">
        <v>120</v>
      </c>
    </row>
    <row r="627" spans="1:18" x14ac:dyDescent="0.3">
      <c r="A627">
        <v>9687060</v>
      </c>
      <c r="B627" t="s">
        <v>79</v>
      </c>
      <c r="C627">
        <v>1330298</v>
      </c>
      <c r="D627" t="s">
        <v>109</v>
      </c>
      <c r="E627" t="s">
        <v>130</v>
      </c>
      <c r="F627" t="s">
        <v>17</v>
      </c>
      <c r="G627" t="s">
        <v>133</v>
      </c>
      <c r="H627" t="s">
        <v>148</v>
      </c>
      <c r="I627" t="s">
        <v>83</v>
      </c>
      <c r="J627" t="s">
        <v>84</v>
      </c>
      <c r="K627" t="s">
        <v>86</v>
      </c>
      <c r="L627" s="25">
        <v>44031</v>
      </c>
      <c r="M627">
        <v>7</v>
      </c>
      <c r="N627">
        <v>2020</v>
      </c>
      <c r="O627" t="s">
        <v>106</v>
      </c>
      <c r="P627">
        <v>170</v>
      </c>
      <c r="Q627" s="17">
        <v>44032.135629745368</v>
      </c>
      <c r="R627" t="s">
        <v>120</v>
      </c>
    </row>
    <row r="628" spans="1:18" x14ac:dyDescent="0.3">
      <c r="A628">
        <v>9687335</v>
      </c>
      <c r="B628" t="s">
        <v>79</v>
      </c>
      <c r="C628">
        <v>1330398</v>
      </c>
      <c r="D628" t="s">
        <v>109</v>
      </c>
      <c r="E628" t="s">
        <v>130</v>
      </c>
      <c r="F628" t="s">
        <v>17</v>
      </c>
      <c r="G628" t="s">
        <v>133</v>
      </c>
      <c r="H628" t="s">
        <v>148</v>
      </c>
      <c r="I628" t="s">
        <v>83</v>
      </c>
      <c r="J628" t="s">
        <v>84</v>
      </c>
      <c r="K628" t="s">
        <v>86</v>
      </c>
      <c r="L628" s="25">
        <v>44031</v>
      </c>
      <c r="M628">
        <v>7</v>
      </c>
      <c r="N628">
        <v>2020</v>
      </c>
      <c r="O628" t="s">
        <v>106</v>
      </c>
      <c r="P628">
        <v>170</v>
      </c>
      <c r="Q628" s="17">
        <v>44032.151676967595</v>
      </c>
      <c r="R628" t="s">
        <v>120</v>
      </c>
    </row>
    <row r="629" spans="1:18" x14ac:dyDescent="0.3">
      <c r="A629">
        <v>9667216</v>
      </c>
      <c r="B629" t="s">
        <v>72</v>
      </c>
      <c r="C629">
        <v>1322810</v>
      </c>
      <c r="D629" t="s">
        <v>104</v>
      </c>
      <c r="E629" t="s">
        <v>26</v>
      </c>
      <c r="F629" t="s">
        <v>26</v>
      </c>
      <c r="G629" t="s">
        <v>126</v>
      </c>
      <c r="H629" t="s">
        <v>160</v>
      </c>
      <c r="I629" t="s">
        <v>81</v>
      </c>
      <c r="J629" t="s">
        <v>42</v>
      </c>
      <c r="K629" t="s">
        <v>82</v>
      </c>
      <c r="L629" s="25">
        <v>44031</v>
      </c>
      <c r="M629">
        <v>7</v>
      </c>
      <c r="N629">
        <v>2020</v>
      </c>
      <c r="O629" t="s">
        <v>106</v>
      </c>
      <c r="P629">
        <v>170</v>
      </c>
      <c r="Q629" s="17">
        <v>44032.072160648146</v>
      </c>
      <c r="R629" t="s">
        <v>120</v>
      </c>
    </row>
    <row r="630" spans="1:18" x14ac:dyDescent="0.3">
      <c r="A630">
        <v>242292</v>
      </c>
      <c r="B630" t="s">
        <v>79</v>
      </c>
      <c r="C630">
        <v>1324925</v>
      </c>
      <c r="D630" t="s">
        <v>116</v>
      </c>
      <c r="E630" t="s">
        <v>26</v>
      </c>
      <c r="F630" t="s">
        <v>26</v>
      </c>
      <c r="G630" t="s">
        <v>126</v>
      </c>
      <c r="H630" t="s">
        <v>163</v>
      </c>
      <c r="I630" t="s">
        <v>83</v>
      </c>
      <c r="J630" t="s">
        <v>84</v>
      </c>
      <c r="K630" t="s">
        <v>82</v>
      </c>
      <c r="L630" s="25">
        <v>44031</v>
      </c>
      <c r="M630">
        <v>7</v>
      </c>
      <c r="N630">
        <v>2020</v>
      </c>
      <c r="O630" t="s">
        <v>106</v>
      </c>
      <c r="P630">
        <v>170</v>
      </c>
      <c r="Q630" s="17">
        <v>44029.866295717591</v>
      </c>
      <c r="R630" t="s">
        <v>120</v>
      </c>
    </row>
    <row r="631" spans="1:18" x14ac:dyDescent="0.3">
      <c r="A631">
        <v>9667059</v>
      </c>
      <c r="B631" t="s">
        <v>72</v>
      </c>
      <c r="C631">
        <v>1322867</v>
      </c>
      <c r="D631" t="s">
        <v>104</v>
      </c>
      <c r="E631" t="s">
        <v>26</v>
      </c>
      <c r="F631" t="s">
        <v>26</v>
      </c>
      <c r="G631" t="s">
        <v>126</v>
      </c>
      <c r="H631" t="s">
        <v>147</v>
      </c>
      <c r="I631" t="s">
        <v>83</v>
      </c>
      <c r="J631" t="s">
        <v>84</v>
      </c>
      <c r="K631" t="s">
        <v>82</v>
      </c>
      <c r="L631" s="25">
        <v>44031</v>
      </c>
      <c r="M631">
        <v>7</v>
      </c>
      <c r="N631">
        <v>2020</v>
      </c>
      <c r="O631" t="s">
        <v>106</v>
      </c>
      <c r="P631">
        <v>170</v>
      </c>
      <c r="Q631" s="17">
        <v>44032.07226828704</v>
      </c>
      <c r="R631" t="s">
        <v>120</v>
      </c>
    </row>
    <row r="632" spans="1:18" x14ac:dyDescent="0.3">
      <c r="A632">
        <v>245794</v>
      </c>
      <c r="B632" t="s">
        <v>72</v>
      </c>
      <c r="C632">
        <v>1336764</v>
      </c>
      <c r="D632" t="s">
        <v>104</v>
      </c>
      <c r="E632" t="s">
        <v>12</v>
      </c>
      <c r="F632" t="s">
        <v>12</v>
      </c>
      <c r="G632" t="s">
        <v>124</v>
      </c>
      <c r="H632" t="s">
        <v>170</v>
      </c>
      <c r="I632" t="s">
        <v>83</v>
      </c>
      <c r="J632" t="s">
        <v>84</v>
      </c>
      <c r="K632" t="s">
        <v>82</v>
      </c>
      <c r="L632" s="25">
        <v>44031</v>
      </c>
      <c r="M632">
        <v>7</v>
      </c>
      <c r="N632">
        <v>2020</v>
      </c>
      <c r="O632" t="s">
        <v>106</v>
      </c>
      <c r="P632">
        <v>171</v>
      </c>
      <c r="Q632" s="17">
        <v>44032.086965740738</v>
      </c>
      <c r="R632" t="s">
        <v>120</v>
      </c>
    </row>
    <row r="633" spans="1:18" x14ac:dyDescent="0.3">
      <c r="A633">
        <v>21531134</v>
      </c>
      <c r="B633" t="s">
        <v>72</v>
      </c>
      <c r="C633">
        <v>1333249</v>
      </c>
      <c r="D633" t="s">
        <v>104</v>
      </c>
      <c r="E633" t="s">
        <v>12</v>
      </c>
      <c r="F633" t="s">
        <v>12</v>
      </c>
      <c r="G633" t="s">
        <v>124</v>
      </c>
      <c r="H633" t="s">
        <v>95</v>
      </c>
      <c r="I633" t="s">
        <v>81</v>
      </c>
      <c r="J633" t="s">
        <v>42</v>
      </c>
      <c r="K633" t="s">
        <v>82</v>
      </c>
      <c r="L633" s="25">
        <v>44031</v>
      </c>
      <c r="M633">
        <v>7</v>
      </c>
      <c r="N633">
        <v>2020</v>
      </c>
      <c r="O633" t="s">
        <v>106</v>
      </c>
      <c r="P633">
        <v>170</v>
      </c>
      <c r="Q633" s="17">
        <v>44032.080918749998</v>
      </c>
      <c r="R633" t="s">
        <v>120</v>
      </c>
    </row>
    <row r="634" spans="1:18" x14ac:dyDescent="0.3">
      <c r="A634">
        <v>21534201</v>
      </c>
      <c r="B634" t="s">
        <v>72</v>
      </c>
      <c r="C634">
        <v>1334892</v>
      </c>
      <c r="D634" t="s">
        <v>104</v>
      </c>
      <c r="E634" t="s">
        <v>12</v>
      </c>
      <c r="F634" t="s">
        <v>12</v>
      </c>
      <c r="G634" t="s">
        <v>124</v>
      </c>
      <c r="H634" t="s">
        <v>95</v>
      </c>
      <c r="I634" t="s">
        <v>81</v>
      </c>
      <c r="J634" t="s">
        <v>42</v>
      </c>
      <c r="K634" t="s">
        <v>82</v>
      </c>
      <c r="L634" s="25">
        <v>44031</v>
      </c>
      <c r="M634">
        <v>7</v>
      </c>
      <c r="N634">
        <v>2020</v>
      </c>
      <c r="O634" t="s">
        <v>106</v>
      </c>
      <c r="P634">
        <v>170</v>
      </c>
      <c r="Q634" s="17">
        <v>44032.0771662037</v>
      </c>
      <c r="R634" t="s">
        <v>120</v>
      </c>
    </row>
    <row r="635" spans="1:18" x14ac:dyDescent="0.3">
      <c r="A635">
        <v>9677308</v>
      </c>
      <c r="B635" t="s">
        <v>76</v>
      </c>
      <c r="C635">
        <v>1331727</v>
      </c>
      <c r="D635" t="s">
        <v>77</v>
      </c>
      <c r="E635" t="s">
        <v>12</v>
      </c>
      <c r="F635" t="s">
        <v>12</v>
      </c>
      <c r="G635" t="s">
        <v>124</v>
      </c>
      <c r="H635" t="s">
        <v>156</v>
      </c>
      <c r="I635" t="s">
        <v>77</v>
      </c>
      <c r="J635" t="s">
        <v>42</v>
      </c>
      <c r="K635" t="s">
        <v>82</v>
      </c>
      <c r="L635" s="25">
        <v>44031</v>
      </c>
      <c r="M635">
        <v>7</v>
      </c>
      <c r="N635">
        <v>2020</v>
      </c>
      <c r="O635" t="s">
        <v>106</v>
      </c>
      <c r="P635">
        <v>170</v>
      </c>
      <c r="Q635" s="17">
        <v>44032.078644097222</v>
      </c>
      <c r="R635" t="s">
        <v>120</v>
      </c>
    </row>
    <row r="636" spans="1:18" x14ac:dyDescent="0.3">
      <c r="A636">
        <v>242730</v>
      </c>
      <c r="B636" t="s">
        <v>72</v>
      </c>
      <c r="C636">
        <v>1325375</v>
      </c>
      <c r="D636" t="s">
        <v>104</v>
      </c>
      <c r="E636" t="s">
        <v>26</v>
      </c>
      <c r="F636" t="s">
        <v>26</v>
      </c>
      <c r="G636" t="s">
        <v>126</v>
      </c>
      <c r="H636" t="s">
        <v>147</v>
      </c>
      <c r="I636" t="s">
        <v>83</v>
      </c>
      <c r="J636" t="s">
        <v>84</v>
      </c>
      <c r="K636" t="s">
        <v>82</v>
      </c>
      <c r="L636" s="25">
        <v>44031</v>
      </c>
      <c r="M636">
        <v>7</v>
      </c>
      <c r="N636">
        <v>2020</v>
      </c>
      <c r="O636" t="s">
        <v>106</v>
      </c>
      <c r="P636">
        <v>170</v>
      </c>
      <c r="Q636" s="17">
        <v>44032.089666203705</v>
      </c>
      <c r="R636" t="s">
        <v>120</v>
      </c>
    </row>
    <row r="637" spans="1:18" x14ac:dyDescent="0.3">
      <c r="A637">
        <v>9679942</v>
      </c>
      <c r="B637" t="s">
        <v>72</v>
      </c>
      <c r="C637">
        <v>1333413</v>
      </c>
      <c r="D637" t="s">
        <v>104</v>
      </c>
      <c r="E637" t="s">
        <v>12</v>
      </c>
      <c r="F637" t="s">
        <v>12</v>
      </c>
      <c r="G637" t="s">
        <v>124</v>
      </c>
      <c r="H637" t="s">
        <v>95</v>
      </c>
      <c r="I637" t="s">
        <v>81</v>
      </c>
      <c r="J637" t="s">
        <v>42</v>
      </c>
      <c r="K637" t="s">
        <v>82</v>
      </c>
      <c r="L637" s="25">
        <v>44031</v>
      </c>
      <c r="M637">
        <v>7</v>
      </c>
      <c r="N637">
        <v>2020</v>
      </c>
      <c r="O637" t="s">
        <v>106</v>
      </c>
      <c r="P637">
        <v>170</v>
      </c>
      <c r="Q637" s="17">
        <v>44032.077877083335</v>
      </c>
      <c r="R637" t="s">
        <v>120</v>
      </c>
    </row>
    <row r="638" spans="1:18" x14ac:dyDescent="0.3">
      <c r="A638">
        <v>242170</v>
      </c>
      <c r="B638" t="s">
        <v>79</v>
      </c>
      <c r="C638">
        <v>1323489</v>
      </c>
      <c r="D638" t="s">
        <v>116</v>
      </c>
      <c r="E638" t="s">
        <v>26</v>
      </c>
      <c r="F638" t="s">
        <v>26</v>
      </c>
      <c r="G638" t="s">
        <v>126</v>
      </c>
      <c r="H638" t="s">
        <v>163</v>
      </c>
      <c r="I638" t="s">
        <v>83</v>
      </c>
      <c r="J638" t="s">
        <v>84</v>
      </c>
      <c r="K638" t="s">
        <v>82</v>
      </c>
      <c r="L638" s="25">
        <v>44031</v>
      </c>
      <c r="M638">
        <v>7</v>
      </c>
      <c r="N638">
        <v>2020</v>
      </c>
      <c r="O638" t="s">
        <v>106</v>
      </c>
      <c r="P638">
        <v>170</v>
      </c>
      <c r="Q638" s="17">
        <v>44029.829031828704</v>
      </c>
      <c r="R638" t="s">
        <v>120</v>
      </c>
    </row>
    <row r="639" spans="1:18" x14ac:dyDescent="0.3">
      <c r="A639">
        <v>9687668</v>
      </c>
      <c r="B639" t="s">
        <v>77</v>
      </c>
      <c r="C639">
        <v>1330691</v>
      </c>
      <c r="D639" t="s">
        <v>77</v>
      </c>
      <c r="E639">
        <v>820</v>
      </c>
      <c r="F639">
        <v>820</v>
      </c>
      <c r="G639" t="s">
        <v>125</v>
      </c>
      <c r="H639" t="s">
        <v>161</v>
      </c>
      <c r="I639" t="s">
        <v>77</v>
      </c>
      <c r="J639" t="s">
        <v>42</v>
      </c>
      <c r="K639" t="s">
        <v>82</v>
      </c>
      <c r="L639" s="25">
        <v>44031</v>
      </c>
      <c r="M639">
        <v>7</v>
      </c>
      <c r="N639">
        <v>2020</v>
      </c>
      <c r="O639" t="s">
        <v>106</v>
      </c>
      <c r="P639">
        <v>170</v>
      </c>
      <c r="Q639" s="17">
        <v>44032.092578935182</v>
      </c>
      <c r="R639" t="s">
        <v>120</v>
      </c>
    </row>
    <row r="640" spans="1:18" x14ac:dyDescent="0.3">
      <c r="A640">
        <v>21527818</v>
      </c>
      <c r="B640" t="s">
        <v>72</v>
      </c>
      <c r="C640">
        <v>1326397</v>
      </c>
      <c r="D640" t="s">
        <v>104</v>
      </c>
      <c r="E640" t="s">
        <v>26</v>
      </c>
      <c r="F640" t="s">
        <v>26</v>
      </c>
      <c r="G640" t="s">
        <v>126</v>
      </c>
      <c r="H640" t="s">
        <v>163</v>
      </c>
      <c r="I640" t="s">
        <v>83</v>
      </c>
      <c r="J640" t="s">
        <v>84</v>
      </c>
      <c r="K640" t="s">
        <v>82</v>
      </c>
      <c r="L640" s="25">
        <v>44031</v>
      </c>
      <c r="M640">
        <v>7</v>
      </c>
      <c r="N640">
        <v>2020</v>
      </c>
      <c r="O640" t="s">
        <v>106</v>
      </c>
      <c r="P640">
        <v>170</v>
      </c>
      <c r="Q640" s="17">
        <v>44032.416498148152</v>
      </c>
      <c r="R640" t="s">
        <v>120</v>
      </c>
    </row>
    <row r="641" spans="1:18" x14ac:dyDescent="0.3">
      <c r="A641">
        <v>21534276</v>
      </c>
      <c r="B641" t="s">
        <v>79</v>
      </c>
      <c r="C641">
        <v>1335227</v>
      </c>
      <c r="D641" t="s">
        <v>109</v>
      </c>
      <c r="E641" t="s">
        <v>12</v>
      </c>
      <c r="F641" t="s">
        <v>12</v>
      </c>
      <c r="G641" t="s">
        <v>124</v>
      </c>
      <c r="H641" t="s">
        <v>148</v>
      </c>
      <c r="I641" t="s">
        <v>83</v>
      </c>
      <c r="J641" t="s">
        <v>84</v>
      </c>
      <c r="K641" t="s">
        <v>82</v>
      </c>
      <c r="L641" s="25">
        <v>44031</v>
      </c>
      <c r="M641">
        <v>7</v>
      </c>
      <c r="N641">
        <v>2020</v>
      </c>
      <c r="O641" t="s">
        <v>106</v>
      </c>
      <c r="P641">
        <v>170</v>
      </c>
      <c r="Q641" s="17">
        <v>44032.077211574077</v>
      </c>
      <c r="R641" t="s">
        <v>120</v>
      </c>
    </row>
    <row r="642" spans="1:18" x14ac:dyDescent="0.3">
      <c r="A642">
        <v>21531003</v>
      </c>
      <c r="B642" t="s">
        <v>78</v>
      </c>
      <c r="C642">
        <v>1336272</v>
      </c>
      <c r="D642" t="s">
        <v>112</v>
      </c>
      <c r="E642" t="s">
        <v>12</v>
      </c>
      <c r="F642" t="s">
        <v>12</v>
      </c>
      <c r="G642" t="s">
        <v>124</v>
      </c>
      <c r="H642" t="s">
        <v>150</v>
      </c>
      <c r="I642" t="s">
        <v>81</v>
      </c>
      <c r="J642" t="s">
        <v>42</v>
      </c>
      <c r="K642" t="s">
        <v>82</v>
      </c>
      <c r="L642" s="25">
        <v>44031</v>
      </c>
      <c r="M642">
        <v>7</v>
      </c>
      <c r="N642">
        <v>2020</v>
      </c>
      <c r="O642" t="s">
        <v>106</v>
      </c>
      <c r="P642">
        <v>170</v>
      </c>
      <c r="Q642" s="17">
        <v>44032.087754166663</v>
      </c>
      <c r="R642" t="s">
        <v>120</v>
      </c>
    </row>
    <row r="643" spans="1:18" x14ac:dyDescent="0.3">
      <c r="A643">
        <v>9687188</v>
      </c>
      <c r="B643" t="s">
        <v>79</v>
      </c>
      <c r="C643">
        <v>1330347</v>
      </c>
      <c r="D643" t="s">
        <v>109</v>
      </c>
      <c r="E643" t="s">
        <v>130</v>
      </c>
      <c r="F643" t="s">
        <v>17</v>
      </c>
      <c r="G643" t="s">
        <v>133</v>
      </c>
      <c r="H643" t="s">
        <v>148</v>
      </c>
      <c r="I643" t="s">
        <v>83</v>
      </c>
      <c r="J643" t="s">
        <v>84</v>
      </c>
      <c r="K643" t="s">
        <v>86</v>
      </c>
      <c r="L643" s="25">
        <v>44031</v>
      </c>
      <c r="M643">
        <v>7</v>
      </c>
      <c r="N643">
        <v>2020</v>
      </c>
      <c r="O643" t="s">
        <v>106</v>
      </c>
      <c r="P643">
        <v>170</v>
      </c>
      <c r="Q643" s="17">
        <v>44032.140691898145</v>
      </c>
      <c r="R643" t="s">
        <v>120</v>
      </c>
    </row>
    <row r="644" spans="1:18" x14ac:dyDescent="0.3">
      <c r="A644">
        <v>21533380</v>
      </c>
      <c r="B644" t="s">
        <v>72</v>
      </c>
      <c r="C644">
        <v>1333934</v>
      </c>
      <c r="D644" t="s">
        <v>104</v>
      </c>
      <c r="E644" t="s">
        <v>12</v>
      </c>
      <c r="F644" t="s">
        <v>12</v>
      </c>
      <c r="G644" t="s">
        <v>124</v>
      </c>
      <c r="H644" t="s">
        <v>163</v>
      </c>
      <c r="I644" t="s">
        <v>83</v>
      </c>
      <c r="J644" t="s">
        <v>84</v>
      </c>
      <c r="K644" t="s">
        <v>82</v>
      </c>
      <c r="L644" s="25">
        <v>44031</v>
      </c>
      <c r="M644">
        <v>7</v>
      </c>
      <c r="N644">
        <v>2020</v>
      </c>
      <c r="O644" t="s">
        <v>106</v>
      </c>
      <c r="P644">
        <v>170</v>
      </c>
      <c r="Q644" s="17">
        <v>44032.079133564817</v>
      </c>
      <c r="R644" t="s">
        <v>120</v>
      </c>
    </row>
    <row r="645" spans="1:18" x14ac:dyDescent="0.3">
      <c r="A645">
        <v>245783</v>
      </c>
      <c r="B645" t="s">
        <v>78</v>
      </c>
      <c r="C645">
        <v>1336808</v>
      </c>
      <c r="D645" t="s">
        <v>112</v>
      </c>
      <c r="E645" t="s">
        <v>12</v>
      </c>
      <c r="F645" t="s">
        <v>12</v>
      </c>
      <c r="G645" t="s">
        <v>124</v>
      </c>
      <c r="H645" t="s">
        <v>162</v>
      </c>
      <c r="I645" t="s">
        <v>81</v>
      </c>
      <c r="J645" t="s">
        <v>42</v>
      </c>
      <c r="K645" t="s">
        <v>82</v>
      </c>
      <c r="L645" s="25">
        <v>44031</v>
      </c>
      <c r="M645">
        <v>7</v>
      </c>
      <c r="N645">
        <v>2020</v>
      </c>
      <c r="O645" t="s">
        <v>106</v>
      </c>
      <c r="P645">
        <v>171</v>
      </c>
      <c r="Q645" s="17">
        <v>44032.088219675927</v>
      </c>
      <c r="R645" t="s">
        <v>120</v>
      </c>
    </row>
    <row r="646" spans="1:18" x14ac:dyDescent="0.3">
      <c r="A646">
        <v>9687324</v>
      </c>
      <c r="B646" t="s">
        <v>79</v>
      </c>
      <c r="C646">
        <v>1330390</v>
      </c>
      <c r="D646" t="s">
        <v>109</v>
      </c>
      <c r="E646" t="s">
        <v>130</v>
      </c>
      <c r="F646" t="s">
        <v>17</v>
      </c>
      <c r="G646" t="s">
        <v>133</v>
      </c>
      <c r="H646" t="s">
        <v>148</v>
      </c>
      <c r="I646" t="s">
        <v>83</v>
      </c>
      <c r="J646" t="s">
        <v>84</v>
      </c>
      <c r="K646" t="s">
        <v>86</v>
      </c>
      <c r="L646" s="25">
        <v>44031</v>
      </c>
      <c r="M646">
        <v>7</v>
      </c>
      <c r="N646">
        <v>2020</v>
      </c>
      <c r="O646" t="s">
        <v>106</v>
      </c>
      <c r="P646">
        <v>170</v>
      </c>
      <c r="Q646" s="17">
        <v>44032.157394907408</v>
      </c>
      <c r="R646" t="s">
        <v>120</v>
      </c>
    </row>
    <row r="647" spans="1:18" x14ac:dyDescent="0.3">
      <c r="A647">
        <v>9690916</v>
      </c>
      <c r="B647" t="s">
        <v>78</v>
      </c>
      <c r="C647">
        <v>1332898</v>
      </c>
      <c r="D647" t="s">
        <v>112</v>
      </c>
      <c r="E647" t="s">
        <v>12</v>
      </c>
      <c r="F647" t="s">
        <v>12</v>
      </c>
      <c r="G647" t="s">
        <v>124</v>
      </c>
      <c r="H647" t="s">
        <v>156</v>
      </c>
      <c r="I647" t="s">
        <v>81</v>
      </c>
      <c r="J647" t="s">
        <v>42</v>
      </c>
      <c r="K647" t="s">
        <v>82</v>
      </c>
      <c r="L647" s="25">
        <v>44031</v>
      </c>
      <c r="M647">
        <v>7</v>
      </c>
      <c r="N647">
        <v>2020</v>
      </c>
      <c r="O647" t="s">
        <v>106</v>
      </c>
      <c r="P647">
        <v>170</v>
      </c>
      <c r="Q647" s="17">
        <v>44032.074217824076</v>
      </c>
      <c r="R647" t="s">
        <v>120</v>
      </c>
    </row>
    <row r="648" spans="1:18" x14ac:dyDescent="0.3">
      <c r="A648">
        <v>9687052</v>
      </c>
      <c r="B648" t="s">
        <v>79</v>
      </c>
      <c r="C648">
        <v>1330290</v>
      </c>
      <c r="D648" t="s">
        <v>109</v>
      </c>
      <c r="E648" t="s">
        <v>130</v>
      </c>
      <c r="F648" t="s">
        <v>17</v>
      </c>
      <c r="G648" t="s">
        <v>133</v>
      </c>
      <c r="H648" t="s">
        <v>148</v>
      </c>
      <c r="I648" t="s">
        <v>83</v>
      </c>
      <c r="J648" t="s">
        <v>84</v>
      </c>
      <c r="K648" t="s">
        <v>86</v>
      </c>
      <c r="L648" s="25">
        <v>44031</v>
      </c>
      <c r="M648">
        <v>7</v>
      </c>
      <c r="N648">
        <v>2020</v>
      </c>
      <c r="O648" t="s">
        <v>106</v>
      </c>
      <c r="P648">
        <v>170</v>
      </c>
      <c r="Q648" s="17">
        <v>44032.138033101852</v>
      </c>
      <c r="R648" t="s">
        <v>120</v>
      </c>
    </row>
    <row r="649" spans="1:18" x14ac:dyDescent="0.3">
      <c r="A649">
        <v>9687571</v>
      </c>
      <c r="B649" t="s">
        <v>79</v>
      </c>
      <c r="C649">
        <v>1330456</v>
      </c>
      <c r="D649" t="s">
        <v>109</v>
      </c>
      <c r="E649" t="s">
        <v>130</v>
      </c>
      <c r="F649" t="s">
        <v>17</v>
      </c>
      <c r="G649" t="s">
        <v>133</v>
      </c>
      <c r="H649" t="s">
        <v>148</v>
      </c>
      <c r="I649" t="s">
        <v>83</v>
      </c>
      <c r="J649" t="s">
        <v>84</v>
      </c>
      <c r="K649" t="s">
        <v>86</v>
      </c>
      <c r="L649" s="25">
        <v>44031</v>
      </c>
      <c r="M649">
        <v>7</v>
      </c>
      <c r="N649">
        <v>2020</v>
      </c>
      <c r="O649" t="s">
        <v>106</v>
      </c>
      <c r="P649">
        <v>170</v>
      </c>
      <c r="Q649" s="17">
        <v>44032.160439236111</v>
      </c>
      <c r="R649" t="s">
        <v>120</v>
      </c>
    </row>
    <row r="650" spans="1:18" x14ac:dyDescent="0.3">
      <c r="A650">
        <v>9687197</v>
      </c>
      <c r="B650" t="s">
        <v>79</v>
      </c>
      <c r="C650">
        <v>1330356</v>
      </c>
      <c r="D650" t="s">
        <v>109</v>
      </c>
      <c r="E650" t="s">
        <v>130</v>
      </c>
      <c r="F650" t="s">
        <v>17</v>
      </c>
      <c r="G650" t="s">
        <v>133</v>
      </c>
      <c r="H650" t="s">
        <v>148</v>
      </c>
      <c r="I650" t="s">
        <v>83</v>
      </c>
      <c r="J650" t="s">
        <v>84</v>
      </c>
      <c r="K650" t="s">
        <v>86</v>
      </c>
      <c r="L650" s="25">
        <v>44031</v>
      </c>
      <c r="M650">
        <v>7</v>
      </c>
      <c r="N650">
        <v>2020</v>
      </c>
      <c r="O650" t="s">
        <v>106</v>
      </c>
      <c r="P650">
        <v>170</v>
      </c>
      <c r="Q650" s="17">
        <v>44032.144208912039</v>
      </c>
      <c r="R650" t="s">
        <v>120</v>
      </c>
    </row>
    <row r="651" spans="1:18" x14ac:dyDescent="0.3">
      <c r="A651">
        <v>9687075</v>
      </c>
      <c r="B651" t="s">
        <v>79</v>
      </c>
      <c r="C651">
        <v>1330313</v>
      </c>
      <c r="D651" t="s">
        <v>109</v>
      </c>
      <c r="E651" t="s">
        <v>130</v>
      </c>
      <c r="F651" t="s">
        <v>17</v>
      </c>
      <c r="G651" t="s">
        <v>133</v>
      </c>
      <c r="H651" t="s">
        <v>148</v>
      </c>
      <c r="I651" t="s">
        <v>83</v>
      </c>
      <c r="J651" t="s">
        <v>84</v>
      </c>
      <c r="K651" t="s">
        <v>86</v>
      </c>
      <c r="L651" s="25">
        <v>44031</v>
      </c>
      <c r="M651">
        <v>7</v>
      </c>
      <c r="N651">
        <v>2020</v>
      </c>
      <c r="O651" t="s">
        <v>106</v>
      </c>
      <c r="P651">
        <v>170</v>
      </c>
      <c r="Q651" s="17">
        <v>44032.135855902779</v>
      </c>
      <c r="R651" t="s">
        <v>120</v>
      </c>
    </row>
    <row r="652" spans="1:18" x14ac:dyDescent="0.3">
      <c r="A652">
        <v>9687355</v>
      </c>
      <c r="B652" t="s">
        <v>79</v>
      </c>
      <c r="C652">
        <v>1330413</v>
      </c>
      <c r="D652" t="s">
        <v>109</v>
      </c>
      <c r="E652" t="s">
        <v>130</v>
      </c>
      <c r="F652" t="s">
        <v>17</v>
      </c>
      <c r="G652" t="s">
        <v>133</v>
      </c>
      <c r="H652" t="s">
        <v>148</v>
      </c>
      <c r="I652" t="s">
        <v>83</v>
      </c>
      <c r="J652" t="s">
        <v>84</v>
      </c>
      <c r="K652" t="s">
        <v>86</v>
      </c>
      <c r="L652" s="25">
        <v>44031</v>
      </c>
      <c r="M652">
        <v>7</v>
      </c>
      <c r="N652">
        <v>2020</v>
      </c>
      <c r="O652" t="s">
        <v>106</v>
      </c>
      <c r="P652">
        <v>170</v>
      </c>
      <c r="Q652" s="17">
        <v>44032.155644675928</v>
      </c>
      <c r="R652" t="s">
        <v>120</v>
      </c>
    </row>
    <row r="653" spans="1:18" x14ac:dyDescent="0.3">
      <c r="A653">
        <v>241316</v>
      </c>
      <c r="B653" t="s">
        <v>72</v>
      </c>
      <c r="C653">
        <v>1320485</v>
      </c>
      <c r="D653" t="s">
        <v>104</v>
      </c>
      <c r="E653" t="s">
        <v>57</v>
      </c>
      <c r="F653" t="s">
        <v>57</v>
      </c>
      <c r="G653" t="s">
        <v>105</v>
      </c>
      <c r="H653" t="s">
        <v>161</v>
      </c>
      <c r="I653" t="s">
        <v>83</v>
      </c>
      <c r="J653" t="s">
        <v>84</v>
      </c>
      <c r="K653" t="s">
        <v>86</v>
      </c>
      <c r="L653" s="25">
        <v>44031</v>
      </c>
      <c r="M653">
        <v>7</v>
      </c>
      <c r="N653">
        <v>2020</v>
      </c>
      <c r="O653" t="s">
        <v>106</v>
      </c>
      <c r="P653">
        <v>170</v>
      </c>
      <c r="Q653" s="17">
        <v>44032.444333449072</v>
      </c>
      <c r="R653" t="s">
        <v>107</v>
      </c>
    </row>
    <row r="654" spans="1:18" x14ac:dyDescent="0.3">
      <c r="A654">
        <v>244556</v>
      </c>
      <c r="B654" t="s">
        <v>72</v>
      </c>
      <c r="C654">
        <v>1329324</v>
      </c>
      <c r="D654" t="s">
        <v>104</v>
      </c>
      <c r="E654" t="s">
        <v>57</v>
      </c>
      <c r="F654" t="s">
        <v>57</v>
      </c>
      <c r="G654" t="s">
        <v>105</v>
      </c>
      <c r="H654" t="s">
        <v>161</v>
      </c>
      <c r="I654" t="s">
        <v>83</v>
      </c>
      <c r="J654" t="s">
        <v>84</v>
      </c>
      <c r="K654" t="s">
        <v>86</v>
      </c>
      <c r="L654" s="25">
        <v>44031</v>
      </c>
      <c r="M654">
        <v>7</v>
      </c>
      <c r="N654">
        <v>2020</v>
      </c>
      <c r="O654" t="s">
        <v>106</v>
      </c>
      <c r="P654">
        <v>170</v>
      </c>
      <c r="Q654" s="17">
        <v>44032.446497916666</v>
      </c>
      <c r="R654" t="s">
        <v>107</v>
      </c>
    </row>
    <row r="655" spans="1:18" x14ac:dyDescent="0.3">
      <c r="A655">
        <v>9685525</v>
      </c>
      <c r="B655" t="s">
        <v>72</v>
      </c>
      <c r="C655">
        <v>1331515</v>
      </c>
      <c r="D655" t="s">
        <v>104</v>
      </c>
      <c r="E655" t="s">
        <v>58</v>
      </c>
      <c r="F655" t="s">
        <v>58</v>
      </c>
      <c r="G655" t="s">
        <v>110</v>
      </c>
      <c r="H655" t="s">
        <v>161</v>
      </c>
      <c r="I655" t="s">
        <v>83</v>
      </c>
      <c r="J655" t="s">
        <v>84</v>
      </c>
      <c r="K655" t="s">
        <v>86</v>
      </c>
      <c r="L655" s="25">
        <v>44031</v>
      </c>
      <c r="M655">
        <v>7</v>
      </c>
      <c r="N655">
        <v>2020</v>
      </c>
      <c r="O655" t="s">
        <v>106</v>
      </c>
      <c r="P655">
        <v>170</v>
      </c>
      <c r="Q655" s="17">
        <v>44032.423340046298</v>
      </c>
      <c r="R655" t="s">
        <v>107</v>
      </c>
    </row>
    <row r="656" spans="1:18" x14ac:dyDescent="0.3">
      <c r="A656">
        <v>9688060</v>
      </c>
      <c r="B656" t="s">
        <v>72</v>
      </c>
      <c r="C656">
        <v>1331581</v>
      </c>
      <c r="D656" t="s">
        <v>104</v>
      </c>
      <c r="E656" t="s">
        <v>58</v>
      </c>
      <c r="F656" t="s">
        <v>58</v>
      </c>
      <c r="G656" t="s">
        <v>110</v>
      </c>
      <c r="H656" t="s">
        <v>161</v>
      </c>
      <c r="I656" t="s">
        <v>83</v>
      </c>
      <c r="J656" t="s">
        <v>84</v>
      </c>
      <c r="K656" t="s">
        <v>86</v>
      </c>
      <c r="L656" s="25">
        <v>44031</v>
      </c>
      <c r="M656">
        <v>7</v>
      </c>
      <c r="N656">
        <v>2020</v>
      </c>
      <c r="O656" t="s">
        <v>106</v>
      </c>
      <c r="P656">
        <v>170</v>
      </c>
      <c r="Q656" s="17">
        <v>44032.422245601854</v>
      </c>
      <c r="R656" t="s">
        <v>108</v>
      </c>
    </row>
    <row r="657" spans="1:18" x14ac:dyDescent="0.3">
      <c r="A657">
        <v>9689266</v>
      </c>
      <c r="B657" t="s">
        <v>72</v>
      </c>
      <c r="C657">
        <v>1331715</v>
      </c>
      <c r="D657" t="s">
        <v>104</v>
      </c>
      <c r="E657" t="s">
        <v>57</v>
      </c>
      <c r="F657" t="s">
        <v>57</v>
      </c>
      <c r="G657" t="s">
        <v>105</v>
      </c>
      <c r="H657" t="s">
        <v>161</v>
      </c>
      <c r="I657" t="s">
        <v>83</v>
      </c>
      <c r="J657" t="s">
        <v>84</v>
      </c>
      <c r="K657" t="s">
        <v>86</v>
      </c>
      <c r="L657" s="25">
        <v>44031</v>
      </c>
      <c r="M657">
        <v>7</v>
      </c>
      <c r="N657">
        <v>2020</v>
      </c>
      <c r="O657" t="s">
        <v>106</v>
      </c>
      <c r="P657">
        <v>170</v>
      </c>
      <c r="Q657" s="17">
        <v>44032.43594988426</v>
      </c>
      <c r="R657" t="s">
        <v>107</v>
      </c>
    </row>
    <row r="658" spans="1:18" x14ac:dyDescent="0.3">
      <c r="A658">
        <v>9690648</v>
      </c>
      <c r="B658" t="s">
        <v>72</v>
      </c>
      <c r="C658">
        <v>1331766</v>
      </c>
      <c r="D658" t="s">
        <v>104</v>
      </c>
      <c r="E658" t="s">
        <v>58</v>
      </c>
      <c r="F658" t="s">
        <v>58</v>
      </c>
      <c r="G658" t="s">
        <v>110</v>
      </c>
      <c r="H658" t="s">
        <v>161</v>
      </c>
      <c r="I658" t="s">
        <v>83</v>
      </c>
      <c r="J658" t="s">
        <v>84</v>
      </c>
      <c r="K658" t="s">
        <v>86</v>
      </c>
      <c r="L658" s="25">
        <v>44031</v>
      </c>
      <c r="M658">
        <v>7</v>
      </c>
      <c r="N658">
        <v>2020</v>
      </c>
      <c r="O658" t="s">
        <v>106</v>
      </c>
      <c r="P658">
        <v>170</v>
      </c>
      <c r="Q658" s="17">
        <v>44032.434510763887</v>
      </c>
      <c r="R658" t="s">
        <v>107</v>
      </c>
    </row>
    <row r="659" spans="1:18" x14ac:dyDescent="0.3">
      <c r="A659">
        <v>9691385</v>
      </c>
      <c r="B659" t="s">
        <v>72</v>
      </c>
      <c r="C659">
        <v>1332902</v>
      </c>
      <c r="D659" t="s">
        <v>104</v>
      </c>
      <c r="E659" t="s">
        <v>58</v>
      </c>
      <c r="F659" t="s">
        <v>58</v>
      </c>
      <c r="G659" t="s">
        <v>110</v>
      </c>
      <c r="H659" t="s">
        <v>161</v>
      </c>
      <c r="I659" t="s">
        <v>83</v>
      </c>
      <c r="J659" t="s">
        <v>84</v>
      </c>
      <c r="K659" t="s">
        <v>86</v>
      </c>
      <c r="L659" s="25">
        <v>44031</v>
      </c>
      <c r="M659">
        <v>7</v>
      </c>
      <c r="N659">
        <v>2020</v>
      </c>
      <c r="O659" t="s">
        <v>106</v>
      </c>
      <c r="P659">
        <v>170</v>
      </c>
      <c r="Q659" s="17">
        <v>44032.439555902776</v>
      </c>
      <c r="R659" t="s">
        <v>107</v>
      </c>
    </row>
    <row r="660" spans="1:18" x14ac:dyDescent="0.3">
      <c r="A660">
        <v>9687187</v>
      </c>
      <c r="B660" t="s">
        <v>79</v>
      </c>
      <c r="C660">
        <v>1330345</v>
      </c>
      <c r="D660" t="s">
        <v>109</v>
      </c>
      <c r="E660" t="s">
        <v>130</v>
      </c>
      <c r="F660" t="s">
        <v>17</v>
      </c>
      <c r="G660" t="s">
        <v>133</v>
      </c>
      <c r="H660" t="s">
        <v>148</v>
      </c>
      <c r="I660" t="s">
        <v>83</v>
      </c>
      <c r="J660" t="s">
        <v>84</v>
      </c>
      <c r="K660" t="s">
        <v>86</v>
      </c>
      <c r="L660" s="25">
        <v>44031</v>
      </c>
      <c r="M660">
        <v>7</v>
      </c>
      <c r="N660">
        <v>2020</v>
      </c>
      <c r="O660" t="s">
        <v>106</v>
      </c>
      <c r="P660">
        <v>170</v>
      </c>
      <c r="Q660" s="17">
        <v>44032.144908680559</v>
      </c>
      <c r="R660" t="s">
        <v>120</v>
      </c>
    </row>
    <row r="661" spans="1:18" x14ac:dyDescent="0.3">
      <c r="A661">
        <v>21534372</v>
      </c>
      <c r="B661" t="s">
        <v>77</v>
      </c>
      <c r="C661">
        <v>1335423</v>
      </c>
      <c r="D661" t="s">
        <v>77</v>
      </c>
      <c r="E661" t="s">
        <v>12</v>
      </c>
      <c r="F661" t="s">
        <v>12</v>
      </c>
      <c r="G661" t="s">
        <v>124</v>
      </c>
      <c r="H661" t="s">
        <v>156</v>
      </c>
      <c r="I661" t="s">
        <v>77</v>
      </c>
      <c r="J661" t="s">
        <v>42</v>
      </c>
      <c r="K661" t="s">
        <v>82</v>
      </c>
      <c r="L661" s="25">
        <v>44031</v>
      </c>
      <c r="M661">
        <v>7</v>
      </c>
      <c r="N661">
        <v>2020</v>
      </c>
      <c r="O661" t="s">
        <v>106</v>
      </c>
      <c r="P661">
        <v>170</v>
      </c>
      <c r="Q661" s="17">
        <v>44032.086014583336</v>
      </c>
      <c r="R661" t="s">
        <v>120</v>
      </c>
    </row>
    <row r="662" spans="1:18" x14ac:dyDescent="0.3">
      <c r="A662">
        <v>9687518</v>
      </c>
      <c r="B662" t="s">
        <v>79</v>
      </c>
      <c r="C662">
        <v>1330445</v>
      </c>
      <c r="D662" t="s">
        <v>109</v>
      </c>
      <c r="E662" t="s">
        <v>130</v>
      </c>
      <c r="F662" t="s">
        <v>17</v>
      </c>
      <c r="G662" t="s">
        <v>133</v>
      </c>
      <c r="H662" t="s">
        <v>148</v>
      </c>
      <c r="I662" t="s">
        <v>83</v>
      </c>
      <c r="J662" t="s">
        <v>84</v>
      </c>
      <c r="K662" t="s">
        <v>86</v>
      </c>
      <c r="L662" s="25">
        <v>44031</v>
      </c>
      <c r="M662">
        <v>7</v>
      </c>
      <c r="N662">
        <v>2020</v>
      </c>
      <c r="O662" t="s">
        <v>106</v>
      </c>
      <c r="P662">
        <v>170</v>
      </c>
      <c r="Q662" s="17">
        <v>44032.165869212964</v>
      </c>
      <c r="R662" t="s">
        <v>120</v>
      </c>
    </row>
    <row r="663" spans="1:18" x14ac:dyDescent="0.3">
      <c r="A663">
        <v>242608</v>
      </c>
      <c r="B663" t="s">
        <v>79</v>
      </c>
      <c r="C663">
        <v>1323893</v>
      </c>
      <c r="D663" t="s">
        <v>116</v>
      </c>
      <c r="E663" t="s">
        <v>26</v>
      </c>
      <c r="F663" t="s">
        <v>26</v>
      </c>
      <c r="G663" t="s">
        <v>126</v>
      </c>
      <c r="H663" t="s">
        <v>163</v>
      </c>
      <c r="I663" t="s">
        <v>83</v>
      </c>
      <c r="J663" t="s">
        <v>84</v>
      </c>
      <c r="K663" t="s">
        <v>82</v>
      </c>
      <c r="L663" s="25">
        <v>44031</v>
      </c>
      <c r="M663">
        <v>7</v>
      </c>
      <c r="N663">
        <v>2020</v>
      </c>
      <c r="O663" t="s">
        <v>106</v>
      </c>
      <c r="P663">
        <v>170</v>
      </c>
      <c r="Q663" s="17">
        <v>44029.839090972222</v>
      </c>
      <c r="R663" t="s">
        <v>120</v>
      </c>
    </row>
    <row r="664" spans="1:18" x14ac:dyDescent="0.3">
      <c r="A664">
        <v>242963</v>
      </c>
      <c r="B664" t="s">
        <v>72</v>
      </c>
      <c r="C664">
        <v>1326701</v>
      </c>
      <c r="D664" t="s">
        <v>104</v>
      </c>
      <c r="E664" t="s">
        <v>26</v>
      </c>
      <c r="F664" t="s">
        <v>26</v>
      </c>
      <c r="G664" t="s">
        <v>126</v>
      </c>
      <c r="H664" t="s">
        <v>159</v>
      </c>
      <c r="I664" t="s">
        <v>83</v>
      </c>
      <c r="J664" t="s">
        <v>84</v>
      </c>
      <c r="K664" t="s">
        <v>82</v>
      </c>
      <c r="L664" s="25">
        <v>44031</v>
      </c>
      <c r="M664">
        <v>7</v>
      </c>
      <c r="N664">
        <v>2020</v>
      </c>
      <c r="O664" t="s">
        <v>106</v>
      </c>
      <c r="P664">
        <v>170</v>
      </c>
      <c r="Q664" s="17">
        <v>44032.415786226855</v>
      </c>
      <c r="R664" t="s">
        <v>120</v>
      </c>
    </row>
    <row r="665" spans="1:18" x14ac:dyDescent="0.3">
      <c r="A665">
        <v>9680543</v>
      </c>
      <c r="B665" t="s">
        <v>72</v>
      </c>
      <c r="C665">
        <v>1323744</v>
      </c>
      <c r="D665" t="s">
        <v>104</v>
      </c>
      <c r="E665" t="s">
        <v>26</v>
      </c>
      <c r="F665" t="s">
        <v>26</v>
      </c>
      <c r="G665" t="s">
        <v>126</v>
      </c>
      <c r="H665" t="s">
        <v>147</v>
      </c>
      <c r="I665" t="s">
        <v>83</v>
      </c>
      <c r="J665" t="s">
        <v>84</v>
      </c>
      <c r="K665" t="s">
        <v>82</v>
      </c>
      <c r="L665" s="25">
        <v>44031</v>
      </c>
      <c r="M665">
        <v>7</v>
      </c>
      <c r="N665">
        <v>2020</v>
      </c>
      <c r="O665" t="s">
        <v>106</v>
      </c>
      <c r="P665">
        <v>170</v>
      </c>
      <c r="Q665" s="17">
        <v>44032.080557175927</v>
      </c>
      <c r="R665" t="s">
        <v>120</v>
      </c>
    </row>
    <row r="666" spans="1:18" x14ac:dyDescent="0.3">
      <c r="A666">
        <v>9687727</v>
      </c>
      <c r="B666" t="s">
        <v>72</v>
      </c>
      <c r="C666">
        <v>1330694</v>
      </c>
      <c r="D666" t="s">
        <v>104</v>
      </c>
      <c r="E666">
        <v>820</v>
      </c>
      <c r="F666">
        <v>820</v>
      </c>
      <c r="G666" t="s">
        <v>125</v>
      </c>
      <c r="H666" t="s">
        <v>155</v>
      </c>
      <c r="I666" t="s">
        <v>81</v>
      </c>
      <c r="J666" t="s">
        <v>42</v>
      </c>
      <c r="K666" t="s">
        <v>82</v>
      </c>
      <c r="L666" s="25">
        <v>44031</v>
      </c>
      <c r="M666">
        <v>7</v>
      </c>
      <c r="N666">
        <v>2020</v>
      </c>
      <c r="O666" t="s">
        <v>106</v>
      </c>
      <c r="P666">
        <v>170</v>
      </c>
      <c r="Q666" s="17">
        <v>44032.129133101851</v>
      </c>
      <c r="R666" t="s">
        <v>120</v>
      </c>
    </row>
    <row r="667" spans="1:18" x14ac:dyDescent="0.3">
      <c r="A667">
        <v>9687328</v>
      </c>
      <c r="B667" t="s">
        <v>79</v>
      </c>
      <c r="C667">
        <v>1330394</v>
      </c>
      <c r="D667" t="s">
        <v>109</v>
      </c>
      <c r="E667" t="s">
        <v>130</v>
      </c>
      <c r="F667" t="s">
        <v>17</v>
      </c>
      <c r="G667" t="s">
        <v>133</v>
      </c>
      <c r="H667" t="s">
        <v>148</v>
      </c>
      <c r="I667" t="s">
        <v>83</v>
      </c>
      <c r="J667" t="s">
        <v>84</v>
      </c>
      <c r="K667" t="s">
        <v>86</v>
      </c>
      <c r="L667" s="25">
        <v>44031</v>
      </c>
      <c r="M667">
        <v>7</v>
      </c>
      <c r="N667">
        <v>2020</v>
      </c>
      <c r="O667" t="s">
        <v>106</v>
      </c>
      <c r="P667">
        <v>170</v>
      </c>
      <c r="Q667" s="17">
        <v>44032.149736689818</v>
      </c>
      <c r="R667" t="s">
        <v>120</v>
      </c>
    </row>
    <row r="668" spans="1:18" x14ac:dyDescent="0.3">
      <c r="A668">
        <v>9666361</v>
      </c>
      <c r="B668" t="s">
        <v>78</v>
      </c>
      <c r="C668">
        <v>1334138</v>
      </c>
      <c r="D668" t="s">
        <v>112</v>
      </c>
      <c r="E668" t="s">
        <v>12</v>
      </c>
      <c r="F668" t="s">
        <v>12</v>
      </c>
      <c r="G668" t="s">
        <v>124</v>
      </c>
      <c r="H668" t="s">
        <v>150</v>
      </c>
      <c r="I668" t="s">
        <v>81</v>
      </c>
      <c r="J668" t="s">
        <v>42</v>
      </c>
      <c r="K668" t="s">
        <v>82</v>
      </c>
      <c r="L668" s="25">
        <v>44031</v>
      </c>
      <c r="M668">
        <v>7</v>
      </c>
      <c r="N668">
        <v>2020</v>
      </c>
      <c r="O668" t="s">
        <v>106</v>
      </c>
      <c r="P668">
        <v>170</v>
      </c>
      <c r="Q668" s="17">
        <v>44032.080106944442</v>
      </c>
      <c r="R668" t="s">
        <v>120</v>
      </c>
    </row>
    <row r="669" spans="1:18" x14ac:dyDescent="0.3">
      <c r="A669">
        <v>245731</v>
      </c>
      <c r="B669" t="s">
        <v>77</v>
      </c>
      <c r="C669">
        <v>1336846</v>
      </c>
      <c r="D669" t="s">
        <v>77</v>
      </c>
      <c r="E669" t="s">
        <v>12</v>
      </c>
      <c r="F669" t="s">
        <v>12</v>
      </c>
      <c r="G669" t="s">
        <v>124</v>
      </c>
      <c r="H669" t="s">
        <v>150</v>
      </c>
      <c r="I669" t="s">
        <v>77</v>
      </c>
      <c r="J669" t="s">
        <v>42</v>
      </c>
      <c r="K669" t="s">
        <v>82</v>
      </c>
      <c r="L669" s="25">
        <v>44031</v>
      </c>
      <c r="M669">
        <v>7</v>
      </c>
      <c r="N669">
        <v>2020</v>
      </c>
      <c r="O669" t="s">
        <v>106</v>
      </c>
      <c r="P669">
        <v>171</v>
      </c>
      <c r="Q669" s="17">
        <v>44032.092174074074</v>
      </c>
      <c r="R669" t="s">
        <v>120</v>
      </c>
    </row>
    <row r="670" spans="1:18" x14ac:dyDescent="0.3">
      <c r="A670">
        <v>245187</v>
      </c>
      <c r="B670" t="s">
        <v>78</v>
      </c>
      <c r="C670">
        <v>1337095</v>
      </c>
      <c r="D670" t="s">
        <v>112</v>
      </c>
      <c r="E670" t="s">
        <v>12</v>
      </c>
      <c r="F670" t="s">
        <v>12</v>
      </c>
      <c r="G670" t="s">
        <v>124</v>
      </c>
      <c r="H670" t="s">
        <v>150</v>
      </c>
      <c r="I670" t="s">
        <v>81</v>
      </c>
      <c r="J670" t="s">
        <v>42</v>
      </c>
      <c r="K670" t="s">
        <v>82</v>
      </c>
      <c r="L670" s="25">
        <v>44031</v>
      </c>
      <c r="M670">
        <v>7</v>
      </c>
      <c r="N670">
        <v>2020</v>
      </c>
      <c r="O670" t="s">
        <v>106</v>
      </c>
      <c r="P670">
        <v>170</v>
      </c>
      <c r="Q670" s="17">
        <v>44032.138321643521</v>
      </c>
      <c r="R670" t="s">
        <v>120</v>
      </c>
    </row>
    <row r="671" spans="1:18" x14ac:dyDescent="0.3">
      <c r="A671">
        <v>9687468</v>
      </c>
      <c r="B671" t="s">
        <v>79</v>
      </c>
      <c r="C671">
        <v>1330443</v>
      </c>
      <c r="D671" t="s">
        <v>109</v>
      </c>
      <c r="E671" t="s">
        <v>130</v>
      </c>
      <c r="F671" t="s">
        <v>17</v>
      </c>
      <c r="G671" t="s">
        <v>133</v>
      </c>
      <c r="H671" t="s">
        <v>148</v>
      </c>
      <c r="I671" t="s">
        <v>83</v>
      </c>
      <c r="J671" t="s">
        <v>84</v>
      </c>
      <c r="K671" t="s">
        <v>86</v>
      </c>
      <c r="L671" s="25">
        <v>44031</v>
      </c>
      <c r="M671">
        <v>7</v>
      </c>
      <c r="N671">
        <v>2020</v>
      </c>
      <c r="O671" t="s">
        <v>106</v>
      </c>
      <c r="P671">
        <v>170</v>
      </c>
      <c r="Q671" s="17">
        <v>44032.160097916669</v>
      </c>
      <c r="R671" t="s">
        <v>120</v>
      </c>
    </row>
    <row r="672" spans="1:18" x14ac:dyDescent="0.3">
      <c r="A672">
        <v>9687181</v>
      </c>
      <c r="B672" t="s">
        <v>79</v>
      </c>
      <c r="C672">
        <v>1330343</v>
      </c>
      <c r="D672" t="s">
        <v>109</v>
      </c>
      <c r="E672" t="s">
        <v>130</v>
      </c>
      <c r="F672" t="s">
        <v>17</v>
      </c>
      <c r="G672" t="s">
        <v>133</v>
      </c>
      <c r="H672" t="s">
        <v>148</v>
      </c>
      <c r="I672" t="s">
        <v>83</v>
      </c>
      <c r="J672" t="s">
        <v>84</v>
      </c>
      <c r="K672" t="s">
        <v>86</v>
      </c>
      <c r="L672" s="25">
        <v>44031</v>
      </c>
      <c r="M672">
        <v>7</v>
      </c>
      <c r="N672">
        <v>2020</v>
      </c>
      <c r="O672" t="s">
        <v>106</v>
      </c>
      <c r="P672">
        <v>170</v>
      </c>
      <c r="Q672" s="17">
        <v>44032.146320601852</v>
      </c>
      <c r="R672" t="s">
        <v>120</v>
      </c>
    </row>
    <row r="673" spans="1:18" x14ac:dyDescent="0.3">
      <c r="A673">
        <v>245753</v>
      </c>
      <c r="B673" t="s">
        <v>77</v>
      </c>
      <c r="C673">
        <v>1336861</v>
      </c>
      <c r="D673" t="s">
        <v>77</v>
      </c>
      <c r="E673" t="s">
        <v>12</v>
      </c>
      <c r="F673" t="s">
        <v>12</v>
      </c>
      <c r="G673" t="s">
        <v>124</v>
      </c>
      <c r="H673" t="s">
        <v>150</v>
      </c>
      <c r="I673" t="s">
        <v>77</v>
      </c>
      <c r="J673" t="s">
        <v>42</v>
      </c>
      <c r="K673" t="s">
        <v>82</v>
      </c>
      <c r="L673" s="25">
        <v>44031</v>
      </c>
      <c r="M673">
        <v>7</v>
      </c>
      <c r="N673">
        <v>2020</v>
      </c>
      <c r="O673" t="s">
        <v>106</v>
      </c>
      <c r="P673">
        <v>171</v>
      </c>
      <c r="Q673" s="17">
        <v>44032.089973379632</v>
      </c>
      <c r="R673" t="s">
        <v>120</v>
      </c>
    </row>
    <row r="674" spans="1:18" x14ac:dyDescent="0.3">
      <c r="A674">
        <v>245805</v>
      </c>
      <c r="B674" t="s">
        <v>78</v>
      </c>
      <c r="C674">
        <v>1336812</v>
      </c>
      <c r="D674" t="s">
        <v>112</v>
      </c>
      <c r="E674" t="s">
        <v>12</v>
      </c>
      <c r="F674" t="s">
        <v>12</v>
      </c>
      <c r="G674" t="s">
        <v>124</v>
      </c>
      <c r="H674" t="s">
        <v>150</v>
      </c>
      <c r="I674" t="s">
        <v>81</v>
      </c>
      <c r="J674" t="s">
        <v>42</v>
      </c>
      <c r="K674" t="s">
        <v>82</v>
      </c>
      <c r="L674" s="25">
        <v>44031</v>
      </c>
      <c r="M674">
        <v>7</v>
      </c>
      <c r="N674">
        <v>2020</v>
      </c>
      <c r="O674" t="s">
        <v>106</v>
      </c>
      <c r="P674">
        <v>171</v>
      </c>
      <c r="Q674" s="17">
        <v>44032.089544907409</v>
      </c>
      <c r="R674" t="s">
        <v>120</v>
      </c>
    </row>
    <row r="675" spans="1:18" x14ac:dyDescent="0.3">
      <c r="A675">
        <v>245899</v>
      </c>
      <c r="B675" t="s">
        <v>78</v>
      </c>
      <c r="C675">
        <v>1336961</v>
      </c>
      <c r="D675" t="s">
        <v>112</v>
      </c>
      <c r="E675" t="s">
        <v>12</v>
      </c>
      <c r="F675" t="s">
        <v>12</v>
      </c>
      <c r="G675" t="s">
        <v>124</v>
      </c>
      <c r="H675" t="s">
        <v>162</v>
      </c>
      <c r="I675" t="s">
        <v>81</v>
      </c>
      <c r="J675" t="s">
        <v>42</v>
      </c>
      <c r="K675" t="s">
        <v>82</v>
      </c>
      <c r="L675" s="25">
        <v>44031</v>
      </c>
      <c r="M675">
        <v>7</v>
      </c>
      <c r="N675">
        <v>2020</v>
      </c>
      <c r="O675" t="s">
        <v>106</v>
      </c>
      <c r="P675">
        <v>171</v>
      </c>
      <c r="Q675" s="17">
        <v>44032.092602314813</v>
      </c>
      <c r="R675" t="s">
        <v>120</v>
      </c>
    </row>
    <row r="676" spans="1:18" x14ac:dyDescent="0.3">
      <c r="A676">
        <v>9680942</v>
      </c>
      <c r="B676" t="s">
        <v>72</v>
      </c>
      <c r="C676">
        <v>1323593</v>
      </c>
      <c r="D676" t="s">
        <v>116</v>
      </c>
      <c r="E676" t="s">
        <v>26</v>
      </c>
      <c r="F676" t="s">
        <v>26</v>
      </c>
      <c r="G676" t="s">
        <v>126</v>
      </c>
      <c r="H676" t="s">
        <v>158</v>
      </c>
      <c r="I676" t="s">
        <v>83</v>
      </c>
      <c r="J676" t="s">
        <v>84</v>
      </c>
      <c r="K676" t="s">
        <v>82</v>
      </c>
      <c r="L676" s="25">
        <v>44031</v>
      </c>
      <c r="M676">
        <v>7</v>
      </c>
      <c r="N676">
        <v>2020</v>
      </c>
      <c r="O676" t="s">
        <v>106</v>
      </c>
      <c r="P676">
        <v>170</v>
      </c>
      <c r="Q676" s="17">
        <v>44029.831653703703</v>
      </c>
      <c r="R676" t="s">
        <v>120</v>
      </c>
    </row>
    <row r="677" spans="1:18" x14ac:dyDescent="0.3">
      <c r="A677">
        <v>9687050</v>
      </c>
      <c r="B677" t="s">
        <v>79</v>
      </c>
      <c r="C677">
        <v>1330294</v>
      </c>
      <c r="D677" t="s">
        <v>109</v>
      </c>
      <c r="E677" t="s">
        <v>130</v>
      </c>
      <c r="F677" t="s">
        <v>17</v>
      </c>
      <c r="G677" t="s">
        <v>133</v>
      </c>
      <c r="H677" t="s">
        <v>148</v>
      </c>
      <c r="I677" t="s">
        <v>83</v>
      </c>
      <c r="J677" t="s">
        <v>84</v>
      </c>
      <c r="K677" t="s">
        <v>86</v>
      </c>
      <c r="L677" s="25">
        <v>44031</v>
      </c>
      <c r="M677">
        <v>7</v>
      </c>
      <c r="N677">
        <v>2020</v>
      </c>
      <c r="O677" t="s">
        <v>106</v>
      </c>
      <c r="P677">
        <v>170</v>
      </c>
      <c r="Q677" s="17">
        <v>44032.135665856484</v>
      </c>
      <c r="R677" t="s">
        <v>120</v>
      </c>
    </row>
    <row r="678" spans="1:18" x14ac:dyDescent="0.3">
      <c r="A678">
        <v>9687186</v>
      </c>
      <c r="B678" t="s">
        <v>79</v>
      </c>
      <c r="C678">
        <v>1330360</v>
      </c>
      <c r="D678" t="s">
        <v>109</v>
      </c>
      <c r="E678" t="s">
        <v>130</v>
      </c>
      <c r="F678" t="s">
        <v>17</v>
      </c>
      <c r="G678" t="s">
        <v>133</v>
      </c>
      <c r="H678" t="s">
        <v>148</v>
      </c>
      <c r="I678" t="s">
        <v>83</v>
      </c>
      <c r="J678" t="s">
        <v>84</v>
      </c>
      <c r="K678" t="s">
        <v>86</v>
      </c>
      <c r="L678" s="25">
        <v>44031</v>
      </c>
      <c r="M678">
        <v>7</v>
      </c>
      <c r="N678">
        <v>2020</v>
      </c>
      <c r="O678" t="s">
        <v>106</v>
      </c>
      <c r="P678">
        <v>170</v>
      </c>
      <c r="Q678" s="17">
        <v>44032.145154861108</v>
      </c>
      <c r="R678" t="s">
        <v>120</v>
      </c>
    </row>
    <row r="679" spans="1:18" x14ac:dyDescent="0.3">
      <c r="A679">
        <v>9687525</v>
      </c>
      <c r="B679" t="s">
        <v>79</v>
      </c>
      <c r="C679">
        <v>1330460</v>
      </c>
      <c r="D679" t="s">
        <v>109</v>
      </c>
      <c r="E679" t="s">
        <v>130</v>
      </c>
      <c r="F679" t="s">
        <v>17</v>
      </c>
      <c r="G679" t="s">
        <v>133</v>
      </c>
      <c r="H679" t="s">
        <v>148</v>
      </c>
      <c r="I679" t="s">
        <v>83</v>
      </c>
      <c r="J679" t="s">
        <v>84</v>
      </c>
      <c r="K679" t="s">
        <v>86</v>
      </c>
      <c r="L679" s="25">
        <v>44031</v>
      </c>
      <c r="M679">
        <v>7</v>
      </c>
      <c r="N679">
        <v>2020</v>
      </c>
      <c r="O679" t="s">
        <v>106</v>
      </c>
      <c r="P679">
        <v>170</v>
      </c>
      <c r="Q679" s="17">
        <v>44032.166701967595</v>
      </c>
      <c r="R679" t="s">
        <v>120</v>
      </c>
    </row>
    <row r="680" spans="1:18" x14ac:dyDescent="0.3">
      <c r="A680">
        <v>9687346</v>
      </c>
      <c r="B680" t="s">
        <v>79</v>
      </c>
      <c r="C680">
        <v>1330409</v>
      </c>
      <c r="D680" t="s">
        <v>109</v>
      </c>
      <c r="E680" t="s">
        <v>130</v>
      </c>
      <c r="F680" t="s">
        <v>17</v>
      </c>
      <c r="G680" t="s">
        <v>133</v>
      </c>
      <c r="H680" t="s">
        <v>148</v>
      </c>
      <c r="I680" t="s">
        <v>83</v>
      </c>
      <c r="J680" t="s">
        <v>84</v>
      </c>
      <c r="K680" t="s">
        <v>86</v>
      </c>
      <c r="L680" s="25">
        <v>44031</v>
      </c>
      <c r="M680">
        <v>7</v>
      </c>
      <c r="N680">
        <v>2020</v>
      </c>
      <c r="O680" t="s">
        <v>106</v>
      </c>
      <c r="P680">
        <v>170</v>
      </c>
      <c r="Q680" s="17">
        <v>44032.152721064813</v>
      </c>
      <c r="R680" t="s">
        <v>120</v>
      </c>
    </row>
    <row r="681" spans="1:18" x14ac:dyDescent="0.3">
      <c r="A681">
        <v>21527684</v>
      </c>
      <c r="B681" t="s">
        <v>79</v>
      </c>
      <c r="C681">
        <v>1324444</v>
      </c>
      <c r="D681" t="s">
        <v>116</v>
      </c>
      <c r="E681" t="s">
        <v>26</v>
      </c>
      <c r="F681" t="s">
        <v>26</v>
      </c>
      <c r="G681" t="s">
        <v>126</v>
      </c>
      <c r="H681" t="s">
        <v>163</v>
      </c>
      <c r="I681" t="s">
        <v>83</v>
      </c>
      <c r="J681" t="s">
        <v>84</v>
      </c>
      <c r="K681" t="s">
        <v>82</v>
      </c>
      <c r="L681" s="25">
        <v>44031</v>
      </c>
      <c r="M681">
        <v>7</v>
      </c>
      <c r="N681">
        <v>2020</v>
      </c>
      <c r="O681" t="s">
        <v>106</v>
      </c>
      <c r="P681">
        <v>170</v>
      </c>
      <c r="Q681" s="17">
        <v>44029.849063773145</v>
      </c>
      <c r="R681" t="s">
        <v>120</v>
      </c>
    </row>
    <row r="682" spans="1:18" x14ac:dyDescent="0.3">
      <c r="A682">
        <v>21533622</v>
      </c>
      <c r="B682" t="s">
        <v>77</v>
      </c>
      <c r="C682">
        <v>1336595</v>
      </c>
      <c r="D682" t="s">
        <v>77</v>
      </c>
      <c r="E682" t="s">
        <v>12</v>
      </c>
      <c r="F682" t="s">
        <v>12</v>
      </c>
      <c r="G682" t="s">
        <v>124</v>
      </c>
      <c r="H682" t="s">
        <v>102</v>
      </c>
      <c r="I682" t="s">
        <v>77</v>
      </c>
      <c r="J682" t="s">
        <v>42</v>
      </c>
      <c r="K682" t="s">
        <v>82</v>
      </c>
      <c r="L682" s="25">
        <v>44031</v>
      </c>
      <c r="M682">
        <v>7</v>
      </c>
      <c r="N682">
        <v>2020</v>
      </c>
      <c r="O682" t="s">
        <v>106</v>
      </c>
      <c r="P682">
        <v>170</v>
      </c>
      <c r="Q682" s="17">
        <v>44032.087772569444</v>
      </c>
      <c r="R682" t="s">
        <v>120</v>
      </c>
    </row>
    <row r="683" spans="1:18" x14ac:dyDescent="0.3">
      <c r="A683">
        <v>9687072</v>
      </c>
      <c r="B683" t="s">
        <v>79</v>
      </c>
      <c r="C683">
        <v>1330309</v>
      </c>
      <c r="D683" t="s">
        <v>109</v>
      </c>
      <c r="E683" t="s">
        <v>130</v>
      </c>
      <c r="F683" t="s">
        <v>17</v>
      </c>
      <c r="G683" t="s">
        <v>133</v>
      </c>
      <c r="H683" t="s">
        <v>148</v>
      </c>
      <c r="I683" t="s">
        <v>83</v>
      </c>
      <c r="J683" t="s">
        <v>84</v>
      </c>
      <c r="K683" t="s">
        <v>86</v>
      </c>
      <c r="L683" s="25">
        <v>44031</v>
      </c>
      <c r="M683">
        <v>7</v>
      </c>
      <c r="N683">
        <v>2020</v>
      </c>
      <c r="O683" t="s">
        <v>106</v>
      </c>
      <c r="P683">
        <v>170</v>
      </c>
      <c r="Q683" s="17">
        <v>44032.136216550927</v>
      </c>
      <c r="R683" t="s">
        <v>120</v>
      </c>
    </row>
    <row r="684" spans="1:18" x14ac:dyDescent="0.3">
      <c r="A684">
        <v>242375</v>
      </c>
      <c r="B684" t="s">
        <v>79</v>
      </c>
      <c r="C684">
        <v>1324527</v>
      </c>
      <c r="D684" t="s">
        <v>116</v>
      </c>
      <c r="E684" t="s">
        <v>26</v>
      </c>
      <c r="F684" t="s">
        <v>26</v>
      </c>
      <c r="G684" t="s">
        <v>126</v>
      </c>
      <c r="H684" t="s">
        <v>159</v>
      </c>
      <c r="I684" t="s">
        <v>83</v>
      </c>
      <c r="J684" t="s">
        <v>84</v>
      </c>
      <c r="K684" t="s">
        <v>82</v>
      </c>
      <c r="L684" s="25">
        <v>44031</v>
      </c>
      <c r="M684">
        <v>7</v>
      </c>
      <c r="N684">
        <v>2020</v>
      </c>
      <c r="O684" t="s">
        <v>106</v>
      </c>
      <c r="P684">
        <v>170</v>
      </c>
      <c r="Q684" s="17">
        <v>44029.852059837962</v>
      </c>
      <c r="R684" t="s">
        <v>120</v>
      </c>
    </row>
    <row r="685" spans="1:18" x14ac:dyDescent="0.3">
      <c r="A685">
        <v>245890</v>
      </c>
      <c r="B685" t="s">
        <v>78</v>
      </c>
      <c r="C685">
        <v>1336776</v>
      </c>
      <c r="D685" t="s">
        <v>112</v>
      </c>
      <c r="E685" t="s">
        <v>12</v>
      </c>
      <c r="F685" t="s">
        <v>12</v>
      </c>
      <c r="G685" t="s">
        <v>124</v>
      </c>
      <c r="H685" t="s">
        <v>150</v>
      </c>
      <c r="I685" t="s">
        <v>81</v>
      </c>
      <c r="J685" t="s">
        <v>42</v>
      </c>
      <c r="K685" t="s">
        <v>82</v>
      </c>
      <c r="L685" s="25">
        <v>44031</v>
      </c>
      <c r="M685">
        <v>7</v>
      </c>
      <c r="N685">
        <v>2020</v>
      </c>
      <c r="O685" t="s">
        <v>106</v>
      </c>
      <c r="P685">
        <v>171</v>
      </c>
      <c r="Q685" s="17">
        <v>44032.091897222221</v>
      </c>
      <c r="R685" t="s">
        <v>120</v>
      </c>
    </row>
    <row r="686" spans="1:18" x14ac:dyDescent="0.3">
      <c r="A686">
        <v>242977</v>
      </c>
      <c r="B686" t="s">
        <v>79</v>
      </c>
      <c r="C686">
        <v>1327150</v>
      </c>
      <c r="D686" t="s">
        <v>116</v>
      </c>
      <c r="E686" t="s">
        <v>26</v>
      </c>
      <c r="F686" t="s">
        <v>26</v>
      </c>
      <c r="G686" t="s">
        <v>126</v>
      </c>
      <c r="H686" t="s">
        <v>163</v>
      </c>
      <c r="I686" t="s">
        <v>83</v>
      </c>
      <c r="J686" t="s">
        <v>84</v>
      </c>
      <c r="K686" t="s">
        <v>82</v>
      </c>
      <c r="L686" s="25">
        <v>44031</v>
      </c>
      <c r="M686">
        <v>7</v>
      </c>
      <c r="N686">
        <v>2020</v>
      </c>
      <c r="O686" t="s">
        <v>106</v>
      </c>
      <c r="P686">
        <v>170</v>
      </c>
      <c r="Q686" s="17">
        <v>44029.956113541666</v>
      </c>
      <c r="R686" t="s">
        <v>120</v>
      </c>
    </row>
    <row r="687" spans="1:18" x14ac:dyDescent="0.3">
      <c r="A687">
        <v>9687316</v>
      </c>
      <c r="B687" t="s">
        <v>79</v>
      </c>
      <c r="C687">
        <v>1330379</v>
      </c>
      <c r="D687" t="s">
        <v>109</v>
      </c>
      <c r="E687" t="s">
        <v>130</v>
      </c>
      <c r="F687" t="s">
        <v>17</v>
      </c>
      <c r="G687" t="s">
        <v>133</v>
      </c>
      <c r="H687" t="s">
        <v>148</v>
      </c>
      <c r="I687" t="s">
        <v>83</v>
      </c>
      <c r="J687" t="s">
        <v>84</v>
      </c>
      <c r="K687" t="s">
        <v>86</v>
      </c>
      <c r="L687" s="25">
        <v>44031</v>
      </c>
      <c r="M687">
        <v>7</v>
      </c>
      <c r="N687">
        <v>2020</v>
      </c>
      <c r="O687" t="s">
        <v>106</v>
      </c>
      <c r="P687">
        <v>170</v>
      </c>
      <c r="Q687" s="17">
        <v>44032.14857824074</v>
      </c>
      <c r="R687" t="s">
        <v>120</v>
      </c>
    </row>
    <row r="688" spans="1:18" x14ac:dyDescent="0.3">
      <c r="A688">
        <v>242399</v>
      </c>
      <c r="B688" t="s">
        <v>79</v>
      </c>
      <c r="C688">
        <v>1324963</v>
      </c>
      <c r="D688" t="s">
        <v>116</v>
      </c>
      <c r="E688" t="s">
        <v>26</v>
      </c>
      <c r="F688" t="s">
        <v>26</v>
      </c>
      <c r="G688" t="s">
        <v>126</v>
      </c>
      <c r="H688" t="s">
        <v>163</v>
      </c>
      <c r="I688" t="s">
        <v>83</v>
      </c>
      <c r="J688" t="s">
        <v>84</v>
      </c>
      <c r="K688" t="s">
        <v>82</v>
      </c>
      <c r="L688" s="25">
        <v>44031</v>
      </c>
      <c r="M688">
        <v>7</v>
      </c>
      <c r="N688">
        <v>2020</v>
      </c>
      <c r="O688" t="s">
        <v>106</v>
      </c>
      <c r="P688">
        <v>170</v>
      </c>
      <c r="Q688" s="17">
        <v>44029.866295717591</v>
      </c>
      <c r="R688" t="s">
        <v>120</v>
      </c>
    </row>
    <row r="689" spans="1:18" x14ac:dyDescent="0.3">
      <c r="A689">
        <v>21527168</v>
      </c>
      <c r="B689" t="s">
        <v>79</v>
      </c>
      <c r="C689">
        <v>1324044</v>
      </c>
      <c r="D689" t="s">
        <v>116</v>
      </c>
      <c r="E689" t="s">
        <v>26</v>
      </c>
      <c r="F689" t="s">
        <v>26</v>
      </c>
      <c r="G689" t="s">
        <v>126</v>
      </c>
      <c r="H689" t="s">
        <v>159</v>
      </c>
      <c r="I689" t="s">
        <v>83</v>
      </c>
      <c r="J689" t="s">
        <v>84</v>
      </c>
      <c r="K689" t="s">
        <v>82</v>
      </c>
      <c r="L689" s="25">
        <v>44031</v>
      </c>
      <c r="M689">
        <v>7</v>
      </c>
      <c r="N689">
        <v>2020</v>
      </c>
      <c r="O689" t="s">
        <v>106</v>
      </c>
      <c r="P689">
        <v>170</v>
      </c>
      <c r="Q689" s="17">
        <v>44029.839090972222</v>
      </c>
      <c r="R689" t="s">
        <v>120</v>
      </c>
    </row>
    <row r="690" spans="1:18" x14ac:dyDescent="0.3">
      <c r="A690">
        <v>242308</v>
      </c>
      <c r="B690" t="s">
        <v>79</v>
      </c>
      <c r="C690">
        <v>1324027</v>
      </c>
      <c r="D690" t="s">
        <v>116</v>
      </c>
      <c r="E690" t="s">
        <v>26</v>
      </c>
      <c r="F690" t="s">
        <v>26</v>
      </c>
      <c r="G690" t="s">
        <v>126</v>
      </c>
      <c r="H690" t="s">
        <v>163</v>
      </c>
      <c r="I690" t="s">
        <v>83</v>
      </c>
      <c r="J690" t="s">
        <v>84</v>
      </c>
      <c r="K690" t="s">
        <v>82</v>
      </c>
      <c r="L690" s="25">
        <v>44031</v>
      </c>
      <c r="M690">
        <v>7</v>
      </c>
      <c r="N690">
        <v>2020</v>
      </c>
      <c r="O690" t="s">
        <v>106</v>
      </c>
      <c r="P690">
        <v>170</v>
      </c>
      <c r="Q690" s="17">
        <v>44029.839090972222</v>
      </c>
      <c r="R690" t="s">
        <v>120</v>
      </c>
    </row>
    <row r="691" spans="1:18" x14ac:dyDescent="0.3">
      <c r="A691">
        <v>245576</v>
      </c>
      <c r="B691" t="s">
        <v>77</v>
      </c>
      <c r="C691">
        <v>1337197</v>
      </c>
      <c r="D691" t="s">
        <v>77</v>
      </c>
      <c r="E691" t="s">
        <v>12</v>
      </c>
      <c r="F691" t="s">
        <v>12</v>
      </c>
      <c r="G691" t="s">
        <v>124</v>
      </c>
      <c r="H691" t="s">
        <v>150</v>
      </c>
      <c r="I691" t="s">
        <v>77</v>
      </c>
      <c r="J691" t="s">
        <v>42</v>
      </c>
      <c r="K691" t="s">
        <v>82</v>
      </c>
      <c r="L691" s="25">
        <v>44031</v>
      </c>
      <c r="M691">
        <v>7</v>
      </c>
      <c r="N691">
        <v>2020</v>
      </c>
      <c r="O691" t="s">
        <v>106</v>
      </c>
      <c r="P691">
        <v>170</v>
      </c>
      <c r="Q691" s="17">
        <v>44032.18018275463</v>
      </c>
      <c r="R691" t="s">
        <v>120</v>
      </c>
    </row>
    <row r="692" spans="1:18" x14ac:dyDescent="0.3">
      <c r="L692" s="25"/>
      <c r="Q692" s="17"/>
    </row>
    <row r="693" spans="1:18" x14ac:dyDescent="0.3">
      <c r="L693" s="25"/>
      <c r="Q693" s="17"/>
    </row>
    <row r="694" spans="1:18" x14ac:dyDescent="0.3">
      <c r="L694" s="25"/>
      <c r="Q694" s="17"/>
    </row>
    <row r="695" spans="1:18" x14ac:dyDescent="0.3">
      <c r="L695" s="25"/>
      <c r="Q695" s="17"/>
    </row>
    <row r="696" spans="1:18" x14ac:dyDescent="0.3">
      <c r="L696" s="25"/>
      <c r="Q696" s="17"/>
    </row>
    <row r="697" spans="1:18" x14ac:dyDescent="0.3">
      <c r="L697" s="25"/>
      <c r="Q697" s="17"/>
    </row>
    <row r="698" spans="1:18" x14ac:dyDescent="0.3">
      <c r="L698" s="25"/>
      <c r="Q698" s="17"/>
    </row>
    <row r="699" spans="1:18" x14ac:dyDescent="0.3">
      <c r="L699" s="25"/>
      <c r="Q699" s="17"/>
    </row>
    <row r="700" spans="1:18" x14ac:dyDescent="0.3">
      <c r="L700" s="25"/>
      <c r="Q700" s="17"/>
    </row>
    <row r="701" spans="1:18" x14ac:dyDescent="0.3">
      <c r="L701" s="25"/>
      <c r="Q701" s="17"/>
    </row>
    <row r="702" spans="1:18" x14ac:dyDescent="0.3">
      <c r="L702" s="25"/>
      <c r="Q702" s="17"/>
    </row>
    <row r="703" spans="1:18" x14ac:dyDescent="0.3">
      <c r="L703" s="25"/>
      <c r="Q703" s="17"/>
    </row>
    <row r="704" spans="1:18" x14ac:dyDescent="0.3">
      <c r="L704" s="25"/>
      <c r="Q704" s="17"/>
    </row>
    <row r="705" spans="12:17" x14ac:dyDescent="0.3">
      <c r="L705" s="25"/>
      <c r="Q705" s="17"/>
    </row>
    <row r="706" spans="12:17" x14ac:dyDescent="0.3">
      <c r="L706" s="25"/>
      <c r="Q706" s="17"/>
    </row>
    <row r="707" spans="12:17" x14ac:dyDescent="0.3">
      <c r="L707" s="25"/>
      <c r="Q707" s="17"/>
    </row>
    <row r="708" spans="12:17" x14ac:dyDescent="0.3">
      <c r="L708" s="25"/>
      <c r="Q708" s="17"/>
    </row>
    <row r="709" spans="12:17" x14ac:dyDescent="0.3">
      <c r="L709" s="25"/>
      <c r="Q709" s="17"/>
    </row>
    <row r="710" spans="12:17" x14ac:dyDescent="0.3">
      <c r="L710" s="25"/>
      <c r="Q710" s="17"/>
    </row>
    <row r="711" spans="12:17" x14ac:dyDescent="0.3">
      <c r="L711" s="25"/>
      <c r="Q711" s="17"/>
    </row>
    <row r="712" spans="12:17" x14ac:dyDescent="0.3">
      <c r="L712" s="25"/>
      <c r="Q712" s="17"/>
    </row>
    <row r="713" spans="12:17" x14ac:dyDescent="0.3">
      <c r="L713" s="25"/>
      <c r="Q713" s="17"/>
    </row>
    <row r="714" spans="12:17" x14ac:dyDescent="0.3">
      <c r="L714" s="25"/>
      <c r="Q714" s="17"/>
    </row>
    <row r="715" spans="12:17" x14ac:dyDescent="0.3">
      <c r="L715" s="25"/>
      <c r="Q715" s="17"/>
    </row>
    <row r="716" spans="12:17" x14ac:dyDescent="0.3">
      <c r="L716" s="25"/>
      <c r="Q716" s="17"/>
    </row>
    <row r="717" spans="12:17" x14ac:dyDescent="0.3">
      <c r="L717" s="25"/>
      <c r="Q717" s="17"/>
    </row>
    <row r="718" spans="12:17" x14ac:dyDescent="0.3">
      <c r="L718" s="25"/>
      <c r="Q718" s="17"/>
    </row>
    <row r="719" spans="12:17" x14ac:dyDescent="0.3">
      <c r="L719" s="25"/>
      <c r="Q719" s="17"/>
    </row>
    <row r="720" spans="12:17" x14ac:dyDescent="0.3">
      <c r="L720" s="25"/>
      <c r="Q720" s="17"/>
    </row>
    <row r="721" spans="12:17" x14ac:dyDescent="0.3">
      <c r="L721" s="25"/>
      <c r="Q721" s="17"/>
    </row>
    <row r="722" spans="12:17" x14ac:dyDescent="0.3">
      <c r="L722" s="25"/>
      <c r="Q722" s="17"/>
    </row>
    <row r="723" spans="12:17" x14ac:dyDescent="0.3">
      <c r="L723" s="25"/>
      <c r="Q723" s="17"/>
    </row>
    <row r="724" spans="12:17" x14ac:dyDescent="0.3">
      <c r="L724" s="25"/>
      <c r="Q724" s="17"/>
    </row>
    <row r="725" spans="12:17" x14ac:dyDescent="0.3">
      <c r="L725" s="25"/>
      <c r="Q725" s="17"/>
    </row>
    <row r="726" spans="12:17" x14ac:dyDescent="0.3">
      <c r="L726" s="25"/>
      <c r="Q726" s="17"/>
    </row>
    <row r="727" spans="12:17" x14ac:dyDescent="0.3">
      <c r="L727" s="25"/>
      <c r="Q727" s="17"/>
    </row>
    <row r="728" spans="12:17" x14ac:dyDescent="0.3">
      <c r="L728" s="25"/>
      <c r="Q728" s="17"/>
    </row>
    <row r="729" spans="12:17" x14ac:dyDescent="0.3">
      <c r="L729" s="25"/>
      <c r="Q729" s="17"/>
    </row>
    <row r="730" spans="12:17" x14ac:dyDescent="0.3">
      <c r="L730" s="25"/>
      <c r="Q730" s="17"/>
    </row>
    <row r="731" spans="12:17" x14ac:dyDescent="0.3">
      <c r="L731" s="25"/>
      <c r="Q731" s="17"/>
    </row>
    <row r="732" spans="12:17" x14ac:dyDescent="0.3">
      <c r="L732" s="25"/>
      <c r="Q732" s="17"/>
    </row>
    <row r="733" spans="12:17" x14ac:dyDescent="0.3">
      <c r="L733" s="25"/>
      <c r="Q733" s="17"/>
    </row>
    <row r="734" spans="12:17" x14ac:dyDescent="0.3">
      <c r="L734" s="25"/>
      <c r="Q734" s="17"/>
    </row>
    <row r="735" spans="12:17" x14ac:dyDescent="0.3">
      <c r="L735" s="25"/>
      <c r="Q735" s="17"/>
    </row>
    <row r="736" spans="12:17" x14ac:dyDescent="0.3">
      <c r="L736" s="25"/>
      <c r="Q736" s="17"/>
    </row>
    <row r="737" spans="12:17" x14ac:dyDescent="0.3">
      <c r="L737" s="25"/>
      <c r="Q737" s="17"/>
    </row>
    <row r="738" spans="12:17" x14ac:dyDescent="0.3">
      <c r="L738" s="25"/>
      <c r="Q738" s="17"/>
    </row>
    <row r="739" spans="12:17" x14ac:dyDescent="0.3">
      <c r="L739" s="25"/>
      <c r="Q739" s="17"/>
    </row>
    <row r="740" spans="12:17" x14ac:dyDescent="0.3">
      <c r="L740" s="25"/>
      <c r="Q740" s="17"/>
    </row>
    <row r="741" spans="12:17" x14ac:dyDescent="0.3">
      <c r="L741" s="25"/>
      <c r="Q741" s="17"/>
    </row>
    <row r="742" spans="12:17" x14ac:dyDescent="0.3">
      <c r="L742" s="25"/>
      <c r="Q742" s="17"/>
    </row>
    <row r="743" spans="12:17" x14ac:dyDescent="0.3">
      <c r="L743" s="25"/>
      <c r="Q743" s="17"/>
    </row>
    <row r="744" spans="12:17" x14ac:dyDescent="0.3">
      <c r="L744" s="25"/>
      <c r="Q744" s="17"/>
    </row>
    <row r="745" spans="12:17" x14ac:dyDescent="0.3">
      <c r="L745" s="25"/>
      <c r="Q745" s="17"/>
    </row>
    <row r="746" spans="12:17" x14ac:dyDescent="0.3">
      <c r="L746" s="25"/>
      <c r="Q746" s="17"/>
    </row>
    <row r="747" spans="12:17" x14ac:dyDescent="0.3">
      <c r="L747" s="25"/>
      <c r="Q747" s="17"/>
    </row>
    <row r="748" spans="12:17" x14ac:dyDescent="0.3">
      <c r="L748" s="25"/>
      <c r="Q748" s="17"/>
    </row>
    <row r="749" spans="12:17" x14ac:dyDescent="0.3">
      <c r="L749" s="25"/>
      <c r="Q749" s="17"/>
    </row>
    <row r="750" spans="12:17" x14ac:dyDescent="0.3">
      <c r="L750" s="25"/>
      <c r="Q750" s="17"/>
    </row>
    <row r="751" spans="12:17" x14ac:dyDescent="0.3">
      <c r="L751" s="25"/>
      <c r="Q751" s="17"/>
    </row>
    <row r="752" spans="12:17" x14ac:dyDescent="0.3">
      <c r="L752" s="25"/>
      <c r="Q752" s="17"/>
    </row>
    <row r="753" spans="12:17" x14ac:dyDescent="0.3">
      <c r="L753" s="25"/>
      <c r="Q753" s="17"/>
    </row>
    <row r="754" spans="12:17" x14ac:dyDescent="0.3">
      <c r="L754" s="25"/>
      <c r="Q754" s="17"/>
    </row>
    <row r="755" spans="12:17" x14ac:dyDescent="0.3">
      <c r="L755" s="25"/>
      <c r="Q755" s="17"/>
    </row>
    <row r="756" spans="12:17" x14ac:dyDescent="0.3">
      <c r="L756" s="25"/>
      <c r="Q756" s="17"/>
    </row>
    <row r="757" spans="12:17" x14ac:dyDescent="0.3">
      <c r="L757" s="25"/>
      <c r="Q757" s="17"/>
    </row>
    <row r="758" spans="12:17" x14ac:dyDescent="0.3">
      <c r="L758" s="25"/>
      <c r="Q758" s="17"/>
    </row>
    <row r="759" spans="12:17" x14ac:dyDescent="0.3">
      <c r="L759" s="25"/>
      <c r="Q759" s="17"/>
    </row>
    <row r="760" spans="12:17" x14ac:dyDescent="0.3">
      <c r="L760" s="25"/>
      <c r="Q760" s="17"/>
    </row>
    <row r="761" spans="12:17" x14ac:dyDescent="0.3">
      <c r="L761" s="25"/>
      <c r="Q761" s="17"/>
    </row>
    <row r="762" spans="12:17" x14ac:dyDescent="0.3">
      <c r="L762" s="25"/>
      <c r="Q762" s="17"/>
    </row>
    <row r="763" spans="12:17" x14ac:dyDescent="0.3">
      <c r="L763" s="25"/>
      <c r="Q763" s="17"/>
    </row>
    <row r="764" spans="12:17" x14ac:dyDescent="0.3">
      <c r="L764" s="25"/>
      <c r="Q764" s="17"/>
    </row>
    <row r="765" spans="12:17" x14ac:dyDescent="0.3">
      <c r="L765" s="25"/>
      <c r="Q765" s="17"/>
    </row>
    <row r="766" spans="12:17" x14ac:dyDescent="0.3">
      <c r="L766" s="25"/>
      <c r="Q766" s="17"/>
    </row>
    <row r="767" spans="12:17" x14ac:dyDescent="0.3">
      <c r="L767" s="25"/>
      <c r="Q767" s="17"/>
    </row>
    <row r="768" spans="12:17" x14ac:dyDescent="0.3">
      <c r="L768" s="25"/>
      <c r="Q768" s="17"/>
    </row>
    <row r="769" spans="12:17" x14ac:dyDescent="0.3">
      <c r="L769" s="25"/>
      <c r="Q769" s="17"/>
    </row>
    <row r="770" spans="12:17" x14ac:dyDescent="0.3">
      <c r="L770" s="25"/>
      <c r="Q770" s="17"/>
    </row>
    <row r="771" spans="12:17" x14ac:dyDescent="0.3">
      <c r="L771" s="25"/>
      <c r="Q771" s="17"/>
    </row>
    <row r="772" spans="12:17" x14ac:dyDescent="0.3">
      <c r="L772" s="25"/>
      <c r="Q772" s="17"/>
    </row>
    <row r="773" spans="12:17" x14ac:dyDescent="0.3">
      <c r="L773" s="25"/>
      <c r="Q773" s="17"/>
    </row>
    <row r="774" spans="12:17" x14ac:dyDescent="0.3">
      <c r="L774" s="25"/>
      <c r="Q774" s="17"/>
    </row>
    <row r="775" spans="12:17" x14ac:dyDescent="0.3">
      <c r="L775" s="25"/>
      <c r="Q775" s="17"/>
    </row>
    <row r="776" spans="12:17" x14ac:dyDescent="0.3">
      <c r="L776" s="25"/>
      <c r="Q776" s="17"/>
    </row>
    <row r="777" spans="12:17" x14ac:dyDescent="0.3">
      <c r="L777" s="25"/>
      <c r="Q777" s="17"/>
    </row>
    <row r="778" spans="12:17" x14ac:dyDescent="0.3">
      <c r="L778" s="25"/>
      <c r="Q778" s="17"/>
    </row>
    <row r="779" spans="12:17" x14ac:dyDescent="0.3">
      <c r="L779" s="25"/>
      <c r="Q779" s="17"/>
    </row>
    <row r="780" spans="12:17" x14ac:dyDescent="0.3">
      <c r="L780" s="25"/>
      <c r="Q780" s="17"/>
    </row>
    <row r="781" spans="12:17" x14ac:dyDescent="0.3">
      <c r="L781" s="25"/>
      <c r="Q781" s="17"/>
    </row>
    <row r="782" spans="12:17" x14ac:dyDescent="0.3">
      <c r="L782" s="25"/>
      <c r="Q782" s="17"/>
    </row>
    <row r="783" spans="12:17" x14ac:dyDescent="0.3">
      <c r="L783" s="25"/>
      <c r="Q783" s="17"/>
    </row>
    <row r="784" spans="12:17" x14ac:dyDescent="0.3">
      <c r="L784" s="25"/>
      <c r="Q784" s="17"/>
    </row>
    <row r="785" spans="12:17" x14ac:dyDescent="0.3">
      <c r="L785" s="25"/>
      <c r="Q785" s="17"/>
    </row>
    <row r="786" spans="12:17" x14ac:dyDescent="0.3">
      <c r="L786" s="25"/>
      <c r="Q786" s="17"/>
    </row>
    <row r="787" spans="12:17" x14ac:dyDescent="0.3">
      <c r="L787" s="25"/>
      <c r="Q787" s="17"/>
    </row>
    <row r="788" spans="12:17" x14ac:dyDescent="0.3">
      <c r="L788" s="25"/>
      <c r="Q788" s="17"/>
    </row>
    <row r="789" spans="12:17" x14ac:dyDescent="0.3">
      <c r="L789" s="25"/>
      <c r="Q789" s="17"/>
    </row>
    <row r="790" spans="12:17" x14ac:dyDescent="0.3">
      <c r="L790" s="25"/>
      <c r="Q790" s="17"/>
    </row>
    <row r="791" spans="12:17" x14ac:dyDescent="0.3">
      <c r="L791" s="25"/>
      <c r="Q791" s="17"/>
    </row>
    <row r="792" spans="12:17" x14ac:dyDescent="0.3">
      <c r="L792" s="25"/>
      <c r="Q792" s="17"/>
    </row>
    <row r="793" spans="12:17" x14ac:dyDescent="0.3">
      <c r="L793" s="25"/>
      <c r="Q793" s="17"/>
    </row>
    <row r="794" spans="12:17" x14ac:dyDescent="0.3">
      <c r="L794" s="25"/>
      <c r="Q794" s="17"/>
    </row>
    <row r="795" spans="12:17" x14ac:dyDescent="0.3">
      <c r="L795" s="25"/>
      <c r="Q795" s="17"/>
    </row>
    <row r="796" spans="12:17" x14ac:dyDescent="0.3">
      <c r="L796" s="25"/>
      <c r="Q796" s="17"/>
    </row>
    <row r="797" spans="12:17" x14ac:dyDescent="0.3">
      <c r="L797" s="25"/>
      <c r="Q797" s="17"/>
    </row>
    <row r="798" spans="12:17" x14ac:dyDescent="0.3">
      <c r="L798" s="25"/>
      <c r="Q798" s="17"/>
    </row>
    <row r="799" spans="12:17" x14ac:dyDescent="0.3">
      <c r="L799" s="25"/>
      <c r="Q799" s="17"/>
    </row>
    <row r="800" spans="12:17" x14ac:dyDescent="0.3">
      <c r="L800" s="25"/>
      <c r="Q800" s="17"/>
    </row>
    <row r="801" spans="12:17" x14ac:dyDescent="0.3">
      <c r="L801" s="25"/>
      <c r="Q801" s="17"/>
    </row>
    <row r="802" spans="12:17" x14ac:dyDescent="0.3">
      <c r="L802" s="25"/>
      <c r="Q802" s="17"/>
    </row>
    <row r="803" spans="12:17" x14ac:dyDescent="0.3">
      <c r="L803" s="25"/>
      <c r="Q803" s="17"/>
    </row>
    <row r="804" spans="12:17" x14ac:dyDescent="0.3">
      <c r="L804" s="25"/>
      <c r="Q804" s="17"/>
    </row>
    <row r="805" spans="12:17" x14ac:dyDescent="0.3">
      <c r="L805" s="25"/>
      <c r="Q805" s="17"/>
    </row>
    <row r="806" spans="12:17" x14ac:dyDescent="0.3">
      <c r="L806" s="25"/>
      <c r="Q806" s="17"/>
    </row>
    <row r="807" spans="12:17" x14ac:dyDescent="0.3">
      <c r="L807" s="25"/>
      <c r="Q807" s="17"/>
    </row>
    <row r="808" spans="12:17" x14ac:dyDescent="0.3">
      <c r="L808" s="25"/>
      <c r="Q808" s="17"/>
    </row>
    <row r="809" spans="12:17" x14ac:dyDescent="0.3">
      <c r="L809" s="25"/>
      <c r="Q809" s="17"/>
    </row>
    <row r="810" spans="12:17" x14ac:dyDescent="0.3">
      <c r="L810" s="25"/>
      <c r="Q810" s="17"/>
    </row>
    <row r="811" spans="12:17" x14ac:dyDescent="0.3">
      <c r="L811" s="25"/>
      <c r="Q811" s="17"/>
    </row>
    <row r="812" spans="12:17" x14ac:dyDescent="0.3">
      <c r="L812" s="25"/>
      <c r="Q812" s="17"/>
    </row>
    <row r="813" spans="12:17" x14ac:dyDescent="0.3">
      <c r="L813" s="25"/>
      <c r="Q813" s="17"/>
    </row>
    <row r="814" spans="12:17" x14ac:dyDescent="0.3">
      <c r="L814" s="25"/>
      <c r="Q814" s="17"/>
    </row>
    <row r="815" spans="12:17" x14ac:dyDescent="0.3">
      <c r="L815" s="25"/>
      <c r="Q815" s="17"/>
    </row>
    <row r="816" spans="12:17" x14ac:dyDescent="0.3">
      <c r="L816" s="25"/>
      <c r="Q816" s="17"/>
    </row>
    <row r="817" spans="12:17" x14ac:dyDescent="0.3">
      <c r="L817" s="25"/>
      <c r="Q817" s="17"/>
    </row>
    <row r="818" spans="12:17" x14ac:dyDescent="0.3">
      <c r="L818" s="25"/>
      <c r="Q818" s="17"/>
    </row>
    <row r="819" spans="12:17" x14ac:dyDescent="0.3">
      <c r="L819" s="25"/>
      <c r="Q819" s="17"/>
    </row>
    <row r="820" spans="12:17" x14ac:dyDescent="0.3">
      <c r="L820" s="25"/>
      <c r="Q820" s="17"/>
    </row>
    <row r="821" spans="12:17" x14ac:dyDescent="0.3">
      <c r="L821" s="25"/>
      <c r="Q821" s="17"/>
    </row>
    <row r="822" spans="12:17" x14ac:dyDescent="0.3">
      <c r="L822" s="25"/>
      <c r="Q822" s="17"/>
    </row>
    <row r="823" spans="12:17" x14ac:dyDescent="0.3">
      <c r="L823" s="25"/>
      <c r="Q823" s="17"/>
    </row>
    <row r="824" spans="12:17" x14ac:dyDescent="0.3">
      <c r="L824" s="25"/>
      <c r="Q824" s="17"/>
    </row>
    <row r="825" spans="12:17" x14ac:dyDescent="0.3">
      <c r="L825" s="25"/>
      <c r="Q825" s="17"/>
    </row>
    <row r="826" spans="12:17" x14ac:dyDescent="0.3">
      <c r="L826" s="25"/>
      <c r="Q826" s="17"/>
    </row>
    <row r="827" spans="12:17" x14ac:dyDescent="0.3">
      <c r="L827" s="25"/>
      <c r="Q827" s="17"/>
    </row>
    <row r="828" spans="12:17" x14ac:dyDescent="0.3">
      <c r="L828" s="25"/>
      <c r="Q828" s="17"/>
    </row>
    <row r="829" spans="12:17" x14ac:dyDescent="0.3">
      <c r="L829" s="25"/>
      <c r="Q829" s="17"/>
    </row>
    <row r="830" spans="12:17" x14ac:dyDescent="0.3">
      <c r="L830" s="25"/>
      <c r="Q830" s="17"/>
    </row>
    <row r="831" spans="12:17" x14ac:dyDescent="0.3">
      <c r="L831" s="25"/>
      <c r="Q831" s="17"/>
    </row>
    <row r="832" spans="12:17" x14ac:dyDescent="0.3">
      <c r="L832" s="25"/>
      <c r="Q832" s="17"/>
    </row>
    <row r="833" spans="12:17" x14ac:dyDescent="0.3">
      <c r="L833" s="25"/>
      <c r="Q833" s="17"/>
    </row>
    <row r="834" spans="12:17" x14ac:dyDescent="0.3">
      <c r="L834" s="25"/>
      <c r="Q834" s="17"/>
    </row>
    <row r="835" spans="12:17" x14ac:dyDescent="0.3">
      <c r="L835" s="25"/>
      <c r="Q835" s="17"/>
    </row>
    <row r="836" spans="12:17" x14ac:dyDescent="0.3">
      <c r="L836" s="25"/>
      <c r="Q836" s="17"/>
    </row>
    <row r="837" spans="12:17" x14ac:dyDescent="0.3">
      <c r="L837" s="25"/>
      <c r="Q837" s="17"/>
    </row>
    <row r="838" spans="12:17" x14ac:dyDescent="0.3">
      <c r="L838" s="25"/>
      <c r="Q838" s="17"/>
    </row>
    <row r="839" spans="12:17" x14ac:dyDescent="0.3">
      <c r="L839" s="25"/>
      <c r="Q839" s="17"/>
    </row>
    <row r="840" spans="12:17" x14ac:dyDescent="0.3">
      <c r="L840" s="25"/>
      <c r="Q840" s="17"/>
    </row>
    <row r="841" spans="12:17" x14ac:dyDescent="0.3">
      <c r="L841" s="25"/>
      <c r="Q841" s="17"/>
    </row>
    <row r="842" spans="12:17" x14ac:dyDescent="0.3">
      <c r="L842" s="25"/>
      <c r="Q842" s="17"/>
    </row>
    <row r="843" spans="12:17" x14ac:dyDescent="0.3">
      <c r="L843" s="25"/>
      <c r="Q843" s="17"/>
    </row>
    <row r="844" spans="12:17" x14ac:dyDescent="0.3">
      <c r="L844" s="25"/>
      <c r="Q844" s="17"/>
    </row>
    <row r="845" spans="12:17" x14ac:dyDescent="0.3">
      <c r="L845" s="25"/>
      <c r="Q845" s="17"/>
    </row>
    <row r="846" spans="12:17" x14ac:dyDescent="0.3">
      <c r="L846" s="25"/>
      <c r="Q846" s="17"/>
    </row>
    <row r="847" spans="12:17" x14ac:dyDescent="0.3">
      <c r="L847" s="25"/>
      <c r="Q847" s="17"/>
    </row>
    <row r="848" spans="12:17" x14ac:dyDescent="0.3">
      <c r="L848" s="25"/>
      <c r="Q848" s="17"/>
    </row>
    <row r="849" spans="12:17" x14ac:dyDescent="0.3">
      <c r="L849" s="25"/>
      <c r="Q849" s="17"/>
    </row>
    <row r="850" spans="12:17" x14ac:dyDescent="0.3">
      <c r="L850" s="25"/>
      <c r="Q850" s="17"/>
    </row>
    <row r="851" spans="12:17" x14ac:dyDescent="0.3">
      <c r="L851" s="25"/>
      <c r="Q851" s="17"/>
    </row>
    <row r="852" spans="12:17" x14ac:dyDescent="0.3">
      <c r="L852" s="25"/>
      <c r="Q852" s="17"/>
    </row>
    <row r="853" spans="12:17" x14ac:dyDescent="0.3">
      <c r="L853" s="25"/>
      <c r="Q853" s="17"/>
    </row>
    <row r="854" spans="12:17" x14ac:dyDescent="0.3">
      <c r="L854" s="25"/>
      <c r="Q854" s="17"/>
    </row>
    <row r="855" spans="12:17" x14ac:dyDescent="0.3">
      <c r="L855" s="25"/>
      <c r="Q855" s="17"/>
    </row>
    <row r="856" spans="12:17" x14ac:dyDescent="0.3">
      <c r="L856" s="25"/>
      <c r="Q856" s="17"/>
    </row>
    <row r="857" spans="12:17" x14ac:dyDescent="0.3">
      <c r="L857" s="25"/>
      <c r="Q857" s="17"/>
    </row>
    <row r="858" spans="12:17" x14ac:dyDescent="0.3">
      <c r="L858" s="25"/>
      <c r="Q858" s="17"/>
    </row>
    <row r="859" spans="12:17" x14ac:dyDescent="0.3">
      <c r="L859" s="25"/>
      <c r="Q859" s="17"/>
    </row>
    <row r="860" spans="12:17" x14ac:dyDescent="0.3">
      <c r="L860" s="25"/>
      <c r="Q860" s="17"/>
    </row>
    <row r="861" spans="12:17" x14ac:dyDescent="0.3">
      <c r="L861" s="25"/>
      <c r="Q861" s="17"/>
    </row>
    <row r="862" spans="12:17" x14ac:dyDescent="0.3">
      <c r="L862" s="25"/>
      <c r="Q862" s="17"/>
    </row>
    <row r="863" spans="12:17" x14ac:dyDescent="0.3">
      <c r="L863" s="25"/>
      <c r="Q863" s="17"/>
    </row>
    <row r="864" spans="12:17" x14ac:dyDescent="0.3">
      <c r="L864" s="25"/>
      <c r="Q864" s="17"/>
    </row>
    <row r="865" spans="12:17" x14ac:dyDescent="0.3">
      <c r="L865" s="25"/>
      <c r="Q865" s="17"/>
    </row>
    <row r="866" spans="12:17" x14ac:dyDescent="0.3">
      <c r="L866" s="25"/>
      <c r="Q866" s="17"/>
    </row>
    <row r="867" spans="12:17" x14ac:dyDescent="0.3">
      <c r="L867" s="25"/>
      <c r="Q867" s="17"/>
    </row>
    <row r="868" spans="12:17" x14ac:dyDescent="0.3">
      <c r="L868" s="25"/>
      <c r="Q868" s="17"/>
    </row>
    <row r="869" spans="12:17" x14ac:dyDescent="0.3">
      <c r="L869" s="25"/>
      <c r="Q869" s="17"/>
    </row>
    <row r="870" spans="12:17" x14ac:dyDescent="0.3">
      <c r="L870" s="25"/>
      <c r="Q870" s="17"/>
    </row>
    <row r="871" spans="12:17" x14ac:dyDescent="0.3">
      <c r="L871" s="25"/>
      <c r="Q871" s="17"/>
    </row>
    <row r="872" spans="12:17" x14ac:dyDescent="0.3">
      <c r="L872" s="25"/>
      <c r="Q872" s="17"/>
    </row>
    <row r="873" spans="12:17" x14ac:dyDescent="0.3">
      <c r="L873" s="25"/>
      <c r="Q873" s="17"/>
    </row>
    <row r="874" spans="12:17" x14ac:dyDescent="0.3">
      <c r="L874" s="25"/>
      <c r="Q874" s="17"/>
    </row>
    <row r="875" spans="12:17" x14ac:dyDescent="0.3">
      <c r="L875" s="25"/>
      <c r="Q875" s="17"/>
    </row>
    <row r="876" spans="12:17" x14ac:dyDescent="0.3">
      <c r="L876" s="25"/>
      <c r="Q876" s="17"/>
    </row>
    <row r="877" spans="12:17" x14ac:dyDescent="0.3">
      <c r="L877" s="25"/>
      <c r="Q877" s="17"/>
    </row>
    <row r="878" spans="12:17" x14ac:dyDescent="0.3">
      <c r="L878" s="25"/>
      <c r="Q878" s="17"/>
    </row>
    <row r="879" spans="12:17" x14ac:dyDescent="0.3">
      <c r="L879" s="25"/>
      <c r="Q879" s="17"/>
    </row>
    <row r="880" spans="12:17" x14ac:dyDescent="0.3">
      <c r="L880" s="25"/>
      <c r="Q880" s="17"/>
    </row>
    <row r="881" spans="12:17" x14ac:dyDescent="0.3">
      <c r="L881" s="25"/>
      <c r="Q881" s="17"/>
    </row>
    <row r="882" spans="12:17" x14ac:dyDescent="0.3">
      <c r="L882" s="25"/>
      <c r="Q882" s="17"/>
    </row>
    <row r="883" spans="12:17" x14ac:dyDescent="0.3">
      <c r="L883" s="25"/>
      <c r="Q883" s="17"/>
    </row>
    <row r="884" spans="12:17" x14ac:dyDescent="0.3">
      <c r="L884" s="25"/>
      <c r="Q884" s="17"/>
    </row>
    <row r="885" spans="12:17" x14ac:dyDescent="0.3">
      <c r="L885" s="25"/>
      <c r="Q885" s="17"/>
    </row>
    <row r="886" spans="12:17" x14ac:dyDescent="0.3">
      <c r="L886" s="25"/>
      <c r="Q886" s="17"/>
    </row>
    <row r="887" spans="12:17" x14ac:dyDescent="0.3">
      <c r="L887" s="25"/>
      <c r="Q887" s="17"/>
    </row>
    <row r="888" spans="12:17" x14ac:dyDescent="0.3">
      <c r="L888" s="25"/>
      <c r="Q888" s="17"/>
    </row>
    <row r="889" spans="12:17" x14ac:dyDescent="0.3">
      <c r="L889" s="25"/>
      <c r="Q889" s="17"/>
    </row>
    <row r="890" spans="12:17" x14ac:dyDescent="0.3">
      <c r="L890" s="25"/>
      <c r="Q890" s="17"/>
    </row>
    <row r="891" spans="12:17" x14ac:dyDescent="0.3">
      <c r="L891" s="25"/>
      <c r="Q891" s="17"/>
    </row>
    <row r="892" spans="12:17" x14ac:dyDescent="0.3">
      <c r="L892" s="25"/>
      <c r="Q892" s="17"/>
    </row>
    <row r="893" spans="12:17" x14ac:dyDescent="0.3">
      <c r="L893" s="25"/>
      <c r="Q893" s="17"/>
    </row>
    <row r="894" spans="12:17" x14ac:dyDescent="0.3">
      <c r="L894" s="25"/>
      <c r="Q894" s="17"/>
    </row>
    <row r="895" spans="12:17" x14ac:dyDescent="0.3">
      <c r="L895" s="25"/>
      <c r="Q895" s="17"/>
    </row>
    <row r="896" spans="12:17" x14ac:dyDescent="0.3">
      <c r="L896" s="25"/>
      <c r="Q896" s="17"/>
    </row>
    <row r="897" spans="12:17" x14ac:dyDescent="0.3">
      <c r="L897" s="25"/>
      <c r="Q897" s="17"/>
    </row>
    <row r="898" spans="12:17" x14ac:dyDescent="0.3">
      <c r="L898" s="25"/>
      <c r="Q898" s="17"/>
    </row>
    <row r="899" spans="12:17" x14ac:dyDescent="0.3">
      <c r="L899" s="25"/>
      <c r="Q899" s="17"/>
    </row>
    <row r="900" spans="12:17" x14ac:dyDescent="0.3">
      <c r="L900" s="25"/>
      <c r="Q900" s="17"/>
    </row>
    <row r="901" spans="12:17" x14ac:dyDescent="0.3">
      <c r="L901" s="25"/>
      <c r="Q901" s="17"/>
    </row>
    <row r="902" spans="12:17" x14ac:dyDescent="0.3">
      <c r="L902" s="25"/>
      <c r="Q902" s="17"/>
    </row>
    <row r="903" spans="12:17" x14ac:dyDescent="0.3">
      <c r="L903" s="25"/>
      <c r="Q903" s="17"/>
    </row>
    <row r="904" spans="12:17" x14ac:dyDescent="0.3">
      <c r="L904" s="25"/>
      <c r="Q904" s="17"/>
    </row>
    <row r="905" spans="12:17" x14ac:dyDescent="0.3">
      <c r="L905" s="25"/>
      <c r="Q905" s="17"/>
    </row>
    <row r="906" spans="12:17" x14ac:dyDescent="0.3">
      <c r="L906" s="25"/>
      <c r="Q906" s="17"/>
    </row>
    <row r="907" spans="12:17" x14ac:dyDescent="0.3">
      <c r="L907" s="25"/>
      <c r="Q907" s="17"/>
    </row>
    <row r="908" spans="12:17" x14ac:dyDescent="0.3">
      <c r="L908" s="25"/>
      <c r="Q908" s="17"/>
    </row>
    <row r="909" spans="12:17" x14ac:dyDescent="0.3">
      <c r="L909" s="25"/>
      <c r="Q909" s="17"/>
    </row>
    <row r="910" spans="12:17" x14ac:dyDescent="0.3">
      <c r="L910" s="25"/>
      <c r="Q910" s="17"/>
    </row>
    <row r="911" spans="12:17" x14ac:dyDescent="0.3">
      <c r="L911" s="25"/>
      <c r="Q911" s="17"/>
    </row>
    <row r="912" spans="12:17" x14ac:dyDescent="0.3">
      <c r="L912" s="25"/>
      <c r="Q912" s="17"/>
    </row>
    <row r="913" spans="12:17" x14ac:dyDescent="0.3">
      <c r="L913" s="25"/>
      <c r="Q913" s="17"/>
    </row>
    <row r="914" spans="12:17" x14ac:dyDescent="0.3">
      <c r="L914" s="25"/>
      <c r="Q914" s="17"/>
    </row>
    <row r="915" spans="12:17" x14ac:dyDescent="0.3">
      <c r="L915" s="25"/>
      <c r="Q915" s="17"/>
    </row>
    <row r="916" spans="12:17" x14ac:dyDescent="0.3">
      <c r="L916" s="25"/>
      <c r="Q916" s="17"/>
    </row>
    <row r="917" spans="12:17" x14ac:dyDescent="0.3">
      <c r="L917" s="25"/>
      <c r="Q917" s="17"/>
    </row>
    <row r="918" spans="12:17" x14ac:dyDescent="0.3">
      <c r="L918" s="25"/>
      <c r="Q918" s="17"/>
    </row>
    <row r="919" spans="12:17" x14ac:dyDescent="0.3">
      <c r="L919" s="25"/>
      <c r="Q919" s="17"/>
    </row>
    <row r="920" spans="12:17" x14ac:dyDescent="0.3">
      <c r="L920" s="25"/>
      <c r="Q920" s="17"/>
    </row>
    <row r="921" spans="12:17" x14ac:dyDescent="0.3">
      <c r="L921" s="25"/>
      <c r="Q921" s="17"/>
    </row>
    <row r="922" spans="12:17" x14ac:dyDescent="0.3">
      <c r="L922" s="25"/>
      <c r="Q922" s="17"/>
    </row>
    <row r="923" spans="12:17" x14ac:dyDescent="0.3">
      <c r="L923" s="25"/>
      <c r="Q923" s="17"/>
    </row>
    <row r="924" spans="12:17" x14ac:dyDescent="0.3">
      <c r="L924" s="25"/>
      <c r="Q924" s="17"/>
    </row>
    <row r="925" spans="12:17" x14ac:dyDescent="0.3">
      <c r="L925" s="25"/>
      <c r="Q925" s="17"/>
    </row>
    <row r="926" spans="12:17" x14ac:dyDescent="0.3">
      <c r="L926" s="25"/>
      <c r="Q926" s="17"/>
    </row>
    <row r="927" spans="12:17" x14ac:dyDescent="0.3">
      <c r="L927" s="25"/>
      <c r="Q927" s="17"/>
    </row>
    <row r="928" spans="12:17" x14ac:dyDescent="0.3">
      <c r="L928" s="25"/>
      <c r="Q928" s="17"/>
    </row>
    <row r="929" spans="12:17" x14ac:dyDescent="0.3">
      <c r="L929" s="25"/>
      <c r="Q929" s="17"/>
    </row>
    <row r="930" spans="12:17" x14ac:dyDescent="0.3">
      <c r="L930" s="25"/>
      <c r="Q930" s="17"/>
    </row>
    <row r="931" spans="12:17" x14ac:dyDescent="0.3">
      <c r="L931" s="25"/>
      <c r="Q931" s="17"/>
    </row>
    <row r="932" spans="12:17" x14ac:dyDescent="0.3">
      <c r="L932" s="25"/>
      <c r="Q932" s="17"/>
    </row>
    <row r="933" spans="12:17" x14ac:dyDescent="0.3">
      <c r="L933" s="25"/>
      <c r="Q933" s="17"/>
    </row>
    <row r="934" spans="12:17" x14ac:dyDescent="0.3">
      <c r="L934" s="25"/>
      <c r="Q934" s="17"/>
    </row>
    <row r="935" spans="12:17" x14ac:dyDescent="0.3">
      <c r="L935" s="25"/>
      <c r="Q935" s="17"/>
    </row>
    <row r="936" spans="12:17" x14ac:dyDescent="0.3">
      <c r="L936" s="25"/>
      <c r="Q936" s="17"/>
    </row>
    <row r="937" spans="12:17" x14ac:dyDescent="0.3">
      <c r="L937" s="25"/>
      <c r="Q937" s="17"/>
    </row>
    <row r="938" spans="12:17" x14ac:dyDescent="0.3">
      <c r="L938" s="25"/>
      <c r="Q938" s="17"/>
    </row>
    <row r="939" spans="12:17" x14ac:dyDescent="0.3">
      <c r="L939" s="25"/>
      <c r="Q939" s="17"/>
    </row>
    <row r="940" spans="12:17" x14ac:dyDescent="0.3">
      <c r="L940" s="25"/>
      <c r="Q940" s="17"/>
    </row>
    <row r="941" spans="12:17" x14ac:dyDescent="0.3">
      <c r="L941" s="25"/>
      <c r="Q941" s="17"/>
    </row>
    <row r="942" spans="12:17" x14ac:dyDescent="0.3">
      <c r="L942" s="25"/>
      <c r="Q942" s="17"/>
    </row>
    <row r="943" spans="12:17" x14ac:dyDescent="0.3">
      <c r="L943" s="25"/>
      <c r="Q943" s="17"/>
    </row>
    <row r="944" spans="12:17" x14ac:dyDescent="0.3">
      <c r="L944" s="25"/>
      <c r="Q944" s="17"/>
    </row>
    <row r="945" spans="12:17" x14ac:dyDescent="0.3">
      <c r="L945" s="25"/>
      <c r="Q945" s="17"/>
    </row>
    <row r="946" spans="12:17" x14ac:dyDescent="0.3">
      <c r="L946" s="25"/>
      <c r="Q946" s="17"/>
    </row>
    <row r="947" spans="12:17" x14ac:dyDescent="0.3">
      <c r="L947" s="25"/>
      <c r="Q947" s="17"/>
    </row>
    <row r="948" spans="12:17" x14ac:dyDescent="0.3">
      <c r="L948" s="25"/>
      <c r="Q948" s="17"/>
    </row>
    <row r="949" spans="12:17" x14ac:dyDescent="0.3">
      <c r="L949" s="25"/>
      <c r="Q949" s="17"/>
    </row>
    <row r="950" spans="12:17" x14ac:dyDescent="0.3">
      <c r="L950" s="25"/>
      <c r="Q950" s="17"/>
    </row>
    <row r="951" spans="12:17" x14ac:dyDescent="0.3">
      <c r="L951" s="25"/>
      <c r="Q951" s="17"/>
    </row>
    <row r="952" spans="12:17" x14ac:dyDescent="0.3">
      <c r="L952" s="25"/>
      <c r="Q952" s="17"/>
    </row>
    <row r="953" spans="12:17" x14ac:dyDescent="0.3">
      <c r="L953" s="25"/>
      <c r="Q953" s="17"/>
    </row>
    <row r="954" spans="12:17" x14ac:dyDescent="0.3">
      <c r="L954" s="25"/>
      <c r="Q954" s="17"/>
    </row>
    <row r="955" spans="12:17" x14ac:dyDescent="0.3">
      <c r="L955" s="25"/>
      <c r="Q955" s="17"/>
    </row>
    <row r="956" spans="12:17" x14ac:dyDescent="0.3">
      <c r="L956" s="25"/>
      <c r="Q956" s="17"/>
    </row>
    <row r="957" spans="12:17" x14ac:dyDescent="0.3">
      <c r="L957" s="25"/>
      <c r="Q957" s="17"/>
    </row>
    <row r="958" spans="12:17" x14ac:dyDescent="0.3">
      <c r="L958" s="25"/>
      <c r="Q958" s="17"/>
    </row>
    <row r="959" spans="12:17" x14ac:dyDescent="0.3">
      <c r="L959" s="25"/>
      <c r="Q959" s="17"/>
    </row>
    <row r="960" spans="12:17" x14ac:dyDescent="0.3">
      <c r="L960" s="25"/>
      <c r="Q960" s="17"/>
    </row>
    <row r="961" spans="12:17" x14ac:dyDescent="0.3">
      <c r="L961" s="25"/>
      <c r="Q961" s="17"/>
    </row>
    <row r="962" spans="12:17" x14ac:dyDescent="0.3">
      <c r="L962" s="25"/>
      <c r="Q962" s="17"/>
    </row>
    <row r="963" spans="12:17" x14ac:dyDescent="0.3">
      <c r="L963" s="25"/>
      <c r="Q963" s="17"/>
    </row>
    <row r="964" spans="12:17" x14ac:dyDescent="0.3">
      <c r="L964" s="25"/>
      <c r="Q964" s="17"/>
    </row>
    <row r="965" spans="12:17" x14ac:dyDescent="0.3">
      <c r="L965" s="25"/>
      <c r="Q965" s="17"/>
    </row>
    <row r="966" spans="12:17" x14ac:dyDescent="0.3">
      <c r="L966" s="25"/>
      <c r="Q966" s="17"/>
    </row>
    <row r="967" spans="12:17" x14ac:dyDescent="0.3">
      <c r="L967" s="25"/>
      <c r="Q967" s="17"/>
    </row>
    <row r="968" spans="12:17" x14ac:dyDescent="0.3">
      <c r="L968" s="25"/>
      <c r="Q968" s="17"/>
    </row>
    <row r="969" spans="12:17" x14ac:dyDescent="0.3">
      <c r="L969" s="25"/>
      <c r="Q969" s="17"/>
    </row>
    <row r="970" spans="12:17" x14ac:dyDescent="0.3">
      <c r="L970" s="25"/>
      <c r="Q970" s="17"/>
    </row>
    <row r="971" spans="12:17" x14ac:dyDescent="0.3">
      <c r="L971" s="25"/>
      <c r="Q971" s="17"/>
    </row>
    <row r="972" spans="12:17" x14ac:dyDescent="0.3">
      <c r="L972" s="25"/>
      <c r="Q972" s="17"/>
    </row>
    <row r="973" spans="12:17" x14ac:dyDescent="0.3">
      <c r="L973" s="25"/>
      <c r="Q973" s="17"/>
    </row>
    <row r="974" spans="12:17" x14ac:dyDescent="0.3">
      <c r="L974" s="25"/>
      <c r="Q974" s="17"/>
    </row>
    <row r="975" spans="12:17" x14ac:dyDescent="0.3">
      <c r="L975" s="25"/>
      <c r="Q975" s="17"/>
    </row>
    <row r="976" spans="12:17" x14ac:dyDescent="0.3">
      <c r="L976" s="25"/>
      <c r="Q976" s="17"/>
    </row>
    <row r="977" spans="12:17" x14ac:dyDescent="0.3">
      <c r="L977" s="25"/>
      <c r="Q977" s="17"/>
    </row>
    <row r="978" spans="12:17" x14ac:dyDescent="0.3">
      <c r="L978" s="25"/>
      <c r="Q978" s="17"/>
    </row>
    <row r="979" spans="12:17" x14ac:dyDescent="0.3">
      <c r="L979" s="25"/>
      <c r="Q979" s="17"/>
    </row>
    <row r="980" spans="12:17" x14ac:dyDescent="0.3">
      <c r="L980" s="25"/>
      <c r="Q980" s="17"/>
    </row>
    <row r="981" spans="12:17" x14ac:dyDescent="0.3">
      <c r="L981" s="25"/>
      <c r="Q981" s="17"/>
    </row>
    <row r="982" spans="12:17" x14ac:dyDescent="0.3">
      <c r="L982" s="25"/>
      <c r="Q982" s="17"/>
    </row>
    <row r="983" spans="12:17" x14ac:dyDescent="0.3">
      <c r="L983" s="25"/>
      <c r="Q983" s="17"/>
    </row>
    <row r="984" spans="12:17" x14ac:dyDescent="0.3">
      <c r="L984" s="25"/>
      <c r="Q984" s="17"/>
    </row>
    <row r="985" spans="12:17" x14ac:dyDescent="0.3">
      <c r="L985" s="25"/>
      <c r="Q985" s="17"/>
    </row>
    <row r="986" spans="12:17" x14ac:dyDescent="0.3">
      <c r="L986" s="25"/>
      <c r="Q986" s="17"/>
    </row>
    <row r="987" spans="12:17" x14ac:dyDescent="0.3">
      <c r="L987" s="25"/>
      <c r="Q987" s="17"/>
    </row>
    <row r="988" spans="12:17" x14ac:dyDescent="0.3">
      <c r="L988" s="25"/>
      <c r="Q988" s="17"/>
    </row>
    <row r="989" spans="12:17" x14ac:dyDescent="0.3">
      <c r="L989" s="25"/>
      <c r="Q989" s="17"/>
    </row>
    <row r="990" spans="12:17" x14ac:dyDescent="0.3">
      <c r="L990" s="25"/>
      <c r="Q990" s="17"/>
    </row>
    <row r="991" spans="12:17" x14ac:dyDescent="0.3">
      <c r="L991" s="25"/>
      <c r="Q991" s="17"/>
    </row>
    <row r="992" spans="12:17" x14ac:dyDescent="0.3">
      <c r="L992" s="25"/>
      <c r="Q992" s="17"/>
    </row>
    <row r="993" spans="12:17" x14ac:dyDescent="0.3">
      <c r="L993" s="25"/>
      <c r="Q993" s="17"/>
    </row>
    <row r="994" spans="12:17" x14ac:dyDescent="0.3">
      <c r="L994" s="25"/>
      <c r="Q994" s="17"/>
    </row>
    <row r="995" spans="12:17" x14ac:dyDescent="0.3">
      <c r="L995" s="25"/>
      <c r="Q995" s="17"/>
    </row>
    <row r="996" spans="12:17" x14ac:dyDescent="0.3">
      <c r="L996" s="25"/>
      <c r="Q996" s="17"/>
    </row>
    <row r="997" spans="12:17" x14ac:dyDescent="0.3">
      <c r="L997" s="25"/>
      <c r="Q997" s="17"/>
    </row>
    <row r="998" spans="12:17" x14ac:dyDescent="0.3">
      <c r="L998" s="25"/>
      <c r="Q998" s="17"/>
    </row>
    <row r="999" spans="12:17" x14ac:dyDescent="0.3">
      <c r="L999" s="25"/>
      <c r="Q999" s="17"/>
    </row>
    <row r="1000" spans="12:17" x14ac:dyDescent="0.3">
      <c r="L1000" s="25"/>
      <c r="Q1000" s="17"/>
    </row>
    <row r="1001" spans="12:17" x14ac:dyDescent="0.3">
      <c r="L1001" s="25"/>
      <c r="Q1001" s="17"/>
    </row>
    <row r="1002" spans="12:17" x14ac:dyDescent="0.3">
      <c r="L1002" s="25"/>
      <c r="Q1002" s="17"/>
    </row>
    <row r="1003" spans="12:17" x14ac:dyDescent="0.3">
      <c r="L1003" s="25"/>
      <c r="Q1003" s="17"/>
    </row>
    <row r="1004" spans="12:17" x14ac:dyDescent="0.3">
      <c r="L1004" s="25"/>
      <c r="Q1004" s="17"/>
    </row>
    <row r="1005" spans="12:17" x14ac:dyDescent="0.3">
      <c r="L1005" s="25"/>
      <c r="Q1005" s="17"/>
    </row>
    <row r="1006" spans="12:17" x14ac:dyDescent="0.3">
      <c r="L1006" s="25"/>
      <c r="Q1006" s="17"/>
    </row>
    <row r="1007" spans="12:17" x14ac:dyDescent="0.3">
      <c r="L1007" s="25"/>
      <c r="Q1007" s="17"/>
    </row>
    <row r="1008" spans="12:17" x14ac:dyDescent="0.3">
      <c r="L1008" s="25"/>
      <c r="Q1008" s="17"/>
    </row>
    <row r="1009" spans="12:17" x14ac:dyDescent="0.3">
      <c r="L1009" s="25"/>
      <c r="Q1009" s="17"/>
    </row>
    <row r="1010" spans="12:17" x14ac:dyDescent="0.3">
      <c r="L1010" s="25"/>
      <c r="Q1010" s="17"/>
    </row>
    <row r="1011" spans="12:17" x14ac:dyDescent="0.3">
      <c r="L1011" s="25"/>
      <c r="Q1011" s="17"/>
    </row>
    <row r="1012" spans="12:17" x14ac:dyDescent="0.3">
      <c r="L1012" s="25"/>
      <c r="Q1012" s="17"/>
    </row>
    <row r="1013" spans="12:17" x14ac:dyDescent="0.3">
      <c r="L1013" s="25"/>
      <c r="Q1013" s="17"/>
    </row>
    <row r="1014" spans="12:17" x14ac:dyDescent="0.3">
      <c r="L1014" s="25"/>
      <c r="Q1014" s="17"/>
    </row>
    <row r="1015" spans="12:17" x14ac:dyDescent="0.3">
      <c r="L1015" s="25"/>
      <c r="Q1015" s="17"/>
    </row>
    <row r="1016" spans="12:17" x14ac:dyDescent="0.3">
      <c r="L1016" s="25"/>
      <c r="Q1016" s="17"/>
    </row>
    <row r="1017" spans="12:17" x14ac:dyDescent="0.3">
      <c r="L1017" s="25"/>
      <c r="Q1017" s="17"/>
    </row>
    <row r="1018" spans="12:17" x14ac:dyDescent="0.3">
      <c r="L1018" s="25"/>
      <c r="Q1018" s="17"/>
    </row>
    <row r="1019" spans="12:17" x14ac:dyDescent="0.3">
      <c r="L1019" s="25"/>
      <c r="Q1019" s="17"/>
    </row>
    <row r="1020" spans="12:17" x14ac:dyDescent="0.3">
      <c r="L1020" s="25"/>
      <c r="Q1020" s="17"/>
    </row>
    <row r="1021" spans="12:17" x14ac:dyDescent="0.3">
      <c r="L1021" s="25"/>
      <c r="Q1021" s="17"/>
    </row>
    <row r="1022" spans="12:17" x14ac:dyDescent="0.3">
      <c r="L1022" s="25"/>
      <c r="Q1022" s="17"/>
    </row>
    <row r="1023" spans="12:17" x14ac:dyDescent="0.3">
      <c r="L1023" s="25"/>
      <c r="Q1023" s="17"/>
    </row>
    <row r="1024" spans="12:17" x14ac:dyDescent="0.3">
      <c r="L1024" s="25"/>
      <c r="Q1024" s="17"/>
    </row>
    <row r="1025" spans="12:17" x14ac:dyDescent="0.3">
      <c r="L1025" s="25"/>
      <c r="Q1025" s="17"/>
    </row>
    <row r="1026" spans="12:17" x14ac:dyDescent="0.3">
      <c r="L1026" s="25"/>
      <c r="Q1026" s="17"/>
    </row>
    <row r="1027" spans="12:17" x14ac:dyDescent="0.3">
      <c r="L1027" s="25"/>
      <c r="Q1027" s="17"/>
    </row>
    <row r="1028" spans="12:17" x14ac:dyDescent="0.3">
      <c r="L1028" s="25"/>
      <c r="Q1028" s="17"/>
    </row>
    <row r="1029" spans="12:17" x14ac:dyDescent="0.3">
      <c r="L1029" s="25"/>
      <c r="Q1029" s="17"/>
    </row>
    <row r="1030" spans="12:17" x14ac:dyDescent="0.3">
      <c r="L1030" s="25"/>
      <c r="Q1030" s="17"/>
    </row>
    <row r="1031" spans="12:17" x14ac:dyDescent="0.3">
      <c r="L1031" s="25"/>
      <c r="Q1031" s="17"/>
    </row>
    <row r="1032" spans="12:17" x14ac:dyDescent="0.3">
      <c r="L1032" s="25"/>
      <c r="Q1032" s="17"/>
    </row>
    <row r="1033" spans="12:17" x14ac:dyDescent="0.3">
      <c r="L1033" s="25"/>
      <c r="Q1033" s="17"/>
    </row>
    <row r="1034" spans="12:17" x14ac:dyDescent="0.3">
      <c r="L1034" s="25"/>
      <c r="Q1034" s="17"/>
    </row>
    <row r="1035" spans="12:17" x14ac:dyDescent="0.3">
      <c r="L1035" s="25"/>
      <c r="Q1035" s="17"/>
    </row>
    <row r="1036" spans="12:17" x14ac:dyDescent="0.3">
      <c r="L1036" s="25"/>
      <c r="Q1036" s="17"/>
    </row>
    <row r="1037" spans="12:17" x14ac:dyDescent="0.3">
      <c r="L1037" s="25"/>
      <c r="Q1037" s="17"/>
    </row>
    <row r="1038" spans="12:17" x14ac:dyDescent="0.3">
      <c r="L1038" s="25"/>
      <c r="Q1038" s="17"/>
    </row>
    <row r="1039" spans="12:17" x14ac:dyDescent="0.3">
      <c r="L1039" s="25"/>
      <c r="Q1039" s="17"/>
    </row>
    <row r="1040" spans="12:17" x14ac:dyDescent="0.3">
      <c r="L1040" s="25"/>
      <c r="Q1040" s="17"/>
    </row>
    <row r="1041" spans="12:17" x14ac:dyDescent="0.3">
      <c r="L1041" s="25"/>
      <c r="Q1041" s="17"/>
    </row>
    <row r="1042" spans="12:17" x14ac:dyDescent="0.3">
      <c r="L1042" s="25"/>
      <c r="Q1042" s="17"/>
    </row>
    <row r="1043" spans="12:17" x14ac:dyDescent="0.3">
      <c r="L1043" s="25"/>
      <c r="Q1043" s="17"/>
    </row>
    <row r="1044" spans="12:17" x14ac:dyDescent="0.3">
      <c r="L1044" s="25"/>
      <c r="Q1044" s="17"/>
    </row>
    <row r="1045" spans="12:17" x14ac:dyDescent="0.3">
      <c r="L1045" s="25"/>
      <c r="Q1045" s="17"/>
    </row>
    <row r="1046" spans="12:17" x14ac:dyDescent="0.3">
      <c r="L1046" s="25"/>
      <c r="Q1046" s="17"/>
    </row>
    <row r="1047" spans="12:17" x14ac:dyDescent="0.3">
      <c r="L1047" s="25"/>
      <c r="Q1047" s="17"/>
    </row>
    <row r="1048" spans="12:17" x14ac:dyDescent="0.3">
      <c r="L1048" s="25"/>
      <c r="Q1048" s="17"/>
    </row>
    <row r="1049" spans="12:17" x14ac:dyDescent="0.3">
      <c r="L1049" s="25"/>
      <c r="Q1049" s="17"/>
    </row>
    <row r="1050" spans="12:17" x14ac:dyDescent="0.3">
      <c r="L1050" s="25"/>
      <c r="Q1050" s="17"/>
    </row>
    <row r="1051" spans="12:17" x14ac:dyDescent="0.3">
      <c r="L1051" s="25"/>
      <c r="Q1051" s="17"/>
    </row>
    <row r="1052" spans="12:17" x14ac:dyDescent="0.3">
      <c r="L1052" s="25"/>
      <c r="Q1052" s="17"/>
    </row>
    <row r="1053" spans="12:17" x14ac:dyDescent="0.3">
      <c r="L1053" s="25"/>
      <c r="Q1053" s="17"/>
    </row>
    <row r="1054" spans="12:17" x14ac:dyDescent="0.3">
      <c r="L1054" s="25"/>
      <c r="Q1054" s="17"/>
    </row>
    <row r="1055" spans="12:17" x14ac:dyDescent="0.3">
      <c r="L1055" s="25"/>
      <c r="Q1055" s="17"/>
    </row>
    <row r="1056" spans="12:17" x14ac:dyDescent="0.3">
      <c r="L1056" s="25"/>
      <c r="Q1056" s="17"/>
    </row>
    <row r="1057" spans="12:17" x14ac:dyDescent="0.3">
      <c r="L1057" s="25"/>
      <c r="Q1057" s="17"/>
    </row>
    <row r="1058" spans="12:17" x14ac:dyDescent="0.3">
      <c r="L1058" s="25"/>
      <c r="Q1058" s="17"/>
    </row>
    <row r="1059" spans="12:17" x14ac:dyDescent="0.3">
      <c r="L1059" s="25"/>
      <c r="Q1059" s="17"/>
    </row>
    <row r="1060" spans="12:17" x14ac:dyDescent="0.3">
      <c r="L1060" s="25"/>
      <c r="Q1060" s="17"/>
    </row>
    <row r="1061" spans="12:17" x14ac:dyDescent="0.3">
      <c r="L1061" s="25"/>
      <c r="Q1061" s="17"/>
    </row>
    <row r="1062" spans="12:17" x14ac:dyDescent="0.3">
      <c r="L1062" s="25"/>
      <c r="Q1062" s="17"/>
    </row>
    <row r="1063" spans="12:17" x14ac:dyDescent="0.3">
      <c r="L1063" s="25"/>
      <c r="Q1063" s="17"/>
    </row>
    <row r="1064" spans="12:17" x14ac:dyDescent="0.3">
      <c r="L1064" s="25"/>
      <c r="Q1064" s="17"/>
    </row>
    <row r="1065" spans="12:17" x14ac:dyDescent="0.3">
      <c r="L1065" s="25"/>
      <c r="Q1065" s="17"/>
    </row>
    <row r="1066" spans="12:17" x14ac:dyDescent="0.3">
      <c r="L1066" s="25"/>
      <c r="Q1066" s="17"/>
    </row>
    <row r="1067" spans="12:17" x14ac:dyDescent="0.3">
      <c r="L1067" s="25"/>
      <c r="Q1067" s="17"/>
    </row>
    <row r="1068" spans="12:17" x14ac:dyDescent="0.3">
      <c r="L1068" s="25"/>
      <c r="Q1068" s="17"/>
    </row>
    <row r="1069" spans="12:17" x14ac:dyDescent="0.3">
      <c r="L1069" s="25"/>
      <c r="Q1069" s="17"/>
    </row>
    <row r="1070" spans="12:17" x14ac:dyDescent="0.3">
      <c r="L1070" s="25"/>
      <c r="Q1070" s="17"/>
    </row>
    <row r="1071" spans="12:17" x14ac:dyDescent="0.3">
      <c r="L1071" s="25"/>
      <c r="Q1071" s="17"/>
    </row>
    <row r="1072" spans="12:17" x14ac:dyDescent="0.3">
      <c r="L1072" s="25"/>
      <c r="Q1072" s="17"/>
    </row>
    <row r="1073" spans="12:17" x14ac:dyDescent="0.3">
      <c r="L1073" s="25"/>
      <c r="Q1073" s="17"/>
    </row>
    <row r="1074" spans="12:17" x14ac:dyDescent="0.3">
      <c r="L1074" s="25"/>
      <c r="Q1074" s="17"/>
    </row>
    <row r="1075" spans="12:17" x14ac:dyDescent="0.3">
      <c r="L1075" s="25"/>
      <c r="Q1075" s="17"/>
    </row>
    <row r="1076" spans="12:17" x14ac:dyDescent="0.3">
      <c r="L1076" s="25"/>
      <c r="Q1076" s="17"/>
    </row>
    <row r="1077" spans="12:17" x14ac:dyDescent="0.3">
      <c r="L1077" s="25"/>
      <c r="Q1077" s="17"/>
    </row>
    <row r="1078" spans="12:17" x14ac:dyDescent="0.3">
      <c r="L1078" s="25"/>
      <c r="Q1078" s="17"/>
    </row>
    <row r="1079" spans="12:17" x14ac:dyDescent="0.3">
      <c r="L1079" s="25"/>
      <c r="Q1079" s="17"/>
    </row>
    <row r="1080" spans="12:17" x14ac:dyDescent="0.3">
      <c r="L1080" s="25"/>
      <c r="Q1080" s="17"/>
    </row>
    <row r="1081" spans="12:17" x14ac:dyDescent="0.3">
      <c r="L1081" s="25"/>
      <c r="Q1081" s="17"/>
    </row>
    <row r="1082" spans="12:17" x14ac:dyDescent="0.3">
      <c r="L1082" s="25"/>
      <c r="Q1082" s="17"/>
    </row>
    <row r="1083" spans="12:17" x14ac:dyDescent="0.3">
      <c r="L1083" s="25"/>
      <c r="Q1083" s="17"/>
    </row>
    <row r="1084" spans="12:17" x14ac:dyDescent="0.3">
      <c r="L1084" s="25"/>
      <c r="Q1084" s="17"/>
    </row>
    <row r="1085" spans="12:17" x14ac:dyDescent="0.3">
      <c r="L1085" s="25"/>
      <c r="Q1085" s="17"/>
    </row>
    <row r="1086" spans="12:17" x14ac:dyDescent="0.3">
      <c r="L1086" s="25"/>
      <c r="Q1086" s="17"/>
    </row>
    <row r="1087" spans="12:17" x14ac:dyDescent="0.3">
      <c r="L1087" s="25"/>
      <c r="Q1087" s="17"/>
    </row>
    <row r="1088" spans="12:17" x14ac:dyDescent="0.3">
      <c r="L1088" s="25"/>
      <c r="Q1088" s="17"/>
    </row>
    <row r="1089" spans="12:17" x14ac:dyDescent="0.3">
      <c r="L1089" s="25"/>
      <c r="Q1089" s="17"/>
    </row>
    <row r="1090" spans="12:17" x14ac:dyDescent="0.3">
      <c r="L1090" s="25"/>
      <c r="Q1090" s="17"/>
    </row>
    <row r="1091" spans="12:17" x14ac:dyDescent="0.3">
      <c r="L1091" s="25"/>
      <c r="Q1091" s="17"/>
    </row>
    <row r="1092" spans="12:17" x14ac:dyDescent="0.3">
      <c r="L1092" s="25"/>
      <c r="Q1092" s="17"/>
    </row>
    <row r="1093" spans="12:17" x14ac:dyDescent="0.3">
      <c r="L1093" s="25"/>
      <c r="Q1093" s="17"/>
    </row>
    <row r="1094" spans="12:17" x14ac:dyDescent="0.3">
      <c r="L1094" s="25"/>
      <c r="Q1094" s="17"/>
    </row>
    <row r="1095" spans="12:17" x14ac:dyDescent="0.3">
      <c r="L1095" s="25"/>
      <c r="Q1095" s="17"/>
    </row>
    <row r="1096" spans="12:17" x14ac:dyDescent="0.3">
      <c r="L1096" s="25"/>
      <c r="Q1096" s="17"/>
    </row>
    <row r="1097" spans="12:17" x14ac:dyDescent="0.3">
      <c r="L1097" s="25"/>
      <c r="Q1097" s="17"/>
    </row>
    <row r="1098" spans="12:17" x14ac:dyDescent="0.3">
      <c r="L1098" s="25"/>
      <c r="Q1098" s="17"/>
    </row>
    <row r="1099" spans="12:17" x14ac:dyDescent="0.3">
      <c r="L1099" s="25"/>
      <c r="Q1099" s="17"/>
    </row>
    <row r="1100" spans="12:17" x14ac:dyDescent="0.3">
      <c r="L1100" s="25"/>
      <c r="Q1100" s="17"/>
    </row>
    <row r="1101" spans="12:17" x14ac:dyDescent="0.3">
      <c r="L1101" s="25"/>
      <c r="Q1101" s="17"/>
    </row>
    <row r="1102" spans="12:17" x14ac:dyDescent="0.3">
      <c r="L1102" s="25"/>
      <c r="Q1102" s="17"/>
    </row>
    <row r="1103" spans="12:17" x14ac:dyDescent="0.3">
      <c r="L1103" s="25"/>
      <c r="Q1103" s="17"/>
    </row>
    <row r="1104" spans="12:17" x14ac:dyDescent="0.3">
      <c r="L1104" s="25"/>
      <c r="Q1104" s="17"/>
    </row>
    <row r="1105" spans="12:17" x14ac:dyDescent="0.3">
      <c r="L1105" s="25"/>
      <c r="Q1105" s="17"/>
    </row>
    <row r="1106" spans="12:17" x14ac:dyDescent="0.3">
      <c r="L1106" s="25"/>
      <c r="Q1106" s="17"/>
    </row>
    <row r="1107" spans="12:17" x14ac:dyDescent="0.3">
      <c r="L1107" s="25"/>
      <c r="Q1107" s="17"/>
    </row>
    <row r="1108" spans="12:17" x14ac:dyDescent="0.3">
      <c r="L1108" s="25"/>
      <c r="Q1108" s="17"/>
    </row>
    <row r="1109" spans="12:17" x14ac:dyDescent="0.3">
      <c r="L1109" s="25"/>
      <c r="Q1109" s="17"/>
    </row>
    <row r="1110" spans="12:17" x14ac:dyDescent="0.3">
      <c r="L1110" s="25"/>
      <c r="Q1110" s="17"/>
    </row>
    <row r="1111" spans="12:17" x14ac:dyDescent="0.3">
      <c r="L1111" s="25"/>
      <c r="Q1111" s="17"/>
    </row>
    <row r="1112" spans="12:17" x14ac:dyDescent="0.3">
      <c r="L1112" s="25"/>
      <c r="Q1112" s="17"/>
    </row>
    <row r="1113" spans="12:17" x14ac:dyDescent="0.3">
      <c r="L1113" s="25"/>
      <c r="Q1113" s="17"/>
    </row>
    <row r="1114" spans="12:17" x14ac:dyDescent="0.3">
      <c r="L1114" s="25"/>
      <c r="Q1114" s="17"/>
    </row>
    <row r="1115" spans="12:17" x14ac:dyDescent="0.3">
      <c r="L1115" s="25"/>
      <c r="Q1115" s="17"/>
    </row>
    <row r="1116" spans="12:17" x14ac:dyDescent="0.3">
      <c r="L1116" s="25"/>
      <c r="Q1116" s="17"/>
    </row>
    <row r="1117" spans="12:17" x14ac:dyDescent="0.3">
      <c r="L1117" s="25"/>
      <c r="Q1117" s="17"/>
    </row>
    <row r="1118" spans="12:17" x14ac:dyDescent="0.3">
      <c r="L1118" s="25"/>
      <c r="Q1118" s="17"/>
    </row>
    <row r="1119" spans="12:17" x14ac:dyDescent="0.3">
      <c r="L1119" s="25"/>
      <c r="Q1119" s="17"/>
    </row>
    <row r="1120" spans="12:17" x14ac:dyDescent="0.3">
      <c r="L1120" s="25"/>
      <c r="Q1120" s="17"/>
    </row>
    <row r="1121" spans="12:17" x14ac:dyDescent="0.3">
      <c r="L1121" s="25"/>
      <c r="Q1121" s="17"/>
    </row>
    <row r="1122" spans="12:17" x14ac:dyDescent="0.3">
      <c r="L1122" s="25"/>
      <c r="Q1122" s="17"/>
    </row>
    <row r="1123" spans="12:17" x14ac:dyDescent="0.3">
      <c r="L1123" s="25"/>
      <c r="Q1123" s="17"/>
    </row>
    <row r="1124" spans="12:17" x14ac:dyDescent="0.3">
      <c r="L1124" s="25"/>
      <c r="Q1124" s="17"/>
    </row>
    <row r="1125" spans="12:17" x14ac:dyDescent="0.3">
      <c r="L1125" s="25"/>
      <c r="Q1125" s="17"/>
    </row>
    <row r="1126" spans="12:17" x14ac:dyDescent="0.3">
      <c r="L1126" s="25"/>
      <c r="Q1126" s="17"/>
    </row>
    <row r="1127" spans="12:17" x14ac:dyDescent="0.3">
      <c r="L1127" s="25"/>
      <c r="Q1127" s="17"/>
    </row>
    <row r="1128" spans="12:17" x14ac:dyDescent="0.3">
      <c r="L1128" s="25"/>
      <c r="Q1128" s="17"/>
    </row>
    <row r="1129" spans="12:17" x14ac:dyDescent="0.3">
      <c r="L1129" s="25"/>
      <c r="Q1129" s="17"/>
    </row>
    <row r="1130" spans="12:17" x14ac:dyDescent="0.3">
      <c r="L1130" s="25"/>
      <c r="Q1130" s="17"/>
    </row>
    <row r="1131" spans="12:17" x14ac:dyDescent="0.3">
      <c r="L1131" s="25"/>
      <c r="Q1131" s="17"/>
    </row>
    <row r="1132" spans="12:17" x14ac:dyDescent="0.3">
      <c r="L1132" s="25"/>
      <c r="Q1132" s="17"/>
    </row>
    <row r="1133" spans="12:17" x14ac:dyDescent="0.3">
      <c r="L1133" s="25"/>
      <c r="Q1133" s="17"/>
    </row>
    <row r="1134" spans="12:17" x14ac:dyDescent="0.3">
      <c r="L1134" s="25"/>
      <c r="Q1134" s="17"/>
    </row>
    <row r="1135" spans="12:17" x14ac:dyDescent="0.3">
      <c r="L1135" s="25"/>
      <c r="Q1135" s="17"/>
    </row>
    <row r="1136" spans="12:17" x14ac:dyDescent="0.3">
      <c r="L1136" s="25"/>
      <c r="Q1136" s="17"/>
    </row>
    <row r="1137" spans="12:17" x14ac:dyDescent="0.3">
      <c r="L1137" s="25"/>
      <c r="Q1137" s="17"/>
    </row>
    <row r="1138" spans="12:17" x14ac:dyDescent="0.3">
      <c r="L1138" s="25"/>
      <c r="Q1138" s="17"/>
    </row>
    <row r="1139" spans="12:17" x14ac:dyDescent="0.3">
      <c r="L1139" s="25"/>
      <c r="Q1139" s="17"/>
    </row>
    <row r="1140" spans="12:17" x14ac:dyDescent="0.3">
      <c r="L1140" s="25"/>
      <c r="Q1140" s="17"/>
    </row>
    <row r="1141" spans="12:17" x14ac:dyDescent="0.3">
      <c r="L1141" s="25"/>
      <c r="Q1141" s="17"/>
    </row>
    <row r="1142" spans="12:17" x14ac:dyDescent="0.3">
      <c r="L1142" s="25"/>
      <c r="Q1142" s="17"/>
    </row>
    <row r="1143" spans="12:17" x14ac:dyDescent="0.3">
      <c r="L1143" s="25"/>
      <c r="Q1143" s="17"/>
    </row>
    <row r="1144" spans="12:17" x14ac:dyDescent="0.3">
      <c r="L1144" s="25"/>
      <c r="Q1144" s="17"/>
    </row>
    <row r="1145" spans="12:17" x14ac:dyDescent="0.3">
      <c r="L1145" s="25"/>
      <c r="Q1145" s="17"/>
    </row>
    <row r="1146" spans="12:17" x14ac:dyDescent="0.3">
      <c r="L1146" s="25"/>
      <c r="Q1146" s="17"/>
    </row>
    <row r="1147" spans="12:17" x14ac:dyDescent="0.3">
      <c r="L1147" s="25"/>
      <c r="Q1147" s="17"/>
    </row>
    <row r="1148" spans="12:17" x14ac:dyDescent="0.3">
      <c r="L1148" s="25"/>
      <c r="Q1148" s="17"/>
    </row>
    <row r="1149" spans="12:17" x14ac:dyDescent="0.3">
      <c r="L1149" s="25"/>
      <c r="Q1149" s="17"/>
    </row>
    <row r="1150" spans="12:17" x14ac:dyDescent="0.3">
      <c r="L1150" s="25"/>
      <c r="Q1150" s="17"/>
    </row>
    <row r="1151" spans="12:17" x14ac:dyDescent="0.3">
      <c r="L1151" s="25"/>
      <c r="Q1151" s="17"/>
    </row>
    <row r="1152" spans="12:17" x14ac:dyDescent="0.3">
      <c r="L1152" s="25"/>
      <c r="Q1152" s="17"/>
    </row>
    <row r="1153" spans="12:17" x14ac:dyDescent="0.3">
      <c r="L1153" s="25"/>
      <c r="Q1153" s="17"/>
    </row>
    <row r="1154" spans="12:17" x14ac:dyDescent="0.3">
      <c r="L1154" s="25"/>
      <c r="Q1154" s="17"/>
    </row>
    <row r="1155" spans="12:17" x14ac:dyDescent="0.3">
      <c r="L1155" s="25"/>
      <c r="Q1155" s="17"/>
    </row>
    <row r="1156" spans="12:17" x14ac:dyDescent="0.3">
      <c r="L1156" s="25"/>
      <c r="Q1156" s="17"/>
    </row>
    <row r="1157" spans="12:17" x14ac:dyDescent="0.3">
      <c r="L1157" s="25"/>
      <c r="Q1157" s="17"/>
    </row>
    <row r="1158" spans="12:17" x14ac:dyDescent="0.3">
      <c r="L1158" s="25"/>
      <c r="Q1158" s="17"/>
    </row>
    <row r="1159" spans="12:17" x14ac:dyDescent="0.3">
      <c r="L1159" s="25"/>
      <c r="Q1159" s="17"/>
    </row>
    <row r="1160" spans="12:17" x14ac:dyDescent="0.3">
      <c r="L1160" s="25"/>
      <c r="Q1160" s="17"/>
    </row>
    <row r="1161" spans="12:17" x14ac:dyDescent="0.3">
      <c r="L1161" s="25"/>
      <c r="Q1161" s="17"/>
    </row>
    <row r="1162" spans="12:17" x14ac:dyDescent="0.3">
      <c r="L1162" s="25"/>
      <c r="Q1162" s="17"/>
    </row>
    <row r="1163" spans="12:17" x14ac:dyDescent="0.3">
      <c r="L1163" s="25"/>
      <c r="Q1163" s="17"/>
    </row>
    <row r="1164" spans="12:17" x14ac:dyDescent="0.3">
      <c r="L1164" s="25"/>
      <c r="Q1164" s="17"/>
    </row>
    <row r="1165" spans="12:17" x14ac:dyDescent="0.3">
      <c r="L1165" s="25"/>
      <c r="Q1165" s="17"/>
    </row>
    <row r="1166" spans="12:17" x14ac:dyDescent="0.3">
      <c r="L1166" s="25"/>
      <c r="Q1166" s="17"/>
    </row>
    <row r="1167" spans="12:17" x14ac:dyDescent="0.3">
      <c r="L1167" s="25"/>
      <c r="Q1167" s="17"/>
    </row>
    <row r="1168" spans="12:17" x14ac:dyDescent="0.3">
      <c r="L1168" s="25"/>
      <c r="Q1168" s="17"/>
    </row>
    <row r="1169" spans="12:17" x14ac:dyDescent="0.3">
      <c r="L1169" s="25"/>
      <c r="Q1169" s="17"/>
    </row>
    <row r="1170" spans="12:17" x14ac:dyDescent="0.3">
      <c r="L1170" s="25"/>
      <c r="Q1170" s="17"/>
    </row>
    <row r="1171" spans="12:17" x14ac:dyDescent="0.3">
      <c r="L1171" s="25"/>
      <c r="Q1171" s="17"/>
    </row>
    <row r="1172" spans="12:17" x14ac:dyDescent="0.3">
      <c r="L1172" s="25"/>
      <c r="Q1172" s="17"/>
    </row>
    <row r="1173" spans="12:17" x14ac:dyDescent="0.3">
      <c r="L1173" s="25"/>
      <c r="Q1173" s="17"/>
    </row>
    <row r="1174" spans="12:17" x14ac:dyDescent="0.3">
      <c r="L1174" s="25"/>
      <c r="Q1174" s="17"/>
    </row>
    <row r="1175" spans="12:17" x14ac:dyDescent="0.3">
      <c r="L1175" s="25"/>
      <c r="Q1175" s="17"/>
    </row>
    <row r="1176" spans="12:17" x14ac:dyDescent="0.3">
      <c r="L1176" s="25"/>
      <c r="Q1176" s="17"/>
    </row>
    <row r="1177" spans="12:17" x14ac:dyDescent="0.3">
      <c r="L1177" s="25"/>
      <c r="Q1177" s="17"/>
    </row>
    <row r="1178" spans="12:17" x14ac:dyDescent="0.3">
      <c r="L1178" s="25"/>
      <c r="Q1178" s="17"/>
    </row>
    <row r="1179" spans="12:17" x14ac:dyDescent="0.3">
      <c r="L1179" s="25"/>
      <c r="Q1179" s="17"/>
    </row>
    <row r="1180" spans="12:17" x14ac:dyDescent="0.3">
      <c r="L1180" s="25"/>
      <c r="Q1180" s="17"/>
    </row>
    <row r="1181" spans="12:17" x14ac:dyDescent="0.3">
      <c r="L1181" s="25"/>
      <c r="Q1181" s="17"/>
    </row>
    <row r="1182" spans="12:17" x14ac:dyDescent="0.3">
      <c r="L1182" s="25"/>
      <c r="Q1182" s="17"/>
    </row>
    <row r="1183" spans="12:17" x14ac:dyDescent="0.3">
      <c r="L1183" s="25"/>
      <c r="Q1183" s="17"/>
    </row>
    <row r="1184" spans="12:17" x14ac:dyDescent="0.3">
      <c r="L1184" s="25"/>
      <c r="Q1184" s="17"/>
    </row>
    <row r="1185" spans="12:17" x14ac:dyDescent="0.3">
      <c r="L1185" s="25"/>
      <c r="Q1185" s="17"/>
    </row>
    <row r="1186" spans="12:17" x14ac:dyDescent="0.3">
      <c r="L1186" s="25"/>
      <c r="Q1186" s="17"/>
    </row>
    <row r="1187" spans="12:17" x14ac:dyDescent="0.3">
      <c r="L1187" s="25"/>
      <c r="Q1187" s="17"/>
    </row>
    <row r="1188" spans="12:17" x14ac:dyDescent="0.3">
      <c r="L1188" s="25"/>
      <c r="Q1188" s="17"/>
    </row>
    <row r="1189" spans="12:17" x14ac:dyDescent="0.3">
      <c r="L1189" s="25"/>
      <c r="Q1189" s="17"/>
    </row>
    <row r="1190" spans="12:17" x14ac:dyDescent="0.3">
      <c r="L1190" s="25"/>
      <c r="Q1190" s="17"/>
    </row>
    <row r="1191" spans="12:17" x14ac:dyDescent="0.3">
      <c r="L1191" s="25"/>
      <c r="Q1191" s="17"/>
    </row>
    <row r="1192" spans="12:17" x14ac:dyDescent="0.3">
      <c r="L1192" s="25"/>
      <c r="Q1192" s="17"/>
    </row>
    <row r="1193" spans="12:17" x14ac:dyDescent="0.3">
      <c r="L1193" s="25"/>
      <c r="Q1193" s="17"/>
    </row>
    <row r="1194" spans="12:17" x14ac:dyDescent="0.3">
      <c r="L1194" s="25"/>
      <c r="Q1194" s="17"/>
    </row>
    <row r="1195" spans="12:17" x14ac:dyDescent="0.3">
      <c r="L1195" s="25"/>
      <c r="Q1195" s="17"/>
    </row>
    <row r="1196" spans="12:17" x14ac:dyDescent="0.3">
      <c r="L1196" s="25"/>
      <c r="Q1196" s="17"/>
    </row>
    <row r="1197" spans="12:17" x14ac:dyDescent="0.3">
      <c r="L1197" s="25"/>
      <c r="Q1197" s="17"/>
    </row>
    <row r="1198" spans="12:17" x14ac:dyDescent="0.3">
      <c r="L1198" s="25"/>
      <c r="Q1198" s="17"/>
    </row>
    <row r="1199" spans="12:17" x14ac:dyDescent="0.3">
      <c r="L1199" s="25"/>
      <c r="Q1199" s="17"/>
    </row>
    <row r="1200" spans="12:17" x14ac:dyDescent="0.3">
      <c r="L1200" s="25"/>
      <c r="Q1200" s="17"/>
    </row>
    <row r="1201" spans="12:17" x14ac:dyDescent="0.3">
      <c r="L1201" s="25"/>
      <c r="Q1201" s="17"/>
    </row>
    <row r="1202" spans="12:17" x14ac:dyDescent="0.3">
      <c r="L1202" s="25"/>
      <c r="Q1202" s="17"/>
    </row>
    <row r="1203" spans="12:17" x14ac:dyDescent="0.3">
      <c r="L1203" s="25"/>
      <c r="Q1203" s="17"/>
    </row>
    <row r="1204" spans="12:17" x14ac:dyDescent="0.3">
      <c r="L1204" s="25"/>
      <c r="Q1204" s="17"/>
    </row>
    <row r="1205" spans="12:17" x14ac:dyDescent="0.3">
      <c r="L1205" s="25"/>
      <c r="Q1205" s="17"/>
    </row>
    <row r="1206" spans="12:17" x14ac:dyDescent="0.3">
      <c r="L1206" s="25"/>
      <c r="Q1206" s="17"/>
    </row>
    <row r="1207" spans="12:17" x14ac:dyDescent="0.3">
      <c r="L1207" s="25"/>
      <c r="Q1207" s="17"/>
    </row>
    <row r="1208" spans="12:17" x14ac:dyDescent="0.3">
      <c r="L1208" s="25"/>
      <c r="Q1208" s="17"/>
    </row>
    <row r="1209" spans="12:17" x14ac:dyDescent="0.3">
      <c r="L1209" s="25"/>
      <c r="Q1209" s="17"/>
    </row>
    <row r="1210" spans="12:17" x14ac:dyDescent="0.3">
      <c r="L1210" s="25"/>
      <c r="Q1210" s="17"/>
    </row>
    <row r="1211" spans="12:17" x14ac:dyDescent="0.3">
      <c r="L1211" s="25"/>
      <c r="Q1211" s="17"/>
    </row>
    <row r="1212" spans="12:17" x14ac:dyDescent="0.3">
      <c r="L1212" s="25"/>
      <c r="Q1212" s="17"/>
    </row>
    <row r="1213" spans="12:17" x14ac:dyDescent="0.3">
      <c r="L1213" s="25"/>
      <c r="Q1213" s="17"/>
    </row>
    <row r="1214" spans="12:17" x14ac:dyDescent="0.3">
      <c r="L1214" s="25"/>
      <c r="Q1214" s="17"/>
    </row>
    <row r="1215" spans="12:17" x14ac:dyDescent="0.3">
      <c r="L1215" s="25"/>
      <c r="Q1215" s="17"/>
    </row>
    <row r="1216" spans="12:17" x14ac:dyDescent="0.3">
      <c r="L1216" s="25"/>
      <c r="Q1216" s="17"/>
    </row>
    <row r="1217" spans="12:17" x14ac:dyDescent="0.3">
      <c r="L1217" s="25"/>
      <c r="Q1217" s="17"/>
    </row>
    <row r="1218" spans="12:17" x14ac:dyDescent="0.3">
      <c r="L1218" s="25"/>
      <c r="Q1218" s="17"/>
    </row>
    <row r="1219" spans="12:17" x14ac:dyDescent="0.3">
      <c r="L1219" s="25"/>
      <c r="Q1219" s="17"/>
    </row>
    <row r="1220" spans="12:17" x14ac:dyDescent="0.3">
      <c r="L1220" s="25"/>
      <c r="Q1220" s="17"/>
    </row>
    <row r="1221" spans="12:17" x14ac:dyDescent="0.3">
      <c r="L1221" s="25"/>
      <c r="Q1221" s="17"/>
    </row>
    <row r="1222" spans="12:17" x14ac:dyDescent="0.3">
      <c r="L1222" s="25"/>
      <c r="Q1222" s="17"/>
    </row>
    <row r="1223" spans="12:17" x14ac:dyDescent="0.3">
      <c r="L1223" s="25"/>
      <c r="Q1223" s="17"/>
    </row>
    <row r="1224" spans="12:17" x14ac:dyDescent="0.3">
      <c r="L1224" s="25"/>
      <c r="Q1224" s="17"/>
    </row>
    <row r="1225" spans="12:17" x14ac:dyDescent="0.3">
      <c r="L1225" s="25"/>
      <c r="Q1225" s="17"/>
    </row>
    <row r="1226" spans="12:17" x14ac:dyDescent="0.3">
      <c r="L1226" s="25"/>
      <c r="Q1226" s="17"/>
    </row>
    <row r="1227" spans="12:17" x14ac:dyDescent="0.3">
      <c r="L1227" s="25"/>
      <c r="Q1227" s="17"/>
    </row>
    <row r="1228" spans="12:17" x14ac:dyDescent="0.3">
      <c r="L1228" s="25"/>
      <c r="Q1228" s="17"/>
    </row>
    <row r="1229" spans="12:17" x14ac:dyDescent="0.3">
      <c r="L1229" s="25"/>
      <c r="Q1229" s="17"/>
    </row>
    <row r="1230" spans="12:17" x14ac:dyDescent="0.3">
      <c r="L1230" s="25"/>
      <c r="Q1230" s="17"/>
    </row>
    <row r="1231" spans="12:17" x14ac:dyDescent="0.3">
      <c r="L1231" s="25"/>
      <c r="Q1231" s="17"/>
    </row>
    <row r="1232" spans="12:17" x14ac:dyDescent="0.3">
      <c r="L1232" s="25"/>
      <c r="Q1232" s="17"/>
    </row>
    <row r="1233" spans="12:17" x14ac:dyDescent="0.3">
      <c r="L1233" s="25"/>
      <c r="Q1233" s="17"/>
    </row>
    <row r="1234" spans="12:17" x14ac:dyDescent="0.3">
      <c r="L1234" s="25"/>
      <c r="Q1234" s="17"/>
    </row>
    <row r="1235" spans="12:17" x14ac:dyDescent="0.3">
      <c r="L1235" s="25"/>
      <c r="Q1235" s="17"/>
    </row>
    <row r="1236" spans="12:17" x14ac:dyDescent="0.3">
      <c r="L1236" s="25"/>
      <c r="Q1236" s="17"/>
    </row>
    <row r="1237" spans="12:17" x14ac:dyDescent="0.3">
      <c r="L1237" s="25"/>
      <c r="Q1237" s="17"/>
    </row>
    <row r="1238" spans="12:17" x14ac:dyDescent="0.3">
      <c r="L1238" s="25"/>
      <c r="Q1238" s="17"/>
    </row>
    <row r="1239" spans="12:17" x14ac:dyDescent="0.3">
      <c r="L1239" s="25"/>
      <c r="Q1239" s="17"/>
    </row>
    <row r="1240" spans="12:17" x14ac:dyDescent="0.3">
      <c r="L1240" s="25"/>
      <c r="Q1240" s="17"/>
    </row>
    <row r="1241" spans="12:17" x14ac:dyDescent="0.3">
      <c r="L1241" s="25"/>
      <c r="Q1241" s="17"/>
    </row>
    <row r="1242" spans="12:17" x14ac:dyDescent="0.3">
      <c r="L1242" s="25"/>
      <c r="Q1242" s="17"/>
    </row>
    <row r="1243" spans="12:17" x14ac:dyDescent="0.3">
      <c r="L1243" s="25"/>
      <c r="Q1243" s="17"/>
    </row>
    <row r="1244" spans="12:17" x14ac:dyDescent="0.3">
      <c r="L1244" s="25"/>
      <c r="Q1244" s="17"/>
    </row>
    <row r="1245" spans="12:17" x14ac:dyDescent="0.3">
      <c r="L1245" s="25"/>
      <c r="Q1245" s="17"/>
    </row>
    <row r="1246" spans="12:17" x14ac:dyDescent="0.3">
      <c r="L1246" s="25"/>
      <c r="Q1246" s="17"/>
    </row>
    <row r="1247" spans="12:17" x14ac:dyDescent="0.3">
      <c r="L1247" s="25"/>
      <c r="Q1247" s="17"/>
    </row>
    <row r="1248" spans="12:17" x14ac:dyDescent="0.3">
      <c r="L1248" s="25"/>
      <c r="Q1248" s="17"/>
    </row>
    <row r="1249" spans="12:17" x14ac:dyDescent="0.3">
      <c r="L1249" s="25"/>
      <c r="Q1249" s="17"/>
    </row>
    <row r="1250" spans="12:17" x14ac:dyDescent="0.3">
      <c r="L1250" s="25"/>
      <c r="Q1250" s="17"/>
    </row>
    <row r="1251" spans="12:17" x14ac:dyDescent="0.3">
      <c r="L1251" s="25"/>
      <c r="Q1251" s="17"/>
    </row>
    <row r="1252" spans="12:17" x14ac:dyDescent="0.3">
      <c r="L1252" s="25"/>
      <c r="Q1252" s="17"/>
    </row>
    <row r="1253" spans="12:17" x14ac:dyDescent="0.3">
      <c r="L1253" s="25"/>
      <c r="Q1253" s="17"/>
    </row>
    <row r="1254" spans="12:17" x14ac:dyDescent="0.3">
      <c r="L1254" s="25"/>
      <c r="Q1254" s="17"/>
    </row>
    <row r="1255" spans="12:17" x14ac:dyDescent="0.3">
      <c r="L1255" s="25"/>
      <c r="Q1255" s="17"/>
    </row>
    <row r="1256" spans="12:17" x14ac:dyDescent="0.3">
      <c r="L1256" s="25"/>
      <c r="Q1256" s="17"/>
    </row>
    <row r="1257" spans="12:17" x14ac:dyDescent="0.3">
      <c r="L1257" s="25"/>
      <c r="Q1257" s="17"/>
    </row>
    <row r="1258" spans="12:17" x14ac:dyDescent="0.3">
      <c r="L1258" s="25"/>
      <c r="Q1258" s="17"/>
    </row>
    <row r="1259" spans="12:17" x14ac:dyDescent="0.3">
      <c r="L1259" s="25"/>
      <c r="Q1259" s="17"/>
    </row>
    <row r="1260" spans="12:17" x14ac:dyDescent="0.3">
      <c r="L1260" s="25"/>
      <c r="Q1260" s="17"/>
    </row>
    <row r="1261" spans="12:17" x14ac:dyDescent="0.3">
      <c r="L1261" s="25"/>
      <c r="Q1261" s="17"/>
    </row>
    <row r="1262" spans="12:17" x14ac:dyDescent="0.3">
      <c r="L1262" s="25"/>
      <c r="Q1262" s="17"/>
    </row>
    <row r="1263" spans="12:17" x14ac:dyDescent="0.3">
      <c r="L1263" s="25"/>
      <c r="Q1263" s="17"/>
    </row>
    <row r="1264" spans="12:17" x14ac:dyDescent="0.3">
      <c r="L1264" s="25"/>
      <c r="Q1264" s="17"/>
    </row>
    <row r="1265" spans="12:17" x14ac:dyDescent="0.3">
      <c r="L1265" s="25"/>
      <c r="Q1265" s="17"/>
    </row>
    <row r="1266" spans="12:17" x14ac:dyDescent="0.3">
      <c r="L1266" s="25"/>
      <c r="Q1266" s="17"/>
    </row>
    <row r="1267" spans="12:17" x14ac:dyDescent="0.3">
      <c r="L1267" s="25"/>
      <c r="Q1267" s="17"/>
    </row>
    <row r="1268" spans="12:17" x14ac:dyDescent="0.3">
      <c r="L1268" s="25"/>
      <c r="Q1268" s="17"/>
    </row>
    <row r="1269" spans="12:17" x14ac:dyDescent="0.3">
      <c r="L1269" s="25"/>
      <c r="Q1269" s="17"/>
    </row>
    <row r="1270" spans="12:17" x14ac:dyDescent="0.3">
      <c r="L1270" s="25"/>
      <c r="Q1270" s="17"/>
    </row>
    <row r="1271" spans="12:17" x14ac:dyDescent="0.3">
      <c r="L1271" s="25"/>
      <c r="Q1271" s="17"/>
    </row>
    <row r="1272" spans="12:17" x14ac:dyDescent="0.3">
      <c r="L1272" s="25"/>
      <c r="Q1272" s="17"/>
    </row>
    <row r="1273" spans="12:17" x14ac:dyDescent="0.3">
      <c r="L1273" s="25"/>
      <c r="Q1273" s="17"/>
    </row>
    <row r="1274" spans="12:17" x14ac:dyDescent="0.3">
      <c r="L1274" s="25"/>
      <c r="Q1274" s="17"/>
    </row>
    <row r="1275" spans="12:17" x14ac:dyDescent="0.3">
      <c r="L1275" s="25"/>
      <c r="Q1275" s="17"/>
    </row>
    <row r="1276" spans="12:17" x14ac:dyDescent="0.3">
      <c r="L1276" s="25"/>
      <c r="Q1276" s="17"/>
    </row>
    <row r="1277" spans="12:17" x14ac:dyDescent="0.3">
      <c r="L1277" s="25"/>
      <c r="Q1277" s="17"/>
    </row>
    <row r="1278" spans="12:17" x14ac:dyDescent="0.3">
      <c r="L1278" s="25"/>
      <c r="Q1278" s="17"/>
    </row>
    <row r="1279" spans="12:17" x14ac:dyDescent="0.3">
      <c r="L1279" s="25"/>
      <c r="Q1279" s="17"/>
    </row>
    <row r="1280" spans="12:17" x14ac:dyDescent="0.3">
      <c r="L1280" s="25"/>
      <c r="Q1280" s="17"/>
    </row>
    <row r="1281" spans="12:17" x14ac:dyDescent="0.3">
      <c r="L1281" s="25"/>
      <c r="Q1281" s="17"/>
    </row>
    <row r="1282" spans="12:17" x14ac:dyDescent="0.3">
      <c r="L1282" s="25"/>
      <c r="Q1282" s="17"/>
    </row>
    <row r="1283" spans="12:17" x14ac:dyDescent="0.3">
      <c r="L1283" s="25"/>
      <c r="Q1283" s="17"/>
    </row>
    <row r="1284" spans="12:17" x14ac:dyDescent="0.3">
      <c r="L1284" s="25"/>
      <c r="Q1284" s="17"/>
    </row>
    <row r="1285" spans="12:17" x14ac:dyDescent="0.3">
      <c r="L1285" s="25"/>
      <c r="Q1285" s="17"/>
    </row>
    <row r="1286" spans="12:17" x14ac:dyDescent="0.3">
      <c r="L1286" s="25"/>
      <c r="Q1286" s="17"/>
    </row>
    <row r="1287" spans="12:17" x14ac:dyDescent="0.3">
      <c r="L1287" s="25"/>
      <c r="Q1287" s="17"/>
    </row>
    <row r="1288" spans="12:17" x14ac:dyDescent="0.3">
      <c r="L1288" s="25"/>
      <c r="Q1288" s="17"/>
    </row>
    <row r="1289" spans="12:17" x14ac:dyDescent="0.3">
      <c r="L1289" s="25"/>
      <c r="Q1289" s="17"/>
    </row>
    <row r="1290" spans="12:17" x14ac:dyDescent="0.3">
      <c r="L1290" s="25"/>
      <c r="Q1290" s="17"/>
    </row>
    <row r="1291" spans="12:17" x14ac:dyDescent="0.3">
      <c r="L1291" s="25"/>
      <c r="Q1291" s="17"/>
    </row>
    <row r="1292" spans="12:17" x14ac:dyDescent="0.3">
      <c r="L1292" s="25"/>
      <c r="Q1292" s="17"/>
    </row>
    <row r="1293" spans="12:17" x14ac:dyDescent="0.3">
      <c r="L1293" s="25"/>
      <c r="Q1293" s="17"/>
    </row>
    <row r="1294" spans="12:17" x14ac:dyDescent="0.3">
      <c r="L1294" s="25"/>
      <c r="Q1294" s="17"/>
    </row>
    <row r="1295" spans="12:17" x14ac:dyDescent="0.3">
      <c r="L1295" s="25"/>
      <c r="Q1295" s="17"/>
    </row>
    <row r="1296" spans="12:17" x14ac:dyDescent="0.3">
      <c r="L1296" s="25"/>
      <c r="Q1296" s="17"/>
    </row>
    <row r="1297" spans="12:17" x14ac:dyDescent="0.3">
      <c r="L1297" s="25"/>
      <c r="Q1297" s="17"/>
    </row>
    <row r="1298" spans="12:17" x14ac:dyDescent="0.3">
      <c r="L1298" s="25"/>
      <c r="Q1298" s="17"/>
    </row>
    <row r="1299" spans="12:17" x14ac:dyDescent="0.3">
      <c r="L1299" s="25"/>
      <c r="Q1299" s="17"/>
    </row>
    <row r="1300" spans="12:17" x14ac:dyDescent="0.3">
      <c r="L1300" s="25"/>
      <c r="Q1300" s="17"/>
    </row>
    <row r="1301" spans="12:17" x14ac:dyDescent="0.3">
      <c r="L1301" s="25"/>
      <c r="Q1301" s="17"/>
    </row>
    <row r="1302" spans="12:17" x14ac:dyDescent="0.3">
      <c r="L1302" s="25"/>
      <c r="Q1302" s="17"/>
    </row>
    <row r="1303" spans="12:17" x14ac:dyDescent="0.3">
      <c r="L1303" s="25"/>
      <c r="Q1303" s="17"/>
    </row>
    <row r="1304" spans="12:17" x14ac:dyDescent="0.3">
      <c r="L1304" s="25"/>
      <c r="Q1304" s="17"/>
    </row>
    <row r="1305" spans="12:17" x14ac:dyDescent="0.3">
      <c r="L1305" s="25"/>
      <c r="Q1305" s="17"/>
    </row>
    <row r="1306" spans="12:17" x14ac:dyDescent="0.3">
      <c r="L1306" s="25"/>
      <c r="Q1306" s="17"/>
    </row>
    <row r="1307" spans="12:17" x14ac:dyDescent="0.3">
      <c r="L1307" s="25"/>
      <c r="Q1307" s="17"/>
    </row>
    <row r="1308" spans="12:17" x14ac:dyDescent="0.3">
      <c r="L1308" s="25"/>
      <c r="Q1308" s="17"/>
    </row>
    <row r="1309" spans="12:17" x14ac:dyDescent="0.3">
      <c r="L1309" s="25"/>
      <c r="Q1309" s="17"/>
    </row>
    <row r="1310" spans="12:17" x14ac:dyDescent="0.3">
      <c r="L1310" s="25"/>
      <c r="Q1310" s="17"/>
    </row>
    <row r="1311" spans="12:17" x14ac:dyDescent="0.3">
      <c r="L1311" s="25"/>
      <c r="Q1311" s="17"/>
    </row>
    <row r="1312" spans="12:17" x14ac:dyDescent="0.3">
      <c r="L1312" s="25"/>
      <c r="Q1312" s="17"/>
    </row>
    <row r="1313" spans="12:17" x14ac:dyDescent="0.3">
      <c r="L1313" s="25"/>
      <c r="Q1313" s="17"/>
    </row>
    <row r="1314" spans="12:17" x14ac:dyDescent="0.3">
      <c r="L1314" s="25"/>
      <c r="Q1314" s="17"/>
    </row>
    <row r="1315" spans="12:17" x14ac:dyDescent="0.3">
      <c r="L1315" s="25"/>
      <c r="Q1315" s="17"/>
    </row>
    <row r="1316" spans="12:17" x14ac:dyDescent="0.3">
      <c r="L1316" s="25"/>
      <c r="Q1316" s="17"/>
    </row>
    <row r="1317" spans="12:17" x14ac:dyDescent="0.3">
      <c r="L1317" s="25"/>
      <c r="Q1317" s="17"/>
    </row>
    <row r="1318" spans="12:17" x14ac:dyDescent="0.3">
      <c r="L1318" s="25"/>
      <c r="Q1318" s="17"/>
    </row>
    <row r="1319" spans="12:17" x14ac:dyDescent="0.3">
      <c r="L1319" s="25"/>
      <c r="Q1319" s="17"/>
    </row>
    <row r="1320" spans="12:17" x14ac:dyDescent="0.3">
      <c r="L1320" s="25"/>
      <c r="Q1320" s="17"/>
    </row>
    <row r="1321" spans="12:17" x14ac:dyDescent="0.3">
      <c r="L1321" s="25"/>
      <c r="Q1321" s="17"/>
    </row>
    <row r="1322" spans="12:17" x14ac:dyDescent="0.3">
      <c r="L1322" s="25"/>
      <c r="Q1322" s="17"/>
    </row>
    <row r="1323" spans="12:17" x14ac:dyDescent="0.3">
      <c r="L1323" s="25"/>
      <c r="Q1323" s="17"/>
    </row>
    <row r="1324" spans="12:17" x14ac:dyDescent="0.3">
      <c r="L1324" s="25"/>
      <c r="Q1324" s="17"/>
    </row>
    <row r="1325" spans="12:17" x14ac:dyDescent="0.3">
      <c r="L1325" s="25"/>
      <c r="Q1325" s="17"/>
    </row>
    <row r="1326" spans="12:17" x14ac:dyDescent="0.3">
      <c r="L1326" s="25"/>
      <c r="Q1326" s="17"/>
    </row>
    <row r="1327" spans="12:17" x14ac:dyDescent="0.3">
      <c r="L1327" s="25"/>
      <c r="Q1327" s="17"/>
    </row>
    <row r="1328" spans="12:17" x14ac:dyDescent="0.3">
      <c r="L1328" s="25"/>
      <c r="Q1328" s="17"/>
    </row>
    <row r="1329" spans="12:17" x14ac:dyDescent="0.3">
      <c r="L1329" s="25"/>
      <c r="Q1329" s="17"/>
    </row>
    <row r="1330" spans="12:17" x14ac:dyDescent="0.3">
      <c r="L1330" s="25"/>
      <c r="Q1330" s="17"/>
    </row>
    <row r="1331" spans="12:17" x14ac:dyDescent="0.3">
      <c r="L1331" s="25"/>
      <c r="Q1331" s="17"/>
    </row>
    <row r="1332" spans="12:17" x14ac:dyDescent="0.3">
      <c r="L1332" s="25"/>
      <c r="Q1332" s="17"/>
    </row>
    <row r="1333" spans="12:17" x14ac:dyDescent="0.3">
      <c r="L1333" s="25"/>
      <c r="Q1333" s="17"/>
    </row>
    <row r="1334" spans="12:17" x14ac:dyDescent="0.3">
      <c r="L1334" s="25"/>
      <c r="Q1334" s="17"/>
    </row>
    <row r="1335" spans="12:17" x14ac:dyDescent="0.3">
      <c r="L1335" s="25"/>
      <c r="Q1335" s="17"/>
    </row>
    <row r="1336" spans="12:17" x14ac:dyDescent="0.3">
      <c r="L1336" s="25"/>
      <c r="Q1336" s="17"/>
    </row>
    <row r="1337" spans="12:17" x14ac:dyDescent="0.3">
      <c r="L1337" s="25"/>
      <c r="Q1337" s="17"/>
    </row>
    <row r="1338" spans="12:17" x14ac:dyDescent="0.3">
      <c r="L1338" s="25"/>
      <c r="Q1338" s="17"/>
    </row>
    <row r="1339" spans="12:17" x14ac:dyDescent="0.3">
      <c r="L1339" s="25"/>
      <c r="Q1339" s="17"/>
    </row>
    <row r="1340" spans="12:17" x14ac:dyDescent="0.3">
      <c r="L1340" s="25"/>
      <c r="Q1340" s="17"/>
    </row>
    <row r="1341" spans="12:17" x14ac:dyDescent="0.3">
      <c r="L1341" s="25"/>
      <c r="Q1341" s="17"/>
    </row>
    <row r="1342" spans="12:17" x14ac:dyDescent="0.3">
      <c r="L1342" s="25"/>
      <c r="Q1342" s="17"/>
    </row>
    <row r="1343" spans="12:17" x14ac:dyDescent="0.3">
      <c r="L1343" s="25"/>
      <c r="Q1343" s="17"/>
    </row>
    <row r="1344" spans="12:17" x14ac:dyDescent="0.3">
      <c r="L1344" s="25"/>
      <c r="Q1344" s="17"/>
    </row>
    <row r="1345" spans="12:17" x14ac:dyDescent="0.3">
      <c r="L1345" s="25"/>
      <c r="Q1345" s="17"/>
    </row>
    <row r="1346" spans="12:17" x14ac:dyDescent="0.3">
      <c r="L1346" s="25"/>
      <c r="Q1346" s="17"/>
    </row>
    <row r="1347" spans="12:17" x14ac:dyDescent="0.3">
      <c r="L1347" s="25"/>
      <c r="Q1347" s="17"/>
    </row>
    <row r="1348" spans="12:17" x14ac:dyDescent="0.3">
      <c r="L1348" s="25"/>
      <c r="Q1348" s="17"/>
    </row>
    <row r="1349" spans="12:17" x14ac:dyDescent="0.3">
      <c r="L1349" s="25"/>
      <c r="Q1349" s="17"/>
    </row>
    <row r="1350" spans="12:17" x14ac:dyDescent="0.3">
      <c r="L1350" s="25"/>
      <c r="Q1350" s="17"/>
    </row>
    <row r="1351" spans="12:17" x14ac:dyDescent="0.3">
      <c r="L1351" s="25"/>
      <c r="Q1351" s="17"/>
    </row>
    <row r="1352" spans="12:17" x14ac:dyDescent="0.3">
      <c r="L1352" s="25"/>
      <c r="Q1352" s="17"/>
    </row>
    <row r="1353" spans="12:17" x14ac:dyDescent="0.3">
      <c r="L1353" s="25"/>
      <c r="Q1353" s="17"/>
    </row>
    <row r="1354" spans="12:17" x14ac:dyDescent="0.3">
      <c r="L1354" s="25"/>
      <c r="Q1354" s="17"/>
    </row>
    <row r="1355" spans="12:17" x14ac:dyDescent="0.3">
      <c r="L1355" s="25"/>
      <c r="Q1355" s="17"/>
    </row>
    <row r="1356" spans="12:17" x14ac:dyDescent="0.3">
      <c r="L1356" s="25"/>
      <c r="Q1356" s="17"/>
    </row>
    <row r="1357" spans="12:17" x14ac:dyDescent="0.3">
      <c r="L1357" s="25"/>
      <c r="Q1357" s="17"/>
    </row>
    <row r="1358" spans="12:17" x14ac:dyDescent="0.3">
      <c r="L1358" s="25"/>
      <c r="Q1358" s="17"/>
    </row>
    <row r="1359" spans="12:17" x14ac:dyDescent="0.3">
      <c r="L1359" s="25"/>
      <c r="Q1359" s="17"/>
    </row>
    <row r="1360" spans="12:17" x14ac:dyDescent="0.3">
      <c r="L1360" s="25"/>
      <c r="Q1360" s="17"/>
    </row>
    <row r="1361" spans="12:17" x14ac:dyDescent="0.3">
      <c r="L1361" s="25"/>
      <c r="Q1361" s="17"/>
    </row>
    <row r="1362" spans="12:17" x14ac:dyDescent="0.3">
      <c r="L1362" s="25"/>
      <c r="Q1362" s="17"/>
    </row>
    <row r="1363" spans="12:17" x14ac:dyDescent="0.3">
      <c r="L1363" s="25"/>
      <c r="Q1363" s="17"/>
    </row>
    <row r="1364" spans="12:17" x14ac:dyDescent="0.3">
      <c r="L1364" s="25"/>
      <c r="Q1364" s="17"/>
    </row>
    <row r="1365" spans="12:17" x14ac:dyDescent="0.3">
      <c r="L1365" s="25"/>
      <c r="Q1365" s="17"/>
    </row>
    <row r="1366" spans="12:17" x14ac:dyDescent="0.3">
      <c r="L1366" s="25"/>
      <c r="Q1366" s="17"/>
    </row>
    <row r="1367" spans="12:17" x14ac:dyDescent="0.3">
      <c r="L1367" s="25"/>
      <c r="Q1367" s="17"/>
    </row>
    <row r="1368" spans="12:17" x14ac:dyDescent="0.3">
      <c r="L1368" s="25"/>
      <c r="Q1368" s="17"/>
    </row>
    <row r="1369" spans="12:17" x14ac:dyDescent="0.3">
      <c r="L1369" s="25"/>
      <c r="Q1369" s="17"/>
    </row>
    <row r="1370" spans="12:17" x14ac:dyDescent="0.3">
      <c r="L1370" s="25"/>
      <c r="Q1370" s="17"/>
    </row>
    <row r="1371" spans="12:17" x14ac:dyDescent="0.3">
      <c r="L1371" s="25"/>
      <c r="Q1371" s="17"/>
    </row>
    <row r="1372" spans="12:17" x14ac:dyDescent="0.3">
      <c r="L1372" s="25"/>
      <c r="Q1372" s="17"/>
    </row>
    <row r="1373" spans="12:17" x14ac:dyDescent="0.3">
      <c r="L1373" s="25"/>
      <c r="Q1373" s="17"/>
    </row>
    <row r="1374" spans="12:17" x14ac:dyDescent="0.3">
      <c r="L1374" s="25"/>
      <c r="Q1374" s="17"/>
    </row>
    <row r="1375" spans="12:17" x14ac:dyDescent="0.3">
      <c r="L1375" s="25"/>
      <c r="Q1375" s="17"/>
    </row>
    <row r="1376" spans="12:17" x14ac:dyDescent="0.3">
      <c r="L1376" s="25"/>
      <c r="Q1376" s="17"/>
    </row>
    <row r="1377" spans="12:17" x14ac:dyDescent="0.3">
      <c r="L1377" s="25"/>
      <c r="Q1377" s="17"/>
    </row>
    <row r="1378" spans="12:17" x14ac:dyDescent="0.3">
      <c r="L1378" s="25"/>
      <c r="Q1378" s="17"/>
    </row>
    <row r="1379" spans="12:17" x14ac:dyDescent="0.3">
      <c r="L1379" s="25"/>
      <c r="Q1379" s="17"/>
    </row>
    <row r="1380" spans="12:17" x14ac:dyDescent="0.3">
      <c r="L1380" s="25"/>
      <c r="Q1380" s="17"/>
    </row>
    <row r="1381" spans="12:17" x14ac:dyDescent="0.3">
      <c r="L1381" s="25"/>
      <c r="Q1381" s="17"/>
    </row>
    <row r="1382" spans="12:17" x14ac:dyDescent="0.3">
      <c r="L1382" s="25"/>
      <c r="Q1382" s="17"/>
    </row>
    <row r="1383" spans="12:17" x14ac:dyDescent="0.3">
      <c r="L1383" s="25"/>
      <c r="Q1383" s="17"/>
    </row>
    <row r="1384" spans="12:17" x14ac:dyDescent="0.3">
      <c r="L1384" s="25"/>
      <c r="Q1384" s="17"/>
    </row>
    <row r="1385" spans="12:17" x14ac:dyDescent="0.3">
      <c r="L1385" s="25"/>
      <c r="Q1385" s="17"/>
    </row>
    <row r="1386" spans="12:17" x14ac:dyDescent="0.3">
      <c r="L1386" s="25"/>
      <c r="Q1386" s="17"/>
    </row>
    <row r="1387" spans="12:17" x14ac:dyDescent="0.3">
      <c r="L1387" s="25"/>
      <c r="Q1387" s="17"/>
    </row>
    <row r="1388" spans="12:17" x14ac:dyDescent="0.3">
      <c r="L1388" s="25"/>
      <c r="Q1388" s="17"/>
    </row>
    <row r="1389" spans="12:17" x14ac:dyDescent="0.3">
      <c r="L1389" s="25"/>
      <c r="Q1389" s="17"/>
    </row>
    <row r="1390" spans="12:17" x14ac:dyDescent="0.3">
      <c r="L1390" s="25"/>
      <c r="Q1390" s="17"/>
    </row>
    <row r="1391" spans="12:17" x14ac:dyDescent="0.3">
      <c r="L1391" s="25"/>
      <c r="Q1391" s="17"/>
    </row>
    <row r="1392" spans="12:17" x14ac:dyDescent="0.3">
      <c r="L1392" s="25"/>
      <c r="Q1392" s="17"/>
    </row>
    <row r="1393" spans="12:17" x14ac:dyDescent="0.3">
      <c r="L1393" s="25"/>
      <c r="Q1393" s="17"/>
    </row>
    <row r="1394" spans="12:17" x14ac:dyDescent="0.3">
      <c r="L1394" s="25"/>
      <c r="Q1394" s="17"/>
    </row>
    <row r="1395" spans="12:17" x14ac:dyDescent="0.3">
      <c r="L1395" s="25"/>
      <c r="Q1395" s="17"/>
    </row>
    <row r="1396" spans="12:17" x14ac:dyDescent="0.3">
      <c r="L1396" s="25"/>
      <c r="Q1396" s="17"/>
    </row>
    <row r="1397" spans="12:17" x14ac:dyDescent="0.3">
      <c r="L1397" s="25"/>
      <c r="Q1397" s="17"/>
    </row>
    <row r="1398" spans="12:17" x14ac:dyDescent="0.3">
      <c r="L1398" s="25"/>
      <c r="Q1398" s="17"/>
    </row>
    <row r="1399" spans="12:17" x14ac:dyDescent="0.3">
      <c r="L1399" s="25"/>
      <c r="Q1399" s="17"/>
    </row>
    <row r="1400" spans="12:17" x14ac:dyDescent="0.3">
      <c r="L1400" s="25"/>
      <c r="Q1400" s="17"/>
    </row>
    <row r="1401" spans="12:17" x14ac:dyDescent="0.3">
      <c r="L1401" s="25"/>
      <c r="Q1401" s="17"/>
    </row>
    <row r="1402" spans="12:17" x14ac:dyDescent="0.3">
      <c r="L1402" s="25"/>
      <c r="Q1402" s="17"/>
    </row>
    <row r="1403" spans="12:17" x14ac:dyDescent="0.3">
      <c r="L1403" s="25"/>
      <c r="Q1403" s="17"/>
    </row>
    <row r="1404" spans="12:17" x14ac:dyDescent="0.3">
      <c r="L1404" s="25"/>
      <c r="Q1404" s="17"/>
    </row>
    <row r="1405" spans="12:17" x14ac:dyDescent="0.3">
      <c r="L1405" s="25"/>
      <c r="Q1405" s="17"/>
    </row>
    <row r="1406" spans="12:17" x14ac:dyDescent="0.3">
      <c r="L1406" s="25"/>
      <c r="Q1406" s="17"/>
    </row>
    <row r="1407" spans="12:17" x14ac:dyDescent="0.3">
      <c r="L1407" s="25"/>
      <c r="Q1407" s="17"/>
    </row>
    <row r="1408" spans="12:17" x14ac:dyDescent="0.3">
      <c r="L1408" s="25"/>
      <c r="Q1408" s="17"/>
    </row>
    <row r="1409" spans="12:17" x14ac:dyDescent="0.3">
      <c r="L1409" s="25"/>
      <c r="Q1409" s="17"/>
    </row>
    <row r="1410" spans="12:17" x14ac:dyDescent="0.3">
      <c r="L1410" s="25"/>
      <c r="Q1410" s="17"/>
    </row>
    <row r="1411" spans="12:17" x14ac:dyDescent="0.3">
      <c r="L1411" s="25"/>
      <c r="Q1411" s="17"/>
    </row>
    <row r="1412" spans="12:17" x14ac:dyDescent="0.3">
      <c r="L1412" s="25"/>
      <c r="Q1412" s="17"/>
    </row>
    <row r="1413" spans="12:17" x14ac:dyDescent="0.3">
      <c r="L1413" s="25"/>
      <c r="Q1413" s="17"/>
    </row>
    <row r="1414" spans="12:17" x14ac:dyDescent="0.3">
      <c r="L1414" s="25"/>
      <c r="Q1414" s="17"/>
    </row>
    <row r="1415" spans="12:17" x14ac:dyDescent="0.3">
      <c r="L1415" s="25"/>
      <c r="Q1415" s="17"/>
    </row>
    <row r="1416" spans="12:17" x14ac:dyDescent="0.3">
      <c r="L1416" s="25"/>
      <c r="Q1416" s="17"/>
    </row>
    <row r="1417" spans="12:17" x14ac:dyDescent="0.3">
      <c r="L1417" s="25"/>
      <c r="Q1417" s="17"/>
    </row>
    <row r="1418" spans="12:17" x14ac:dyDescent="0.3">
      <c r="L1418" s="25"/>
      <c r="Q1418" s="17"/>
    </row>
    <row r="1419" spans="12:17" x14ac:dyDescent="0.3">
      <c r="L1419" s="25"/>
      <c r="Q1419" s="17"/>
    </row>
    <row r="1420" spans="12:17" x14ac:dyDescent="0.3">
      <c r="L1420" s="25"/>
      <c r="Q1420" s="17"/>
    </row>
    <row r="1421" spans="12:17" x14ac:dyDescent="0.3">
      <c r="L1421" s="25"/>
      <c r="Q1421" s="17"/>
    </row>
    <row r="1422" spans="12:17" x14ac:dyDescent="0.3">
      <c r="L1422" s="25"/>
      <c r="Q1422" s="17"/>
    </row>
    <row r="1423" spans="12:17" x14ac:dyDescent="0.3">
      <c r="L1423" s="25"/>
      <c r="Q1423" s="17"/>
    </row>
    <row r="1424" spans="12:17" x14ac:dyDescent="0.3">
      <c r="L1424" s="25"/>
      <c r="Q1424" s="17"/>
    </row>
    <row r="1425" spans="12:17" x14ac:dyDescent="0.3">
      <c r="L1425" s="25"/>
      <c r="Q1425" s="17"/>
    </row>
    <row r="1426" spans="12:17" x14ac:dyDescent="0.3">
      <c r="L1426" s="25"/>
      <c r="Q1426" s="17"/>
    </row>
    <row r="1427" spans="12:17" x14ac:dyDescent="0.3">
      <c r="L1427" s="25"/>
      <c r="Q1427" s="17"/>
    </row>
    <row r="1428" spans="12:17" x14ac:dyDescent="0.3">
      <c r="L1428" s="25"/>
      <c r="Q1428" s="17"/>
    </row>
    <row r="1429" spans="12:17" x14ac:dyDescent="0.3">
      <c r="L1429" s="25"/>
      <c r="Q1429" s="17"/>
    </row>
    <row r="1430" spans="12:17" x14ac:dyDescent="0.3">
      <c r="L1430" s="25"/>
      <c r="Q1430" s="17"/>
    </row>
    <row r="1431" spans="12:17" x14ac:dyDescent="0.3">
      <c r="L1431" s="25"/>
      <c r="Q1431" s="17"/>
    </row>
    <row r="1432" spans="12:17" x14ac:dyDescent="0.3">
      <c r="L1432" s="25"/>
      <c r="Q1432" s="17"/>
    </row>
    <row r="1433" spans="12:17" x14ac:dyDescent="0.3">
      <c r="L1433" s="25"/>
      <c r="Q1433" s="17"/>
    </row>
    <row r="1434" spans="12:17" x14ac:dyDescent="0.3">
      <c r="L1434" s="25"/>
      <c r="Q1434" s="17"/>
    </row>
    <row r="1435" spans="12:17" x14ac:dyDescent="0.3">
      <c r="L1435" s="25"/>
      <c r="Q1435" s="17"/>
    </row>
    <row r="1436" spans="12:17" x14ac:dyDescent="0.3">
      <c r="L1436" s="25"/>
      <c r="Q1436" s="17"/>
    </row>
    <row r="1437" spans="12:17" x14ac:dyDescent="0.3">
      <c r="L1437" s="25"/>
      <c r="Q1437" s="17"/>
    </row>
    <row r="1438" spans="12:17" x14ac:dyDescent="0.3">
      <c r="L1438" s="25"/>
      <c r="Q1438" s="17"/>
    </row>
    <row r="1439" spans="12:17" x14ac:dyDescent="0.3">
      <c r="L1439" s="25"/>
      <c r="Q1439" s="17"/>
    </row>
    <row r="1440" spans="12:17" x14ac:dyDescent="0.3">
      <c r="L1440" s="25"/>
      <c r="Q1440" s="17"/>
    </row>
    <row r="1441" spans="12:17" x14ac:dyDescent="0.3">
      <c r="L1441" s="25"/>
      <c r="Q1441" s="17"/>
    </row>
    <row r="1442" spans="12:17" x14ac:dyDescent="0.3">
      <c r="L1442" s="25"/>
      <c r="Q1442" s="17"/>
    </row>
    <row r="1443" spans="12:17" x14ac:dyDescent="0.3">
      <c r="L1443" s="25"/>
      <c r="Q1443" s="17"/>
    </row>
    <row r="1444" spans="12:17" x14ac:dyDescent="0.3">
      <c r="L1444" s="25"/>
      <c r="Q1444" s="17"/>
    </row>
    <row r="1445" spans="12:17" x14ac:dyDescent="0.3">
      <c r="L1445" s="25"/>
      <c r="Q1445" s="17"/>
    </row>
    <row r="1446" spans="12:17" x14ac:dyDescent="0.3">
      <c r="L1446" s="25"/>
      <c r="Q1446" s="17"/>
    </row>
    <row r="1447" spans="12:17" x14ac:dyDescent="0.3">
      <c r="L1447" s="25"/>
      <c r="Q1447" s="17"/>
    </row>
    <row r="1448" spans="12:17" x14ac:dyDescent="0.3">
      <c r="L1448" s="25"/>
      <c r="Q1448" s="17"/>
    </row>
    <row r="1449" spans="12:17" x14ac:dyDescent="0.3">
      <c r="L1449" s="25"/>
      <c r="Q1449" s="17"/>
    </row>
    <row r="1450" spans="12:17" x14ac:dyDescent="0.3">
      <c r="L1450" s="25"/>
      <c r="Q1450" s="17"/>
    </row>
    <row r="1451" spans="12:17" x14ac:dyDescent="0.3">
      <c r="L1451" s="25"/>
      <c r="Q1451" s="17"/>
    </row>
    <row r="1452" spans="12:17" x14ac:dyDescent="0.3">
      <c r="L1452" s="25"/>
      <c r="Q1452" s="17"/>
    </row>
    <row r="1453" spans="12:17" x14ac:dyDescent="0.3">
      <c r="L1453" s="25"/>
      <c r="Q1453" s="17"/>
    </row>
    <row r="1454" spans="12:17" x14ac:dyDescent="0.3">
      <c r="L1454" s="25"/>
      <c r="Q1454" s="17"/>
    </row>
    <row r="1455" spans="12:17" x14ac:dyDescent="0.3">
      <c r="L1455" s="25"/>
      <c r="Q1455" s="17"/>
    </row>
    <row r="1456" spans="12:17" x14ac:dyDescent="0.3">
      <c r="L1456" s="25"/>
      <c r="Q1456" s="17"/>
    </row>
    <row r="1457" spans="12:17" x14ac:dyDescent="0.3">
      <c r="L1457" s="25"/>
      <c r="Q1457" s="17"/>
    </row>
    <row r="1458" spans="12:17" x14ac:dyDescent="0.3">
      <c r="L1458" s="25"/>
      <c r="Q1458" s="17"/>
    </row>
    <row r="1459" spans="12:17" x14ac:dyDescent="0.3">
      <c r="L1459" s="25"/>
      <c r="Q1459" s="17"/>
    </row>
    <row r="1460" spans="12:17" x14ac:dyDescent="0.3">
      <c r="L1460" s="25"/>
      <c r="Q1460" s="17"/>
    </row>
    <row r="1461" spans="12:17" x14ac:dyDescent="0.3">
      <c r="L1461" s="25"/>
      <c r="Q1461" s="17"/>
    </row>
    <row r="1462" spans="12:17" x14ac:dyDescent="0.3">
      <c r="L1462" s="25"/>
      <c r="Q1462" s="17"/>
    </row>
    <row r="1463" spans="12:17" x14ac:dyDescent="0.3">
      <c r="L1463" s="25"/>
      <c r="Q1463" s="17"/>
    </row>
    <row r="1464" spans="12:17" x14ac:dyDescent="0.3">
      <c r="L1464" s="25"/>
      <c r="Q1464" s="17"/>
    </row>
    <row r="1465" spans="12:17" x14ac:dyDescent="0.3">
      <c r="L1465" s="25"/>
      <c r="Q1465" s="17"/>
    </row>
    <row r="1466" spans="12:17" x14ac:dyDescent="0.3">
      <c r="L1466" s="25"/>
      <c r="Q1466" s="17"/>
    </row>
    <row r="1467" spans="12:17" x14ac:dyDescent="0.3">
      <c r="L1467" s="25"/>
      <c r="Q1467" s="17"/>
    </row>
    <row r="1468" spans="12:17" x14ac:dyDescent="0.3">
      <c r="L1468" s="25"/>
      <c r="Q1468" s="17"/>
    </row>
    <row r="1469" spans="12:17" x14ac:dyDescent="0.3">
      <c r="L1469" s="25"/>
      <c r="Q1469" s="17"/>
    </row>
    <row r="1470" spans="12:17" x14ac:dyDescent="0.3">
      <c r="L1470" s="25"/>
      <c r="Q1470" s="17"/>
    </row>
    <row r="1471" spans="12:17" x14ac:dyDescent="0.3">
      <c r="L1471" s="25"/>
      <c r="Q1471" s="17"/>
    </row>
    <row r="1472" spans="12:17" x14ac:dyDescent="0.3">
      <c r="L1472" s="25"/>
      <c r="Q1472" s="17"/>
    </row>
    <row r="1473" spans="12:17" x14ac:dyDescent="0.3">
      <c r="L1473" s="25"/>
      <c r="Q1473" s="17"/>
    </row>
    <row r="1474" spans="12:17" x14ac:dyDescent="0.3">
      <c r="L1474" s="25"/>
      <c r="Q1474" s="17"/>
    </row>
    <row r="1475" spans="12:17" x14ac:dyDescent="0.3">
      <c r="L1475" s="25"/>
      <c r="Q1475" s="17"/>
    </row>
    <row r="1476" spans="12:17" x14ac:dyDescent="0.3">
      <c r="L1476" s="25"/>
      <c r="Q1476" s="17"/>
    </row>
    <row r="1477" spans="12:17" x14ac:dyDescent="0.3">
      <c r="L1477" s="25"/>
      <c r="Q1477" s="17"/>
    </row>
    <row r="1478" spans="12:17" x14ac:dyDescent="0.3">
      <c r="L1478" s="25"/>
      <c r="Q1478" s="17"/>
    </row>
    <row r="1479" spans="12:17" x14ac:dyDescent="0.3">
      <c r="L1479" s="25"/>
      <c r="Q1479" s="17"/>
    </row>
    <row r="1480" spans="12:17" x14ac:dyDescent="0.3">
      <c r="L1480" s="25"/>
      <c r="Q1480" s="17"/>
    </row>
    <row r="1481" spans="12:17" x14ac:dyDescent="0.3">
      <c r="L1481" s="25"/>
      <c r="Q1481" s="17"/>
    </row>
    <row r="1482" spans="12:17" x14ac:dyDescent="0.3">
      <c r="L1482" s="25"/>
      <c r="Q1482" s="17"/>
    </row>
    <row r="1483" spans="12:17" x14ac:dyDescent="0.3">
      <c r="L1483" s="25"/>
      <c r="Q1483" s="17"/>
    </row>
    <row r="1484" spans="12:17" x14ac:dyDescent="0.3">
      <c r="L1484" s="25"/>
      <c r="Q1484" s="17"/>
    </row>
    <row r="1485" spans="12:17" x14ac:dyDescent="0.3">
      <c r="L1485" s="25"/>
      <c r="Q1485" s="17"/>
    </row>
    <row r="1486" spans="12:17" x14ac:dyDescent="0.3">
      <c r="L1486" s="25"/>
      <c r="Q1486" s="17"/>
    </row>
    <row r="1487" spans="12:17" x14ac:dyDescent="0.3">
      <c r="L1487" s="25"/>
      <c r="Q1487" s="17"/>
    </row>
    <row r="1488" spans="12:17" x14ac:dyDescent="0.3">
      <c r="L1488" s="25"/>
      <c r="Q1488" s="17"/>
    </row>
    <row r="1489" spans="12:17" x14ac:dyDescent="0.3">
      <c r="L1489" s="25"/>
      <c r="Q1489" s="17"/>
    </row>
    <row r="1490" spans="12:17" x14ac:dyDescent="0.3">
      <c r="L1490" s="25"/>
      <c r="Q1490" s="17"/>
    </row>
    <row r="1491" spans="12:17" x14ac:dyDescent="0.3">
      <c r="L1491" s="25"/>
      <c r="Q1491" s="17"/>
    </row>
    <row r="1492" spans="12:17" x14ac:dyDescent="0.3">
      <c r="L1492" s="25"/>
      <c r="Q1492" s="17"/>
    </row>
    <row r="1493" spans="12:17" x14ac:dyDescent="0.3">
      <c r="L1493" s="25"/>
      <c r="Q1493" s="17"/>
    </row>
    <row r="1494" spans="12:17" x14ac:dyDescent="0.3">
      <c r="L1494" s="25"/>
      <c r="Q1494" s="17"/>
    </row>
    <row r="1495" spans="12:17" x14ac:dyDescent="0.3">
      <c r="L1495" s="25"/>
      <c r="Q1495" s="17"/>
    </row>
    <row r="1496" spans="12:17" x14ac:dyDescent="0.3">
      <c r="L1496" s="25"/>
      <c r="Q1496" s="17"/>
    </row>
    <row r="1497" spans="12:17" x14ac:dyDescent="0.3">
      <c r="L1497" s="25"/>
      <c r="Q1497" s="17"/>
    </row>
    <row r="1498" spans="12:17" x14ac:dyDescent="0.3">
      <c r="L1498" s="25"/>
      <c r="Q1498" s="17"/>
    </row>
    <row r="1499" spans="12:17" x14ac:dyDescent="0.3">
      <c r="L1499" s="25"/>
      <c r="Q1499" s="17"/>
    </row>
    <row r="1500" spans="12:17" x14ac:dyDescent="0.3">
      <c r="L1500" s="25"/>
      <c r="Q1500" s="17"/>
    </row>
    <row r="1501" spans="12:17" x14ac:dyDescent="0.3">
      <c r="L1501" s="25"/>
      <c r="Q1501" s="17"/>
    </row>
    <row r="1502" spans="12:17" x14ac:dyDescent="0.3">
      <c r="L1502" s="25"/>
      <c r="Q1502" s="17"/>
    </row>
    <row r="1503" spans="12:17" x14ac:dyDescent="0.3">
      <c r="L1503" s="25"/>
      <c r="Q1503" s="17"/>
    </row>
    <row r="1504" spans="12:17" x14ac:dyDescent="0.3">
      <c r="L1504" s="25"/>
      <c r="Q1504" s="17"/>
    </row>
    <row r="1505" spans="12:17" x14ac:dyDescent="0.3">
      <c r="L1505" s="25"/>
      <c r="Q1505" s="17"/>
    </row>
    <row r="1506" spans="12:17" x14ac:dyDescent="0.3">
      <c r="L1506" s="25"/>
      <c r="Q1506" s="17"/>
    </row>
    <row r="1507" spans="12:17" x14ac:dyDescent="0.3">
      <c r="L1507" s="25"/>
      <c r="Q1507" s="17"/>
    </row>
    <row r="1508" spans="12:17" x14ac:dyDescent="0.3">
      <c r="L1508" s="25"/>
      <c r="Q1508" s="17"/>
    </row>
    <row r="1509" spans="12:17" x14ac:dyDescent="0.3">
      <c r="L1509" s="25"/>
      <c r="Q1509" s="17"/>
    </row>
    <row r="1510" spans="12:17" x14ac:dyDescent="0.3">
      <c r="L1510" s="25"/>
      <c r="Q1510" s="17"/>
    </row>
    <row r="1511" spans="12:17" x14ac:dyDescent="0.3">
      <c r="L1511" s="25"/>
      <c r="Q1511" s="17"/>
    </row>
    <row r="1512" spans="12:17" x14ac:dyDescent="0.3">
      <c r="L1512" s="25"/>
      <c r="Q1512" s="17"/>
    </row>
    <row r="1513" spans="12:17" x14ac:dyDescent="0.3">
      <c r="L1513" s="25"/>
      <c r="Q1513" s="17"/>
    </row>
    <row r="1514" spans="12:17" x14ac:dyDescent="0.3">
      <c r="L1514" s="25"/>
      <c r="Q1514" s="17"/>
    </row>
    <row r="1515" spans="12:17" x14ac:dyDescent="0.3">
      <c r="L1515" s="25"/>
      <c r="Q1515" s="17"/>
    </row>
    <row r="1516" spans="12:17" x14ac:dyDescent="0.3">
      <c r="L1516" s="25"/>
      <c r="Q1516" s="17"/>
    </row>
    <row r="1517" spans="12:17" x14ac:dyDescent="0.3">
      <c r="L1517" s="25"/>
      <c r="Q1517" s="17"/>
    </row>
    <row r="1518" spans="12:17" x14ac:dyDescent="0.3">
      <c r="L1518" s="25"/>
      <c r="Q1518" s="17"/>
    </row>
    <row r="1519" spans="12:17" x14ac:dyDescent="0.3">
      <c r="L1519" s="25"/>
      <c r="Q1519" s="17"/>
    </row>
    <row r="1520" spans="12:17" x14ac:dyDescent="0.3">
      <c r="L1520" s="25"/>
      <c r="Q1520" s="17"/>
    </row>
    <row r="1521" spans="12:17" x14ac:dyDescent="0.3">
      <c r="L1521" s="25"/>
      <c r="Q1521" s="17"/>
    </row>
    <row r="1522" spans="12:17" x14ac:dyDescent="0.3">
      <c r="L1522" s="25"/>
      <c r="Q1522" s="17"/>
    </row>
    <row r="1523" spans="12:17" x14ac:dyDescent="0.3">
      <c r="L1523" s="25"/>
      <c r="Q1523" s="17"/>
    </row>
    <row r="1524" spans="12:17" x14ac:dyDescent="0.3">
      <c r="L1524" s="25"/>
      <c r="Q1524" s="17"/>
    </row>
    <row r="1525" spans="12:17" x14ac:dyDescent="0.3">
      <c r="L1525" s="25"/>
      <c r="Q1525" s="17"/>
    </row>
    <row r="1526" spans="12:17" x14ac:dyDescent="0.3">
      <c r="L1526" s="25"/>
      <c r="Q1526" s="17"/>
    </row>
    <row r="1527" spans="12:17" x14ac:dyDescent="0.3">
      <c r="L1527" s="25"/>
      <c r="Q1527" s="17"/>
    </row>
    <row r="1528" spans="12:17" x14ac:dyDescent="0.3">
      <c r="L1528" s="25"/>
      <c r="Q1528" s="17"/>
    </row>
    <row r="1529" spans="12:17" x14ac:dyDescent="0.3">
      <c r="L1529" s="25"/>
      <c r="Q1529" s="17"/>
    </row>
    <row r="1530" spans="12:17" x14ac:dyDescent="0.3">
      <c r="L1530" s="25"/>
      <c r="Q1530" s="17"/>
    </row>
    <row r="1531" spans="12:17" x14ac:dyDescent="0.3">
      <c r="L1531" s="25"/>
      <c r="Q1531" s="17"/>
    </row>
    <row r="1532" spans="12:17" x14ac:dyDescent="0.3">
      <c r="L1532" s="25"/>
      <c r="Q1532" s="17"/>
    </row>
    <row r="1533" spans="12:17" x14ac:dyDescent="0.3">
      <c r="L1533" s="25"/>
      <c r="Q1533" s="17"/>
    </row>
    <row r="1534" spans="12:17" x14ac:dyDescent="0.3">
      <c r="L1534" s="25"/>
      <c r="Q1534" s="17"/>
    </row>
    <row r="1535" spans="12:17" x14ac:dyDescent="0.3">
      <c r="L1535" s="25"/>
      <c r="Q1535" s="17"/>
    </row>
    <row r="1536" spans="12:17" x14ac:dyDescent="0.3">
      <c r="L1536" s="25"/>
      <c r="Q1536" s="17"/>
    </row>
    <row r="1537" spans="12:17" x14ac:dyDescent="0.3">
      <c r="L1537" s="25"/>
      <c r="Q1537" s="17"/>
    </row>
    <row r="1538" spans="12:17" x14ac:dyDescent="0.3">
      <c r="L1538" s="25"/>
      <c r="Q1538" s="17"/>
    </row>
    <row r="1539" spans="12:17" x14ac:dyDescent="0.3">
      <c r="L1539" s="25"/>
      <c r="Q1539" s="17"/>
    </row>
    <row r="1540" spans="12:17" x14ac:dyDescent="0.3">
      <c r="L1540" s="25"/>
      <c r="Q1540" s="17"/>
    </row>
    <row r="1541" spans="12:17" x14ac:dyDescent="0.3">
      <c r="L1541" s="25"/>
      <c r="Q1541" s="17"/>
    </row>
    <row r="1542" spans="12:17" x14ac:dyDescent="0.3">
      <c r="L1542" s="25"/>
      <c r="Q1542" s="17"/>
    </row>
    <row r="1543" spans="12:17" x14ac:dyDescent="0.3">
      <c r="L1543" s="25"/>
      <c r="Q1543" s="17"/>
    </row>
    <row r="1544" spans="12:17" x14ac:dyDescent="0.3">
      <c r="L1544" s="25"/>
      <c r="Q1544" s="17"/>
    </row>
    <row r="1545" spans="12:17" x14ac:dyDescent="0.3">
      <c r="L1545" s="25"/>
      <c r="Q1545" s="17"/>
    </row>
    <row r="1546" spans="12:17" x14ac:dyDescent="0.3">
      <c r="L1546" s="25"/>
      <c r="Q1546" s="17"/>
    </row>
    <row r="1547" spans="12:17" x14ac:dyDescent="0.3">
      <c r="L1547" s="25"/>
      <c r="Q1547" s="17"/>
    </row>
    <row r="1548" spans="12:17" x14ac:dyDescent="0.3">
      <c r="L1548" s="25"/>
      <c r="Q1548" s="17"/>
    </row>
    <row r="1549" spans="12:17" x14ac:dyDescent="0.3">
      <c r="L1549" s="25"/>
      <c r="Q1549" s="17"/>
    </row>
    <row r="1550" spans="12:17" x14ac:dyDescent="0.3">
      <c r="L1550" s="25"/>
      <c r="Q1550" s="17"/>
    </row>
    <row r="1551" spans="12:17" x14ac:dyDescent="0.3">
      <c r="L1551" s="25"/>
      <c r="Q1551" s="17"/>
    </row>
    <row r="1552" spans="12:17" x14ac:dyDescent="0.3">
      <c r="L1552" s="25"/>
      <c r="Q1552" s="17"/>
    </row>
    <row r="1553" spans="12:17" x14ac:dyDescent="0.3">
      <c r="L1553" s="25"/>
      <c r="Q1553" s="17"/>
    </row>
    <row r="1554" spans="12:17" x14ac:dyDescent="0.3">
      <c r="L1554" s="25"/>
      <c r="Q1554" s="17"/>
    </row>
    <row r="1555" spans="12:17" x14ac:dyDescent="0.3">
      <c r="L1555" s="25"/>
      <c r="Q1555" s="17"/>
    </row>
    <row r="1556" spans="12:17" x14ac:dyDescent="0.3">
      <c r="L1556" s="25"/>
      <c r="Q1556" s="17"/>
    </row>
    <row r="1557" spans="12:17" x14ac:dyDescent="0.3">
      <c r="L1557" s="25"/>
      <c r="Q1557" s="17"/>
    </row>
    <row r="1558" spans="12:17" x14ac:dyDescent="0.3">
      <c r="L1558" s="25"/>
      <c r="Q1558" s="17"/>
    </row>
    <row r="1559" spans="12:17" x14ac:dyDescent="0.3">
      <c r="L1559" s="25"/>
      <c r="Q1559" s="17"/>
    </row>
    <row r="1560" spans="12:17" x14ac:dyDescent="0.3">
      <c r="L1560" s="25"/>
      <c r="Q1560" s="17"/>
    </row>
    <row r="1561" spans="12:17" x14ac:dyDescent="0.3">
      <c r="L1561" s="25"/>
      <c r="Q1561" s="17"/>
    </row>
    <row r="1562" spans="12:17" x14ac:dyDescent="0.3">
      <c r="L1562" s="25"/>
      <c r="Q1562" s="17"/>
    </row>
    <row r="1563" spans="12:17" x14ac:dyDescent="0.3">
      <c r="L1563" s="25"/>
      <c r="Q1563" s="17"/>
    </row>
    <row r="1564" spans="12:17" x14ac:dyDescent="0.3">
      <c r="L1564" s="25"/>
      <c r="Q1564" s="17"/>
    </row>
    <row r="1565" spans="12:17" x14ac:dyDescent="0.3">
      <c r="L1565" s="25"/>
      <c r="Q1565" s="17"/>
    </row>
    <row r="1566" spans="12:17" x14ac:dyDescent="0.3">
      <c r="L1566" s="25"/>
      <c r="Q1566" s="17"/>
    </row>
    <row r="1567" spans="12:17" x14ac:dyDescent="0.3">
      <c r="L1567" s="25"/>
      <c r="Q1567" s="17"/>
    </row>
    <row r="1568" spans="12:17" x14ac:dyDescent="0.3">
      <c r="L1568" s="25"/>
      <c r="Q1568" s="17"/>
    </row>
    <row r="1569" spans="12:17" x14ac:dyDescent="0.3">
      <c r="L1569" s="25"/>
      <c r="Q1569" s="17"/>
    </row>
    <row r="1570" spans="12:17" x14ac:dyDescent="0.3">
      <c r="L1570" s="25"/>
      <c r="Q1570" s="17"/>
    </row>
    <row r="1571" spans="12:17" x14ac:dyDescent="0.3">
      <c r="L1571" s="25"/>
      <c r="Q1571" s="17"/>
    </row>
    <row r="1572" spans="12:17" x14ac:dyDescent="0.3">
      <c r="L1572" s="25"/>
      <c r="Q1572" s="17"/>
    </row>
    <row r="1573" spans="12:17" x14ac:dyDescent="0.3">
      <c r="L1573" s="25"/>
      <c r="Q1573" s="17"/>
    </row>
    <row r="1574" spans="12:17" x14ac:dyDescent="0.3">
      <c r="L1574" s="25"/>
      <c r="Q1574" s="17"/>
    </row>
    <row r="1575" spans="12:17" x14ac:dyDescent="0.3">
      <c r="L1575" s="25"/>
      <c r="Q1575" s="17"/>
    </row>
    <row r="1576" spans="12:17" x14ac:dyDescent="0.3">
      <c r="L1576" s="25"/>
      <c r="Q1576" s="17"/>
    </row>
    <row r="1577" spans="12:17" x14ac:dyDescent="0.3">
      <c r="L1577" s="25"/>
      <c r="Q1577" s="17"/>
    </row>
    <row r="1578" spans="12:17" x14ac:dyDescent="0.3">
      <c r="L1578" s="25"/>
      <c r="Q1578" s="17"/>
    </row>
    <row r="1579" spans="12:17" x14ac:dyDescent="0.3">
      <c r="L1579" s="25"/>
      <c r="Q1579" s="17"/>
    </row>
    <row r="1580" spans="12:17" x14ac:dyDescent="0.3">
      <c r="L1580" s="25"/>
      <c r="Q1580" s="17"/>
    </row>
    <row r="1581" spans="12:17" x14ac:dyDescent="0.3">
      <c r="L1581" s="25"/>
      <c r="Q1581" s="17"/>
    </row>
    <row r="1582" spans="12:17" x14ac:dyDescent="0.3">
      <c r="L1582" s="25"/>
      <c r="Q1582" s="17"/>
    </row>
    <row r="1583" spans="12:17" x14ac:dyDescent="0.3">
      <c r="L1583" s="25"/>
      <c r="Q1583" s="17"/>
    </row>
    <row r="1584" spans="12:17" x14ac:dyDescent="0.3">
      <c r="L1584" s="25"/>
      <c r="Q1584" s="17"/>
    </row>
    <row r="1585" spans="12:17" x14ac:dyDescent="0.3">
      <c r="L1585" s="25"/>
      <c r="Q1585" s="17"/>
    </row>
    <row r="1586" spans="12:17" x14ac:dyDescent="0.3">
      <c r="L1586" s="25"/>
      <c r="Q1586" s="17"/>
    </row>
    <row r="1587" spans="12:17" x14ac:dyDescent="0.3">
      <c r="L1587" s="25"/>
      <c r="Q1587" s="17"/>
    </row>
    <row r="1588" spans="12:17" x14ac:dyDescent="0.3">
      <c r="L1588" s="25"/>
      <c r="Q1588" s="17"/>
    </row>
    <row r="1589" spans="12:17" x14ac:dyDescent="0.3">
      <c r="L1589" s="25"/>
      <c r="Q1589" s="17"/>
    </row>
    <row r="1590" spans="12:17" x14ac:dyDescent="0.3">
      <c r="L1590" s="25"/>
      <c r="Q1590" s="17"/>
    </row>
    <row r="1591" spans="12:17" x14ac:dyDescent="0.3">
      <c r="L1591" s="25"/>
      <c r="Q1591" s="17"/>
    </row>
    <row r="1592" spans="12:17" x14ac:dyDescent="0.3">
      <c r="L1592" s="25"/>
      <c r="Q1592" s="17"/>
    </row>
    <row r="1593" spans="12:17" x14ac:dyDescent="0.3">
      <c r="L1593" s="25"/>
      <c r="Q1593" s="17"/>
    </row>
    <row r="1594" spans="12:17" x14ac:dyDescent="0.3">
      <c r="L1594" s="25"/>
      <c r="Q1594" s="17"/>
    </row>
    <row r="1595" spans="12:17" x14ac:dyDescent="0.3">
      <c r="L1595" s="25"/>
      <c r="Q1595" s="17"/>
    </row>
    <row r="1596" spans="12:17" x14ac:dyDescent="0.3">
      <c r="L1596" s="25"/>
      <c r="Q1596" s="17"/>
    </row>
    <row r="1597" spans="12:17" x14ac:dyDescent="0.3">
      <c r="L1597" s="25"/>
      <c r="Q1597" s="17"/>
    </row>
    <row r="1598" spans="12:17" x14ac:dyDescent="0.3">
      <c r="L1598" s="25"/>
      <c r="Q1598" s="17"/>
    </row>
    <row r="1599" spans="12:17" x14ac:dyDescent="0.3">
      <c r="L1599" s="25"/>
      <c r="Q1599" s="17"/>
    </row>
    <row r="1600" spans="12:17" x14ac:dyDescent="0.3">
      <c r="L1600" s="25"/>
      <c r="Q1600" s="17"/>
    </row>
    <row r="1601" spans="12:17" x14ac:dyDescent="0.3">
      <c r="L1601" s="25"/>
      <c r="Q1601" s="17"/>
    </row>
    <row r="1602" spans="12:17" x14ac:dyDescent="0.3">
      <c r="L1602" s="25"/>
      <c r="Q1602" s="17"/>
    </row>
    <row r="1603" spans="12:17" x14ac:dyDescent="0.3">
      <c r="L1603" s="25"/>
      <c r="Q1603" s="17"/>
    </row>
    <row r="1604" spans="12:17" x14ac:dyDescent="0.3">
      <c r="L1604" s="25"/>
      <c r="Q1604" s="17"/>
    </row>
    <row r="1605" spans="12:17" x14ac:dyDescent="0.3">
      <c r="L1605" s="25"/>
      <c r="Q1605" s="17"/>
    </row>
    <row r="1606" spans="12:17" x14ac:dyDescent="0.3">
      <c r="L1606" s="25"/>
      <c r="Q1606" s="17"/>
    </row>
    <row r="1607" spans="12:17" x14ac:dyDescent="0.3">
      <c r="L1607" s="25"/>
      <c r="Q1607" s="17"/>
    </row>
    <row r="1608" spans="12:17" x14ac:dyDescent="0.3">
      <c r="L1608" s="25"/>
      <c r="Q1608" s="17"/>
    </row>
    <row r="1609" spans="12:17" x14ac:dyDescent="0.3">
      <c r="L1609" s="25"/>
      <c r="Q1609" s="17"/>
    </row>
    <row r="1610" spans="12:17" x14ac:dyDescent="0.3">
      <c r="L1610" s="25"/>
      <c r="Q1610" s="17"/>
    </row>
    <row r="1611" spans="12:17" x14ac:dyDescent="0.3">
      <c r="L1611" s="25"/>
      <c r="Q1611" s="17"/>
    </row>
    <row r="1612" spans="12:17" x14ac:dyDescent="0.3">
      <c r="L1612" s="25"/>
      <c r="Q1612" s="17"/>
    </row>
    <row r="1613" spans="12:17" x14ac:dyDescent="0.3">
      <c r="L1613" s="25"/>
      <c r="Q1613" s="17"/>
    </row>
    <row r="1614" spans="12:17" x14ac:dyDescent="0.3">
      <c r="L1614" s="25"/>
      <c r="Q1614" s="17"/>
    </row>
    <row r="1615" spans="12:17" x14ac:dyDescent="0.3">
      <c r="L1615" s="25"/>
      <c r="Q1615" s="17"/>
    </row>
    <row r="1616" spans="12:17" x14ac:dyDescent="0.3">
      <c r="L1616" s="25"/>
      <c r="Q1616" s="17"/>
    </row>
    <row r="1617" spans="12:17" x14ac:dyDescent="0.3">
      <c r="L1617" s="25"/>
      <c r="Q1617" s="17"/>
    </row>
    <row r="1618" spans="12:17" x14ac:dyDescent="0.3">
      <c r="L1618" s="25"/>
      <c r="Q1618" s="17"/>
    </row>
    <row r="1619" spans="12:17" x14ac:dyDescent="0.3">
      <c r="L1619" s="25"/>
      <c r="Q1619" s="17"/>
    </row>
    <row r="1620" spans="12:17" x14ac:dyDescent="0.3">
      <c r="L1620" s="25"/>
      <c r="Q1620" s="17"/>
    </row>
    <row r="1621" spans="12:17" x14ac:dyDescent="0.3">
      <c r="L1621" s="25"/>
      <c r="Q1621" s="17"/>
    </row>
    <row r="1622" spans="12:17" x14ac:dyDescent="0.3">
      <c r="L1622" s="25"/>
      <c r="Q1622" s="17"/>
    </row>
    <row r="1623" spans="12:17" x14ac:dyDescent="0.3">
      <c r="L1623" s="25"/>
      <c r="Q1623" s="17"/>
    </row>
    <row r="1624" spans="12:17" x14ac:dyDescent="0.3">
      <c r="L1624" s="25"/>
      <c r="Q1624" s="17"/>
    </row>
    <row r="1625" spans="12:17" x14ac:dyDescent="0.3">
      <c r="L1625" s="25"/>
      <c r="Q1625" s="17"/>
    </row>
    <row r="1626" spans="12:17" x14ac:dyDescent="0.3">
      <c r="L1626" s="25"/>
      <c r="Q1626" s="17"/>
    </row>
    <row r="1627" spans="12:17" x14ac:dyDescent="0.3">
      <c r="L1627" s="25"/>
      <c r="Q1627" s="17"/>
    </row>
    <row r="1628" spans="12:17" x14ac:dyDescent="0.3">
      <c r="L1628" s="25"/>
      <c r="Q1628" s="17"/>
    </row>
    <row r="1629" spans="12:17" x14ac:dyDescent="0.3">
      <c r="L1629" s="25"/>
      <c r="Q1629" s="17"/>
    </row>
    <row r="1630" spans="12:17" x14ac:dyDescent="0.3">
      <c r="L1630" s="25"/>
      <c r="Q1630" s="17"/>
    </row>
    <row r="1631" spans="12:17" x14ac:dyDescent="0.3">
      <c r="L1631" s="25"/>
      <c r="Q1631" s="17"/>
    </row>
    <row r="1632" spans="12:17" x14ac:dyDescent="0.3">
      <c r="L1632" s="25"/>
      <c r="Q1632" s="17"/>
    </row>
    <row r="1633" spans="12:17" x14ac:dyDescent="0.3">
      <c r="L1633" s="25"/>
      <c r="Q1633" s="17"/>
    </row>
    <row r="1634" spans="12:17" x14ac:dyDescent="0.3">
      <c r="L1634" s="25"/>
      <c r="Q1634" s="17"/>
    </row>
    <row r="1635" spans="12:17" x14ac:dyDescent="0.3">
      <c r="L1635" s="25"/>
      <c r="Q1635" s="17"/>
    </row>
    <row r="1636" spans="12:17" x14ac:dyDescent="0.3">
      <c r="L1636" s="25"/>
      <c r="Q1636" s="17"/>
    </row>
    <row r="1637" spans="12:17" x14ac:dyDescent="0.3">
      <c r="L1637" s="25"/>
      <c r="Q1637" s="17"/>
    </row>
    <row r="1638" spans="12:17" x14ac:dyDescent="0.3">
      <c r="L1638" s="25"/>
      <c r="Q1638" s="17"/>
    </row>
    <row r="1639" spans="12:17" x14ac:dyDescent="0.3">
      <c r="L1639" s="25"/>
      <c r="Q1639" s="17"/>
    </row>
    <row r="1640" spans="12:17" x14ac:dyDescent="0.3">
      <c r="L1640" s="25"/>
      <c r="Q1640" s="17"/>
    </row>
    <row r="1641" spans="12:17" x14ac:dyDescent="0.3">
      <c r="L1641" s="25"/>
      <c r="Q1641" s="17"/>
    </row>
    <row r="1642" spans="12:17" x14ac:dyDescent="0.3">
      <c r="L1642" s="25"/>
      <c r="Q1642" s="17"/>
    </row>
    <row r="1643" spans="12:17" x14ac:dyDescent="0.3">
      <c r="L1643" s="25"/>
      <c r="Q1643" s="17"/>
    </row>
    <row r="1644" spans="12:17" x14ac:dyDescent="0.3">
      <c r="L1644" s="25"/>
      <c r="Q1644" s="17"/>
    </row>
    <row r="1645" spans="12:17" x14ac:dyDescent="0.3">
      <c r="L1645" s="25"/>
      <c r="Q1645" s="17"/>
    </row>
    <row r="1646" spans="12:17" x14ac:dyDescent="0.3">
      <c r="L1646" s="25"/>
      <c r="Q1646" s="17"/>
    </row>
    <row r="1647" spans="12:17" x14ac:dyDescent="0.3">
      <c r="L1647" s="25"/>
      <c r="Q1647" s="17"/>
    </row>
    <row r="1648" spans="12:17" x14ac:dyDescent="0.3">
      <c r="L1648" s="25"/>
      <c r="Q1648" s="17"/>
    </row>
    <row r="1649" spans="12:17" x14ac:dyDescent="0.3">
      <c r="L1649" s="25"/>
      <c r="Q1649" s="17"/>
    </row>
    <row r="1650" spans="12:17" x14ac:dyDescent="0.3">
      <c r="L1650" s="25"/>
      <c r="Q1650" s="17"/>
    </row>
    <row r="1651" spans="12:17" x14ac:dyDescent="0.3">
      <c r="L1651" s="25"/>
      <c r="Q1651" s="17"/>
    </row>
    <row r="1652" spans="12:17" x14ac:dyDescent="0.3">
      <c r="L1652" s="25"/>
      <c r="Q1652" s="17"/>
    </row>
    <row r="1653" spans="12:17" x14ac:dyDescent="0.3">
      <c r="L1653" s="25"/>
      <c r="Q1653" s="17"/>
    </row>
    <row r="1654" spans="12:17" x14ac:dyDescent="0.3">
      <c r="L1654" s="25"/>
      <c r="Q1654" s="17"/>
    </row>
    <row r="1655" spans="12:17" x14ac:dyDescent="0.3">
      <c r="L1655" s="25"/>
      <c r="Q1655" s="17"/>
    </row>
    <row r="1656" spans="12:17" x14ac:dyDescent="0.3">
      <c r="L1656" s="25"/>
      <c r="Q1656" s="17"/>
    </row>
    <row r="1657" spans="12:17" x14ac:dyDescent="0.3">
      <c r="L1657" s="25"/>
      <c r="Q1657" s="17"/>
    </row>
    <row r="1658" spans="12:17" x14ac:dyDescent="0.3">
      <c r="L1658" s="25"/>
      <c r="Q1658" s="17"/>
    </row>
    <row r="1659" spans="12:17" x14ac:dyDescent="0.3">
      <c r="L1659" s="25"/>
      <c r="Q1659" s="17"/>
    </row>
    <row r="1660" spans="12:17" x14ac:dyDescent="0.3">
      <c r="L1660" s="25"/>
      <c r="Q1660" s="17"/>
    </row>
    <row r="1661" spans="12:17" x14ac:dyDescent="0.3">
      <c r="L1661" s="25"/>
      <c r="Q1661" s="17"/>
    </row>
    <row r="1662" spans="12:17" x14ac:dyDescent="0.3">
      <c r="L1662" s="25"/>
      <c r="Q1662" s="17"/>
    </row>
    <row r="1663" spans="12:17" x14ac:dyDescent="0.3">
      <c r="L1663" s="25"/>
      <c r="Q1663" s="17"/>
    </row>
    <row r="1664" spans="12:17" x14ac:dyDescent="0.3">
      <c r="L1664" s="25"/>
      <c r="Q1664" s="17"/>
    </row>
    <row r="1665" spans="12:17" x14ac:dyDescent="0.3">
      <c r="L1665" s="25"/>
      <c r="Q1665" s="17"/>
    </row>
    <row r="1666" spans="12:17" x14ac:dyDescent="0.3">
      <c r="L1666" s="25"/>
      <c r="Q1666" s="17"/>
    </row>
    <row r="1667" spans="12:17" x14ac:dyDescent="0.3">
      <c r="L1667" s="25"/>
      <c r="Q1667" s="17"/>
    </row>
    <row r="1668" spans="12:17" x14ac:dyDescent="0.3">
      <c r="L1668" s="25"/>
      <c r="Q1668" s="17"/>
    </row>
    <row r="1669" spans="12:17" x14ac:dyDescent="0.3">
      <c r="L1669" s="25"/>
      <c r="Q1669" s="17"/>
    </row>
    <row r="1670" spans="12:17" x14ac:dyDescent="0.3">
      <c r="L1670" s="25"/>
      <c r="Q1670" s="17"/>
    </row>
    <row r="1671" spans="12:17" x14ac:dyDescent="0.3">
      <c r="L1671" s="25"/>
      <c r="Q1671" s="17"/>
    </row>
    <row r="1672" spans="12:17" x14ac:dyDescent="0.3">
      <c r="L1672" s="25"/>
      <c r="Q1672" s="17"/>
    </row>
    <row r="1673" spans="12:17" x14ac:dyDescent="0.3">
      <c r="L1673" s="25"/>
      <c r="Q1673" s="17"/>
    </row>
    <row r="1674" spans="12:17" x14ac:dyDescent="0.3">
      <c r="L1674" s="25"/>
      <c r="Q1674" s="17"/>
    </row>
    <row r="1675" spans="12:17" x14ac:dyDescent="0.3">
      <c r="L1675" s="25"/>
      <c r="Q1675" s="17"/>
    </row>
    <row r="1676" spans="12:17" x14ac:dyDescent="0.3">
      <c r="L1676" s="25"/>
      <c r="Q1676" s="17"/>
    </row>
    <row r="1677" spans="12:17" x14ac:dyDescent="0.3">
      <c r="L1677" s="25"/>
      <c r="Q1677" s="17"/>
    </row>
    <row r="1678" spans="12:17" x14ac:dyDescent="0.3">
      <c r="L1678" s="25"/>
      <c r="Q1678" s="17"/>
    </row>
    <row r="1679" spans="12:17" x14ac:dyDescent="0.3">
      <c r="L1679" s="25"/>
      <c r="Q1679" s="17"/>
    </row>
    <row r="1680" spans="12:17" x14ac:dyDescent="0.3">
      <c r="L1680" s="25"/>
      <c r="Q1680" s="17"/>
    </row>
    <row r="1681" spans="12:17" x14ac:dyDescent="0.3">
      <c r="L1681" s="25"/>
      <c r="Q1681" s="17"/>
    </row>
    <row r="1682" spans="12:17" x14ac:dyDescent="0.3">
      <c r="L1682" s="25"/>
      <c r="Q1682" s="17"/>
    </row>
    <row r="1683" spans="12:17" x14ac:dyDescent="0.3">
      <c r="L1683" s="25"/>
      <c r="Q1683" s="17"/>
    </row>
    <row r="1684" spans="12:17" x14ac:dyDescent="0.3">
      <c r="L1684" s="25"/>
      <c r="Q1684" s="17"/>
    </row>
    <row r="1685" spans="12:17" x14ac:dyDescent="0.3">
      <c r="L1685" s="25"/>
      <c r="Q1685" s="17"/>
    </row>
    <row r="1686" spans="12:17" x14ac:dyDescent="0.3">
      <c r="L1686" s="25"/>
      <c r="Q1686" s="17"/>
    </row>
    <row r="1687" spans="12:17" x14ac:dyDescent="0.3">
      <c r="L1687" s="25"/>
      <c r="Q1687" s="17"/>
    </row>
    <row r="1688" spans="12:17" x14ac:dyDescent="0.3">
      <c r="L1688" s="25"/>
      <c r="Q1688" s="17"/>
    </row>
    <row r="1689" spans="12:17" x14ac:dyDescent="0.3">
      <c r="L1689" s="25"/>
      <c r="Q1689" s="17"/>
    </row>
    <row r="1690" spans="12:17" x14ac:dyDescent="0.3">
      <c r="L1690" s="25"/>
      <c r="Q1690" s="17"/>
    </row>
    <row r="1691" spans="12:17" x14ac:dyDescent="0.3">
      <c r="L1691" s="25"/>
      <c r="Q1691" s="17"/>
    </row>
    <row r="1692" spans="12:17" x14ac:dyDescent="0.3">
      <c r="L1692" s="25"/>
      <c r="Q1692" s="17"/>
    </row>
    <row r="1693" spans="12:17" x14ac:dyDescent="0.3">
      <c r="L1693" s="25"/>
      <c r="Q1693" s="17"/>
    </row>
    <row r="1694" spans="12:17" x14ac:dyDescent="0.3">
      <c r="L1694" s="25"/>
      <c r="Q1694" s="17"/>
    </row>
    <row r="1695" spans="12:17" x14ac:dyDescent="0.3">
      <c r="L1695" s="25"/>
      <c r="Q1695" s="17"/>
    </row>
    <row r="1696" spans="12:17" x14ac:dyDescent="0.3">
      <c r="L1696" s="25"/>
      <c r="Q1696" s="17"/>
    </row>
    <row r="1697" spans="12:17" x14ac:dyDescent="0.3">
      <c r="L1697" s="25"/>
      <c r="Q1697" s="17"/>
    </row>
    <row r="1698" spans="12:17" x14ac:dyDescent="0.3">
      <c r="L1698" s="25"/>
      <c r="Q1698" s="17"/>
    </row>
    <row r="1699" spans="12:17" x14ac:dyDescent="0.3">
      <c r="L1699" s="25"/>
      <c r="Q1699" s="17"/>
    </row>
    <row r="1700" spans="12:17" x14ac:dyDescent="0.3">
      <c r="L1700" s="25"/>
      <c r="Q1700" s="17"/>
    </row>
    <row r="1701" spans="12:17" x14ac:dyDescent="0.3">
      <c r="L1701" s="25"/>
      <c r="Q1701" s="17"/>
    </row>
    <row r="1702" spans="12:17" x14ac:dyDescent="0.3">
      <c r="L1702" s="25"/>
      <c r="Q1702" s="17"/>
    </row>
    <row r="1703" spans="12:17" x14ac:dyDescent="0.3">
      <c r="L1703" s="25"/>
      <c r="Q1703" s="17"/>
    </row>
    <row r="1704" spans="12:17" x14ac:dyDescent="0.3">
      <c r="L1704" s="25"/>
      <c r="Q1704" s="17"/>
    </row>
    <row r="1705" spans="12:17" x14ac:dyDescent="0.3">
      <c r="L1705" s="25"/>
      <c r="Q1705" s="17"/>
    </row>
    <row r="1706" spans="12:17" x14ac:dyDescent="0.3">
      <c r="L1706" s="25"/>
      <c r="Q1706" s="17"/>
    </row>
    <row r="1707" spans="12:17" x14ac:dyDescent="0.3">
      <c r="L1707" s="25"/>
      <c r="Q1707" s="17"/>
    </row>
    <row r="1708" spans="12:17" x14ac:dyDescent="0.3">
      <c r="L1708" s="25"/>
      <c r="Q1708" s="17"/>
    </row>
    <row r="1709" spans="12:17" x14ac:dyDescent="0.3">
      <c r="L1709" s="25"/>
      <c r="Q1709" s="17"/>
    </row>
    <row r="1710" spans="12:17" x14ac:dyDescent="0.3">
      <c r="L1710" s="25"/>
      <c r="Q1710" s="17"/>
    </row>
    <row r="1711" spans="12:17" x14ac:dyDescent="0.3">
      <c r="L1711" s="25"/>
      <c r="Q1711" s="17"/>
    </row>
    <row r="1712" spans="12:17" x14ac:dyDescent="0.3">
      <c r="L1712" s="25"/>
      <c r="Q1712" s="17"/>
    </row>
    <row r="1713" spans="12:17" x14ac:dyDescent="0.3">
      <c r="L1713" s="25"/>
      <c r="Q1713" s="17"/>
    </row>
    <row r="1714" spans="12:17" x14ac:dyDescent="0.3">
      <c r="L1714" s="25"/>
      <c r="Q1714" s="17"/>
    </row>
    <row r="1715" spans="12:17" x14ac:dyDescent="0.3">
      <c r="L1715" s="25"/>
      <c r="Q1715" s="17"/>
    </row>
    <row r="1716" spans="12:17" x14ac:dyDescent="0.3">
      <c r="L1716" s="25"/>
      <c r="Q1716" s="17"/>
    </row>
    <row r="1717" spans="12:17" x14ac:dyDescent="0.3">
      <c r="L1717" s="25"/>
      <c r="Q1717" s="17"/>
    </row>
    <row r="1718" spans="12:17" x14ac:dyDescent="0.3">
      <c r="L1718" s="25"/>
      <c r="Q1718" s="17"/>
    </row>
    <row r="1719" spans="12:17" x14ac:dyDescent="0.3">
      <c r="L1719" s="25"/>
      <c r="Q1719" s="17"/>
    </row>
    <row r="1720" spans="12:17" x14ac:dyDescent="0.3">
      <c r="L1720" s="25"/>
      <c r="Q1720" s="17"/>
    </row>
    <row r="1721" spans="12:17" x14ac:dyDescent="0.3">
      <c r="L1721" s="25"/>
      <c r="Q1721" s="17"/>
    </row>
    <row r="1722" spans="12:17" x14ac:dyDescent="0.3">
      <c r="L1722" s="25"/>
      <c r="Q1722" s="17"/>
    </row>
    <row r="1723" spans="12:17" x14ac:dyDescent="0.3">
      <c r="L1723" s="25"/>
      <c r="Q1723" s="17"/>
    </row>
    <row r="1724" spans="12:17" x14ac:dyDescent="0.3">
      <c r="L1724" s="25"/>
      <c r="Q1724" s="17"/>
    </row>
    <row r="1725" spans="12:17" x14ac:dyDescent="0.3">
      <c r="L1725" s="25"/>
      <c r="Q1725" s="17"/>
    </row>
    <row r="1726" spans="12:17" x14ac:dyDescent="0.3">
      <c r="L1726" s="25"/>
      <c r="Q1726" s="17"/>
    </row>
    <row r="1727" spans="12:17" x14ac:dyDescent="0.3">
      <c r="L1727" s="25"/>
      <c r="Q1727" s="17"/>
    </row>
    <row r="1728" spans="12:17" x14ac:dyDescent="0.3">
      <c r="L1728" s="25"/>
      <c r="Q1728" s="17"/>
    </row>
    <row r="1729" spans="12:17" x14ac:dyDescent="0.3">
      <c r="L1729" s="25"/>
      <c r="Q1729" s="17"/>
    </row>
    <row r="1730" spans="12:17" x14ac:dyDescent="0.3">
      <c r="L1730" s="25"/>
      <c r="Q1730" s="17"/>
    </row>
    <row r="1731" spans="12:17" x14ac:dyDescent="0.3">
      <c r="L1731" s="25"/>
      <c r="Q1731" s="17"/>
    </row>
    <row r="1732" spans="12:17" x14ac:dyDescent="0.3">
      <c r="L1732" s="25"/>
      <c r="Q1732" s="17"/>
    </row>
    <row r="1733" spans="12:17" x14ac:dyDescent="0.3">
      <c r="L1733" s="25"/>
      <c r="Q1733" s="17"/>
    </row>
    <row r="1734" spans="12:17" x14ac:dyDescent="0.3">
      <c r="L1734" s="25"/>
      <c r="Q1734" s="17"/>
    </row>
    <row r="1735" spans="12:17" x14ac:dyDescent="0.3">
      <c r="L1735" s="25"/>
      <c r="Q1735" s="17"/>
    </row>
    <row r="1736" spans="12:17" x14ac:dyDescent="0.3">
      <c r="L1736" s="25"/>
      <c r="Q1736" s="17"/>
    </row>
    <row r="1737" spans="12:17" x14ac:dyDescent="0.3">
      <c r="L1737" s="25"/>
      <c r="Q1737" s="17"/>
    </row>
    <row r="1738" spans="12:17" x14ac:dyDescent="0.3">
      <c r="L1738" s="25"/>
      <c r="Q1738" s="17"/>
    </row>
    <row r="1739" spans="12:17" x14ac:dyDescent="0.3">
      <c r="L1739" s="25"/>
      <c r="Q1739" s="17"/>
    </row>
    <row r="1740" spans="12:17" x14ac:dyDescent="0.3">
      <c r="L1740" s="25"/>
      <c r="Q1740" s="17"/>
    </row>
    <row r="1741" spans="12:17" x14ac:dyDescent="0.3">
      <c r="L1741" s="25"/>
      <c r="Q1741" s="17"/>
    </row>
    <row r="1742" spans="12:17" x14ac:dyDescent="0.3">
      <c r="L1742" s="25"/>
      <c r="Q1742" s="17"/>
    </row>
    <row r="1743" spans="12:17" x14ac:dyDescent="0.3">
      <c r="L1743" s="25"/>
      <c r="Q1743" s="17"/>
    </row>
    <row r="1744" spans="12:17" x14ac:dyDescent="0.3">
      <c r="L1744" s="25"/>
      <c r="Q1744" s="17"/>
    </row>
    <row r="1745" spans="12:17" x14ac:dyDescent="0.3">
      <c r="L1745" s="25"/>
      <c r="Q1745" s="17"/>
    </row>
    <row r="1746" spans="12:17" x14ac:dyDescent="0.3">
      <c r="L1746" s="25"/>
      <c r="Q1746" s="17"/>
    </row>
    <row r="1747" spans="12:17" x14ac:dyDescent="0.3">
      <c r="L1747" s="25"/>
      <c r="Q1747" s="17"/>
    </row>
    <row r="1748" spans="12:17" x14ac:dyDescent="0.3">
      <c r="L1748" s="25"/>
      <c r="Q1748" s="17"/>
    </row>
    <row r="1749" spans="12:17" x14ac:dyDescent="0.3">
      <c r="L1749" s="25"/>
      <c r="Q1749" s="17"/>
    </row>
    <row r="1750" spans="12:17" x14ac:dyDescent="0.3">
      <c r="L1750" s="25"/>
      <c r="Q1750" s="17"/>
    </row>
    <row r="1751" spans="12:17" x14ac:dyDescent="0.3">
      <c r="L1751" s="25"/>
      <c r="Q1751" s="17"/>
    </row>
    <row r="1752" spans="12:17" x14ac:dyDescent="0.3">
      <c r="L1752" s="25"/>
      <c r="Q1752" s="17"/>
    </row>
    <row r="1753" spans="12:17" x14ac:dyDescent="0.3">
      <c r="L1753" s="25"/>
      <c r="Q1753" s="17"/>
    </row>
    <row r="1754" spans="12:17" x14ac:dyDescent="0.3">
      <c r="L1754" s="25"/>
      <c r="Q1754" s="17"/>
    </row>
    <row r="1755" spans="12:17" x14ac:dyDescent="0.3">
      <c r="L1755" s="25"/>
      <c r="Q1755" s="17"/>
    </row>
    <row r="1756" spans="12:17" x14ac:dyDescent="0.3">
      <c r="L1756" s="25"/>
      <c r="Q1756" s="17"/>
    </row>
    <row r="1757" spans="12:17" x14ac:dyDescent="0.3">
      <c r="L1757" s="25"/>
      <c r="Q1757" s="17"/>
    </row>
    <row r="1758" spans="12:17" x14ac:dyDescent="0.3">
      <c r="L1758" s="25"/>
      <c r="Q1758" s="17"/>
    </row>
    <row r="1759" spans="12:17" x14ac:dyDescent="0.3">
      <c r="L1759" s="25"/>
      <c r="Q1759" s="17"/>
    </row>
    <row r="1760" spans="12:17" x14ac:dyDescent="0.3">
      <c r="L1760" s="25"/>
      <c r="Q1760" s="17"/>
    </row>
    <row r="1761" spans="12:17" x14ac:dyDescent="0.3">
      <c r="L1761" s="25"/>
      <c r="Q1761" s="17"/>
    </row>
    <row r="1762" spans="12:17" x14ac:dyDescent="0.3">
      <c r="L1762" s="25"/>
      <c r="Q1762" s="17"/>
    </row>
    <row r="1763" spans="12:17" x14ac:dyDescent="0.3">
      <c r="L1763" s="25"/>
      <c r="Q1763" s="17"/>
    </row>
    <row r="1764" spans="12:17" x14ac:dyDescent="0.3">
      <c r="L1764" s="25"/>
      <c r="Q1764" s="17"/>
    </row>
    <row r="1765" spans="12:17" x14ac:dyDescent="0.3">
      <c r="L1765" s="25"/>
      <c r="Q1765" s="17"/>
    </row>
    <row r="1766" spans="12:17" x14ac:dyDescent="0.3">
      <c r="L1766" s="25"/>
      <c r="Q1766" s="17"/>
    </row>
    <row r="1767" spans="12:17" x14ac:dyDescent="0.3">
      <c r="L1767" s="25"/>
      <c r="Q1767" s="17"/>
    </row>
    <row r="1768" spans="12:17" x14ac:dyDescent="0.3">
      <c r="L1768" s="25"/>
      <c r="Q1768" s="17"/>
    </row>
    <row r="1769" spans="12:17" x14ac:dyDescent="0.3">
      <c r="L1769" s="25"/>
      <c r="Q1769" s="17"/>
    </row>
    <row r="1770" spans="12:17" x14ac:dyDescent="0.3">
      <c r="L1770" s="25"/>
      <c r="Q1770" s="17"/>
    </row>
    <row r="1771" spans="12:17" x14ac:dyDescent="0.3">
      <c r="L1771" s="25"/>
      <c r="Q1771" s="17"/>
    </row>
    <row r="1772" spans="12:17" x14ac:dyDescent="0.3">
      <c r="L1772" s="25"/>
      <c r="Q1772" s="17"/>
    </row>
    <row r="1773" spans="12:17" x14ac:dyDescent="0.3">
      <c r="L1773" s="25"/>
      <c r="Q1773" s="17"/>
    </row>
    <row r="1774" spans="12:17" x14ac:dyDescent="0.3">
      <c r="L1774" s="25"/>
      <c r="Q1774" s="17"/>
    </row>
    <row r="1775" spans="12:17" x14ac:dyDescent="0.3">
      <c r="L1775" s="25"/>
      <c r="Q1775" s="17"/>
    </row>
    <row r="1776" spans="12:17" x14ac:dyDescent="0.3">
      <c r="L1776" s="25"/>
      <c r="Q1776" s="17"/>
    </row>
    <row r="1777" spans="12:17" x14ac:dyDescent="0.3">
      <c r="L1777" s="25"/>
      <c r="Q1777" s="17"/>
    </row>
    <row r="1778" spans="12:17" x14ac:dyDescent="0.3">
      <c r="L1778" s="25"/>
      <c r="Q1778" s="17"/>
    </row>
    <row r="1779" spans="12:17" x14ac:dyDescent="0.3">
      <c r="L1779" s="25"/>
      <c r="Q1779" s="17"/>
    </row>
    <row r="1780" spans="12:17" x14ac:dyDescent="0.3">
      <c r="L1780" s="25"/>
      <c r="Q1780" s="17"/>
    </row>
    <row r="1781" spans="12:17" x14ac:dyDescent="0.3">
      <c r="L1781" s="25"/>
      <c r="Q1781" s="17"/>
    </row>
    <row r="1782" spans="12:17" x14ac:dyDescent="0.3">
      <c r="L1782" s="25"/>
      <c r="Q1782" s="17"/>
    </row>
    <row r="1783" spans="12:17" x14ac:dyDescent="0.3">
      <c r="L1783" s="25"/>
      <c r="Q1783" s="17"/>
    </row>
    <row r="1784" spans="12:17" x14ac:dyDescent="0.3">
      <c r="L1784" s="25"/>
      <c r="Q1784" s="17"/>
    </row>
    <row r="1785" spans="12:17" x14ac:dyDescent="0.3">
      <c r="L1785" s="25"/>
      <c r="Q1785" s="17"/>
    </row>
    <row r="1786" spans="12:17" x14ac:dyDescent="0.3">
      <c r="L1786" s="25"/>
      <c r="Q1786" s="17"/>
    </row>
    <row r="1787" spans="12:17" x14ac:dyDescent="0.3">
      <c r="L1787" s="25"/>
      <c r="Q1787" s="17"/>
    </row>
    <row r="1788" spans="12:17" x14ac:dyDescent="0.3">
      <c r="L1788" s="25"/>
      <c r="Q1788" s="17"/>
    </row>
    <row r="1789" spans="12:17" x14ac:dyDescent="0.3">
      <c r="L1789" s="25"/>
      <c r="Q1789" s="17"/>
    </row>
    <row r="1790" spans="12:17" x14ac:dyDescent="0.3">
      <c r="L1790" s="25"/>
      <c r="Q1790" s="17"/>
    </row>
    <row r="1791" spans="12:17" x14ac:dyDescent="0.3">
      <c r="L1791" s="25"/>
      <c r="Q1791" s="17"/>
    </row>
    <row r="1792" spans="12:17" x14ac:dyDescent="0.3">
      <c r="L1792" s="25"/>
      <c r="Q1792" s="17"/>
    </row>
    <row r="1793" spans="12:17" x14ac:dyDescent="0.3">
      <c r="L1793" s="25"/>
      <c r="Q1793" s="17"/>
    </row>
    <row r="1794" spans="12:17" x14ac:dyDescent="0.3">
      <c r="L1794" s="25"/>
      <c r="Q1794" s="17"/>
    </row>
    <row r="1795" spans="12:17" x14ac:dyDescent="0.3">
      <c r="L1795" s="25"/>
      <c r="Q1795" s="17"/>
    </row>
    <row r="1796" spans="12:17" x14ac:dyDescent="0.3">
      <c r="L1796" s="25"/>
      <c r="Q1796" s="17"/>
    </row>
    <row r="1797" spans="12:17" x14ac:dyDescent="0.3">
      <c r="L1797" s="25"/>
      <c r="Q1797" s="17"/>
    </row>
    <row r="1798" spans="12:17" x14ac:dyDescent="0.3">
      <c r="L1798" s="25"/>
      <c r="Q1798" s="17"/>
    </row>
    <row r="1799" spans="12:17" x14ac:dyDescent="0.3">
      <c r="L1799" s="25"/>
      <c r="Q1799" s="17"/>
    </row>
    <row r="1800" spans="12:17" x14ac:dyDescent="0.3">
      <c r="L1800" s="25"/>
      <c r="Q1800" s="17"/>
    </row>
    <row r="1801" spans="12:17" x14ac:dyDescent="0.3">
      <c r="L1801" s="25"/>
      <c r="Q1801" s="17"/>
    </row>
    <row r="1802" spans="12:17" x14ac:dyDescent="0.3">
      <c r="L1802" s="25"/>
      <c r="Q1802" s="17"/>
    </row>
    <row r="1803" spans="12:17" x14ac:dyDescent="0.3">
      <c r="L1803" s="25"/>
      <c r="Q1803" s="17"/>
    </row>
    <row r="1804" spans="12:17" x14ac:dyDescent="0.3">
      <c r="L1804" s="25"/>
      <c r="Q1804" s="17"/>
    </row>
    <row r="1805" spans="12:17" x14ac:dyDescent="0.3">
      <c r="L1805" s="25"/>
      <c r="Q1805" s="17"/>
    </row>
    <row r="1806" spans="12:17" x14ac:dyDescent="0.3">
      <c r="L1806" s="25"/>
      <c r="Q1806" s="17"/>
    </row>
    <row r="1807" spans="12:17" x14ac:dyDescent="0.3">
      <c r="L1807" s="25"/>
      <c r="Q1807" s="17"/>
    </row>
    <row r="1808" spans="12:17" x14ac:dyDescent="0.3">
      <c r="L1808" s="25"/>
      <c r="Q1808" s="17"/>
    </row>
    <row r="1809" spans="12:17" x14ac:dyDescent="0.3">
      <c r="L1809" s="25"/>
      <c r="Q1809" s="17"/>
    </row>
    <row r="1810" spans="12:17" x14ac:dyDescent="0.3">
      <c r="L1810" s="25"/>
      <c r="Q1810" s="17"/>
    </row>
    <row r="1811" spans="12:17" x14ac:dyDescent="0.3">
      <c r="L1811" s="25"/>
      <c r="Q1811" s="17"/>
    </row>
    <row r="1812" spans="12:17" x14ac:dyDescent="0.3">
      <c r="L1812" s="25"/>
      <c r="Q1812" s="17"/>
    </row>
    <row r="1813" spans="12:17" x14ac:dyDescent="0.3">
      <c r="L1813" s="25"/>
      <c r="Q1813" s="17"/>
    </row>
    <row r="1814" spans="12:17" x14ac:dyDescent="0.3">
      <c r="L1814" s="25"/>
      <c r="Q1814" s="17"/>
    </row>
    <row r="1815" spans="12:17" x14ac:dyDescent="0.3">
      <c r="L1815" s="25"/>
      <c r="Q1815" s="17"/>
    </row>
    <row r="1816" spans="12:17" x14ac:dyDescent="0.3">
      <c r="L1816" s="25"/>
      <c r="Q1816" s="17"/>
    </row>
    <row r="1817" spans="12:17" x14ac:dyDescent="0.3">
      <c r="L1817" s="25"/>
      <c r="Q1817" s="17"/>
    </row>
    <row r="1818" spans="12:17" x14ac:dyDescent="0.3">
      <c r="L1818" s="25"/>
      <c r="Q1818" s="17"/>
    </row>
    <row r="1819" spans="12:17" x14ac:dyDescent="0.3">
      <c r="L1819" s="25"/>
      <c r="Q1819" s="17"/>
    </row>
    <row r="1820" spans="12:17" x14ac:dyDescent="0.3">
      <c r="L1820" s="25"/>
      <c r="Q1820" s="17"/>
    </row>
    <row r="1821" spans="12:17" x14ac:dyDescent="0.3">
      <c r="L1821" s="25"/>
      <c r="Q1821" s="17"/>
    </row>
    <row r="1822" spans="12:17" x14ac:dyDescent="0.3">
      <c r="L1822" s="25"/>
      <c r="Q1822" s="17"/>
    </row>
    <row r="1823" spans="12:17" x14ac:dyDescent="0.3">
      <c r="L1823" s="25"/>
      <c r="Q1823" s="17"/>
    </row>
    <row r="1824" spans="12:17" x14ac:dyDescent="0.3">
      <c r="L1824" s="25"/>
      <c r="Q1824" s="17"/>
    </row>
    <row r="1825" spans="12:17" x14ac:dyDescent="0.3">
      <c r="L1825" s="25"/>
      <c r="Q1825" s="17"/>
    </row>
    <row r="1826" spans="12:17" x14ac:dyDescent="0.3">
      <c r="L1826" s="25"/>
      <c r="Q1826" s="17"/>
    </row>
    <row r="1827" spans="12:17" x14ac:dyDescent="0.3">
      <c r="L1827" s="25"/>
      <c r="Q1827" s="17"/>
    </row>
    <row r="1828" spans="12:17" x14ac:dyDescent="0.3">
      <c r="L1828" s="25"/>
      <c r="Q1828" s="17"/>
    </row>
    <row r="1829" spans="12:17" x14ac:dyDescent="0.3">
      <c r="L1829" s="25"/>
      <c r="Q1829" s="17"/>
    </row>
    <row r="1830" spans="12:17" x14ac:dyDescent="0.3">
      <c r="L1830" s="25"/>
      <c r="Q1830" s="17"/>
    </row>
    <row r="1831" spans="12:17" x14ac:dyDescent="0.3">
      <c r="L1831" s="25"/>
      <c r="Q1831" s="17"/>
    </row>
    <row r="1832" spans="12:17" x14ac:dyDescent="0.3">
      <c r="L1832" s="25"/>
      <c r="Q1832" s="17"/>
    </row>
    <row r="1833" spans="12:17" x14ac:dyDescent="0.3">
      <c r="L1833" s="25"/>
      <c r="Q1833" s="17"/>
    </row>
    <row r="1834" spans="12:17" x14ac:dyDescent="0.3">
      <c r="L1834" s="25"/>
      <c r="Q1834" s="17"/>
    </row>
    <row r="1835" spans="12:17" x14ac:dyDescent="0.3">
      <c r="L1835" s="25"/>
      <c r="Q1835" s="17"/>
    </row>
    <row r="1836" spans="12:17" x14ac:dyDescent="0.3">
      <c r="L1836" s="25"/>
      <c r="Q1836" s="17"/>
    </row>
    <row r="1837" spans="12:17" x14ac:dyDescent="0.3">
      <c r="L1837" s="25"/>
      <c r="Q1837" s="17"/>
    </row>
    <row r="1838" spans="12:17" x14ac:dyDescent="0.3">
      <c r="L1838" s="25"/>
      <c r="Q1838" s="17"/>
    </row>
    <row r="1839" spans="12:17" x14ac:dyDescent="0.3">
      <c r="L1839" s="25"/>
      <c r="Q1839" s="17"/>
    </row>
    <row r="1840" spans="12:17" x14ac:dyDescent="0.3">
      <c r="L1840" s="25"/>
      <c r="Q1840" s="17"/>
    </row>
    <row r="1841" spans="12:17" x14ac:dyDescent="0.3">
      <c r="L1841" s="25"/>
      <c r="Q1841" s="17"/>
    </row>
    <row r="1842" spans="12:17" x14ac:dyDescent="0.3">
      <c r="L1842" s="25"/>
      <c r="Q1842" s="17"/>
    </row>
    <row r="1843" spans="12:17" x14ac:dyDescent="0.3">
      <c r="L1843" s="25"/>
      <c r="Q1843" s="17"/>
    </row>
    <row r="1844" spans="12:17" x14ac:dyDescent="0.3">
      <c r="L1844" s="25"/>
      <c r="Q1844" s="17"/>
    </row>
    <row r="1845" spans="12:17" x14ac:dyDescent="0.3">
      <c r="L1845" s="25"/>
      <c r="Q1845" s="17"/>
    </row>
    <row r="1846" spans="12:17" x14ac:dyDescent="0.3">
      <c r="L1846" s="25"/>
      <c r="Q1846" s="17"/>
    </row>
    <row r="1847" spans="12:17" x14ac:dyDescent="0.3">
      <c r="L1847" s="25"/>
      <c r="Q1847" s="17"/>
    </row>
    <row r="1848" spans="12:17" x14ac:dyDescent="0.3">
      <c r="L1848" s="25"/>
      <c r="Q1848" s="17"/>
    </row>
    <row r="1849" spans="12:17" x14ac:dyDescent="0.3">
      <c r="L1849" s="25"/>
      <c r="Q1849" s="17"/>
    </row>
    <row r="1850" spans="12:17" x14ac:dyDescent="0.3">
      <c r="L1850" s="25"/>
      <c r="Q1850" s="17"/>
    </row>
    <row r="1851" spans="12:17" x14ac:dyDescent="0.3">
      <c r="L1851" s="25"/>
      <c r="Q1851" s="17"/>
    </row>
    <row r="1852" spans="12:17" x14ac:dyDescent="0.3">
      <c r="L1852" s="25"/>
      <c r="Q1852" s="17"/>
    </row>
    <row r="1853" spans="12:17" x14ac:dyDescent="0.3">
      <c r="L1853" s="25"/>
      <c r="Q1853" s="17"/>
    </row>
    <row r="1854" spans="12:17" x14ac:dyDescent="0.3">
      <c r="L1854" s="25"/>
      <c r="Q1854" s="17"/>
    </row>
    <row r="1855" spans="12:17" x14ac:dyDescent="0.3">
      <c r="L1855" s="25"/>
      <c r="Q1855" s="17"/>
    </row>
    <row r="1856" spans="12:17" x14ac:dyDescent="0.3">
      <c r="L1856" s="25"/>
      <c r="Q1856" s="17"/>
    </row>
    <row r="1857" spans="12:17" x14ac:dyDescent="0.3">
      <c r="L1857" s="25"/>
      <c r="Q1857" s="17"/>
    </row>
    <row r="1858" spans="12:17" x14ac:dyDescent="0.3">
      <c r="L1858" s="25"/>
      <c r="Q1858" s="17"/>
    </row>
    <row r="1859" spans="12:17" x14ac:dyDescent="0.3">
      <c r="L1859" s="25"/>
      <c r="Q1859" s="17"/>
    </row>
    <row r="1860" spans="12:17" x14ac:dyDescent="0.3">
      <c r="L1860" s="25"/>
      <c r="Q1860" s="17"/>
    </row>
    <row r="1861" spans="12:17" x14ac:dyDescent="0.3">
      <c r="L1861" s="25"/>
      <c r="Q1861" s="17"/>
    </row>
    <row r="1862" spans="12:17" x14ac:dyDescent="0.3">
      <c r="L1862" s="25"/>
      <c r="Q1862" s="17"/>
    </row>
    <row r="1863" spans="12:17" x14ac:dyDescent="0.3">
      <c r="L1863" s="25"/>
      <c r="Q1863" s="17"/>
    </row>
    <row r="1864" spans="12:17" x14ac:dyDescent="0.3">
      <c r="L1864" s="25"/>
      <c r="Q1864" s="17"/>
    </row>
    <row r="1865" spans="12:17" x14ac:dyDescent="0.3">
      <c r="L1865" s="25"/>
      <c r="Q1865" s="17"/>
    </row>
    <row r="1866" spans="12:17" x14ac:dyDescent="0.3">
      <c r="L1866" s="25"/>
      <c r="Q1866" s="17"/>
    </row>
    <row r="1867" spans="12:17" x14ac:dyDescent="0.3">
      <c r="L1867" s="25"/>
      <c r="Q1867" s="17"/>
    </row>
    <row r="1868" spans="12:17" x14ac:dyDescent="0.3">
      <c r="L1868" s="25"/>
      <c r="Q1868" s="17"/>
    </row>
    <row r="1869" spans="12:17" x14ac:dyDescent="0.3">
      <c r="L1869" s="25"/>
      <c r="Q1869" s="17"/>
    </row>
    <row r="1870" spans="12:17" x14ac:dyDescent="0.3">
      <c r="L1870" s="25"/>
      <c r="Q1870" s="17"/>
    </row>
    <row r="1871" spans="12:17" x14ac:dyDescent="0.3">
      <c r="L1871" s="25"/>
      <c r="Q1871" s="17"/>
    </row>
    <row r="1872" spans="12:17" x14ac:dyDescent="0.3">
      <c r="L1872" s="25"/>
      <c r="Q1872" s="17"/>
    </row>
    <row r="1873" spans="12:17" x14ac:dyDescent="0.3">
      <c r="L1873" s="25"/>
      <c r="Q1873" s="17"/>
    </row>
    <row r="1874" spans="12:17" x14ac:dyDescent="0.3">
      <c r="L1874" s="25"/>
      <c r="Q1874" s="17"/>
    </row>
    <row r="1875" spans="12:17" x14ac:dyDescent="0.3">
      <c r="L1875" s="25"/>
      <c r="Q1875" s="17"/>
    </row>
    <row r="1876" spans="12:17" x14ac:dyDescent="0.3">
      <c r="L1876" s="25"/>
      <c r="Q1876" s="17"/>
    </row>
    <row r="1877" spans="12:17" x14ac:dyDescent="0.3">
      <c r="L1877" s="25"/>
      <c r="Q1877" s="17"/>
    </row>
    <row r="1878" spans="12:17" x14ac:dyDescent="0.3">
      <c r="L1878" s="25"/>
      <c r="Q1878" s="17"/>
    </row>
    <row r="1879" spans="12:17" x14ac:dyDescent="0.3">
      <c r="L1879" s="25"/>
      <c r="Q1879" s="17"/>
    </row>
    <row r="1880" spans="12:17" x14ac:dyDescent="0.3">
      <c r="L1880" s="25"/>
      <c r="Q1880" s="17"/>
    </row>
    <row r="1881" spans="12:17" x14ac:dyDescent="0.3">
      <c r="L1881" s="25"/>
      <c r="Q1881" s="17"/>
    </row>
    <row r="1882" spans="12:17" x14ac:dyDescent="0.3">
      <c r="L1882" s="25"/>
      <c r="Q1882" s="17"/>
    </row>
    <row r="1883" spans="12:17" x14ac:dyDescent="0.3">
      <c r="L1883" s="25"/>
      <c r="Q1883" s="17"/>
    </row>
    <row r="1884" spans="12:17" x14ac:dyDescent="0.3">
      <c r="L1884" s="25"/>
      <c r="Q1884" s="17"/>
    </row>
    <row r="1885" spans="12:17" x14ac:dyDescent="0.3">
      <c r="L1885" s="25"/>
      <c r="Q1885" s="17"/>
    </row>
    <row r="1886" spans="12:17" x14ac:dyDescent="0.3">
      <c r="L1886" s="25"/>
      <c r="Q1886" s="17"/>
    </row>
    <row r="1887" spans="12:17" x14ac:dyDescent="0.3">
      <c r="L1887" s="25"/>
      <c r="Q1887" s="17"/>
    </row>
    <row r="1888" spans="12:17" x14ac:dyDescent="0.3">
      <c r="L1888" s="25"/>
      <c r="Q1888" s="17"/>
    </row>
    <row r="1889" spans="12:17" x14ac:dyDescent="0.3">
      <c r="L1889" s="25"/>
      <c r="Q1889" s="17"/>
    </row>
    <row r="1890" spans="12:17" x14ac:dyDescent="0.3">
      <c r="L1890" s="25"/>
      <c r="Q1890" s="17"/>
    </row>
    <row r="1891" spans="12:17" x14ac:dyDescent="0.3">
      <c r="L1891" s="25"/>
      <c r="Q1891" s="17"/>
    </row>
    <row r="1892" spans="12:17" x14ac:dyDescent="0.3">
      <c r="L1892" s="25"/>
      <c r="Q1892" s="17"/>
    </row>
    <row r="1893" spans="12:17" x14ac:dyDescent="0.3">
      <c r="L1893" s="25"/>
      <c r="Q1893" s="17"/>
    </row>
    <row r="1894" spans="12:17" x14ac:dyDescent="0.3">
      <c r="L1894" s="25"/>
      <c r="Q1894" s="17"/>
    </row>
    <row r="1895" spans="12:17" x14ac:dyDescent="0.3">
      <c r="L1895" s="25"/>
      <c r="Q1895" s="17"/>
    </row>
    <row r="1896" spans="12:17" x14ac:dyDescent="0.3">
      <c r="L1896" s="25"/>
      <c r="Q1896" s="17"/>
    </row>
    <row r="1897" spans="12:17" x14ac:dyDescent="0.3">
      <c r="L1897" s="25"/>
      <c r="Q1897" s="17"/>
    </row>
    <row r="1898" spans="12:17" x14ac:dyDescent="0.3">
      <c r="L1898" s="25"/>
      <c r="Q1898" s="17"/>
    </row>
    <row r="1899" spans="12:17" x14ac:dyDescent="0.3">
      <c r="L1899" s="25"/>
      <c r="Q1899" s="17"/>
    </row>
    <row r="1900" spans="12:17" x14ac:dyDescent="0.3">
      <c r="L1900" s="25"/>
      <c r="Q1900" s="17"/>
    </row>
    <row r="1901" spans="12:17" x14ac:dyDescent="0.3">
      <c r="L1901" s="25"/>
      <c r="Q1901" s="17"/>
    </row>
    <row r="1902" spans="12:17" x14ac:dyDescent="0.3">
      <c r="L1902" s="25"/>
      <c r="Q1902" s="17"/>
    </row>
    <row r="1903" spans="12:17" x14ac:dyDescent="0.3">
      <c r="L1903" s="25"/>
      <c r="Q1903" s="17"/>
    </row>
    <row r="1904" spans="12:17" x14ac:dyDescent="0.3">
      <c r="L1904" s="25"/>
      <c r="Q1904" s="17"/>
    </row>
    <row r="1905" spans="12:17" x14ac:dyDescent="0.3">
      <c r="L1905" s="25"/>
      <c r="Q1905" s="17"/>
    </row>
    <row r="1906" spans="12:17" x14ac:dyDescent="0.3">
      <c r="L1906" s="25"/>
      <c r="Q1906" s="17"/>
    </row>
    <row r="1907" spans="12:17" x14ac:dyDescent="0.3">
      <c r="L1907" s="25"/>
      <c r="Q1907" s="17"/>
    </row>
    <row r="1908" spans="12:17" x14ac:dyDescent="0.3">
      <c r="L1908" s="25"/>
      <c r="Q1908" s="17"/>
    </row>
    <row r="1909" spans="12:17" x14ac:dyDescent="0.3">
      <c r="L1909" s="25"/>
      <c r="Q1909" s="17"/>
    </row>
    <row r="1910" spans="12:17" x14ac:dyDescent="0.3">
      <c r="L1910" s="25"/>
      <c r="Q1910" s="17"/>
    </row>
    <row r="1911" spans="12:17" x14ac:dyDescent="0.3">
      <c r="L1911" s="25"/>
      <c r="Q1911" s="17"/>
    </row>
    <row r="1912" spans="12:17" x14ac:dyDescent="0.3">
      <c r="L1912" s="25"/>
      <c r="Q1912" s="17"/>
    </row>
    <row r="1913" spans="12:17" x14ac:dyDescent="0.3">
      <c r="L1913" s="25"/>
      <c r="Q1913" s="17"/>
    </row>
    <row r="1914" spans="12:17" x14ac:dyDescent="0.3">
      <c r="L1914" s="25"/>
      <c r="Q1914" s="17"/>
    </row>
    <row r="1915" spans="12:17" x14ac:dyDescent="0.3">
      <c r="L1915" s="25"/>
      <c r="Q1915" s="17"/>
    </row>
    <row r="1916" spans="12:17" x14ac:dyDescent="0.3">
      <c r="L1916" s="25"/>
      <c r="Q1916" s="17"/>
    </row>
    <row r="1917" spans="12:17" x14ac:dyDescent="0.3">
      <c r="L1917" s="25"/>
      <c r="Q1917" s="17"/>
    </row>
    <row r="1918" spans="12:17" x14ac:dyDescent="0.3">
      <c r="L1918" s="25"/>
      <c r="Q1918" s="17"/>
    </row>
    <row r="1919" spans="12:17" x14ac:dyDescent="0.3">
      <c r="L1919" s="25"/>
      <c r="Q1919" s="17"/>
    </row>
    <row r="1920" spans="12:17" x14ac:dyDescent="0.3">
      <c r="L1920" s="25"/>
      <c r="Q1920" s="17"/>
    </row>
    <row r="1921" spans="12:17" x14ac:dyDescent="0.3">
      <c r="L1921" s="25"/>
      <c r="Q1921" s="17"/>
    </row>
    <row r="1922" spans="12:17" x14ac:dyDescent="0.3">
      <c r="L1922" s="25"/>
      <c r="Q1922" s="17"/>
    </row>
    <row r="1923" spans="12:17" x14ac:dyDescent="0.3">
      <c r="L1923" s="25"/>
      <c r="Q1923" s="17"/>
    </row>
    <row r="1924" spans="12:17" x14ac:dyDescent="0.3">
      <c r="L1924" s="25"/>
      <c r="Q1924" s="17"/>
    </row>
    <row r="1925" spans="12:17" x14ac:dyDescent="0.3">
      <c r="L1925" s="25"/>
      <c r="Q1925" s="17"/>
    </row>
    <row r="1926" spans="12:17" x14ac:dyDescent="0.3">
      <c r="L1926" s="25"/>
      <c r="Q1926" s="17"/>
    </row>
    <row r="1927" spans="12:17" x14ac:dyDescent="0.3">
      <c r="L1927" s="25"/>
      <c r="Q1927" s="17"/>
    </row>
    <row r="1928" spans="12:17" x14ac:dyDescent="0.3">
      <c r="L1928" s="25"/>
      <c r="Q1928" s="17"/>
    </row>
    <row r="1929" spans="12:17" x14ac:dyDescent="0.3">
      <c r="L1929" s="25"/>
      <c r="Q1929" s="17"/>
    </row>
    <row r="1930" spans="12:17" x14ac:dyDescent="0.3">
      <c r="L1930" s="25"/>
      <c r="Q1930" s="17"/>
    </row>
    <row r="1931" spans="12:17" x14ac:dyDescent="0.3">
      <c r="L1931" s="25"/>
      <c r="Q1931" s="17"/>
    </row>
    <row r="1932" spans="12:17" x14ac:dyDescent="0.3">
      <c r="L1932" s="25"/>
      <c r="Q1932" s="17"/>
    </row>
    <row r="1933" spans="12:17" x14ac:dyDescent="0.3">
      <c r="L1933" s="25"/>
      <c r="Q1933" s="17"/>
    </row>
    <row r="1934" spans="12:17" x14ac:dyDescent="0.3">
      <c r="L1934" s="25"/>
      <c r="Q1934" s="17"/>
    </row>
    <row r="1935" spans="12:17" x14ac:dyDescent="0.3">
      <c r="L1935" s="25"/>
      <c r="Q1935" s="17"/>
    </row>
    <row r="1936" spans="12:17" x14ac:dyDescent="0.3">
      <c r="L1936" s="25"/>
      <c r="Q1936" s="17"/>
    </row>
    <row r="1937" spans="12:17" x14ac:dyDescent="0.3">
      <c r="L1937" s="25"/>
      <c r="Q1937" s="17"/>
    </row>
    <row r="1938" spans="12:17" x14ac:dyDescent="0.3">
      <c r="L1938" s="25"/>
      <c r="Q1938" s="17"/>
    </row>
    <row r="1939" spans="12:17" x14ac:dyDescent="0.3">
      <c r="L1939" s="25"/>
      <c r="Q1939" s="17"/>
    </row>
    <row r="1940" spans="12:17" x14ac:dyDescent="0.3">
      <c r="L1940" s="25"/>
      <c r="Q1940" s="17"/>
    </row>
    <row r="1941" spans="12:17" x14ac:dyDescent="0.3">
      <c r="L1941" s="25"/>
      <c r="Q1941" s="17"/>
    </row>
    <row r="1942" spans="12:17" x14ac:dyDescent="0.3">
      <c r="L1942" s="25"/>
      <c r="Q1942" s="17"/>
    </row>
    <row r="1943" spans="12:17" x14ac:dyDescent="0.3">
      <c r="L1943" s="25"/>
      <c r="Q1943" s="17"/>
    </row>
    <row r="1944" spans="12:17" x14ac:dyDescent="0.3">
      <c r="L1944" s="25"/>
      <c r="Q1944" s="17"/>
    </row>
    <row r="1945" spans="12:17" x14ac:dyDescent="0.3">
      <c r="L1945" s="25"/>
      <c r="Q1945" s="17"/>
    </row>
    <row r="1946" spans="12:17" x14ac:dyDescent="0.3">
      <c r="L1946" s="25"/>
      <c r="Q1946" s="17"/>
    </row>
    <row r="1947" spans="12:17" x14ac:dyDescent="0.3">
      <c r="L1947" s="25"/>
      <c r="Q1947" s="17"/>
    </row>
    <row r="1948" spans="12:17" x14ac:dyDescent="0.3">
      <c r="L1948" s="25"/>
      <c r="Q1948" s="17"/>
    </row>
    <row r="1949" spans="12:17" x14ac:dyDescent="0.3">
      <c r="L1949" s="25"/>
      <c r="Q1949" s="17"/>
    </row>
    <row r="1950" spans="12:17" x14ac:dyDescent="0.3">
      <c r="L1950" s="25"/>
      <c r="Q1950" s="17"/>
    </row>
    <row r="1951" spans="12:17" x14ac:dyDescent="0.3">
      <c r="L1951" s="25"/>
      <c r="Q1951" s="17"/>
    </row>
    <row r="1952" spans="12:17" x14ac:dyDescent="0.3">
      <c r="L1952" s="25"/>
      <c r="Q1952" s="17"/>
    </row>
    <row r="1953" spans="12:17" x14ac:dyDescent="0.3">
      <c r="L1953" s="25"/>
      <c r="Q1953" s="17"/>
    </row>
    <row r="1954" spans="12:17" x14ac:dyDescent="0.3">
      <c r="L1954" s="25"/>
      <c r="Q1954" s="17"/>
    </row>
    <row r="1955" spans="12:17" x14ac:dyDescent="0.3">
      <c r="L1955" s="25"/>
      <c r="Q1955" s="17"/>
    </row>
    <row r="1956" spans="12:17" x14ac:dyDescent="0.3">
      <c r="L1956" s="25"/>
      <c r="Q1956" s="17"/>
    </row>
    <row r="1957" spans="12:17" x14ac:dyDescent="0.3">
      <c r="L1957" s="25"/>
      <c r="Q1957" s="17"/>
    </row>
    <row r="1958" spans="12:17" x14ac:dyDescent="0.3">
      <c r="L1958" s="25"/>
      <c r="Q1958" s="17"/>
    </row>
    <row r="1959" spans="12:17" x14ac:dyDescent="0.3">
      <c r="L1959" s="25"/>
      <c r="Q1959" s="17"/>
    </row>
    <row r="1960" spans="12:17" x14ac:dyDescent="0.3">
      <c r="L1960" s="25"/>
      <c r="Q1960" s="17"/>
    </row>
    <row r="1961" spans="12:17" x14ac:dyDescent="0.3">
      <c r="L1961" s="25"/>
      <c r="Q1961" s="17"/>
    </row>
    <row r="1962" spans="12:17" x14ac:dyDescent="0.3">
      <c r="L1962" s="25"/>
      <c r="Q1962" s="17"/>
    </row>
    <row r="1963" spans="12:17" x14ac:dyDescent="0.3">
      <c r="L1963" s="25"/>
      <c r="Q1963" s="17"/>
    </row>
    <row r="1964" spans="12:17" x14ac:dyDescent="0.3">
      <c r="L1964" s="25"/>
      <c r="Q1964" s="17"/>
    </row>
    <row r="1965" spans="12:17" x14ac:dyDescent="0.3">
      <c r="L1965" s="25"/>
      <c r="Q1965" s="17"/>
    </row>
    <row r="1966" spans="12:17" x14ac:dyDescent="0.3">
      <c r="L1966" s="25"/>
      <c r="Q1966" s="17"/>
    </row>
    <row r="1967" spans="12:17" x14ac:dyDescent="0.3">
      <c r="L1967" s="25"/>
      <c r="Q1967" s="17"/>
    </row>
    <row r="1968" spans="12:17" x14ac:dyDescent="0.3">
      <c r="L1968" s="25"/>
      <c r="Q1968" s="17"/>
    </row>
    <row r="1969" spans="12:17" x14ac:dyDescent="0.3">
      <c r="L1969" s="25"/>
      <c r="Q1969" s="17"/>
    </row>
    <row r="1970" spans="12:17" x14ac:dyDescent="0.3">
      <c r="L1970" s="25"/>
      <c r="Q1970" s="17"/>
    </row>
    <row r="1971" spans="12:17" x14ac:dyDescent="0.3">
      <c r="L1971" s="25"/>
      <c r="Q1971" s="17"/>
    </row>
    <row r="1972" spans="12:17" x14ac:dyDescent="0.3">
      <c r="L1972" s="25"/>
      <c r="Q1972" s="17"/>
    </row>
    <row r="1973" spans="12:17" x14ac:dyDescent="0.3">
      <c r="L1973" s="25"/>
      <c r="Q1973" s="17"/>
    </row>
    <row r="1974" spans="12:17" x14ac:dyDescent="0.3">
      <c r="L1974" s="25"/>
      <c r="Q1974" s="17"/>
    </row>
    <row r="1975" spans="12:17" x14ac:dyDescent="0.3">
      <c r="L1975" s="25"/>
      <c r="Q1975" s="17"/>
    </row>
    <row r="1976" spans="12:17" x14ac:dyDescent="0.3">
      <c r="L1976" s="25"/>
      <c r="Q1976" s="17"/>
    </row>
    <row r="1977" spans="12:17" x14ac:dyDescent="0.3">
      <c r="L1977" s="25"/>
      <c r="Q1977" s="17"/>
    </row>
    <row r="1978" spans="12:17" x14ac:dyDescent="0.3">
      <c r="L1978" s="25"/>
      <c r="Q1978" s="17"/>
    </row>
    <row r="1979" spans="12:17" x14ac:dyDescent="0.3">
      <c r="L1979" s="25"/>
      <c r="Q1979" s="17"/>
    </row>
    <row r="1980" spans="12:17" x14ac:dyDescent="0.3">
      <c r="L1980" s="25"/>
      <c r="Q1980" s="17"/>
    </row>
    <row r="1981" spans="12:17" x14ac:dyDescent="0.3">
      <c r="L1981" s="25"/>
      <c r="Q1981" s="17"/>
    </row>
    <row r="1982" spans="12:17" x14ac:dyDescent="0.3">
      <c r="L1982" s="25"/>
      <c r="Q1982" s="17"/>
    </row>
    <row r="1983" spans="12:17" x14ac:dyDescent="0.3">
      <c r="L1983" s="25"/>
      <c r="Q1983" s="17"/>
    </row>
    <row r="1984" spans="12:17" x14ac:dyDescent="0.3">
      <c r="L1984" s="25"/>
      <c r="Q1984" s="17"/>
    </row>
    <row r="1985" spans="12:17" x14ac:dyDescent="0.3">
      <c r="L1985" s="25"/>
      <c r="Q1985" s="17"/>
    </row>
    <row r="1986" spans="12:17" x14ac:dyDescent="0.3">
      <c r="L1986" s="25"/>
      <c r="Q1986" s="17"/>
    </row>
    <row r="1987" spans="12:17" x14ac:dyDescent="0.3">
      <c r="L1987" s="25"/>
      <c r="Q1987" s="17"/>
    </row>
    <row r="1988" spans="12:17" x14ac:dyDescent="0.3">
      <c r="L1988" s="25"/>
      <c r="Q1988" s="17"/>
    </row>
    <row r="1989" spans="12:17" x14ac:dyDescent="0.3">
      <c r="L1989" s="25"/>
      <c r="Q1989" s="17"/>
    </row>
    <row r="1990" spans="12:17" x14ac:dyDescent="0.3">
      <c r="L1990" s="25"/>
      <c r="Q1990" s="17"/>
    </row>
    <row r="1991" spans="12:17" x14ac:dyDescent="0.3">
      <c r="L1991" s="25"/>
      <c r="Q1991" s="17"/>
    </row>
    <row r="1992" spans="12:17" x14ac:dyDescent="0.3">
      <c r="L1992" s="25"/>
      <c r="Q1992" s="17"/>
    </row>
    <row r="1993" spans="12:17" x14ac:dyDescent="0.3">
      <c r="L1993" s="25"/>
      <c r="Q1993" s="17"/>
    </row>
    <row r="1994" spans="12:17" x14ac:dyDescent="0.3">
      <c r="L1994" s="25"/>
      <c r="Q1994" s="17"/>
    </row>
    <row r="1995" spans="12:17" x14ac:dyDescent="0.3">
      <c r="L1995" s="25"/>
      <c r="Q1995" s="17"/>
    </row>
    <row r="1996" spans="12:17" x14ac:dyDescent="0.3">
      <c r="L1996" s="25"/>
      <c r="Q1996" s="17"/>
    </row>
    <row r="1997" spans="12:17" x14ac:dyDescent="0.3">
      <c r="L1997" s="25"/>
      <c r="Q1997" s="17"/>
    </row>
    <row r="1998" spans="12:17" x14ac:dyDescent="0.3">
      <c r="L1998" s="25"/>
      <c r="Q1998" s="17"/>
    </row>
    <row r="1999" spans="12:17" x14ac:dyDescent="0.3">
      <c r="L1999" s="25"/>
      <c r="Q1999" s="17"/>
    </row>
    <row r="2000" spans="12:17" x14ac:dyDescent="0.3">
      <c r="L2000" s="25"/>
      <c r="Q2000" s="17"/>
    </row>
    <row r="2001" spans="12:17" x14ac:dyDescent="0.3">
      <c r="L2001" s="25"/>
      <c r="Q2001" s="17"/>
    </row>
    <row r="2002" spans="12:17" x14ac:dyDescent="0.3">
      <c r="L2002" s="25"/>
      <c r="Q2002" s="17"/>
    </row>
    <row r="2003" spans="12:17" x14ac:dyDescent="0.3">
      <c r="L2003" s="25"/>
      <c r="Q2003" s="17"/>
    </row>
    <row r="2004" spans="12:17" x14ac:dyDescent="0.3">
      <c r="L2004" s="25"/>
      <c r="Q2004" s="17"/>
    </row>
    <row r="2005" spans="12:17" x14ac:dyDescent="0.3">
      <c r="L2005" s="25"/>
      <c r="Q2005" s="17"/>
    </row>
    <row r="2006" spans="12:17" x14ac:dyDescent="0.3">
      <c r="L2006" s="25"/>
      <c r="Q2006" s="17"/>
    </row>
    <row r="2007" spans="12:17" x14ac:dyDescent="0.3">
      <c r="L2007" s="25"/>
      <c r="Q2007" s="17"/>
    </row>
    <row r="2008" spans="12:17" x14ac:dyDescent="0.3">
      <c r="L2008" s="25"/>
      <c r="Q2008" s="17"/>
    </row>
    <row r="2009" spans="12:17" x14ac:dyDescent="0.3">
      <c r="L2009" s="25"/>
      <c r="Q2009" s="17"/>
    </row>
    <row r="2010" spans="12:17" x14ac:dyDescent="0.3">
      <c r="L2010" s="25"/>
      <c r="Q2010" s="17"/>
    </row>
    <row r="2011" spans="12:17" x14ac:dyDescent="0.3">
      <c r="L2011" s="25"/>
      <c r="Q2011" s="17"/>
    </row>
    <row r="2012" spans="12:17" x14ac:dyDescent="0.3">
      <c r="L2012" s="25"/>
      <c r="Q2012" s="17"/>
    </row>
    <row r="2013" spans="12:17" x14ac:dyDescent="0.3">
      <c r="L2013" s="25"/>
      <c r="Q2013" s="17"/>
    </row>
    <row r="2014" spans="12:17" x14ac:dyDescent="0.3">
      <c r="L2014" s="25"/>
      <c r="Q2014" s="17"/>
    </row>
    <row r="2015" spans="12:17" x14ac:dyDescent="0.3">
      <c r="L2015" s="25"/>
      <c r="Q2015" s="17"/>
    </row>
    <row r="2016" spans="12:17" x14ac:dyDescent="0.3">
      <c r="L2016" s="25"/>
      <c r="Q2016" s="17"/>
    </row>
    <row r="2017" spans="12:17" x14ac:dyDescent="0.3">
      <c r="L2017" s="25"/>
      <c r="Q2017" s="17"/>
    </row>
    <row r="2018" spans="12:17" x14ac:dyDescent="0.3">
      <c r="L2018" s="25"/>
      <c r="Q2018" s="17"/>
    </row>
    <row r="2019" spans="12:17" x14ac:dyDescent="0.3">
      <c r="L2019" s="25"/>
      <c r="Q2019" s="17"/>
    </row>
    <row r="2020" spans="12:17" x14ac:dyDescent="0.3">
      <c r="L2020" s="25"/>
      <c r="Q2020" s="17"/>
    </row>
    <row r="2021" spans="12:17" x14ac:dyDescent="0.3">
      <c r="L2021" s="25"/>
      <c r="Q2021" s="17"/>
    </row>
    <row r="2022" spans="12:17" x14ac:dyDescent="0.3">
      <c r="L2022" s="25"/>
      <c r="Q2022" s="17"/>
    </row>
    <row r="2023" spans="12:17" x14ac:dyDescent="0.3">
      <c r="L2023" s="25"/>
      <c r="Q2023" s="17"/>
    </row>
    <row r="2024" spans="12:17" x14ac:dyDescent="0.3">
      <c r="L2024" s="25"/>
      <c r="Q2024" s="17"/>
    </row>
    <row r="2025" spans="12:17" x14ac:dyDescent="0.3">
      <c r="L2025" s="25"/>
      <c r="Q2025" s="17"/>
    </row>
    <row r="2026" spans="12:17" x14ac:dyDescent="0.3">
      <c r="L2026" s="25"/>
      <c r="Q2026" s="17"/>
    </row>
    <row r="2027" spans="12:17" x14ac:dyDescent="0.3">
      <c r="L2027" s="25"/>
      <c r="Q2027" s="17"/>
    </row>
    <row r="2028" spans="12:17" x14ac:dyDescent="0.3">
      <c r="L2028" s="25"/>
      <c r="Q2028" s="17"/>
    </row>
    <row r="2029" spans="12:17" x14ac:dyDescent="0.3">
      <c r="L2029" s="25"/>
      <c r="Q2029" s="17"/>
    </row>
    <row r="2030" spans="12:17" x14ac:dyDescent="0.3">
      <c r="L2030" s="25"/>
      <c r="Q2030" s="17"/>
    </row>
    <row r="2031" spans="12:17" x14ac:dyDescent="0.3">
      <c r="L2031" s="25"/>
      <c r="Q2031" s="17"/>
    </row>
    <row r="2032" spans="12:17" x14ac:dyDescent="0.3">
      <c r="L2032" s="25"/>
      <c r="Q2032" s="17"/>
    </row>
    <row r="2033" spans="12:17" x14ac:dyDescent="0.3">
      <c r="L2033" s="25"/>
      <c r="Q2033" s="17"/>
    </row>
    <row r="2034" spans="12:17" x14ac:dyDescent="0.3">
      <c r="L2034" s="25"/>
      <c r="Q2034" s="17"/>
    </row>
    <row r="2035" spans="12:17" x14ac:dyDescent="0.3">
      <c r="L2035" s="25"/>
      <c r="Q2035" s="17"/>
    </row>
    <row r="2036" spans="12:17" x14ac:dyDescent="0.3">
      <c r="L2036" s="25"/>
      <c r="Q2036" s="17"/>
    </row>
    <row r="2037" spans="12:17" x14ac:dyDescent="0.3">
      <c r="L2037" s="25"/>
      <c r="Q2037" s="17"/>
    </row>
    <row r="2038" spans="12:17" x14ac:dyDescent="0.3">
      <c r="L2038" s="25"/>
      <c r="Q2038" s="17"/>
    </row>
    <row r="2039" spans="12:17" x14ac:dyDescent="0.3">
      <c r="L2039" s="25"/>
      <c r="Q2039" s="17"/>
    </row>
    <row r="2040" spans="12:17" x14ac:dyDescent="0.3">
      <c r="L2040" s="25"/>
      <c r="Q2040" s="17"/>
    </row>
    <row r="2041" spans="12:17" x14ac:dyDescent="0.3">
      <c r="L2041" s="25"/>
      <c r="Q2041" s="17"/>
    </row>
    <row r="2042" spans="12:17" x14ac:dyDescent="0.3">
      <c r="L2042" s="25"/>
      <c r="Q2042" s="17"/>
    </row>
    <row r="2043" spans="12:17" x14ac:dyDescent="0.3">
      <c r="L2043" s="25"/>
      <c r="Q2043" s="17"/>
    </row>
    <row r="2044" spans="12:17" x14ac:dyDescent="0.3">
      <c r="L2044" s="25"/>
      <c r="Q2044" s="17"/>
    </row>
    <row r="2045" spans="12:17" x14ac:dyDescent="0.3">
      <c r="L2045" s="25"/>
      <c r="Q2045" s="17"/>
    </row>
    <row r="2046" spans="12:17" x14ac:dyDescent="0.3">
      <c r="L2046" s="25"/>
      <c r="Q2046" s="17"/>
    </row>
    <row r="2047" spans="12:17" x14ac:dyDescent="0.3">
      <c r="L2047" s="25"/>
      <c r="Q2047" s="17"/>
    </row>
    <row r="2048" spans="12:17" x14ac:dyDescent="0.3">
      <c r="L2048" s="25"/>
      <c r="Q2048" s="17"/>
    </row>
    <row r="2049" spans="12:17" x14ac:dyDescent="0.3">
      <c r="L2049" s="25"/>
      <c r="Q2049" s="17"/>
    </row>
    <row r="2050" spans="12:17" x14ac:dyDescent="0.3">
      <c r="L2050" s="25"/>
      <c r="Q2050" s="17"/>
    </row>
    <row r="2051" spans="12:17" x14ac:dyDescent="0.3">
      <c r="L2051" s="25"/>
      <c r="Q2051" s="17"/>
    </row>
    <row r="2052" spans="12:17" x14ac:dyDescent="0.3">
      <c r="L2052" s="25"/>
      <c r="Q2052" s="17"/>
    </row>
    <row r="2053" spans="12:17" x14ac:dyDescent="0.3">
      <c r="L2053" s="25"/>
      <c r="Q2053" s="17"/>
    </row>
    <row r="2054" spans="12:17" x14ac:dyDescent="0.3">
      <c r="L2054" s="25"/>
      <c r="Q2054" s="17"/>
    </row>
    <row r="2055" spans="12:17" x14ac:dyDescent="0.3">
      <c r="L2055" s="25"/>
      <c r="Q2055" s="17"/>
    </row>
    <row r="2056" spans="12:17" x14ac:dyDescent="0.3">
      <c r="L2056" s="25"/>
      <c r="Q2056" s="17"/>
    </row>
    <row r="2057" spans="12:17" x14ac:dyDescent="0.3">
      <c r="L2057" s="25"/>
      <c r="Q2057" s="17"/>
    </row>
    <row r="2058" spans="12:17" x14ac:dyDescent="0.3">
      <c r="L2058" s="25"/>
      <c r="Q2058" s="17"/>
    </row>
    <row r="2059" spans="12:17" x14ac:dyDescent="0.3">
      <c r="L2059" s="25"/>
      <c r="Q2059" s="17"/>
    </row>
    <row r="2060" spans="12:17" x14ac:dyDescent="0.3">
      <c r="L2060" s="25"/>
      <c r="Q2060" s="17"/>
    </row>
    <row r="2061" spans="12:17" x14ac:dyDescent="0.3">
      <c r="L2061" s="25"/>
      <c r="Q2061" s="17"/>
    </row>
    <row r="2062" spans="12:17" x14ac:dyDescent="0.3">
      <c r="L2062" s="25"/>
      <c r="Q2062" s="17"/>
    </row>
    <row r="2063" spans="12:17" x14ac:dyDescent="0.3">
      <c r="L2063" s="25"/>
      <c r="Q2063" s="17"/>
    </row>
    <row r="2064" spans="12:17" x14ac:dyDescent="0.3">
      <c r="L2064" s="25"/>
      <c r="Q2064" s="17"/>
    </row>
    <row r="2065" spans="12:17" x14ac:dyDescent="0.3">
      <c r="L2065" s="25"/>
      <c r="Q2065" s="17"/>
    </row>
    <row r="2066" spans="12:17" x14ac:dyDescent="0.3">
      <c r="L2066" s="25"/>
      <c r="Q2066" s="17"/>
    </row>
    <row r="2067" spans="12:17" x14ac:dyDescent="0.3">
      <c r="L2067" s="25"/>
      <c r="Q2067" s="17"/>
    </row>
    <row r="2068" spans="12:17" x14ac:dyDescent="0.3">
      <c r="L2068" s="25"/>
      <c r="Q2068" s="17"/>
    </row>
    <row r="2069" spans="12:17" x14ac:dyDescent="0.3">
      <c r="L2069" s="25"/>
      <c r="Q2069" s="17"/>
    </row>
    <row r="2070" spans="12:17" x14ac:dyDescent="0.3">
      <c r="L2070" s="25"/>
      <c r="Q2070" s="17"/>
    </row>
    <row r="2071" spans="12:17" x14ac:dyDescent="0.3">
      <c r="L2071" s="25"/>
      <c r="Q2071" s="17"/>
    </row>
    <row r="2072" spans="12:17" x14ac:dyDescent="0.3">
      <c r="L2072" s="25"/>
      <c r="Q2072" s="17"/>
    </row>
    <row r="2073" spans="12:17" x14ac:dyDescent="0.3">
      <c r="L2073" s="25"/>
      <c r="Q2073" s="17"/>
    </row>
    <row r="2074" spans="12:17" x14ac:dyDescent="0.3">
      <c r="L2074" s="25"/>
      <c r="Q2074" s="17"/>
    </row>
    <row r="2075" spans="12:17" x14ac:dyDescent="0.3">
      <c r="L2075" s="25"/>
      <c r="Q2075" s="17"/>
    </row>
    <row r="2076" spans="12:17" x14ac:dyDescent="0.3">
      <c r="L2076" s="25"/>
      <c r="Q2076" s="17"/>
    </row>
    <row r="2077" spans="12:17" x14ac:dyDescent="0.3">
      <c r="L2077" s="25"/>
      <c r="Q2077" s="17"/>
    </row>
    <row r="2078" spans="12:17" x14ac:dyDescent="0.3">
      <c r="L2078" s="25"/>
      <c r="Q2078" s="17"/>
    </row>
    <row r="2079" spans="12:17" x14ac:dyDescent="0.3">
      <c r="L2079" s="25"/>
      <c r="Q2079" s="17"/>
    </row>
    <row r="2080" spans="12:17" x14ac:dyDescent="0.3">
      <c r="L2080" s="25"/>
      <c r="Q2080" s="17"/>
    </row>
    <row r="2081" spans="12:17" x14ac:dyDescent="0.3">
      <c r="L2081" s="25"/>
      <c r="Q2081" s="17"/>
    </row>
    <row r="2082" spans="12:17" x14ac:dyDescent="0.3">
      <c r="L2082" s="25"/>
      <c r="Q2082" s="17"/>
    </row>
    <row r="2083" spans="12:17" x14ac:dyDescent="0.3">
      <c r="L2083" s="25"/>
      <c r="Q2083" s="17"/>
    </row>
    <row r="2084" spans="12:17" x14ac:dyDescent="0.3">
      <c r="L2084" s="25"/>
      <c r="Q2084" s="17"/>
    </row>
    <row r="2085" spans="12:17" x14ac:dyDescent="0.3">
      <c r="L2085" s="25"/>
      <c r="Q2085" s="17"/>
    </row>
    <row r="2086" spans="12:17" x14ac:dyDescent="0.3">
      <c r="L2086" s="25"/>
      <c r="Q2086" s="17"/>
    </row>
    <row r="2087" spans="12:17" x14ac:dyDescent="0.3">
      <c r="L2087" s="25"/>
      <c r="Q2087" s="17"/>
    </row>
    <row r="2088" spans="12:17" x14ac:dyDescent="0.3">
      <c r="L2088" s="25"/>
      <c r="Q2088" s="17"/>
    </row>
    <row r="2089" spans="12:17" x14ac:dyDescent="0.3">
      <c r="L2089" s="25"/>
      <c r="Q2089" s="17"/>
    </row>
    <row r="2090" spans="12:17" x14ac:dyDescent="0.3">
      <c r="L2090" s="25"/>
      <c r="Q2090" s="17"/>
    </row>
    <row r="2091" spans="12:17" x14ac:dyDescent="0.3">
      <c r="L2091" s="25"/>
      <c r="Q2091" s="17"/>
    </row>
    <row r="2092" spans="12:17" x14ac:dyDescent="0.3">
      <c r="L2092" s="25"/>
      <c r="Q2092" s="17"/>
    </row>
    <row r="2093" spans="12:17" x14ac:dyDescent="0.3">
      <c r="L2093" s="25"/>
      <c r="Q2093" s="17"/>
    </row>
    <row r="2094" spans="12:17" x14ac:dyDescent="0.3">
      <c r="L2094" s="25"/>
      <c r="Q2094" s="17"/>
    </row>
    <row r="2095" spans="12:17" x14ac:dyDescent="0.3">
      <c r="L2095" s="25"/>
      <c r="Q2095" s="17"/>
    </row>
    <row r="2096" spans="12:17" x14ac:dyDescent="0.3">
      <c r="L2096" s="25"/>
      <c r="Q2096" s="17"/>
    </row>
    <row r="2097" spans="12:17" x14ac:dyDescent="0.3">
      <c r="L2097" s="25"/>
      <c r="Q2097" s="17"/>
    </row>
    <row r="2098" spans="12:17" x14ac:dyDescent="0.3">
      <c r="L2098" s="25"/>
      <c r="Q2098" s="17"/>
    </row>
    <row r="2099" spans="12:17" x14ac:dyDescent="0.3">
      <c r="L2099" s="25"/>
      <c r="Q2099" s="17"/>
    </row>
    <row r="2100" spans="12:17" x14ac:dyDescent="0.3">
      <c r="L2100" s="25"/>
      <c r="Q2100" s="17"/>
    </row>
    <row r="2101" spans="12:17" x14ac:dyDescent="0.3">
      <c r="L2101" s="25"/>
      <c r="Q2101" s="17"/>
    </row>
    <row r="2102" spans="12:17" x14ac:dyDescent="0.3">
      <c r="L2102" s="25"/>
      <c r="Q2102" s="17"/>
    </row>
    <row r="2103" spans="12:17" x14ac:dyDescent="0.3">
      <c r="L2103" s="25"/>
      <c r="Q2103" s="17"/>
    </row>
    <row r="2104" spans="12:17" x14ac:dyDescent="0.3">
      <c r="L2104" s="25"/>
      <c r="Q2104" s="17"/>
    </row>
    <row r="2105" spans="12:17" x14ac:dyDescent="0.3">
      <c r="L2105" s="25"/>
      <c r="Q2105" s="17"/>
    </row>
    <row r="2106" spans="12:17" x14ac:dyDescent="0.3">
      <c r="L2106" s="25"/>
      <c r="Q2106" s="17"/>
    </row>
    <row r="2107" spans="12:17" x14ac:dyDescent="0.3">
      <c r="L2107" s="25"/>
      <c r="Q2107" s="17"/>
    </row>
    <row r="2108" spans="12:17" x14ac:dyDescent="0.3">
      <c r="L2108" s="25"/>
      <c r="Q2108" s="17"/>
    </row>
    <row r="2109" spans="12:17" x14ac:dyDescent="0.3">
      <c r="L2109" s="25"/>
      <c r="Q2109" s="17"/>
    </row>
    <row r="2110" spans="12:17" x14ac:dyDescent="0.3">
      <c r="L2110" s="25"/>
      <c r="Q2110" s="17"/>
    </row>
    <row r="2111" spans="12:17" x14ac:dyDescent="0.3">
      <c r="L2111" s="25"/>
      <c r="Q2111" s="17"/>
    </row>
    <row r="2112" spans="12:17" x14ac:dyDescent="0.3">
      <c r="L2112" s="25"/>
      <c r="Q2112" s="17"/>
    </row>
    <row r="2113" spans="12:17" x14ac:dyDescent="0.3">
      <c r="L2113" s="25"/>
      <c r="Q2113" s="17"/>
    </row>
    <row r="2114" spans="12:17" x14ac:dyDescent="0.3">
      <c r="L2114" s="25"/>
      <c r="Q2114" s="17"/>
    </row>
    <row r="2115" spans="12:17" x14ac:dyDescent="0.3">
      <c r="L2115" s="25"/>
      <c r="Q2115" s="17"/>
    </row>
    <row r="2116" spans="12:17" x14ac:dyDescent="0.3">
      <c r="L2116" s="25"/>
      <c r="Q2116" s="17"/>
    </row>
    <row r="2117" spans="12:17" x14ac:dyDescent="0.3">
      <c r="L2117" s="25"/>
      <c r="Q2117" s="17"/>
    </row>
    <row r="2118" spans="12:17" x14ac:dyDescent="0.3">
      <c r="L2118" s="25"/>
      <c r="Q2118" s="17"/>
    </row>
    <row r="2119" spans="12:17" x14ac:dyDescent="0.3">
      <c r="L2119" s="25"/>
      <c r="Q2119" s="17"/>
    </row>
    <row r="2120" spans="12:17" x14ac:dyDescent="0.3">
      <c r="L2120" s="25"/>
      <c r="Q2120" s="17"/>
    </row>
    <row r="2121" spans="12:17" x14ac:dyDescent="0.3">
      <c r="L2121" s="25"/>
      <c r="Q2121" s="17"/>
    </row>
    <row r="2122" spans="12:17" x14ac:dyDescent="0.3">
      <c r="L2122" s="25"/>
      <c r="Q2122" s="17"/>
    </row>
    <row r="2123" spans="12:17" x14ac:dyDescent="0.3">
      <c r="L2123" s="25"/>
      <c r="Q2123" s="17"/>
    </row>
    <row r="2124" spans="12:17" x14ac:dyDescent="0.3">
      <c r="L2124" s="25"/>
      <c r="Q2124" s="17"/>
    </row>
    <row r="2125" spans="12:17" x14ac:dyDescent="0.3">
      <c r="L2125" s="25"/>
      <c r="Q2125" s="17"/>
    </row>
    <row r="2126" spans="12:17" x14ac:dyDescent="0.3">
      <c r="L2126" s="25"/>
      <c r="Q2126" s="17"/>
    </row>
    <row r="2127" spans="12:17" x14ac:dyDescent="0.3">
      <c r="L2127" s="25"/>
      <c r="Q2127" s="17"/>
    </row>
    <row r="2128" spans="12:17" x14ac:dyDescent="0.3">
      <c r="L2128" s="25"/>
      <c r="Q2128" s="17"/>
    </row>
    <row r="2129" spans="12:17" x14ac:dyDescent="0.3">
      <c r="L2129" s="25"/>
      <c r="Q2129" s="17"/>
    </row>
    <row r="2130" spans="12:17" x14ac:dyDescent="0.3">
      <c r="L2130" s="25"/>
      <c r="Q2130" s="17"/>
    </row>
    <row r="2131" spans="12:17" x14ac:dyDescent="0.3">
      <c r="L2131" s="25"/>
      <c r="Q2131" s="17"/>
    </row>
    <row r="2132" spans="12:17" x14ac:dyDescent="0.3">
      <c r="L2132" s="25"/>
      <c r="Q2132" s="17"/>
    </row>
    <row r="2133" spans="12:17" x14ac:dyDescent="0.3">
      <c r="L2133" s="25"/>
      <c r="Q2133" s="17"/>
    </row>
    <row r="2134" spans="12:17" x14ac:dyDescent="0.3">
      <c r="L2134" s="25"/>
      <c r="Q2134" s="17"/>
    </row>
    <row r="2135" spans="12:17" x14ac:dyDescent="0.3">
      <c r="L2135" s="25"/>
      <c r="Q2135" s="17"/>
    </row>
    <row r="2136" spans="12:17" x14ac:dyDescent="0.3">
      <c r="L2136" s="25"/>
      <c r="Q2136" s="17"/>
    </row>
    <row r="2137" spans="12:17" x14ac:dyDescent="0.3">
      <c r="L2137" s="25"/>
      <c r="Q2137" s="17"/>
    </row>
    <row r="2138" spans="12:17" x14ac:dyDescent="0.3">
      <c r="L2138" s="25"/>
      <c r="Q2138" s="17"/>
    </row>
    <row r="2139" spans="12:17" x14ac:dyDescent="0.3">
      <c r="L2139" s="25"/>
      <c r="Q2139" s="17"/>
    </row>
    <row r="2140" spans="12:17" x14ac:dyDescent="0.3">
      <c r="L2140" s="25"/>
      <c r="Q2140" s="17"/>
    </row>
    <row r="2141" spans="12:17" x14ac:dyDescent="0.3">
      <c r="L2141" s="25"/>
      <c r="Q2141" s="17"/>
    </row>
    <row r="2142" spans="12:17" x14ac:dyDescent="0.3">
      <c r="L2142" s="25"/>
      <c r="Q2142" s="17"/>
    </row>
    <row r="2143" spans="12:17" x14ac:dyDescent="0.3">
      <c r="L2143" s="25"/>
      <c r="Q2143" s="17"/>
    </row>
    <row r="2144" spans="12:17" x14ac:dyDescent="0.3">
      <c r="L2144" s="25"/>
      <c r="Q2144" s="17"/>
    </row>
    <row r="2145" spans="12:17" x14ac:dyDescent="0.3">
      <c r="L2145" s="25"/>
      <c r="Q2145" s="17"/>
    </row>
    <row r="2146" spans="12:17" x14ac:dyDescent="0.3">
      <c r="L2146" s="25"/>
      <c r="Q2146" s="17"/>
    </row>
    <row r="2147" spans="12:17" x14ac:dyDescent="0.3">
      <c r="L2147" s="25"/>
      <c r="Q2147" s="17"/>
    </row>
    <row r="2148" spans="12:17" x14ac:dyDescent="0.3">
      <c r="L2148" s="25"/>
      <c r="Q2148" s="17"/>
    </row>
    <row r="2149" spans="12:17" x14ac:dyDescent="0.3">
      <c r="L2149" s="25"/>
      <c r="Q2149" s="17"/>
    </row>
    <row r="2150" spans="12:17" x14ac:dyDescent="0.3">
      <c r="L2150" s="25"/>
      <c r="Q2150" s="17"/>
    </row>
    <row r="2151" spans="12:17" x14ac:dyDescent="0.3">
      <c r="L2151" s="25"/>
      <c r="Q2151" s="17"/>
    </row>
    <row r="2152" spans="12:17" x14ac:dyDescent="0.3">
      <c r="L2152" s="25"/>
      <c r="Q2152" s="17"/>
    </row>
    <row r="2153" spans="12:17" x14ac:dyDescent="0.3">
      <c r="L2153" s="25"/>
      <c r="Q2153" s="17"/>
    </row>
    <row r="2154" spans="12:17" x14ac:dyDescent="0.3">
      <c r="L2154" s="25"/>
      <c r="Q2154" s="17"/>
    </row>
    <row r="2155" spans="12:17" x14ac:dyDescent="0.3">
      <c r="L2155" s="25"/>
      <c r="Q2155" s="17"/>
    </row>
    <row r="2156" spans="12:17" x14ac:dyDescent="0.3">
      <c r="L2156" s="25"/>
      <c r="Q2156" s="17"/>
    </row>
    <row r="2157" spans="12:17" x14ac:dyDescent="0.3">
      <c r="L2157" s="25"/>
      <c r="Q2157" s="17"/>
    </row>
    <row r="2158" spans="12:17" x14ac:dyDescent="0.3">
      <c r="L2158" s="25"/>
      <c r="Q2158" s="17"/>
    </row>
    <row r="2159" spans="12:17" x14ac:dyDescent="0.3">
      <c r="L2159" s="25"/>
      <c r="Q2159" s="17"/>
    </row>
    <row r="2160" spans="12:17" x14ac:dyDescent="0.3">
      <c r="L2160" s="25"/>
      <c r="Q2160" s="17"/>
    </row>
    <row r="2161" spans="12:17" x14ac:dyDescent="0.3">
      <c r="L2161" s="25"/>
      <c r="Q2161" s="17"/>
    </row>
    <row r="2162" spans="12:17" x14ac:dyDescent="0.3">
      <c r="L2162" s="25"/>
      <c r="Q2162" s="17"/>
    </row>
    <row r="2163" spans="12:17" x14ac:dyDescent="0.3">
      <c r="L2163" s="25"/>
      <c r="Q2163" s="17"/>
    </row>
    <row r="2164" spans="12:17" x14ac:dyDescent="0.3">
      <c r="L2164" s="25"/>
      <c r="Q2164" s="17"/>
    </row>
    <row r="2165" spans="12:17" x14ac:dyDescent="0.3">
      <c r="L2165" s="25"/>
      <c r="Q2165" s="17"/>
    </row>
    <row r="2166" spans="12:17" x14ac:dyDescent="0.3">
      <c r="L2166" s="25"/>
      <c r="Q2166" s="17"/>
    </row>
    <row r="2167" spans="12:17" x14ac:dyDescent="0.3">
      <c r="L2167" s="25"/>
      <c r="Q2167" s="17"/>
    </row>
    <row r="2168" spans="12:17" x14ac:dyDescent="0.3">
      <c r="L2168" s="25"/>
      <c r="Q2168" s="17"/>
    </row>
    <row r="2169" spans="12:17" x14ac:dyDescent="0.3">
      <c r="L2169" s="25"/>
      <c r="Q2169" s="17"/>
    </row>
    <row r="2170" spans="12:17" x14ac:dyDescent="0.3">
      <c r="L2170" s="25"/>
      <c r="Q2170" s="17"/>
    </row>
    <row r="2171" spans="12:17" x14ac:dyDescent="0.3">
      <c r="L2171" s="25"/>
      <c r="Q2171" s="17"/>
    </row>
    <row r="2172" spans="12:17" x14ac:dyDescent="0.3">
      <c r="L2172" s="25"/>
      <c r="Q2172" s="17"/>
    </row>
    <row r="2173" spans="12:17" x14ac:dyDescent="0.3">
      <c r="L2173" s="25"/>
      <c r="Q2173" s="17"/>
    </row>
    <row r="2174" spans="12:17" x14ac:dyDescent="0.3">
      <c r="L2174" s="25"/>
      <c r="Q2174" s="17"/>
    </row>
    <row r="2175" spans="12:17" x14ac:dyDescent="0.3">
      <c r="L2175" s="25"/>
      <c r="Q2175" s="17"/>
    </row>
    <row r="2176" spans="12:17" x14ac:dyDescent="0.3">
      <c r="L2176" s="25"/>
      <c r="Q2176" s="17"/>
    </row>
    <row r="2177" spans="12:17" x14ac:dyDescent="0.3">
      <c r="L2177" s="25"/>
      <c r="Q2177" s="17"/>
    </row>
    <row r="2178" spans="12:17" x14ac:dyDescent="0.3">
      <c r="L2178" s="25"/>
      <c r="Q2178" s="17"/>
    </row>
    <row r="2179" spans="12:17" x14ac:dyDescent="0.3">
      <c r="L2179" s="25"/>
      <c r="Q2179" s="17"/>
    </row>
    <row r="2180" spans="12:17" x14ac:dyDescent="0.3">
      <c r="L2180" s="25"/>
      <c r="Q2180" s="17"/>
    </row>
    <row r="2181" spans="12:17" x14ac:dyDescent="0.3">
      <c r="L2181" s="25"/>
      <c r="Q2181" s="17"/>
    </row>
    <row r="2182" spans="12:17" x14ac:dyDescent="0.3">
      <c r="L2182" s="25"/>
      <c r="Q2182" s="17"/>
    </row>
    <row r="2183" spans="12:17" x14ac:dyDescent="0.3">
      <c r="L2183" s="25"/>
      <c r="Q2183" s="17"/>
    </row>
    <row r="2184" spans="12:17" x14ac:dyDescent="0.3">
      <c r="L2184" s="25"/>
      <c r="Q2184" s="17"/>
    </row>
    <row r="2185" spans="12:17" x14ac:dyDescent="0.3">
      <c r="L2185" s="25"/>
      <c r="Q2185" s="17"/>
    </row>
    <row r="2186" spans="12:17" x14ac:dyDescent="0.3">
      <c r="L2186" s="25"/>
      <c r="Q2186" s="17"/>
    </row>
    <row r="2187" spans="12:17" x14ac:dyDescent="0.3">
      <c r="L2187" s="25"/>
      <c r="Q2187" s="17"/>
    </row>
    <row r="2188" spans="12:17" x14ac:dyDescent="0.3">
      <c r="L2188" s="25"/>
      <c r="Q2188" s="17"/>
    </row>
    <row r="2189" spans="12:17" x14ac:dyDescent="0.3">
      <c r="L2189" s="25"/>
      <c r="Q2189" s="17"/>
    </row>
    <row r="2190" spans="12:17" x14ac:dyDescent="0.3">
      <c r="L2190" s="25"/>
      <c r="Q2190" s="17"/>
    </row>
    <row r="2191" spans="12:17" x14ac:dyDescent="0.3">
      <c r="L2191" s="25"/>
      <c r="Q2191" s="17"/>
    </row>
    <row r="2192" spans="12:17" x14ac:dyDescent="0.3">
      <c r="L2192" s="25"/>
      <c r="Q2192" s="17"/>
    </row>
    <row r="2193" spans="12:17" x14ac:dyDescent="0.3">
      <c r="L2193" s="25"/>
      <c r="Q2193" s="17"/>
    </row>
    <row r="2194" spans="12:17" x14ac:dyDescent="0.3">
      <c r="L2194" s="25"/>
      <c r="Q2194" s="17"/>
    </row>
    <row r="2195" spans="12:17" x14ac:dyDescent="0.3">
      <c r="L2195" s="25"/>
      <c r="Q2195" s="17"/>
    </row>
    <row r="2196" spans="12:17" x14ac:dyDescent="0.3">
      <c r="L2196" s="25"/>
      <c r="Q2196" s="17"/>
    </row>
    <row r="2197" spans="12:17" x14ac:dyDescent="0.3">
      <c r="L2197" s="25"/>
      <c r="Q2197" s="17"/>
    </row>
    <row r="2198" spans="12:17" x14ac:dyDescent="0.3">
      <c r="L2198" s="25"/>
      <c r="Q2198" s="17"/>
    </row>
    <row r="2199" spans="12:17" x14ac:dyDescent="0.3">
      <c r="L2199" s="25"/>
      <c r="Q2199" s="17"/>
    </row>
    <row r="2200" spans="12:17" x14ac:dyDescent="0.3">
      <c r="L2200" s="25"/>
      <c r="Q2200" s="17"/>
    </row>
    <row r="2201" spans="12:17" x14ac:dyDescent="0.3">
      <c r="L2201" s="25"/>
      <c r="Q2201" s="17"/>
    </row>
    <row r="2202" spans="12:17" x14ac:dyDescent="0.3">
      <c r="L2202" s="25"/>
      <c r="Q2202" s="17"/>
    </row>
    <row r="2203" spans="12:17" x14ac:dyDescent="0.3">
      <c r="L2203" s="25"/>
      <c r="Q2203" s="17"/>
    </row>
    <row r="2204" spans="12:17" x14ac:dyDescent="0.3">
      <c r="L2204" s="25"/>
      <c r="Q2204" s="17"/>
    </row>
    <row r="2205" spans="12:17" x14ac:dyDescent="0.3">
      <c r="L2205" s="25"/>
      <c r="Q2205" s="17"/>
    </row>
    <row r="2206" spans="12:17" x14ac:dyDescent="0.3">
      <c r="L2206" s="25"/>
      <c r="Q2206" s="17"/>
    </row>
    <row r="2207" spans="12:17" x14ac:dyDescent="0.3">
      <c r="L2207" s="25"/>
      <c r="Q2207" s="17"/>
    </row>
    <row r="2208" spans="12:17" x14ac:dyDescent="0.3">
      <c r="L2208" s="25"/>
      <c r="Q2208" s="17"/>
    </row>
    <row r="2209" spans="12:17" x14ac:dyDescent="0.3">
      <c r="L2209" s="25"/>
      <c r="Q2209" s="17"/>
    </row>
    <row r="2210" spans="12:17" x14ac:dyDescent="0.3">
      <c r="L2210" s="25"/>
      <c r="Q2210" s="17"/>
    </row>
    <row r="2211" spans="12:17" x14ac:dyDescent="0.3">
      <c r="L2211" s="25"/>
      <c r="Q2211" s="17"/>
    </row>
    <row r="2212" spans="12:17" x14ac:dyDescent="0.3">
      <c r="L2212" s="25"/>
      <c r="Q2212" s="17"/>
    </row>
    <row r="2213" spans="12:17" x14ac:dyDescent="0.3">
      <c r="L2213" s="25"/>
      <c r="Q2213" s="17"/>
    </row>
    <row r="2214" spans="12:17" x14ac:dyDescent="0.3">
      <c r="L2214" s="25"/>
      <c r="Q2214" s="17"/>
    </row>
    <row r="2215" spans="12:17" x14ac:dyDescent="0.3">
      <c r="L2215" s="25"/>
      <c r="Q2215" s="17"/>
    </row>
    <row r="2216" spans="12:17" x14ac:dyDescent="0.3">
      <c r="L2216" s="25"/>
      <c r="Q2216" s="17"/>
    </row>
    <row r="2217" spans="12:17" x14ac:dyDescent="0.3">
      <c r="L2217" s="25"/>
      <c r="Q2217" s="17"/>
    </row>
    <row r="2218" spans="12:17" x14ac:dyDescent="0.3">
      <c r="L2218" s="25"/>
      <c r="Q2218" s="17"/>
    </row>
    <row r="2219" spans="12:17" x14ac:dyDescent="0.3">
      <c r="L2219" s="25"/>
      <c r="Q2219" s="17"/>
    </row>
    <row r="2220" spans="12:17" x14ac:dyDescent="0.3">
      <c r="L2220" s="25"/>
      <c r="Q2220" s="17"/>
    </row>
    <row r="2221" spans="12:17" x14ac:dyDescent="0.3">
      <c r="L2221" s="25"/>
      <c r="Q2221" s="17"/>
    </row>
    <row r="2222" spans="12:17" x14ac:dyDescent="0.3">
      <c r="L2222" s="25"/>
      <c r="Q2222" s="17"/>
    </row>
    <row r="2223" spans="12:17" x14ac:dyDescent="0.3">
      <c r="L2223" s="25"/>
      <c r="Q2223" s="17"/>
    </row>
    <row r="2224" spans="12:17" x14ac:dyDescent="0.3">
      <c r="L2224" s="25"/>
      <c r="Q2224" s="17"/>
    </row>
    <row r="2225" spans="12:17" x14ac:dyDescent="0.3">
      <c r="L2225" s="25"/>
      <c r="Q2225" s="17"/>
    </row>
    <row r="2226" spans="12:17" x14ac:dyDescent="0.3">
      <c r="L2226" s="25"/>
      <c r="Q2226" s="17"/>
    </row>
    <row r="2227" spans="12:17" x14ac:dyDescent="0.3">
      <c r="L2227" s="25"/>
      <c r="Q2227" s="17"/>
    </row>
    <row r="2228" spans="12:17" x14ac:dyDescent="0.3">
      <c r="L2228" s="25"/>
      <c r="Q2228" s="17"/>
    </row>
    <row r="2229" spans="12:17" x14ac:dyDescent="0.3">
      <c r="L2229" s="25"/>
      <c r="Q2229" s="17"/>
    </row>
    <row r="2230" spans="12:17" x14ac:dyDescent="0.3">
      <c r="L2230" s="25"/>
      <c r="Q2230" s="17"/>
    </row>
    <row r="2231" spans="12:17" x14ac:dyDescent="0.3">
      <c r="L2231" s="25"/>
      <c r="Q2231" s="17"/>
    </row>
    <row r="2232" spans="12:17" x14ac:dyDescent="0.3">
      <c r="L2232" s="25"/>
      <c r="Q2232" s="17"/>
    </row>
    <row r="2233" spans="12:17" x14ac:dyDescent="0.3">
      <c r="L2233" s="25"/>
      <c r="Q2233" s="17"/>
    </row>
    <row r="2234" spans="12:17" x14ac:dyDescent="0.3">
      <c r="L2234" s="25"/>
      <c r="Q2234" s="17"/>
    </row>
    <row r="2235" spans="12:17" x14ac:dyDescent="0.3">
      <c r="L2235" s="25"/>
      <c r="Q2235" s="17"/>
    </row>
    <row r="2236" spans="12:17" x14ac:dyDescent="0.3">
      <c r="L2236" s="25"/>
      <c r="Q2236" s="17"/>
    </row>
    <row r="2237" spans="12:17" x14ac:dyDescent="0.3">
      <c r="L2237" s="25"/>
      <c r="Q2237" s="17"/>
    </row>
    <row r="2238" spans="12:17" x14ac:dyDescent="0.3">
      <c r="L2238" s="25"/>
      <c r="Q2238" s="17"/>
    </row>
    <row r="2239" spans="12:17" x14ac:dyDescent="0.3">
      <c r="L2239" s="25"/>
      <c r="Q2239" s="17"/>
    </row>
    <row r="2240" spans="12:17" x14ac:dyDescent="0.3">
      <c r="L2240" s="25"/>
      <c r="Q2240" s="17"/>
    </row>
    <row r="2241" spans="12:17" x14ac:dyDescent="0.3">
      <c r="L2241" s="25"/>
      <c r="Q2241" s="17"/>
    </row>
    <row r="2242" spans="12:17" x14ac:dyDescent="0.3">
      <c r="L2242" s="25"/>
      <c r="Q2242" s="17"/>
    </row>
    <row r="2243" spans="12:17" x14ac:dyDescent="0.3">
      <c r="L2243" s="25"/>
      <c r="Q2243" s="17"/>
    </row>
    <row r="2244" spans="12:17" x14ac:dyDescent="0.3">
      <c r="L2244" s="25"/>
      <c r="Q2244" s="17"/>
    </row>
    <row r="2245" spans="12:17" x14ac:dyDescent="0.3">
      <c r="L2245" s="25"/>
      <c r="Q2245" s="17"/>
    </row>
    <row r="2246" spans="12:17" x14ac:dyDescent="0.3">
      <c r="L2246" s="25"/>
      <c r="Q2246" s="17"/>
    </row>
    <row r="2247" spans="12:17" x14ac:dyDescent="0.3">
      <c r="L2247" s="25"/>
      <c r="Q2247" s="17"/>
    </row>
    <row r="2248" spans="12:17" x14ac:dyDescent="0.3">
      <c r="L2248" s="25"/>
      <c r="Q2248" s="17"/>
    </row>
    <row r="2249" spans="12:17" x14ac:dyDescent="0.3">
      <c r="L2249" s="25"/>
      <c r="Q2249" s="17"/>
    </row>
    <row r="2250" spans="12:17" x14ac:dyDescent="0.3">
      <c r="L2250" s="25"/>
      <c r="Q2250" s="17"/>
    </row>
    <row r="2251" spans="12:17" x14ac:dyDescent="0.3">
      <c r="L2251" s="25"/>
      <c r="Q2251" s="17"/>
    </row>
    <row r="2252" spans="12:17" x14ac:dyDescent="0.3">
      <c r="L2252" s="25"/>
      <c r="Q2252" s="17"/>
    </row>
    <row r="2253" spans="12:17" x14ac:dyDescent="0.3">
      <c r="L2253" s="25"/>
      <c r="Q2253" s="17"/>
    </row>
    <row r="2254" spans="12:17" x14ac:dyDescent="0.3">
      <c r="L2254" s="25"/>
      <c r="Q2254" s="17"/>
    </row>
    <row r="2255" spans="12:17" x14ac:dyDescent="0.3">
      <c r="L2255" s="25"/>
      <c r="Q2255" s="17"/>
    </row>
    <row r="2256" spans="12:17" x14ac:dyDescent="0.3">
      <c r="L2256" s="25"/>
      <c r="Q2256" s="17"/>
    </row>
    <row r="2257" spans="12:17" x14ac:dyDescent="0.3">
      <c r="L2257" s="25"/>
      <c r="Q2257" s="17"/>
    </row>
    <row r="2258" spans="12:17" x14ac:dyDescent="0.3">
      <c r="L2258" s="25"/>
      <c r="Q2258" s="17"/>
    </row>
    <row r="2259" spans="12:17" x14ac:dyDescent="0.3">
      <c r="L2259" s="25"/>
      <c r="Q2259" s="17"/>
    </row>
    <row r="2260" spans="12:17" x14ac:dyDescent="0.3">
      <c r="L2260" s="25"/>
      <c r="Q2260" s="17"/>
    </row>
    <row r="2261" spans="12:17" x14ac:dyDescent="0.3">
      <c r="L2261" s="25"/>
      <c r="Q2261" s="17"/>
    </row>
    <row r="2262" spans="12:17" x14ac:dyDescent="0.3">
      <c r="L2262" s="25"/>
      <c r="Q2262" s="17"/>
    </row>
    <row r="2263" spans="12:17" x14ac:dyDescent="0.3">
      <c r="L2263" s="25"/>
      <c r="Q2263" s="17"/>
    </row>
    <row r="2264" spans="12:17" x14ac:dyDescent="0.3">
      <c r="L2264" s="25"/>
      <c r="Q2264" s="17"/>
    </row>
    <row r="2265" spans="12:17" x14ac:dyDescent="0.3">
      <c r="L2265" s="25"/>
      <c r="Q2265" s="17"/>
    </row>
    <row r="2266" spans="12:17" x14ac:dyDescent="0.3">
      <c r="L2266" s="25"/>
      <c r="Q2266" s="17"/>
    </row>
    <row r="2267" spans="12:17" x14ac:dyDescent="0.3">
      <c r="L2267" s="25"/>
      <c r="Q2267" s="17"/>
    </row>
    <row r="2268" spans="12:17" x14ac:dyDescent="0.3">
      <c r="L2268" s="25"/>
      <c r="Q2268" s="17"/>
    </row>
    <row r="2269" spans="12:17" x14ac:dyDescent="0.3">
      <c r="L2269" s="25"/>
      <c r="Q2269" s="17"/>
    </row>
    <row r="2270" spans="12:17" x14ac:dyDescent="0.3">
      <c r="L2270" s="25"/>
      <c r="Q2270" s="17"/>
    </row>
    <row r="2271" spans="12:17" x14ac:dyDescent="0.3">
      <c r="L2271" s="25"/>
      <c r="Q2271" s="17"/>
    </row>
    <row r="2272" spans="12:17" x14ac:dyDescent="0.3">
      <c r="L2272" s="25"/>
      <c r="Q2272" s="17"/>
    </row>
    <row r="2273" spans="12:17" x14ac:dyDescent="0.3">
      <c r="L2273" s="25"/>
      <c r="Q2273" s="17"/>
    </row>
    <row r="2274" spans="12:17" x14ac:dyDescent="0.3">
      <c r="L2274" s="25"/>
      <c r="Q2274" s="17"/>
    </row>
    <row r="2275" spans="12:17" x14ac:dyDescent="0.3">
      <c r="L2275" s="25"/>
      <c r="Q2275" s="17"/>
    </row>
    <row r="2276" spans="12:17" x14ac:dyDescent="0.3">
      <c r="L2276" s="25"/>
      <c r="Q2276" s="17"/>
    </row>
    <row r="2277" spans="12:17" x14ac:dyDescent="0.3">
      <c r="L2277" s="25"/>
      <c r="Q2277" s="17"/>
    </row>
    <row r="2278" spans="12:17" x14ac:dyDescent="0.3">
      <c r="L2278" s="25"/>
      <c r="Q2278" s="17"/>
    </row>
    <row r="2279" spans="12:17" x14ac:dyDescent="0.3">
      <c r="L2279" s="25"/>
      <c r="Q2279" s="17"/>
    </row>
    <row r="2280" spans="12:17" x14ac:dyDescent="0.3">
      <c r="L2280" s="25"/>
      <c r="Q2280" s="17"/>
    </row>
    <row r="2281" spans="12:17" x14ac:dyDescent="0.3">
      <c r="L2281" s="25"/>
      <c r="Q2281" s="17"/>
    </row>
    <row r="2282" spans="12:17" x14ac:dyDescent="0.3">
      <c r="L2282" s="25"/>
      <c r="Q2282" s="17"/>
    </row>
    <row r="2283" spans="12:17" x14ac:dyDescent="0.3">
      <c r="L2283" s="25"/>
      <c r="Q2283" s="17"/>
    </row>
    <row r="2284" spans="12:17" x14ac:dyDescent="0.3">
      <c r="L2284" s="25"/>
      <c r="Q2284" s="17"/>
    </row>
    <row r="2285" spans="12:17" x14ac:dyDescent="0.3">
      <c r="L2285" s="25"/>
      <c r="Q2285" s="17"/>
    </row>
    <row r="2286" spans="12:17" x14ac:dyDescent="0.3">
      <c r="L2286" s="25"/>
      <c r="Q2286" s="17"/>
    </row>
    <row r="2287" spans="12:17" x14ac:dyDescent="0.3">
      <c r="L2287" s="25"/>
      <c r="Q2287" s="17"/>
    </row>
    <row r="2288" spans="12:17" x14ac:dyDescent="0.3">
      <c r="L2288" s="25"/>
      <c r="Q2288" s="17"/>
    </row>
    <row r="2289" spans="12:17" x14ac:dyDescent="0.3">
      <c r="L2289" s="25"/>
      <c r="Q2289" s="17"/>
    </row>
    <row r="2290" spans="12:17" x14ac:dyDescent="0.3">
      <c r="L2290" s="25"/>
      <c r="Q2290" s="17"/>
    </row>
    <row r="2291" spans="12:17" x14ac:dyDescent="0.3">
      <c r="L2291" s="25"/>
      <c r="Q2291" s="17"/>
    </row>
    <row r="2292" spans="12:17" x14ac:dyDescent="0.3">
      <c r="L2292" s="25"/>
      <c r="Q2292" s="17"/>
    </row>
    <row r="2293" spans="12:17" x14ac:dyDescent="0.3">
      <c r="L2293" s="25"/>
      <c r="Q2293" s="17"/>
    </row>
    <row r="2294" spans="12:17" x14ac:dyDescent="0.3">
      <c r="L2294" s="25"/>
      <c r="Q2294" s="17"/>
    </row>
    <row r="2295" spans="12:17" x14ac:dyDescent="0.3">
      <c r="L2295" s="25"/>
      <c r="Q2295" s="17"/>
    </row>
    <row r="2296" spans="12:17" x14ac:dyDescent="0.3">
      <c r="L2296" s="25"/>
      <c r="Q2296" s="17"/>
    </row>
    <row r="2297" spans="12:17" x14ac:dyDescent="0.3">
      <c r="L2297" s="25"/>
      <c r="Q2297" s="17"/>
    </row>
    <row r="2298" spans="12:17" x14ac:dyDescent="0.3">
      <c r="L2298" s="25"/>
      <c r="Q2298" s="17"/>
    </row>
    <row r="2299" spans="12:17" x14ac:dyDescent="0.3">
      <c r="L2299" s="25"/>
      <c r="Q2299" s="17"/>
    </row>
    <row r="2300" spans="12:17" x14ac:dyDescent="0.3">
      <c r="L2300" s="25"/>
      <c r="Q2300" s="17"/>
    </row>
    <row r="2301" spans="12:17" x14ac:dyDescent="0.3">
      <c r="L2301" s="25"/>
      <c r="Q2301" s="17"/>
    </row>
    <row r="2302" spans="12:17" x14ac:dyDescent="0.3">
      <c r="L2302" s="25"/>
      <c r="Q2302" s="17"/>
    </row>
    <row r="2303" spans="12:17" x14ac:dyDescent="0.3">
      <c r="L2303" s="25"/>
      <c r="Q2303" s="17"/>
    </row>
    <row r="2304" spans="12:17" x14ac:dyDescent="0.3">
      <c r="L2304" s="25"/>
      <c r="Q2304" s="17"/>
    </row>
    <row r="2305" spans="12:17" x14ac:dyDescent="0.3">
      <c r="L2305" s="25"/>
      <c r="Q2305" s="17"/>
    </row>
    <row r="2306" spans="12:17" x14ac:dyDescent="0.3">
      <c r="L2306" s="25"/>
      <c r="Q2306" s="17"/>
    </row>
    <row r="2307" spans="12:17" x14ac:dyDescent="0.3">
      <c r="L2307" s="25"/>
      <c r="Q2307" s="17"/>
    </row>
    <row r="2308" spans="12:17" x14ac:dyDescent="0.3">
      <c r="L2308" s="25"/>
      <c r="Q2308" s="17"/>
    </row>
    <row r="2309" spans="12:17" x14ac:dyDescent="0.3">
      <c r="L2309" s="25"/>
      <c r="Q2309" s="17"/>
    </row>
    <row r="2310" spans="12:17" x14ac:dyDescent="0.3">
      <c r="L2310" s="25"/>
      <c r="Q2310" s="17"/>
    </row>
    <row r="2311" spans="12:17" x14ac:dyDescent="0.3">
      <c r="L2311" s="25"/>
      <c r="Q2311" s="17"/>
    </row>
    <row r="2312" spans="12:17" x14ac:dyDescent="0.3">
      <c r="L2312" s="25"/>
      <c r="Q2312" s="17"/>
    </row>
    <row r="2313" spans="12:17" x14ac:dyDescent="0.3">
      <c r="L2313" s="25"/>
      <c r="Q2313" s="17"/>
    </row>
    <row r="2314" spans="12:17" x14ac:dyDescent="0.3">
      <c r="L2314" s="25"/>
      <c r="Q2314" s="17"/>
    </row>
    <row r="2315" spans="12:17" x14ac:dyDescent="0.3">
      <c r="L2315" s="25"/>
      <c r="Q2315" s="17"/>
    </row>
    <row r="2316" spans="12:17" x14ac:dyDescent="0.3">
      <c r="L2316" s="25"/>
      <c r="Q2316" s="17"/>
    </row>
    <row r="2317" spans="12:17" x14ac:dyDescent="0.3">
      <c r="L2317" s="25"/>
      <c r="Q2317" s="17"/>
    </row>
    <row r="2318" spans="12:17" x14ac:dyDescent="0.3">
      <c r="L2318" s="25"/>
      <c r="Q2318" s="17"/>
    </row>
    <row r="2319" spans="12:17" x14ac:dyDescent="0.3">
      <c r="L2319" s="25"/>
      <c r="Q2319" s="17"/>
    </row>
    <row r="2320" spans="12:17" x14ac:dyDescent="0.3">
      <c r="L2320" s="25"/>
      <c r="Q2320" s="17"/>
    </row>
    <row r="2321" spans="12:17" x14ac:dyDescent="0.3">
      <c r="L2321" s="25"/>
      <c r="Q2321" s="17"/>
    </row>
    <row r="2322" spans="12:17" x14ac:dyDescent="0.3">
      <c r="L2322" s="25"/>
      <c r="Q2322" s="17"/>
    </row>
    <row r="2323" spans="12:17" x14ac:dyDescent="0.3">
      <c r="L2323" s="25"/>
      <c r="Q2323" s="17"/>
    </row>
    <row r="2324" spans="12:17" x14ac:dyDescent="0.3">
      <c r="L2324" s="25"/>
      <c r="Q2324" s="17"/>
    </row>
    <row r="2325" spans="12:17" x14ac:dyDescent="0.3">
      <c r="L2325" s="25"/>
      <c r="Q2325" s="17"/>
    </row>
    <row r="2326" spans="12:17" x14ac:dyDescent="0.3">
      <c r="L2326" s="25"/>
      <c r="Q2326" s="17"/>
    </row>
    <row r="2327" spans="12:17" x14ac:dyDescent="0.3">
      <c r="L2327" s="25"/>
      <c r="Q2327" s="17"/>
    </row>
    <row r="2328" spans="12:17" x14ac:dyDescent="0.3">
      <c r="L2328" s="25"/>
      <c r="Q2328" s="17"/>
    </row>
    <row r="2329" spans="12:17" x14ac:dyDescent="0.3">
      <c r="L2329" s="25"/>
      <c r="Q2329" s="17"/>
    </row>
    <row r="2330" spans="12:17" x14ac:dyDescent="0.3">
      <c r="L2330" s="25"/>
      <c r="Q2330" s="17"/>
    </row>
    <row r="2331" spans="12:17" x14ac:dyDescent="0.3">
      <c r="L2331" s="25"/>
      <c r="Q2331" s="17"/>
    </row>
    <row r="2332" spans="12:17" x14ac:dyDescent="0.3">
      <c r="L2332" s="25"/>
      <c r="Q2332" s="17"/>
    </row>
    <row r="2333" spans="12:17" x14ac:dyDescent="0.3">
      <c r="L2333" s="25"/>
      <c r="Q2333" s="17"/>
    </row>
    <row r="2334" spans="12:17" x14ac:dyDescent="0.3">
      <c r="L2334" s="25"/>
      <c r="Q2334" s="17"/>
    </row>
    <row r="2335" spans="12:17" x14ac:dyDescent="0.3">
      <c r="L2335" s="25"/>
      <c r="Q2335" s="17"/>
    </row>
    <row r="2336" spans="12:17" x14ac:dyDescent="0.3">
      <c r="L2336" s="25"/>
      <c r="Q2336" s="17"/>
    </row>
    <row r="2337" spans="12:17" x14ac:dyDescent="0.3">
      <c r="L2337" s="25"/>
      <c r="Q2337" s="17"/>
    </row>
    <row r="2338" spans="12:17" x14ac:dyDescent="0.3">
      <c r="L2338" s="25"/>
      <c r="Q2338" s="17"/>
    </row>
    <row r="2339" spans="12:17" x14ac:dyDescent="0.3">
      <c r="L2339" s="25"/>
      <c r="Q2339" s="17"/>
    </row>
    <row r="2340" spans="12:17" x14ac:dyDescent="0.3">
      <c r="L2340" s="25"/>
      <c r="Q2340" s="17"/>
    </row>
    <row r="2341" spans="12:17" x14ac:dyDescent="0.3">
      <c r="L2341" s="25"/>
      <c r="Q2341" s="17"/>
    </row>
    <row r="2342" spans="12:17" x14ac:dyDescent="0.3">
      <c r="L2342" s="25"/>
      <c r="Q2342" s="17"/>
    </row>
    <row r="2343" spans="12:17" x14ac:dyDescent="0.3">
      <c r="L2343" s="25"/>
      <c r="Q2343" s="17"/>
    </row>
    <row r="2344" spans="12:17" x14ac:dyDescent="0.3">
      <c r="L2344" s="25"/>
      <c r="Q2344" s="17"/>
    </row>
    <row r="2345" spans="12:17" x14ac:dyDescent="0.3">
      <c r="L2345" s="25"/>
      <c r="Q2345" s="17"/>
    </row>
    <row r="2346" spans="12:17" x14ac:dyDescent="0.3">
      <c r="L2346" s="25"/>
      <c r="Q2346" s="17"/>
    </row>
    <row r="2347" spans="12:17" x14ac:dyDescent="0.3">
      <c r="L2347" s="25"/>
      <c r="Q2347" s="17"/>
    </row>
    <row r="2348" spans="12:17" x14ac:dyDescent="0.3">
      <c r="L2348" s="25"/>
      <c r="Q2348" s="17"/>
    </row>
    <row r="2349" spans="12:17" x14ac:dyDescent="0.3">
      <c r="L2349" s="25"/>
      <c r="Q2349" s="17"/>
    </row>
    <row r="2350" spans="12:17" x14ac:dyDescent="0.3">
      <c r="L2350" s="25"/>
      <c r="Q2350" s="17"/>
    </row>
    <row r="2351" spans="12:17" x14ac:dyDescent="0.3">
      <c r="L2351" s="25"/>
      <c r="Q2351" s="17"/>
    </row>
    <row r="2352" spans="12:17" x14ac:dyDescent="0.3">
      <c r="L2352" s="25"/>
      <c r="Q2352" s="17"/>
    </row>
    <row r="2353" spans="12:17" x14ac:dyDescent="0.3">
      <c r="L2353" s="25"/>
      <c r="Q2353" s="17"/>
    </row>
    <row r="2354" spans="12:17" x14ac:dyDescent="0.3">
      <c r="L2354" s="25"/>
      <c r="Q2354" s="17"/>
    </row>
    <row r="2355" spans="12:17" x14ac:dyDescent="0.3">
      <c r="L2355" s="25"/>
      <c r="Q2355" s="17"/>
    </row>
    <row r="2356" spans="12:17" x14ac:dyDescent="0.3">
      <c r="L2356" s="25"/>
      <c r="Q2356" s="17"/>
    </row>
    <row r="2357" spans="12:17" x14ac:dyDescent="0.3">
      <c r="L2357" s="25"/>
      <c r="Q2357" s="17"/>
    </row>
    <row r="2358" spans="12:17" x14ac:dyDescent="0.3">
      <c r="L2358" s="25"/>
      <c r="Q2358" s="17"/>
    </row>
    <row r="2359" spans="12:17" x14ac:dyDescent="0.3">
      <c r="L2359" s="25"/>
      <c r="Q2359" s="17"/>
    </row>
    <row r="2360" spans="12:17" x14ac:dyDescent="0.3">
      <c r="L2360" s="25"/>
      <c r="Q2360" s="17"/>
    </row>
    <row r="2361" spans="12:17" x14ac:dyDescent="0.3">
      <c r="L2361" s="25"/>
      <c r="Q2361" s="17"/>
    </row>
    <row r="2362" spans="12:17" x14ac:dyDescent="0.3">
      <c r="L2362" s="25"/>
      <c r="Q2362" s="17"/>
    </row>
    <row r="2363" spans="12:17" x14ac:dyDescent="0.3">
      <c r="L2363" s="25"/>
      <c r="Q2363" s="17"/>
    </row>
    <row r="2364" spans="12:17" x14ac:dyDescent="0.3">
      <c r="L2364" s="25"/>
      <c r="Q2364" s="17"/>
    </row>
    <row r="2365" spans="12:17" x14ac:dyDescent="0.3">
      <c r="L2365" s="25"/>
      <c r="Q2365" s="17"/>
    </row>
    <row r="2366" spans="12:17" x14ac:dyDescent="0.3">
      <c r="L2366" s="25"/>
      <c r="Q2366" s="17"/>
    </row>
    <row r="2367" spans="12:17" x14ac:dyDescent="0.3">
      <c r="L2367" s="25"/>
      <c r="Q2367" s="17"/>
    </row>
    <row r="2368" spans="12:17" x14ac:dyDescent="0.3">
      <c r="L2368" s="25"/>
      <c r="Q2368" s="17"/>
    </row>
    <row r="2369" spans="12:17" x14ac:dyDescent="0.3">
      <c r="L2369" s="25"/>
      <c r="Q2369" s="17"/>
    </row>
    <row r="2370" spans="12:17" x14ac:dyDescent="0.3">
      <c r="L2370" s="25"/>
      <c r="Q2370" s="17"/>
    </row>
    <row r="2371" spans="12:17" x14ac:dyDescent="0.3">
      <c r="L2371" s="25"/>
      <c r="Q2371" s="17"/>
    </row>
    <row r="2372" spans="12:17" x14ac:dyDescent="0.3">
      <c r="L2372" s="25"/>
      <c r="Q2372" s="17"/>
    </row>
    <row r="2373" spans="12:17" x14ac:dyDescent="0.3">
      <c r="L2373" s="25"/>
      <c r="Q2373" s="17"/>
    </row>
    <row r="2374" spans="12:17" x14ac:dyDescent="0.3">
      <c r="L2374" s="25"/>
      <c r="Q2374" s="17"/>
    </row>
    <row r="2375" spans="12:17" x14ac:dyDescent="0.3">
      <c r="L2375" s="25"/>
      <c r="Q2375" s="17"/>
    </row>
    <row r="2376" spans="12:17" x14ac:dyDescent="0.3">
      <c r="L2376" s="25"/>
      <c r="Q2376" s="17"/>
    </row>
    <row r="2377" spans="12:17" x14ac:dyDescent="0.3">
      <c r="L2377" s="25"/>
      <c r="Q2377" s="17"/>
    </row>
    <row r="2378" spans="12:17" x14ac:dyDescent="0.3">
      <c r="L2378" s="25"/>
      <c r="Q2378" s="17"/>
    </row>
    <row r="2379" spans="12:17" x14ac:dyDescent="0.3">
      <c r="L2379" s="25"/>
      <c r="Q2379" s="17"/>
    </row>
    <row r="2380" spans="12:17" x14ac:dyDescent="0.3">
      <c r="L2380" s="25"/>
      <c r="Q2380" s="17"/>
    </row>
    <row r="2381" spans="12:17" x14ac:dyDescent="0.3">
      <c r="L2381" s="25"/>
      <c r="Q2381" s="17"/>
    </row>
    <row r="2382" spans="12:17" x14ac:dyDescent="0.3">
      <c r="L2382" s="25"/>
      <c r="Q2382" s="17"/>
    </row>
    <row r="2383" spans="12:17" x14ac:dyDescent="0.3">
      <c r="L2383" s="25"/>
      <c r="Q2383" s="17"/>
    </row>
    <row r="2384" spans="12:17" x14ac:dyDescent="0.3">
      <c r="L2384" s="25"/>
      <c r="Q2384" s="17"/>
    </row>
    <row r="2385" spans="12:17" x14ac:dyDescent="0.3">
      <c r="L2385" s="25"/>
      <c r="Q2385" s="17"/>
    </row>
    <row r="2386" spans="12:17" x14ac:dyDescent="0.3">
      <c r="L2386" s="25"/>
      <c r="Q2386" s="17"/>
    </row>
    <row r="2387" spans="12:17" x14ac:dyDescent="0.3">
      <c r="L2387" s="25"/>
      <c r="Q2387" s="17"/>
    </row>
    <row r="2388" spans="12:17" x14ac:dyDescent="0.3">
      <c r="L2388" s="25"/>
      <c r="Q2388" s="17"/>
    </row>
    <row r="2389" spans="12:17" x14ac:dyDescent="0.3">
      <c r="L2389" s="25"/>
      <c r="Q2389" s="17"/>
    </row>
    <row r="2390" spans="12:17" x14ac:dyDescent="0.3">
      <c r="L2390" s="25"/>
      <c r="Q2390" s="17"/>
    </row>
    <row r="2391" spans="12:17" x14ac:dyDescent="0.3">
      <c r="L2391" s="25"/>
      <c r="Q2391" s="17"/>
    </row>
    <row r="2392" spans="12:17" x14ac:dyDescent="0.3">
      <c r="L2392" s="25"/>
      <c r="Q2392" s="17"/>
    </row>
    <row r="2393" spans="12:17" x14ac:dyDescent="0.3">
      <c r="L2393" s="25"/>
      <c r="Q2393" s="17"/>
    </row>
    <row r="2394" spans="12:17" x14ac:dyDescent="0.3">
      <c r="L2394" s="25"/>
      <c r="Q2394" s="17"/>
    </row>
    <row r="2395" spans="12:17" x14ac:dyDescent="0.3">
      <c r="L2395" s="25"/>
      <c r="Q2395" s="17"/>
    </row>
    <row r="2396" spans="12:17" x14ac:dyDescent="0.3">
      <c r="L2396" s="25"/>
      <c r="Q2396" s="17"/>
    </row>
    <row r="2397" spans="12:17" x14ac:dyDescent="0.3">
      <c r="L2397" s="25"/>
      <c r="Q2397" s="17"/>
    </row>
    <row r="2398" spans="12:17" x14ac:dyDescent="0.3">
      <c r="L2398" s="25"/>
      <c r="Q2398" s="17"/>
    </row>
    <row r="2399" spans="12:17" x14ac:dyDescent="0.3">
      <c r="L2399" s="25"/>
      <c r="Q2399" s="17"/>
    </row>
    <row r="2400" spans="12:17" x14ac:dyDescent="0.3">
      <c r="L2400" s="25"/>
      <c r="Q2400" s="17"/>
    </row>
    <row r="2401" spans="12:17" x14ac:dyDescent="0.3">
      <c r="L2401" s="25"/>
      <c r="Q2401" s="17"/>
    </row>
    <row r="2402" spans="12:17" x14ac:dyDescent="0.3">
      <c r="L2402" s="25"/>
      <c r="Q2402" s="17"/>
    </row>
    <row r="2403" spans="12:17" x14ac:dyDescent="0.3">
      <c r="L2403" s="25"/>
      <c r="Q2403" s="17"/>
    </row>
    <row r="2404" spans="12:17" x14ac:dyDescent="0.3">
      <c r="L2404" s="25"/>
      <c r="Q2404" s="17"/>
    </row>
    <row r="2405" spans="12:17" x14ac:dyDescent="0.3">
      <c r="L2405" s="25"/>
      <c r="Q2405" s="17"/>
    </row>
    <row r="2406" spans="12:17" x14ac:dyDescent="0.3">
      <c r="L2406" s="25"/>
      <c r="Q2406" s="17"/>
    </row>
    <row r="2407" spans="12:17" x14ac:dyDescent="0.3">
      <c r="L2407" s="25"/>
      <c r="Q2407" s="17"/>
    </row>
    <row r="2408" spans="12:17" x14ac:dyDescent="0.3">
      <c r="L2408" s="25"/>
      <c r="Q2408" s="17"/>
    </row>
    <row r="2409" spans="12:17" x14ac:dyDescent="0.3">
      <c r="L2409" s="25"/>
      <c r="Q2409" s="17"/>
    </row>
    <row r="2410" spans="12:17" x14ac:dyDescent="0.3">
      <c r="L2410" s="25"/>
      <c r="Q2410" s="17"/>
    </row>
    <row r="2411" spans="12:17" x14ac:dyDescent="0.3">
      <c r="L2411" s="25"/>
      <c r="Q2411" s="17"/>
    </row>
    <row r="2412" spans="12:17" x14ac:dyDescent="0.3">
      <c r="L2412" s="25"/>
      <c r="Q2412" s="17"/>
    </row>
    <row r="2413" spans="12:17" x14ac:dyDescent="0.3">
      <c r="L2413" s="25"/>
      <c r="Q2413" s="17"/>
    </row>
    <row r="2414" spans="12:17" x14ac:dyDescent="0.3">
      <c r="L2414" s="25"/>
      <c r="Q2414" s="17"/>
    </row>
    <row r="2415" spans="12:17" x14ac:dyDescent="0.3">
      <c r="L2415" s="25"/>
      <c r="Q2415" s="17"/>
    </row>
    <row r="2416" spans="12:17" x14ac:dyDescent="0.3">
      <c r="L2416" s="25"/>
      <c r="Q2416" s="17"/>
    </row>
    <row r="2417" spans="12:17" x14ac:dyDescent="0.3">
      <c r="L2417" s="25"/>
      <c r="Q2417" s="17"/>
    </row>
    <row r="2418" spans="12:17" x14ac:dyDescent="0.3">
      <c r="L2418" s="25"/>
      <c r="Q2418" s="17"/>
    </row>
    <row r="2419" spans="12:17" x14ac:dyDescent="0.3">
      <c r="L2419" s="25"/>
      <c r="Q2419" s="17"/>
    </row>
    <row r="2420" spans="12:17" x14ac:dyDescent="0.3">
      <c r="L2420" s="25"/>
      <c r="Q2420" s="17"/>
    </row>
    <row r="2421" spans="12:17" x14ac:dyDescent="0.3">
      <c r="L2421" s="25"/>
      <c r="Q2421" s="17"/>
    </row>
    <row r="2422" spans="12:17" x14ac:dyDescent="0.3">
      <c r="L2422" s="25"/>
      <c r="Q2422" s="17"/>
    </row>
    <row r="2423" spans="12:17" x14ac:dyDescent="0.3">
      <c r="L2423" s="25"/>
      <c r="Q2423" s="17"/>
    </row>
    <row r="2424" spans="12:17" x14ac:dyDescent="0.3">
      <c r="L2424" s="25"/>
      <c r="Q2424" s="17"/>
    </row>
    <row r="2425" spans="12:17" x14ac:dyDescent="0.3">
      <c r="L2425" s="25"/>
      <c r="Q2425" s="17"/>
    </row>
    <row r="2426" spans="12:17" x14ac:dyDescent="0.3">
      <c r="L2426" s="25"/>
      <c r="Q2426" s="17"/>
    </row>
    <row r="2427" spans="12:17" x14ac:dyDescent="0.3">
      <c r="L2427" s="25"/>
      <c r="Q2427" s="17"/>
    </row>
    <row r="2428" spans="12:17" x14ac:dyDescent="0.3">
      <c r="L2428" s="25"/>
      <c r="Q2428" s="17"/>
    </row>
    <row r="2429" spans="12:17" x14ac:dyDescent="0.3">
      <c r="L2429" s="25"/>
      <c r="Q2429" s="17"/>
    </row>
    <row r="2430" spans="12:17" x14ac:dyDescent="0.3">
      <c r="L2430" s="25"/>
      <c r="Q2430" s="17"/>
    </row>
    <row r="2431" spans="12:17" x14ac:dyDescent="0.3">
      <c r="L2431" s="25"/>
      <c r="Q2431" s="17"/>
    </row>
    <row r="2432" spans="12:17" x14ac:dyDescent="0.3">
      <c r="L2432" s="25"/>
      <c r="Q2432" s="17"/>
    </row>
    <row r="2433" spans="12:17" x14ac:dyDescent="0.3">
      <c r="L2433" s="25"/>
      <c r="Q2433" s="17"/>
    </row>
    <row r="2434" spans="12:17" x14ac:dyDescent="0.3">
      <c r="L2434" s="25"/>
      <c r="Q2434" s="17"/>
    </row>
    <row r="2435" spans="12:17" x14ac:dyDescent="0.3">
      <c r="L2435" s="25"/>
      <c r="Q2435" s="17"/>
    </row>
    <row r="2436" spans="12:17" x14ac:dyDescent="0.3">
      <c r="L2436" s="25"/>
      <c r="Q2436" s="17"/>
    </row>
    <row r="2437" spans="12:17" x14ac:dyDescent="0.3">
      <c r="L2437" s="25"/>
      <c r="Q2437" s="17"/>
    </row>
    <row r="2438" spans="12:17" x14ac:dyDescent="0.3">
      <c r="L2438" s="25"/>
      <c r="Q2438" s="17"/>
    </row>
    <row r="2439" spans="12:17" x14ac:dyDescent="0.3">
      <c r="L2439" s="25"/>
      <c r="Q2439" s="17"/>
    </row>
    <row r="2440" spans="12:17" x14ac:dyDescent="0.3">
      <c r="L2440" s="25"/>
      <c r="Q2440" s="17"/>
    </row>
    <row r="2441" spans="12:17" x14ac:dyDescent="0.3">
      <c r="L2441" s="25"/>
      <c r="Q2441" s="17"/>
    </row>
    <row r="2442" spans="12:17" x14ac:dyDescent="0.3">
      <c r="L2442" s="25"/>
      <c r="Q2442" s="17"/>
    </row>
    <row r="2443" spans="12:17" x14ac:dyDescent="0.3">
      <c r="L2443" s="25"/>
      <c r="Q2443" s="17"/>
    </row>
    <row r="2444" spans="12:17" x14ac:dyDescent="0.3">
      <c r="L2444" s="25"/>
      <c r="Q2444" s="17"/>
    </row>
    <row r="2445" spans="12:17" x14ac:dyDescent="0.3">
      <c r="L2445" s="25"/>
      <c r="Q2445" s="17"/>
    </row>
    <row r="2446" spans="12:17" x14ac:dyDescent="0.3">
      <c r="L2446" s="25"/>
      <c r="Q2446" s="17"/>
    </row>
    <row r="2447" spans="12:17" x14ac:dyDescent="0.3">
      <c r="L2447" s="25"/>
      <c r="Q2447" s="17"/>
    </row>
    <row r="2448" spans="12:17" x14ac:dyDescent="0.3">
      <c r="L2448" s="25"/>
      <c r="Q2448" s="17"/>
    </row>
    <row r="2449" spans="12:17" x14ac:dyDescent="0.3">
      <c r="L2449" s="25"/>
      <c r="Q2449" s="17"/>
    </row>
    <row r="2450" spans="12:17" x14ac:dyDescent="0.3">
      <c r="L2450" s="25"/>
      <c r="Q2450" s="17"/>
    </row>
    <row r="2451" spans="12:17" x14ac:dyDescent="0.3">
      <c r="L2451" s="25"/>
      <c r="Q2451" s="17"/>
    </row>
    <row r="2452" spans="12:17" x14ac:dyDescent="0.3">
      <c r="L2452" s="25"/>
      <c r="Q2452" s="17"/>
    </row>
    <row r="2453" spans="12:17" x14ac:dyDescent="0.3">
      <c r="L2453" s="25"/>
      <c r="Q2453" s="17"/>
    </row>
    <row r="2454" spans="12:17" x14ac:dyDescent="0.3">
      <c r="L2454" s="25"/>
      <c r="Q2454" s="17"/>
    </row>
    <row r="2455" spans="12:17" x14ac:dyDescent="0.3">
      <c r="L2455" s="25"/>
      <c r="Q2455" s="17"/>
    </row>
    <row r="2456" spans="12:17" x14ac:dyDescent="0.3">
      <c r="L2456" s="25"/>
      <c r="Q2456" s="17"/>
    </row>
    <row r="2457" spans="12:17" x14ac:dyDescent="0.3">
      <c r="L2457" s="25"/>
      <c r="Q2457" s="17"/>
    </row>
    <row r="2458" spans="12:17" x14ac:dyDescent="0.3">
      <c r="L2458" s="25"/>
      <c r="Q2458" s="17"/>
    </row>
    <row r="2459" spans="12:17" x14ac:dyDescent="0.3">
      <c r="L2459" s="25"/>
      <c r="Q2459" s="17"/>
    </row>
    <row r="2460" spans="12:17" x14ac:dyDescent="0.3">
      <c r="L2460" s="25"/>
      <c r="Q2460" s="17"/>
    </row>
    <row r="2461" spans="12:17" x14ac:dyDescent="0.3">
      <c r="L2461" s="25"/>
      <c r="Q2461" s="17"/>
    </row>
    <row r="2462" spans="12:17" x14ac:dyDescent="0.3">
      <c r="L2462" s="25"/>
      <c r="Q2462" s="17"/>
    </row>
    <row r="2463" spans="12:17" x14ac:dyDescent="0.3">
      <c r="L2463" s="25"/>
      <c r="Q2463" s="17"/>
    </row>
    <row r="2464" spans="12:17" x14ac:dyDescent="0.3">
      <c r="L2464" s="25"/>
      <c r="Q2464" s="17"/>
    </row>
    <row r="2465" spans="12:17" x14ac:dyDescent="0.3">
      <c r="L2465" s="25"/>
      <c r="Q2465" s="17"/>
    </row>
    <row r="2466" spans="12:17" x14ac:dyDescent="0.3">
      <c r="L2466" s="25"/>
      <c r="Q2466" s="17"/>
    </row>
    <row r="2467" spans="12:17" x14ac:dyDescent="0.3">
      <c r="L2467" s="25"/>
      <c r="Q2467" s="17"/>
    </row>
    <row r="2468" spans="12:17" x14ac:dyDescent="0.3">
      <c r="L2468" s="25"/>
      <c r="Q2468" s="17"/>
    </row>
    <row r="2469" spans="12:17" x14ac:dyDescent="0.3">
      <c r="L2469" s="25"/>
      <c r="Q2469" s="17"/>
    </row>
    <row r="2470" spans="12:17" x14ac:dyDescent="0.3">
      <c r="L2470" s="25"/>
      <c r="Q2470" s="17"/>
    </row>
    <row r="2471" spans="12:17" x14ac:dyDescent="0.3">
      <c r="L2471" s="25"/>
      <c r="Q2471" s="17"/>
    </row>
    <row r="2472" spans="12:17" x14ac:dyDescent="0.3">
      <c r="L2472" s="25"/>
      <c r="Q2472" s="17"/>
    </row>
    <row r="2473" spans="12:17" x14ac:dyDescent="0.3">
      <c r="L2473" s="25"/>
      <c r="Q2473" s="17"/>
    </row>
    <row r="2474" spans="12:17" x14ac:dyDescent="0.3">
      <c r="L2474" s="25"/>
      <c r="Q2474" s="17"/>
    </row>
    <row r="2475" spans="12:17" x14ac:dyDescent="0.3">
      <c r="L2475" s="25"/>
      <c r="Q2475" s="17"/>
    </row>
    <row r="2476" spans="12:17" x14ac:dyDescent="0.3">
      <c r="L2476" s="25"/>
      <c r="Q2476" s="17"/>
    </row>
    <row r="2477" spans="12:17" x14ac:dyDescent="0.3">
      <c r="L2477" s="25"/>
      <c r="Q2477" s="17"/>
    </row>
    <row r="2478" spans="12:17" x14ac:dyDescent="0.3">
      <c r="L2478" s="25"/>
      <c r="Q2478" s="17"/>
    </row>
    <row r="2479" spans="12:17" x14ac:dyDescent="0.3">
      <c r="L2479" s="25"/>
      <c r="Q2479" s="17"/>
    </row>
    <row r="2480" spans="12:17" x14ac:dyDescent="0.3">
      <c r="L2480" s="25"/>
      <c r="Q2480" s="17"/>
    </row>
    <row r="2481" spans="12:17" x14ac:dyDescent="0.3">
      <c r="L2481" s="25"/>
      <c r="Q2481" s="17"/>
    </row>
    <row r="2482" spans="12:17" x14ac:dyDescent="0.3">
      <c r="L2482" s="25"/>
      <c r="Q2482" s="17"/>
    </row>
    <row r="2483" spans="12:17" x14ac:dyDescent="0.3">
      <c r="L2483" s="25"/>
      <c r="Q2483" s="17"/>
    </row>
    <row r="2484" spans="12:17" x14ac:dyDescent="0.3">
      <c r="L2484" s="25"/>
      <c r="Q2484" s="17"/>
    </row>
    <row r="2485" spans="12:17" x14ac:dyDescent="0.3">
      <c r="L2485" s="25"/>
      <c r="Q2485" s="17"/>
    </row>
    <row r="2486" spans="12:17" x14ac:dyDescent="0.3">
      <c r="L2486" s="25"/>
      <c r="Q2486" s="17"/>
    </row>
    <row r="2487" spans="12:17" x14ac:dyDescent="0.3">
      <c r="L2487" s="25"/>
      <c r="Q2487" s="17"/>
    </row>
    <row r="2488" spans="12:17" x14ac:dyDescent="0.3">
      <c r="L2488" s="25"/>
      <c r="Q2488" s="17"/>
    </row>
    <row r="2489" spans="12:17" x14ac:dyDescent="0.3">
      <c r="L2489" s="25"/>
      <c r="Q2489" s="17"/>
    </row>
    <row r="2490" spans="12:17" x14ac:dyDescent="0.3">
      <c r="L2490" s="25"/>
      <c r="Q2490" s="17"/>
    </row>
    <row r="2491" spans="12:17" x14ac:dyDescent="0.3">
      <c r="L2491" s="25"/>
      <c r="Q2491" s="17"/>
    </row>
    <row r="2492" spans="12:17" x14ac:dyDescent="0.3">
      <c r="L2492" s="25"/>
      <c r="Q2492" s="17"/>
    </row>
    <row r="2493" spans="12:17" x14ac:dyDescent="0.3">
      <c r="L2493" s="25"/>
      <c r="Q2493" s="17"/>
    </row>
    <row r="2494" spans="12:17" x14ac:dyDescent="0.3">
      <c r="L2494" s="25"/>
      <c r="Q2494" s="17"/>
    </row>
    <row r="2495" spans="12:17" x14ac:dyDescent="0.3">
      <c r="L2495" s="25"/>
      <c r="Q2495" s="17"/>
    </row>
    <row r="2496" spans="12:17" x14ac:dyDescent="0.3">
      <c r="L2496" s="25"/>
      <c r="Q2496" s="17"/>
    </row>
    <row r="2497" spans="12:17" x14ac:dyDescent="0.3">
      <c r="L2497" s="25"/>
      <c r="Q2497" s="17"/>
    </row>
    <row r="2498" spans="12:17" x14ac:dyDescent="0.3">
      <c r="L2498" s="25"/>
      <c r="Q2498" s="17"/>
    </row>
    <row r="2499" spans="12:17" x14ac:dyDescent="0.3">
      <c r="L2499" s="25"/>
      <c r="Q2499" s="17"/>
    </row>
    <row r="2500" spans="12:17" x14ac:dyDescent="0.3">
      <c r="L2500" s="25"/>
      <c r="Q2500" s="17"/>
    </row>
    <row r="2501" spans="12:17" x14ac:dyDescent="0.3">
      <c r="L2501" s="25"/>
      <c r="Q2501" s="17"/>
    </row>
    <row r="2502" spans="12:17" x14ac:dyDescent="0.3">
      <c r="L2502" s="25"/>
      <c r="Q2502" s="17"/>
    </row>
    <row r="2503" spans="12:17" x14ac:dyDescent="0.3">
      <c r="L2503" s="25"/>
      <c r="Q2503" s="17"/>
    </row>
    <row r="2504" spans="12:17" x14ac:dyDescent="0.3">
      <c r="L2504" s="25"/>
      <c r="Q2504" s="17"/>
    </row>
    <row r="2505" spans="12:17" x14ac:dyDescent="0.3">
      <c r="L2505" s="25"/>
      <c r="Q2505" s="17"/>
    </row>
    <row r="2506" spans="12:17" x14ac:dyDescent="0.3">
      <c r="L2506" s="25"/>
      <c r="Q2506" s="17"/>
    </row>
    <row r="2507" spans="12:17" x14ac:dyDescent="0.3">
      <c r="L2507" s="25"/>
      <c r="Q2507" s="17"/>
    </row>
    <row r="2508" spans="12:17" x14ac:dyDescent="0.3">
      <c r="L2508" s="25"/>
      <c r="Q2508" s="17"/>
    </row>
    <row r="2509" spans="12:17" x14ac:dyDescent="0.3">
      <c r="L2509" s="25"/>
      <c r="Q2509" s="17"/>
    </row>
    <row r="2510" spans="12:17" x14ac:dyDescent="0.3">
      <c r="L2510" s="25"/>
      <c r="Q2510" s="17"/>
    </row>
    <row r="2511" spans="12:17" x14ac:dyDescent="0.3">
      <c r="L2511" s="25"/>
      <c r="Q2511" s="17"/>
    </row>
    <row r="2512" spans="12:17" x14ac:dyDescent="0.3">
      <c r="L2512" s="25"/>
      <c r="Q2512" s="17"/>
    </row>
    <row r="2513" spans="12:17" x14ac:dyDescent="0.3">
      <c r="L2513" s="25"/>
      <c r="Q2513" s="17"/>
    </row>
    <row r="2514" spans="12:17" x14ac:dyDescent="0.3">
      <c r="L2514" s="25"/>
      <c r="Q2514" s="17"/>
    </row>
    <row r="2515" spans="12:17" x14ac:dyDescent="0.3">
      <c r="L2515" s="25"/>
      <c r="Q2515" s="17"/>
    </row>
    <row r="2516" spans="12:17" x14ac:dyDescent="0.3">
      <c r="L2516" s="25"/>
      <c r="Q2516" s="17"/>
    </row>
    <row r="2517" spans="12:17" x14ac:dyDescent="0.3">
      <c r="L2517" s="25"/>
      <c r="Q2517" s="17"/>
    </row>
    <row r="2518" spans="12:17" x14ac:dyDescent="0.3">
      <c r="L2518" s="25"/>
      <c r="Q2518" s="17"/>
    </row>
    <row r="2519" spans="12:17" x14ac:dyDescent="0.3">
      <c r="L2519" s="25"/>
      <c r="Q2519" s="17"/>
    </row>
    <row r="2520" spans="12:17" x14ac:dyDescent="0.3">
      <c r="L2520" s="25"/>
      <c r="Q2520" s="17"/>
    </row>
    <row r="2521" spans="12:17" x14ac:dyDescent="0.3">
      <c r="L2521" s="25"/>
      <c r="Q2521" s="17"/>
    </row>
    <row r="2522" spans="12:17" x14ac:dyDescent="0.3">
      <c r="L2522" s="25"/>
      <c r="Q2522" s="17"/>
    </row>
    <row r="2523" spans="12:17" x14ac:dyDescent="0.3">
      <c r="L2523" s="25"/>
      <c r="Q2523" s="17"/>
    </row>
    <row r="2524" spans="12:17" x14ac:dyDescent="0.3">
      <c r="L2524" s="25"/>
      <c r="Q2524" s="17"/>
    </row>
    <row r="2525" spans="12:17" x14ac:dyDescent="0.3">
      <c r="L2525" s="25"/>
      <c r="Q2525" s="17"/>
    </row>
    <row r="2526" spans="12:17" x14ac:dyDescent="0.3">
      <c r="L2526" s="25"/>
      <c r="Q2526" s="17"/>
    </row>
    <row r="2527" spans="12:17" x14ac:dyDescent="0.3">
      <c r="L2527" s="25"/>
      <c r="Q2527" s="17"/>
    </row>
    <row r="2528" spans="12:17" x14ac:dyDescent="0.3">
      <c r="L2528" s="25"/>
      <c r="Q2528" s="17"/>
    </row>
    <row r="2529" spans="12:17" x14ac:dyDescent="0.3">
      <c r="L2529" s="25"/>
      <c r="Q2529" s="17"/>
    </row>
    <row r="2530" spans="12:17" x14ac:dyDescent="0.3">
      <c r="L2530" s="25"/>
      <c r="Q2530" s="17"/>
    </row>
    <row r="2531" spans="12:17" x14ac:dyDescent="0.3">
      <c r="L2531" s="25"/>
      <c r="Q2531" s="17"/>
    </row>
    <row r="2532" spans="12:17" x14ac:dyDescent="0.3">
      <c r="L2532" s="25"/>
      <c r="Q2532" s="17"/>
    </row>
    <row r="2533" spans="12:17" x14ac:dyDescent="0.3">
      <c r="L2533" s="25"/>
      <c r="Q2533" s="17"/>
    </row>
    <row r="2534" spans="12:17" x14ac:dyDescent="0.3">
      <c r="L2534" s="25"/>
      <c r="Q2534" s="17"/>
    </row>
    <row r="2535" spans="12:17" x14ac:dyDescent="0.3">
      <c r="L2535" s="25"/>
      <c r="Q2535" s="17"/>
    </row>
    <row r="2536" spans="12:17" x14ac:dyDescent="0.3">
      <c r="L2536" s="25"/>
      <c r="Q2536" s="17"/>
    </row>
    <row r="2537" spans="12:17" x14ac:dyDescent="0.3">
      <c r="L2537" s="25"/>
      <c r="Q2537" s="17"/>
    </row>
    <row r="2538" spans="12:17" x14ac:dyDescent="0.3">
      <c r="L2538" s="25"/>
      <c r="Q2538" s="17"/>
    </row>
    <row r="2539" spans="12:17" x14ac:dyDescent="0.3">
      <c r="L2539" s="25"/>
      <c r="Q2539" s="17"/>
    </row>
    <row r="2540" spans="12:17" x14ac:dyDescent="0.3">
      <c r="L2540" s="25"/>
      <c r="Q2540" s="17"/>
    </row>
    <row r="2541" spans="12:17" x14ac:dyDescent="0.3">
      <c r="L2541" s="25"/>
      <c r="Q2541" s="17"/>
    </row>
    <row r="2542" spans="12:17" x14ac:dyDescent="0.3">
      <c r="L2542" s="25"/>
      <c r="Q2542" s="17"/>
    </row>
    <row r="2543" spans="12:17" x14ac:dyDescent="0.3">
      <c r="L2543" s="25"/>
      <c r="Q2543" s="17"/>
    </row>
    <row r="2544" spans="12:17" x14ac:dyDescent="0.3">
      <c r="L2544" s="25"/>
      <c r="Q2544" s="17"/>
    </row>
    <row r="2545" spans="12:17" x14ac:dyDescent="0.3">
      <c r="L2545" s="25"/>
      <c r="Q2545" s="17"/>
    </row>
    <row r="2546" spans="12:17" x14ac:dyDescent="0.3">
      <c r="L2546" s="25"/>
      <c r="Q2546" s="17"/>
    </row>
    <row r="2547" spans="12:17" x14ac:dyDescent="0.3">
      <c r="L2547" s="25"/>
      <c r="Q2547" s="17"/>
    </row>
    <row r="2548" spans="12:17" x14ac:dyDescent="0.3">
      <c r="L2548" s="25"/>
      <c r="Q2548" s="17"/>
    </row>
    <row r="2549" spans="12:17" x14ac:dyDescent="0.3">
      <c r="L2549" s="25"/>
      <c r="Q2549" s="17"/>
    </row>
    <row r="2550" spans="12:17" x14ac:dyDescent="0.3">
      <c r="L2550" s="25"/>
      <c r="Q2550" s="17"/>
    </row>
    <row r="2551" spans="12:17" x14ac:dyDescent="0.3">
      <c r="L2551" s="25"/>
      <c r="Q2551" s="17"/>
    </row>
    <row r="2552" spans="12:17" x14ac:dyDescent="0.3">
      <c r="L2552" s="25"/>
      <c r="Q2552" s="17"/>
    </row>
    <row r="2553" spans="12:17" x14ac:dyDescent="0.3">
      <c r="L2553" s="25"/>
      <c r="Q2553" s="17"/>
    </row>
    <row r="2554" spans="12:17" x14ac:dyDescent="0.3">
      <c r="L2554" s="25"/>
      <c r="Q2554" s="17"/>
    </row>
    <row r="2555" spans="12:17" x14ac:dyDescent="0.3">
      <c r="L2555" s="25"/>
      <c r="Q2555" s="17"/>
    </row>
    <row r="2556" spans="12:17" x14ac:dyDescent="0.3">
      <c r="L2556" s="25"/>
      <c r="Q2556" s="17"/>
    </row>
    <row r="2557" spans="12:17" x14ac:dyDescent="0.3">
      <c r="L2557" s="25"/>
      <c r="Q2557" s="17"/>
    </row>
    <row r="2558" spans="12:17" x14ac:dyDescent="0.3">
      <c r="L2558" s="25"/>
      <c r="Q2558" s="17"/>
    </row>
    <row r="2559" spans="12:17" x14ac:dyDescent="0.3">
      <c r="L2559" s="25"/>
      <c r="Q2559" s="17"/>
    </row>
    <row r="2560" spans="12:17" x14ac:dyDescent="0.3">
      <c r="L2560" s="25"/>
      <c r="Q2560" s="17"/>
    </row>
    <row r="2561" spans="12:17" x14ac:dyDescent="0.3">
      <c r="L2561" s="25"/>
      <c r="Q2561" s="17"/>
    </row>
    <row r="2562" spans="12:17" x14ac:dyDescent="0.3">
      <c r="L2562" s="25"/>
      <c r="Q2562" s="17"/>
    </row>
    <row r="2563" spans="12:17" x14ac:dyDescent="0.3">
      <c r="L2563" s="25"/>
      <c r="Q2563" s="17"/>
    </row>
    <row r="2564" spans="12:17" x14ac:dyDescent="0.3">
      <c r="L2564" s="25"/>
      <c r="Q2564" s="17"/>
    </row>
    <row r="2565" spans="12:17" x14ac:dyDescent="0.3">
      <c r="L2565" s="25"/>
      <c r="Q2565" s="17"/>
    </row>
    <row r="2566" spans="12:17" x14ac:dyDescent="0.3">
      <c r="L2566" s="25"/>
      <c r="Q2566" s="17"/>
    </row>
    <row r="2567" spans="12:17" x14ac:dyDescent="0.3">
      <c r="L2567" s="25"/>
      <c r="Q2567" s="17"/>
    </row>
    <row r="2568" spans="12:17" x14ac:dyDescent="0.3">
      <c r="L2568" s="25"/>
      <c r="Q2568" s="17"/>
    </row>
    <row r="2569" spans="12:17" x14ac:dyDescent="0.3">
      <c r="L2569" s="25"/>
      <c r="Q2569" s="17"/>
    </row>
    <row r="2570" spans="12:17" x14ac:dyDescent="0.3">
      <c r="L2570" s="25"/>
      <c r="Q2570" s="17"/>
    </row>
    <row r="2571" spans="12:17" x14ac:dyDescent="0.3">
      <c r="L2571" s="25"/>
      <c r="Q2571" s="17"/>
    </row>
    <row r="2572" spans="12:17" x14ac:dyDescent="0.3">
      <c r="L2572" s="25"/>
      <c r="Q2572" s="17"/>
    </row>
    <row r="2573" spans="12:17" x14ac:dyDescent="0.3">
      <c r="L2573" s="25"/>
      <c r="Q2573" s="17"/>
    </row>
    <row r="2574" spans="12:17" x14ac:dyDescent="0.3">
      <c r="L2574" s="25"/>
      <c r="Q2574" s="17"/>
    </row>
    <row r="2575" spans="12:17" x14ac:dyDescent="0.3">
      <c r="L2575" s="25"/>
      <c r="Q2575" s="17"/>
    </row>
    <row r="2576" spans="12:17" x14ac:dyDescent="0.3">
      <c r="L2576" s="25"/>
      <c r="Q2576" s="17"/>
    </row>
    <row r="2577" spans="12:17" x14ac:dyDescent="0.3">
      <c r="L2577" s="25"/>
      <c r="Q2577" s="17"/>
    </row>
    <row r="2578" spans="12:17" x14ac:dyDescent="0.3">
      <c r="L2578" s="25"/>
      <c r="Q2578" s="17"/>
    </row>
    <row r="2579" spans="12:17" x14ac:dyDescent="0.3">
      <c r="L2579" s="25"/>
      <c r="Q2579" s="17"/>
    </row>
    <row r="2580" spans="12:17" x14ac:dyDescent="0.3">
      <c r="L2580" s="25"/>
      <c r="Q2580" s="17"/>
    </row>
    <row r="2581" spans="12:17" x14ac:dyDescent="0.3">
      <c r="L2581" s="25"/>
      <c r="Q2581" s="17"/>
    </row>
    <row r="2582" spans="12:17" x14ac:dyDescent="0.3">
      <c r="L2582" s="25"/>
      <c r="Q2582" s="17"/>
    </row>
    <row r="2583" spans="12:17" x14ac:dyDescent="0.3">
      <c r="L2583" s="25"/>
      <c r="Q2583" s="17"/>
    </row>
    <row r="2584" spans="12:17" x14ac:dyDescent="0.3">
      <c r="L2584" s="25"/>
      <c r="Q2584" s="17"/>
    </row>
    <row r="2585" spans="12:17" x14ac:dyDescent="0.3">
      <c r="L2585" s="25"/>
      <c r="Q2585" s="17"/>
    </row>
    <row r="2586" spans="12:17" x14ac:dyDescent="0.3">
      <c r="L2586" s="25"/>
      <c r="Q2586" s="17"/>
    </row>
    <row r="2587" spans="12:17" x14ac:dyDescent="0.3">
      <c r="L2587" s="25"/>
      <c r="Q2587" s="17"/>
    </row>
    <row r="2588" spans="12:17" x14ac:dyDescent="0.3">
      <c r="L2588" s="25"/>
      <c r="Q2588" s="17"/>
    </row>
    <row r="2589" spans="12:17" x14ac:dyDescent="0.3">
      <c r="L2589" s="25"/>
      <c r="Q2589" s="17"/>
    </row>
    <row r="2590" spans="12:17" x14ac:dyDescent="0.3">
      <c r="L2590" s="25"/>
      <c r="Q2590" s="17"/>
    </row>
    <row r="2591" spans="12:17" x14ac:dyDescent="0.3">
      <c r="L2591" s="25"/>
      <c r="Q2591" s="17"/>
    </row>
    <row r="2592" spans="12:17" x14ac:dyDescent="0.3">
      <c r="L2592" s="25"/>
      <c r="Q2592" s="17"/>
    </row>
    <row r="2593" spans="12:17" x14ac:dyDescent="0.3">
      <c r="L2593" s="25"/>
      <c r="Q2593" s="17"/>
    </row>
    <row r="2594" spans="12:17" x14ac:dyDescent="0.3">
      <c r="L2594" s="25"/>
      <c r="Q2594" s="17"/>
    </row>
    <row r="2595" spans="12:17" x14ac:dyDescent="0.3">
      <c r="L2595" s="25"/>
      <c r="Q2595" s="17"/>
    </row>
    <row r="2596" spans="12:17" x14ac:dyDescent="0.3">
      <c r="L2596" s="25"/>
      <c r="Q2596" s="17"/>
    </row>
    <row r="2597" spans="12:17" x14ac:dyDescent="0.3">
      <c r="L2597" s="25"/>
      <c r="Q2597" s="17"/>
    </row>
    <row r="2598" spans="12:17" x14ac:dyDescent="0.3">
      <c r="L2598" s="25"/>
      <c r="Q2598" s="17"/>
    </row>
    <row r="2599" spans="12:17" x14ac:dyDescent="0.3">
      <c r="L2599" s="25"/>
      <c r="Q2599" s="17"/>
    </row>
    <row r="2600" spans="12:17" x14ac:dyDescent="0.3">
      <c r="L2600" s="25"/>
      <c r="Q2600" s="17"/>
    </row>
    <row r="2601" spans="12:17" x14ac:dyDescent="0.3">
      <c r="L2601" s="25"/>
      <c r="Q2601" s="17"/>
    </row>
    <row r="2602" spans="12:17" x14ac:dyDescent="0.3">
      <c r="L2602" s="25"/>
      <c r="Q2602" s="17"/>
    </row>
    <row r="2603" spans="12:17" x14ac:dyDescent="0.3">
      <c r="L2603" s="25"/>
      <c r="Q2603" s="17"/>
    </row>
    <row r="2604" spans="12:17" x14ac:dyDescent="0.3">
      <c r="L2604" s="25"/>
      <c r="Q2604" s="17"/>
    </row>
    <row r="2605" spans="12:17" x14ac:dyDescent="0.3">
      <c r="L2605" s="25"/>
      <c r="Q2605" s="17"/>
    </row>
    <row r="2606" spans="12:17" x14ac:dyDescent="0.3">
      <c r="L2606" s="25"/>
      <c r="Q2606" s="17"/>
    </row>
    <row r="2607" spans="12:17" x14ac:dyDescent="0.3">
      <c r="L2607" s="25"/>
      <c r="Q2607" s="17"/>
    </row>
    <row r="2608" spans="12:17" x14ac:dyDescent="0.3">
      <c r="L2608" s="25"/>
      <c r="Q2608" s="17"/>
    </row>
    <row r="2609" spans="12:17" x14ac:dyDescent="0.3">
      <c r="L2609" s="25"/>
      <c r="Q2609" s="17"/>
    </row>
    <row r="2610" spans="12:17" x14ac:dyDescent="0.3">
      <c r="L2610" s="25"/>
      <c r="Q2610" s="17"/>
    </row>
    <row r="2611" spans="12:17" x14ac:dyDescent="0.3">
      <c r="L2611" s="25"/>
      <c r="Q2611" s="17"/>
    </row>
    <row r="2612" spans="12:17" x14ac:dyDescent="0.3">
      <c r="L2612" s="25"/>
      <c r="Q2612" s="17"/>
    </row>
    <row r="2613" spans="12:17" x14ac:dyDescent="0.3">
      <c r="L2613" s="25"/>
      <c r="Q2613" s="17"/>
    </row>
    <row r="2614" spans="12:17" x14ac:dyDescent="0.3">
      <c r="L2614" s="25"/>
      <c r="Q2614" s="17"/>
    </row>
    <row r="2615" spans="12:17" x14ac:dyDescent="0.3">
      <c r="L2615" s="25"/>
      <c r="Q2615" s="17"/>
    </row>
    <row r="2616" spans="12:17" x14ac:dyDescent="0.3">
      <c r="L2616" s="25"/>
      <c r="Q2616" s="17"/>
    </row>
    <row r="2617" spans="12:17" x14ac:dyDescent="0.3">
      <c r="L2617" s="25"/>
      <c r="Q2617" s="17"/>
    </row>
    <row r="2618" spans="12:17" x14ac:dyDescent="0.3">
      <c r="L2618" s="25"/>
      <c r="Q2618" s="17"/>
    </row>
    <row r="2619" spans="12:17" x14ac:dyDescent="0.3">
      <c r="L2619" s="25"/>
      <c r="Q2619" s="17"/>
    </row>
    <row r="2620" spans="12:17" x14ac:dyDescent="0.3">
      <c r="L2620" s="25"/>
      <c r="Q2620" s="17"/>
    </row>
    <row r="2621" spans="12:17" x14ac:dyDescent="0.3">
      <c r="L2621" s="25"/>
      <c r="Q2621" s="17"/>
    </row>
    <row r="2622" spans="12:17" x14ac:dyDescent="0.3">
      <c r="L2622" s="25"/>
      <c r="Q2622" s="17"/>
    </row>
    <row r="2623" spans="12:17" x14ac:dyDescent="0.3">
      <c r="L2623" s="25"/>
      <c r="Q2623" s="17"/>
    </row>
    <row r="2624" spans="12:17" x14ac:dyDescent="0.3">
      <c r="L2624" s="25"/>
      <c r="Q2624" s="17"/>
    </row>
    <row r="2625" spans="12:17" x14ac:dyDescent="0.3">
      <c r="L2625" s="25"/>
      <c r="Q2625" s="17"/>
    </row>
    <row r="2626" spans="12:17" x14ac:dyDescent="0.3">
      <c r="L2626" s="25"/>
      <c r="Q2626" s="17"/>
    </row>
    <row r="2627" spans="12:17" x14ac:dyDescent="0.3">
      <c r="L2627" s="25"/>
      <c r="Q2627" s="17"/>
    </row>
    <row r="2628" spans="12:17" x14ac:dyDescent="0.3">
      <c r="L2628" s="25"/>
      <c r="Q2628" s="17"/>
    </row>
    <row r="2629" spans="12:17" x14ac:dyDescent="0.3">
      <c r="L2629" s="25"/>
      <c r="Q2629" s="17"/>
    </row>
    <row r="2630" spans="12:17" x14ac:dyDescent="0.3">
      <c r="L2630" s="25"/>
      <c r="Q2630" s="17"/>
    </row>
    <row r="2631" spans="12:17" x14ac:dyDescent="0.3">
      <c r="L2631" s="25"/>
      <c r="Q2631" s="17"/>
    </row>
    <row r="2632" spans="12:17" x14ac:dyDescent="0.3">
      <c r="L2632" s="25"/>
      <c r="Q2632" s="17"/>
    </row>
    <row r="2633" spans="12:17" x14ac:dyDescent="0.3">
      <c r="L2633" s="25"/>
      <c r="Q2633" s="17"/>
    </row>
    <row r="2634" spans="12:17" x14ac:dyDescent="0.3">
      <c r="L2634" s="25"/>
      <c r="Q2634" s="17"/>
    </row>
    <row r="2635" spans="12:17" x14ac:dyDescent="0.3">
      <c r="L2635" s="25"/>
      <c r="Q2635" s="17"/>
    </row>
    <row r="2636" spans="12:17" x14ac:dyDescent="0.3">
      <c r="L2636" s="25"/>
      <c r="Q2636" s="17"/>
    </row>
    <row r="2637" spans="12:17" x14ac:dyDescent="0.3">
      <c r="L2637" s="25"/>
      <c r="Q2637" s="17"/>
    </row>
    <row r="2638" spans="12:17" x14ac:dyDescent="0.3">
      <c r="L2638" s="25"/>
      <c r="Q2638" s="17"/>
    </row>
    <row r="2639" spans="12:17" x14ac:dyDescent="0.3">
      <c r="L2639" s="25"/>
      <c r="Q2639" s="17"/>
    </row>
    <row r="2640" spans="12:17" x14ac:dyDescent="0.3">
      <c r="L2640" s="25"/>
      <c r="Q2640" s="17"/>
    </row>
    <row r="2641" spans="12:17" x14ac:dyDescent="0.3">
      <c r="L2641" s="25"/>
      <c r="Q2641" s="17"/>
    </row>
    <row r="2642" spans="12:17" x14ac:dyDescent="0.3">
      <c r="L2642" s="25"/>
      <c r="Q2642" s="17"/>
    </row>
    <row r="2643" spans="12:17" x14ac:dyDescent="0.3">
      <c r="L2643" s="25"/>
      <c r="Q2643" s="17"/>
    </row>
    <row r="2644" spans="12:17" x14ac:dyDescent="0.3">
      <c r="L2644" s="25"/>
      <c r="Q2644" s="17"/>
    </row>
    <row r="2645" spans="12:17" x14ac:dyDescent="0.3">
      <c r="L2645" s="25"/>
      <c r="Q2645" s="17"/>
    </row>
    <row r="2646" spans="12:17" x14ac:dyDescent="0.3">
      <c r="L2646" s="25"/>
      <c r="Q2646" s="17"/>
    </row>
    <row r="2647" spans="12:17" x14ac:dyDescent="0.3">
      <c r="L2647" s="25"/>
      <c r="Q2647" s="17"/>
    </row>
    <row r="2648" spans="12:17" x14ac:dyDescent="0.3">
      <c r="L2648" s="25"/>
      <c r="Q2648" s="17"/>
    </row>
    <row r="2649" spans="12:17" x14ac:dyDescent="0.3">
      <c r="L2649" s="25"/>
      <c r="Q2649" s="17"/>
    </row>
    <row r="2650" spans="12:17" x14ac:dyDescent="0.3">
      <c r="L2650" s="25"/>
      <c r="Q2650" s="17"/>
    </row>
    <row r="2651" spans="12:17" x14ac:dyDescent="0.3">
      <c r="L2651" s="25"/>
      <c r="Q2651" s="17"/>
    </row>
    <row r="2652" spans="12:17" x14ac:dyDescent="0.3">
      <c r="L2652" s="25"/>
      <c r="Q2652" s="17"/>
    </row>
    <row r="2653" spans="12:17" x14ac:dyDescent="0.3">
      <c r="L2653" s="25"/>
      <c r="Q2653" s="17"/>
    </row>
    <row r="2654" spans="12:17" x14ac:dyDescent="0.3">
      <c r="L2654" s="25"/>
      <c r="Q2654" s="17"/>
    </row>
    <row r="2655" spans="12:17" x14ac:dyDescent="0.3">
      <c r="L2655" s="25"/>
      <c r="Q2655" s="17"/>
    </row>
    <row r="2656" spans="12:17" x14ac:dyDescent="0.3">
      <c r="L2656" s="25"/>
      <c r="Q2656" s="17"/>
    </row>
    <row r="2657" spans="12:17" x14ac:dyDescent="0.3">
      <c r="L2657" s="25"/>
      <c r="Q2657" s="17"/>
    </row>
    <row r="2658" spans="12:17" x14ac:dyDescent="0.3">
      <c r="L2658" s="25"/>
      <c r="Q2658" s="17"/>
    </row>
    <row r="2659" spans="12:17" x14ac:dyDescent="0.3">
      <c r="L2659" s="25"/>
      <c r="Q2659" s="17"/>
    </row>
    <row r="2660" spans="12:17" x14ac:dyDescent="0.3">
      <c r="L2660" s="25"/>
      <c r="Q2660" s="17"/>
    </row>
    <row r="2661" spans="12:17" x14ac:dyDescent="0.3">
      <c r="L2661" s="25"/>
      <c r="Q2661" s="17"/>
    </row>
    <row r="2662" spans="12:17" x14ac:dyDescent="0.3">
      <c r="L2662" s="25"/>
      <c r="Q2662" s="17"/>
    </row>
    <row r="2663" spans="12:17" x14ac:dyDescent="0.3">
      <c r="L2663" s="25"/>
      <c r="Q2663" s="17"/>
    </row>
    <row r="2664" spans="12:17" x14ac:dyDescent="0.3">
      <c r="L2664" s="25"/>
      <c r="Q2664" s="17"/>
    </row>
    <row r="2665" spans="12:17" x14ac:dyDescent="0.3">
      <c r="L2665" s="25"/>
      <c r="Q2665" s="17"/>
    </row>
    <row r="2666" spans="12:17" x14ac:dyDescent="0.3">
      <c r="L2666" s="25"/>
      <c r="Q2666" s="17"/>
    </row>
    <row r="2667" spans="12:17" x14ac:dyDescent="0.3">
      <c r="L2667" s="25"/>
      <c r="Q2667" s="17"/>
    </row>
    <row r="2668" spans="12:17" x14ac:dyDescent="0.3">
      <c r="L2668" s="25"/>
      <c r="Q2668" s="17"/>
    </row>
    <row r="2669" spans="12:17" x14ac:dyDescent="0.3">
      <c r="L2669" s="25"/>
      <c r="Q2669" s="17"/>
    </row>
    <row r="2670" spans="12:17" x14ac:dyDescent="0.3">
      <c r="L2670" s="25"/>
      <c r="Q2670" s="17"/>
    </row>
    <row r="2671" spans="12:17" x14ac:dyDescent="0.3">
      <c r="L2671" s="25"/>
      <c r="Q2671" s="17"/>
    </row>
    <row r="2672" spans="12:17" x14ac:dyDescent="0.3">
      <c r="L2672" s="25"/>
      <c r="Q2672" s="17"/>
    </row>
    <row r="2673" spans="12:17" x14ac:dyDescent="0.3">
      <c r="L2673" s="25"/>
      <c r="Q2673" s="17"/>
    </row>
    <row r="2674" spans="12:17" x14ac:dyDescent="0.3">
      <c r="L2674" s="25"/>
      <c r="Q2674" s="17"/>
    </row>
    <row r="2675" spans="12:17" x14ac:dyDescent="0.3">
      <c r="L2675" s="25"/>
      <c r="Q2675" s="17"/>
    </row>
    <row r="2676" spans="12:17" x14ac:dyDescent="0.3">
      <c r="L2676" s="25"/>
      <c r="Q2676" s="17"/>
    </row>
    <row r="2677" spans="12:17" x14ac:dyDescent="0.3">
      <c r="L2677" s="25"/>
      <c r="Q2677" s="17"/>
    </row>
    <row r="2678" spans="12:17" x14ac:dyDescent="0.3">
      <c r="L2678" s="25"/>
      <c r="Q2678" s="17"/>
    </row>
    <row r="2679" spans="12:17" x14ac:dyDescent="0.3">
      <c r="L2679" s="25"/>
      <c r="Q2679" s="17"/>
    </row>
    <row r="2680" spans="12:17" x14ac:dyDescent="0.3">
      <c r="L2680" s="25"/>
      <c r="Q2680" s="17"/>
    </row>
    <row r="2681" spans="12:17" x14ac:dyDescent="0.3">
      <c r="L2681" s="25"/>
      <c r="Q2681" s="17"/>
    </row>
    <row r="2682" spans="12:17" x14ac:dyDescent="0.3">
      <c r="L2682" s="25"/>
      <c r="Q2682" s="17"/>
    </row>
    <row r="2683" spans="12:17" x14ac:dyDescent="0.3">
      <c r="L2683" s="25"/>
      <c r="Q2683" s="17"/>
    </row>
    <row r="2684" spans="12:17" x14ac:dyDescent="0.3">
      <c r="L2684" s="25"/>
      <c r="Q2684" s="17"/>
    </row>
    <row r="2685" spans="12:17" x14ac:dyDescent="0.3">
      <c r="L2685" s="25"/>
      <c r="Q2685" s="17"/>
    </row>
    <row r="2686" spans="12:17" x14ac:dyDescent="0.3">
      <c r="L2686" s="25"/>
      <c r="Q2686" s="17"/>
    </row>
    <row r="2687" spans="12:17" x14ac:dyDescent="0.3">
      <c r="L2687" s="25"/>
      <c r="Q2687" s="17"/>
    </row>
    <row r="2688" spans="12:17" x14ac:dyDescent="0.3">
      <c r="L2688" s="25"/>
      <c r="Q2688" s="17"/>
    </row>
    <row r="2689" spans="12:17" x14ac:dyDescent="0.3">
      <c r="L2689" s="25"/>
      <c r="Q2689" s="17"/>
    </row>
    <row r="2690" spans="12:17" x14ac:dyDescent="0.3">
      <c r="L2690" s="25"/>
      <c r="Q2690" s="17"/>
    </row>
    <row r="2691" spans="12:17" x14ac:dyDescent="0.3">
      <c r="L2691" s="25"/>
      <c r="Q2691" s="17"/>
    </row>
    <row r="2692" spans="12:17" x14ac:dyDescent="0.3">
      <c r="L2692" s="25"/>
      <c r="Q2692" s="17"/>
    </row>
    <row r="2693" spans="12:17" x14ac:dyDescent="0.3">
      <c r="L2693" s="25"/>
      <c r="Q2693" s="17"/>
    </row>
    <row r="2694" spans="12:17" x14ac:dyDescent="0.3">
      <c r="L2694" s="25"/>
      <c r="Q2694" s="17"/>
    </row>
    <row r="2695" spans="12:17" x14ac:dyDescent="0.3">
      <c r="L2695" s="25"/>
      <c r="Q2695" s="17"/>
    </row>
    <row r="2696" spans="12:17" x14ac:dyDescent="0.3">
      <c r="L2696" s="25"/>
      <c r="Q2696" s="17"/>
    </row>
    <row r="2697" spans="12:17" x14ac:dyDescent="0.3">
      <c r="L2697" s="25"/>
      <c r="Q2697" s="17"/>
    </row>
    <row r="2698" spans="12:17" x14ac:dyDescent="0.3">
      <c r="L2698" s="25"/>
      <c r="Q2698" s="17"/>
    </row>
    <row r="2699" spans="12:17" x14ac:dyDescent="0.3">
      <c r="L2699" s="25"/>
      <c r="Q2699" s="17"/>
    </row>
    <row r="2700" spans="12:17" x14ac:dyDescent="0.3">
      <c r="L2700" s="25"/>
      <c r="Q2700" s="17"/>
    </row>
    <row r="2701" spans="12:17" x14ac:dyDescent="0.3">
      <c r="L2701" s="25"/>
      <c r="Q2701" s="17"/>
    </row>
    <row r="2702" spans="12:17" x14ac:dyDescent="0.3">
      <c r="L2702" s="25"/>
      <c r="Q2702" s="17"/>
    </row>
    <row r="2703" spans="12:17" x14ac:dyDescent="0.3">
      <c r="L2703" s="25"/>
      <c r="Q2703" s="17"/>
    </row>
    <row r="2704" spans="12:17" x14ac:dyDescent="0.3">
      <c r="L2704" s="25"/>
      <c r="Q2704" s="17"/>
    </row>
    <row r="2705" spans="12:17" x14ac:dyDescent="0.3">
      <c r="L2705" s="25"/>
      <c r="Q2705" s="17"/>
    </row>
    <row r="2706" spans="12:17" x14ac:dyDescent="0.3">
      <c r="L2706" s="25"/>
      <c r="Q2706" s="17"/>
    </row>
    <row r="2707" spans="12:17" x14ac:dyDescent="0.3">
      <c r="L2707" s="25"/>
      <c r="Q2707" s="17"/>
    </row>
    <row r="2708" spans="12:17" x14ac:dyDescent="0.3">
      <c r="L2708" s="25"/>
      <c r="Q2708" s="17"/>
    </row>
    <row r="2709" spans="12:17" x14ac:dyDescent="0.3">
      <c r="L2709" s="25"/>
      <c r="Q2709" s="17"/>
    </row>
    <row r="2710" spans="12:17" x14ac:dyDescent="0.3">
      <c r="L2710" s="25"/>
      <c r="Q2710" s="17"/>
    </row>
    <row r="2711" spans="12:17" x14ac:dyDescent="0.3">
      <c r="L2711" s="25"/>
      <c r="Q2711" s="17"/>
    </row>
    <row r="2712" spans="12:17" x14ac:dyDescent="0.3">
      <c r="L2712" s="25"/>
      <c r="Q2712" s="17"/>
    </row>
    <row r="2713" spans="12:17" x14ac:dyDescent="0.3">
      <c r="L2713" s="25"/>
      <c r="Q2713" s="17"/>
    </row>
    <row r="2714" spans="12:17" x14ac:dyDescent="0.3">
      <c r="L2714" s="25"/>
      <c r="Q2714" s="17"/>
    </row>
    <row r="2715" spans="12:17" x14ac:dyDescent="0.3">
      <c r="L2715" s="25"/>
      <c r="Q2715" s="17"/>
    </row>
    <row r="2716" spans="12:17" x14ac:dyDescent="0.3">
      <c r="L2716" s="25"/>
      <c r="Q2716" s="17"/>
    </row>
    <row r="2717" spans="12:17" x14ac:dyDescent="0.3">
      <c r="L2717" s="25"/>
      <c r="Q2717" s="17"/>
    </row>
    <row r="2718" spans="12:17" x14ac:dyDescent="0.3">
      <c r="L2718" s="25"/>
      <c r="Q2718" s="17"/>
    </row>
    <row r="2719" spans="12:17" x14ac:dyDescent="0.3">
      <c r="L2719" s="25"/>
      <c r="Q2719" s="17"/>
    </row>
    <row r="2720" spans="12:17" x14ac:dyDescent="0.3">
      <c r="L2720" s="25"/>
      <c r="Q2720" s="17"/>
    </row>
    <row r="2721" spans="12:17" x14ac:dyDescent="0.3">
      <c r="L2721" s="25"/>
      <c r="Q2721" s="17"/>
    </row>
    <row r="2722" spans="12:17" x14ac:dyDescent="0.3">
      <c r="L2722" s="25"/>
      <c r="Q2722" s="17"/>
    </row>
    <row r="2723" spans="12:17" x14ac:dyDescent="0.3">
      <c r="L2723" s="25"/>
      <c r="Q2723" s="17"/>
    </row>
    <row r="2724" spans="12:17" x14ac:dyDescent="0.3">
      <c r="L2724" s="25"/>
      <c r="Q2724" s="17"/>
    </row>
    <row r="2725" spans="12:17" x14ac:dyDescent="0.3">
      <c r="L2725" s="25"/>
      <c r="Q2725" s="17"/>
    </row>
    <row r="2726" spans="12:17" x14ac:dyDescent="0.3">
      <c r="L2726" s="25"/>
      <c r="Q2726" s="17"/>
    </row>
    <row r="2727" spans="12:17" x14ac:dyDescent="0.3">
      <c r="L2727" s="25"/>
      <c r="Q2727" s="17"/>
    </row>
    <row r="2728" spans="12:17" x14ac:dyDescent="0.3">
      <c r="L2728" s="25"/>
      <c r="Q2728" s="17"/>
    </row>
    <row r="2729" spans="12:17" x14ac:dyDescent="0.3">
      <c r="L2729" s="25"/>
      <c r="Q2729" s="17"/>
    </row>
    <row r="2730" spans="12:17" x14ac:dyDescent="0.3">
      <c r="L2730" s="25"/>
      <c r="Q2730" s="17"/>
    </row>
    <row r="2731" spans="12:17" x14ac:dyDescent="0.3">
      <c r="L2731" s="25"/>
      <c r="Q2731" s="17"/>
    </row>
    <row r="2732" spans="12:17" x14ac:dyDescent="0.3">
      <c r="L2732" s="25"/>
      <c r="Q2732" s="17"/>
    </row>
    <row r="2733" spans="12:17" x14ac:dyDescent="0.3">
      <c r="L2733" s="25"/>
      <c r="Q2733" s="17"/>
    </row>
    <row r="2734" spans="12:17" x14ac:dyDescent="0.3">
      <c r="L2734" s="25"/>
      <c r="Q2734" s="17"/>
    </row>
    <row r="2735" spans="12:17" x14ac:dyDescent="0.3">
      <c r="L2735" s="25"/>
      <c r="Q2735" s="17"/>
    </row>
    <row r="2736" spans="12:17" x14ac:dyDescent="0.3">
      <c r="L2736" s="25"/>
      <c r="Q2736" s="17"/>
    </row>
    <row r="2737" spans="12:17" x14ac:dyDescent="0.3">
      <c r="L2737" s="25"/>
      <c r="Q2737" s="17"/>
    </row>
    <row r="2738" spans="12:17" x14ac:dyDescent="0.3">
      <c r="L2738" s="25"/>
      <c r="Q2738" s="17"/>
    </row>
    <row r="2739" spans="12:17" x14ac:dyDescent="0.3">
      <c r="L2739" s="25"/>
      <c r="Q2739" s="17"/>
    </row>
    <row r="2740" spans="12:17" x14ac:dyDescent="0.3">
      <c r="L2740" s="25"/>
      <c r="Q2740" s="17"/>
    </row>
    <row r="2741" spans="12:17" x14ac:dyDescent="0.3">
      <c r="L2741" s="25"/>
      <c r="Q2741" s="17"/>
    </row>
    <row r="2742" spans="12:17" x14ac:dyDescent="0.3">
      <c r="L2742" s="25"/>
      <c r="Q2742" s="17"/>
    </row>
    <row r="2743" spans="12:17" x14ac:dyDescent="0.3">
      <c r="L2743" s="25"/>
      <c r="Q2743" s="17"/>
    </row>
    <row r="2744" spans="12:17" x14ac:dyDescent="0.3">
      <c r="L2744" s="25"/>
      <c r="Q2744" s="17"/>
    </row>
    <row r="2745" spans="12:17" x14ac:dyDescent="0.3">
      <c r="L2745" s="25"/>
      <c r="Q2745" s="17"/>
    </row>
    <row r="2746" spans="12:17" x14ac:dyDescent="0.3">
      <c r="L2746" s="25"/>
      <c r="Q2746" s="17"/>
    </row>
    <row r="2747" spans="12:17" x14ac:dyDescent="0.3">
      <c r="L2747" s="25"/>
      <c r="Q2747" s="17"/>
    </row>
    <row r="2748" spans="12:17" x14ac:dyDescent="0.3">
      <c r="L2748" s="25"/>
      <c r="Q2748" s="17"/>
    </row>
    <row r="2749" spans="12:17" x14ac:dyDescent="0.3">
      <c r="L2749" s="25"/>
      <c r="Q2749" s="17"/>
    </row>
    <row r="2750" spans="12:17" x14ac:dyDescent="0.3">
      <c r="L2750" s="25"/>
      <c r="Q2750" s="17"/>
    </row>
    <row r="2751" spans="12:17" x14ac:dyDescent="0.3">
      <c r="L2751" s="25"/>
      <c r="Q2751" s="17"/>
    </row>
    <row r="2752" spans="12:17" x14ac:dyDescent="0.3">
      <c r="L2752" s="25"/>
      <c r="Q2752" s="17"/>
    </row>
    <row r="2753" spans="12:17" x14ac:dyDescent="0.3">
      <c r="L2753" s="25"/>
      <c r="Q2753" s="17"/>
    </row>
    <row r="2754" spans="12:17" x14ac:dyDescent="0.3">
      <c r="L2754" s="25"/>
      <c r="Q2754" s="17"/>
    </row>
    <row r="2755" spans="12:17" x14ac:dyDescent="0.3">
      <c r="L2755" s="25"/>
      <c r="Q2755" s="17"/>
    </row>
    <row r="2756" spans="12:17" x14ac:dyDescent="0.3">
      <c r="L2756" s="25"/>
      <c r="Q2756" s="17"/>
    </row>
    <row r="2757" spans="12:17" x14ac:dyDescent="0.3">
      <c r="L2757" s="25"/>
      <c r="Q2757" s="17"/>
    </row>
    <row r="2758" spans="12:17" x14ac:dyDescent="0.3">
      <c r="L2758" s="25"/>
      <c r="Q2758" s="17"/>
    </row>
    <row r="2759" spans="12:17" x14ac:dyDescent="0.3">
      <c r="L2759" s="25"/>
      <c r="Q2759" s="17"/>
    </row>
    <row r="2760" spans="12:17" x14ac:dyDescent="0.3">
      <c r="L2760" s="25"/>
      <c r="Q2760" s="17"/>
    </row>
    <row r="2761" spans="12:17" x14ac:dyDescent="0.3">
      <c r="L2761" s="25"/>
      <c r="Q2761" s="17"/>
    </row>
    <row r="2762" spans="12:17" x14ac:dyDescent="0.3">
      <c r="L2762" s="25"/>
      <c r="Q2762" s="17"/>
    </row>
    <row r="2763" spans="12:17" x14ac:dyDescent="0.3">
      <c r="L2763" s="25"/>
      <c r="Q2763" s="17"/>
    </row>
    <row r="2764" spans="12:17" x14ac:dyDescent="0.3">
      <c r="L2764" s="25"/>
      <c r="Q2764" s="17"/>
    </row>
    <row r="2765" spans="12:17" x14ac:dyDescent="0.3">
      <c r="L2765" s="25"/>
      <c r="Q2765" s="17"/>
    </row>
    <row r="2766" spans="12:17" x14ac:dyDescent="0.3">
      <c r="L2766" s="25"/>
      <c r="Q2766" s="17"/>
    </row>
    <row r="2767" spans="12:17" x14ac:dyDescent="0.3">
      <c r="L2767" s="25"/>
      <c r="Q2767" s="17"/>
    </row>
    <row r="2768" spans="12:17" x14ac:dyDescent="0.3">
      <c r="L2768" s="25"/>
      <c r="Q2768" s="17"/>
    </row>
    <row r="2769" spans="12:17" x14ac:dyDescent="0.3">
      <c r="L2769" s="25"/>
      <c r="Q2769" s="17"/>
    </row>
    <row r="2770" spans="12:17" x14ac:dyDescent="0.3">
      <c r="L2770" s="25"/>
      <c r="Q2770" s="17"/>
    </row>
    <row r="2771" spans="12:17" x14ac:dyDescent="0.3">
      <c r="L2771" s="25"/>
      <c r="Q2771" s="17"/>
    </row>
    <row r="2772" spans="12:17" x14ac:dyDescent="0.3">
      <c r="L2772" s="25"/>
      <c r="Q2772" s="17"/>
    </row>
    <row r="2773" spans="12:17" x14ac:dyDescent="0.3">
      <c r="L2773" s="25"/>
      <c r="Q2773" s="17"/>
    </row>
    <row r="2774" spans="12:17" x14ac:dyDescent="0.3">
      <c r="L2774" s="25"/>
      <c r="Q2774" s="17"/>
    </row>
    <row r="2775" spans="12:17" x14ac:dyDescent="0.3">
      <c r="L2775" s="25"/>
      <c r="Q2775" s="17"/>
    </row>
    <row r="2776" spans="12:17" x14ac:dyDescent="0.3">
      <c r="L2776" s="25"/>
      <c r="Q2776" s="17"/>
    </row>
    <row r="2777" spans="12:17" x14ac:dyDescent="0.3">
      <c r="L2777" s="25"/>
      <c r="Q2777" s="17"/>
    </row>
    <row r="2778" spans="12:17" x14ac:dyDescent="0.3">
      <c r="L2778" s="25"/>
      <c r="Q2778" s="17"/>
    </row>
    <row r="2779" spans="12:17" x14ac:dyDescent="0.3">
      <c r="L2779" s="25"/>
      <c r="Q2779" s="17"/>
    </row>
    <row r="2780" spans="12:17" x14ac:dyDescent="0.3">
      <c r="L2780" s="25"/>
      <c r="Q2780" s="17"/>
    </row>
    <row r="2781" spans="12:17" x14ac:dyDescent="0.3">
      <c r="L2781" s="25"/>
      <c r="Q2781" s="17"/>
    </row>
    <row r="2782" spans="12:17" x14ac:dyDescent="0.3">
      <c r="L2782" s="25"/>
      <c r="Q2782" s="17"/>
    </row>
    <row r="2783" spans="12:17" x14ac:dyDescent="0.3">
      <c r="L2783" s="25"/>
      <c r="Q2783" s="17"/>
    </row>
    <row r="2784" spans="12:17" x14ac:dyDescent="0.3">
      <c r="L2784" s="25"/>
      <c r="Q2784" s="17"/>
    </row>
    <row r="2785" spans="12:17" x14ac:dyDescent="0.3">
      <c r="L2785" s="25"/>
      <c r="Q2785" s="17"/>
    </row>
    <row r="2786" spans="12:17" x14ac:dyDescent="0.3">
      <c r="L2786" s="25"/>
      <c r="Q2786" s="17"/>
    </row>
    <row r="2787" spans="12:17" x14ac:dyDescent="0.3">
      <c r="L2787" s="25"/>
      <c r="Q2787" s="17"/>
    </row>
    <row r="2788" spans="12:17" x14ac:dyDescent="0.3">
      <c r="L2788" s="25"/>
      <c r="Q2788" s="17"/>
    </row>
    <row r="2789" spans="12:17" x14ac:dyDescent="0.3">
      <c r="L2789" s="25"/>
      <c r="Q2789" s="17"/>
    </row>
    <row r="2790" spans="12:17" x14ac:dyDescent="0.3">
      <c r="L2790" s="25"/>
      <c r="Q2790" s="17"/>
    </row>
    <row r="2791" spans="12:17" x14ac:dyDescent="0.3">
      <c r="L2791" s="25"/>
      <c r="Q2791" s="17"/>
    </row>
    <row r="2792" spans="12:17" x14ac:dyDescent="0.3">
      <c r="L2792" s="25"/>
      <c r="Q2792" s="17"/>
    </row>
    <row r="2793" spans="12:17" x14ac:dyDescent="0.3">
      <c r="L2793" s="25"/>
      <c r="Q2793" s="17"/>
    </row>
    <row r="2794" spans="12:17" x14ac:dyDescent="0.3">
      <c r="L2794" s="25"/>
      <c r="Q2794" s="17"/>
    </row>
    <row r="2795" spans="12:17" x14ac:dyDescent="0.3">
      <c r="L2795" s="25"/>
      <c r="Q2795" s="17"/>
    </row>
    <row r="2796" spans="12:17" x14ac:dyDescent="0.3">
      <c r="L2796" s="25"/>
      <c r="Q2796" s="17"/>
    </row>
    <row r="2797" spans="12:17" x14ac:dyDescent="0.3">
      <c r="L2797" s="25"/>
      <c r="Q2797" s="17"/>
    </row>
    <row r="2798" spans="12:17" x14ac:dyDescent="0.3">
      <c r="L2798" s="25"/>
      <c r="Q2798" s="17"/>
    </row>
    <row r="2799" spans="12:17" x14ac:dyDescent="0.3">
      <c r="L2799" s="25"/>
      <c r="Q2799" s="17"/>
    </row>
    <row r="2800" spans="12:17" x14ac:dyDescent="0.3">
      <c r="L2800" s="25"/>
      <c r="Q2800" s="17"/>
    </row>
    <row r="2801" spans="12:17" x14ac:dyDescent="0.3">
      <c r="L2801" s="25"/>
      <c r="Q2801" s="17"/>
    </row>
    <row r="2802" spans="12:17" x14ac:dyDescent="0.3">
      <c r="L2802" s="25"/>
      <c r="Q2802" s="17"/>
    </row>
    <row r="2803" spans="12:17" x14ac:dyDescent="0.3">
      <c r="L2803" s="25"/>
      <c r="Q2803" s="17"/>
    </row>
    <row r="2804" spans="12:17" x14ac:dyDescent="0.3">
      <c r="L2804" s="25"/>
      <c r="Q2804" s="17"/>
    </row>
    <row r="2805" spans="12:17" x14ac:dyDescent="0.3">
      <c r="L2805" s="25"/>
      <c r="Q2805" s="17"/>
    </row>
    <row r="2806" spans="12:17" x14ac:dyDescent="0.3">
      <c r="L2806" s="25"/>
      <c r="Q2806" s="17"/>
    </row>
    <row r="2807" spans="12:17" x14ac:dyDescent="0.3">
      <c r="L2807" s="25"/>
      <c r="Q2807" s="17"/>
    </row>
    <row r="2808" spans="12:17" x14ac:dyDescent="0.3">
      <c r="L2808" s="25"/>
      <c r="Q2808" s="17"/>
    </row>
    <row r="2809" spans="12:17" x14ac:dyDescent="0.3">
      <c r="L2809" s="25"/>
      <c r="Q2809" s="17"/>
    </row>
    <row r="2810" spans="12:17" x14ac:dyDescent="0.3">
      <c r="L2810" s="25"/>
      <c r="Q2810" s="17"/>
    </row>
    <row r="2811" spans="12:17" x14ac:dyDescent="0.3">
      <c r="L2811" s="25"/>
      <c r="Q2811" s="17"/>
    </row>
    <row r="2812" spans="12:17" x14ac:dyDescent="0.3">
      <c r="L2812" s="25"/>
      <c r="Q2812" s="17"/>
    </row>
    <row r="2813" spans="12:17" x14ac:dyDescent="0.3">
      <c r="L2813" s="25"/>
      <c r="Q2813" s="17"/>
    </row>
    <row r="2814" spans="12:17" x14ac:dyDescent="0.3">
      <c r="L2814" s="25"/>
      <c r="Q2814" s="17"/>
    </row>
    <row r="2815" spans="12:17" x14ac:dyDescent="0.3">
      <c r="L2815" s="25"/>
      <c r="Q2815" s="17"/>
    </row>
    <row r="2816" spans="12:17" x14ac:dyDescent="0.3">
      <c r="L2816" s="25"/>
      <c r="Q2816" s="17"/>
    </row>
    <row r="2817" spans="12:17" x14ac:dyDescent="0.3">
      <c r="L2817" s="25"/>
      <c r="Q2817" s="17"/>
    </row>
    <row r="2818" spans="12:17" x14ac:dyDescent="0.3">
      <c r="L2818" s="25"/>
      <c r="Q2818" s="17"/>
    </row>
    <row r="2819" spans="12:17" x14ac:dyDescent="0.3">
      <c r="L2819" s="25"/>
      <c r="Q2819" s="17"/>
    </row>
    <row r="2820" spans="12:17" x14ac:dyDescent="0.3">
      <c r="L2820" s="25"/>
      <c r="Q2820" s="17"/>
    </row>
    <row r="2821" spans="12:17" x14ac:dyDescent="0.3">
      <c r="L2821" s="25"/>
      <c r="Q2821" s="17"/>
    </row>
    <row r="2822" spans="12:17" x14ac:dyDescent="0.3">
      <c r="L2822" s="25"/>
      <c r="Q2822" s="17"/>
    </row>
    <row r="2823" spans="12:17" x14ac:dyDescent="0.3">
      <c r="L2823" s="25"/>
      <c r="Q2823" s="17"/>
    </row>
    <row r="2824" spans="12:17" x14ac:dyDescent="0.3">
      <c r="L2824" s="25"/>
      <c r="Q2824" s="17"/>
    </row>
    <row r="2825" spans="12:17" x14ac:dyDescent="0.3">
      <c r="L2825" s="25"/>
      <c r="Q2825" s="17"/>
    </row>
    <row r="2826" spans="12:17" x14ac:dyDescent="0.3">
      <c r="L2826" s="25"/>
      <c r="Q2826" s="17"/>
    </row>
    <row r="2827" spans="12:17" x14ac:dyDescent="0.3">
      <c r="L2827" s="25"/>
      <c r="Q2827" s="17"/>
    </row>
    <row r="2828" spans="12:17" x14ac:dyDescent="0.3">
      <c r="L2828" s="25"/>
      <c r="Q2828" s="17"/>
    </row>
    <row r="2829" spans="12:17" x14ac:dyDescent="0.3">
      <c r="L2829" s="25"/>
      <c r="Q2829" s="17"/>
    </row>
    <row r="2830" spans="12:17" x14ac:dyDescent="0.3">
      <c r="L2830" s="25"/>
      <c r="Q2830" s="17"/>
    </row>
    <row r="2831" spans="12:17" x14ac:dyDescent="0.3">
      <c r="L2831" s="25"/>
      <c r="Q2831" s="17"/>
    </row>
    <row r="2832" spans="12:17" x14ac:dyDescent="0.3">
      <c r="L2832" s="25"/>
      <c r="Q2832" s="17"/>
    </row>
    <row r="2833" spans="12:17" x14ac:dyDescent="0.3">
      <c r="L2833" s="25"/>
      <c r="Q2833" s="17"/>
    </row>
    <row r="2834" spans="12:17" x14ac:dyDescent="0.3">
      <c r="L2834" s="25"/>
      <c r="Q2834" s="17"/>
    </row>
    <row r="2835" spans="12:17" x14ac:dyDescent="0.3">
      <c r="L2835" s="25"/>
      <c r="Q2835" s="17"/>
    </row>
    <row r="2836" spans="12:17" x14ac:dyDescent="0.3">
      <c r="L2836" s="25"/>
      <c r="Q2836" s="17"/>
    </row>
    <row r="2837" spans="12:17" x14ac:dyDescent="0.3">
      <c r="L2837" s="25"/>
      <c r="Q2837" s="17"/>
    </row>
    <row r="2838" spans="12:17" x14ac:dyDescent="0.3">
      <c r="L2838" s="25"/>
      <c r="Q2838" s="17"/>
    </row>
    <row r="2839" spans="12:17" x14ac:dyDescent="0.3">
      <c r="L2839" s="25"/>
      <c r="Q2839" s="17"/>
    </row>
    <row r="2840" spans="12:17" x14ac:dyDescent="0.3">
      <c r="L2840" s="25"/>
      <c r="Q2840" s="17"/>
    </row>
    <row r="2841" spans="12:17" x14ac:dyDescent="0.3">
      <c r="L2841" s="25"/>
      <c r="Q2841" s="17"/>
    </row>
    <row r="2842" spans="12:17" x14ac:dyDescent="0.3">
      <c r="L2842" s="25"/>
      <c r="Q2842" s="17"/>
    </row>
    <row r="2843" spans="12:17" x14ac:dyDescent="0.3">
      <c r="L2843" s="25"/>
      <c r="Q2843" s="17"/>
    </row>
    <row r="2844" spans="12:17" x14ac:dyDescent="0.3">
      <c r="L2844" s="25"/>
      <c r="Q2844" s="17"/>
    </row>
    <row r="2845" spans="12:17" x14ac:dyDescent="0.3">
      <c r="L2845" s="25"/>
      <c r="Q2845" s="17"/>
    </row>
    <row r="2846" spans="12:17" x14ac:dyDescent="0.3">
      <c r="L2846" s="25"/>
      <c r="Q2846" s="17"/>
    </row>
    <row r="2847" spans="12:17" x14ac:dyDescent="0.3">
      <c r="L2847" s="25"/>
      <c r="Q2847" s="17"/>
    </row>
    <row r="2848" spans="12:17" x14ac:dyDescent="0.3">
      <c r="L2848" s="25"/>
      <c r="Q2848" s="17"/>
    </row>
    <row r="2849" spans="12:17" x14ac:dyDescent="0.3">
      <c r="L2849" s="25"/>
      <c r="Q2849" s="17"/>
    </row>
    <row r="2850" spans="12:17" x14ac:dyDescent="0.3">
      <c r="L2850" s="25"/>
      <c r="Q2850" s="17"/>
    </row>
    <row r="2851" spans="12:17" x14ac:dyDescent="0.3">
      <c r="L2851" s="25"/>
      <c r="Q2851" s="17"/>
    </row>
    <row r="2852" spans="12:17" x14ac:dyDescent="0.3">
      <c r="L2852" s="25"/>
      <c r="Q2852" s="17"/>
    </row>
    <row r="2853" spans="12:17" x14ac:dyDescent="0.3">
      <c r="L2853" s="25"/>
      <c r="Q2853" s="17"/>
    </row>
    <row r="2854" spans="12:17" x14ac:dyDescent="0.3">
      <c r="L2854" s="25"/>
      <c r="Q2854" s="17"/>
    </row>
    <row r="2855" spans="12:17" x14ac:dyDescent="0.3">
      <c r="L2855" s="25"/>
      <c r="Q2855" s="17"/>
    </row>
    <row r="2856" spans="12:17" x14ac:dyDescent="0.3">
      <c r="L2856" s="25"/>
      <c r="Q2856" s="17"/>
    </row>
    <row r="2857" spans="12:17" x14ac:dyDescent="0.3">
      <c r="L2857" s="25"/>
      <c r="Q2857" s="17"/>
    </row>
    <row r="2858" spans="12:17" x14ac:dyDescent="0.3">
      <c r="L2858" s="25"/>
      <c r="Q2858" s="17"/>
    </row>
    <row r="2859" spans="12:17" x14ac:dyDescent="0.3">
      <c r="L2859" s="25"/>
      <c r="Q2859" s="17"/>
    </row>
    <row r="2860" spans="12:17" x14ac:dyDescent="0.3">
      <c r="L2860" s="25"/>
      <c r="Q2860" s="17"/>
    </row>
    <row r="2861" spans="12:17" x14ac:dyDescent="0.3">
      <c r="L2861" s="25"/>
      <c r="Q2861" s="17"/>
    </row>
    <row r="2862" spans="12:17" x14ac:dyDescent="0.3">
      <c r="L2862" s="25"/>
      <c r="Q2862" s="17"/>
    </row>
    <row r="2863" spans="12:17" x14ac:dyDescent="0.3">
      <c r="L2863" s="25"/>
      <c r="Q2863" s="17"/>
    </row>
    <row r="2864" spans="12:17" x14ac:dyDescent="0.3">
      <c r="L2864" s="25"/>
      <c r="Q2864" s="17"/>
    </row>
    <row r="2865" spans="12:17" x14ac:dyDescent="0.3">
      <c r="L2865" s="25"/>
      <c r="Q2865" s="17"/>
    </row>
    <row r="2866" spans="12:17" x14ac:dyDescent="0.3">
      <c r="L2866" s="25"/>
      <c r="Q2866" s="17"/>
    </row>
    <row r="2867" spans="12:17" x14ac:dyDescent="0.3">
      <c r="L2867" s="25"/>
      <c r="Q2867" s="17"/>
    </row>
    <row r="2868" spans="12:17" x14ac:dyDescent="0.3">
      <c r="L2868" s="25"/>
      <c r="Q2868" s="17"/>
    </row>
    <row r="2869" spans="12:17" x14ac:dyDescent="0.3">
      <c r="L2869" s="25"/>
      <c r="Q2869" s="17"/>
    </row>
    <row r="2870" spans="12:17" x14ac:dyDescent="0.3">
      <c r="L2870" s="25"/>
      <c r="Q2870" s="17"/>
    </row>
    <row r="2871" spans="12:17" x14ac:dyDescent="0.3">
      <c r="L2871" s="25"/>
      <c r="Q2871" s="17"/>
    </row>
    <row r="2872" spans="12:17" x14ac:dyDescent="0.3">
      <c r="L2872" s="25"/>
      <c r="Q2872" s="17"/>
    </row>
    <row r="2873" spans="12:17" x14ac:dyDescent="0.3">
      <c r="L2873" s="25"/>
      <c r="Q2873" s="17"/>
    </row>
    <row r="2874" spans="12:17" x14ac:dyDescent="0.3">
      <c r="L2874" s="25"/>
      <c r="Q2874" s="17"/>
    </row>
    <row r="2875" spans="12:17" x14ac:dyDescent="0.3">
      <c r="L2875" s="25"/>
      <c r="Q2875" s="17"/>
    </row>
    <row r="2876" spans="12:17" x14ac:dyDescent="0.3">
      <c r="L2876" s="25"/>
      <c r="Q2876" s="17"/>
    </row>
    <row r="2877" spans="12:17" x14ac:dyDescent="0.3">
      <c r="L2877" s="25"/>
      <c r="Q2877" s="17"/>
    </row>
    <row r="2878" spans="12:17" x14ac:dyDescent="0.3">
      <c r="L2878" s="25"/>
      <c r="Q2878" s="17"/>
    </row>
    <row r="2879" spans="12:17" x14ac:dyDescent="0.3">
      <c r="L2879" s="25"/>
      <c r="Q2879" s="17"/>
    </row>
    <row r="2880" spans="12:17" x14ac:dyDescent="0.3">
      <c r="L2880" s="25"/>
      <c r="Q2880" s="17"/>
    </row>
    <row r="2881" spans="12:17" x14ac:dyDescent="0.3">
      <c r="L2881" s="25"/>
      <c r="Q2881" s="17"/>
    </row>
    <row r="2882" spans="12:17" x14ac:dyDescent="0.3">
      <c r="L2882" s="25"/>
      <c r="Q2882" s="17"/>
    </row>
    <row r="2883" spans="12:17" x14ac:dyDescent="0.3">
      <c r="L2883" s="25"/>
      <c r="Q2883" s="17"/>
    </row>
    <row r="2884" spans="12:17" x14ac:dyDescent="0.3">
      <c r="L2884" s="25"/>
      <c r="Q2884" s="17"/>
    </row>
    <row r="2885" spans="12:17" x14ac:dyDescent="0.3">
      <c r="L2885" s="25"/>
      <c r="Q2885" s="17"/>
    </row>
    <row r="2886" spans="12:17" x14ac:dyDescent="0.3">
      <c r="L2886" s="25"/>
      <c r="Q2886" s="17"/>
    </row>
    <row r="2887" spans="12:17" x14ac:dyDescent="0.3">
      <c r="L2887" s="25"/>
      <c r="Q2887" s="17"/>
    </row>
    <row r="2888" spans="12:17" x14ac:dyDescent="0.3">
      <c r="L2888" s="25"/>
      <c r="Q2888" s="17"/>
    </row>
    <row r="2889" spans="12:17" x14ac:dyDescent="0.3">
      <c r="L2889" s="25"/>
      <c r="Q2889" s="17"/>
    </row>
    <row r="2890" spans="12:17" x14ac:dyDescent="0.3">
      <c r="L2890" s="25"/>
      <c r="Q2890" s="17"/>
    </row>
    <row r="2891" spans="12:17" x14ac:dyDescent="0.3">
      <c r="L2891" s="25"/>
      <c r="Q2891" s="17"/>
    </row>
    <row r="2892" spans="12:17" x14ac:dyDescent="0.3">
      <c r="L2892" s="25"/>
      <c r="Q2892" s="17"/>
    </row>
    <row r="2893" spans="12:17" x14ac:dyDescent="0.3">
      <c r="L2893" s="25"/>
      <c r="Q2893" s="17"/>
    </row>
    <row r="2894" spans="12:17" x14ac:dyDescent="0.3">
      <c r="L2894" s="25"/>
      <c r="Q2894" s="17"/>
    </row>
    <row r="2895" spans="12:17" x14ac:dyDescent="0.3">
      <c r="L2895" s="25"/>
      <c r="Q2895" s="17"/>
    </row>
    <row r="2896" spans="12:17" x14ac:dyDescent="0.3">
      <c r="L2896" s="25"/>
      <c r="Q2896" s="17"/>
    </row>
    <row r="2897" spans="12:17" x14ac:dyDescent="0.3">
      <c r="L2897" s="25"/>
      <c r="Q2897" s="17"/>
    </row>
    <row r="2898" spans="12:17" x14ac:dyDescent="0.3">
      <c r="L2898" s="25"/>
      <c r="Q2898" s="17"/>
    </row>
    <row r="2899" spans="12:17" x14ac:dyDescent="0.3">
      <c r="L2899" s="25"/>
      <c r="Q2899" s="17"/>
    </row>
    <row r="2900" spans="12:17" x14ac:dyDescent="0.3">
      <c r="L2900" s="25"/>
      <c r="Q2900" s="17"/>
    </row>
    <row r="2901" spans="12:17" x14ac:dyDescent="0.3">
      <c r="L2901" s="25"/>
      <c r="Q2901" s="17"/>
    </row>
    <row r="2902" spans="12:17" x14ac:dyDescent="0.3">
      <c r="L2902" s="25"/>
      <c r="Q2902" s="17"/>
    </row>
    <row r="2903" spans="12:17" x14ac:dyDescent="0.3">
      <c r="L2903" s="25"/>
      <c r="Q2903" s="17"/>
    </row>
    <row r="2904" spans="12:17" x14ac:dyDescent="0.3">
      <c r="L2904" s="25"/>
      <c r="Q2904" s="17"/>
    </row>
    <row r="2905" spans="12:17" x14ac:dyDescent="0.3">
      <c r="L2905" s="25"/>
      <c r="Q2905" s="17"/>
    </row>
    <row r="2906" spans="12:17" x14ac:dyDescent="0.3">
      <c r="L2906" s="25"/>
      <c r="Q2906" s="17"/>
    </row>
    <row r="2907" spans="12:17" x14ac:dyDescent="0.3">
      <c r="L2907" s="25"/>
      <c r="Q2907" s="17"/>
    </row>
    <row r="2908" spans="12:17" x14ac:dyDescent="0.3">
      <c r="L2908" s="25"/>
      <c r="Q2908" s="17"/>
    </row>
    <row r="2909" spans="12:17" x14ac:dyDescent="0.3">
      <c r="L2909" s="25"/>
      <c r="Q2909" s="17"/>
    </row>
    <row r="2910" spans="12:17" x14ac:dyDescent="0.3">
      <c r="L2910" s="25"/>
      <c r="Q2910" s="17"/>
    </row>
    <row r="2911" spans="12:17" x14ac:dyDescent="0.3">
      <c r="L2911" s="25"/>
      <c r="Q2911" s="17"/>
    </row>
    <row r="2912" spans="12:17" x14ac:dyDescent="0.3">
      <c r="L2912" s="25"/>
      <c r="Q2912" s="17"/>
    </row>
    <row r="2913" spans="12:17" x14ac:dyDescent="0.3">
      <c r="L2913" s="25"/>
      <c r="Q2913" s="17"/>
    </row>
    <row r="2914" spans="12:17" x14ac:dyDescent="0.3">
      <c r="L2914" s="25"/>
      <c r="Q2914" s="17"/>
    </row>
    <row r="2915" spans="12:17" x14ac:dyDescent="0.3">
      <c r="L2915" s="25"/>
      <c r="Q2915" s="17"/>
    </row>
    <row r="2916" spans="12:17" x14ac:dyDescent="0.3">
      <c r="L2916" s="25"/>
      <c r="Q2916" s="17"/>
    </row>
    <row r="2917" spans="12:17" x14ac:dyDescent="0.3">
      <c r="L2917" s="25"/>
      <c r="Q2917" s="17"/>
    </row>
    <row r="2918" spans="12:17" x14ac:dyDescent="0.3">
      <c r="L2918" s="25"/>
      <c r="Q2918" s="17"/>
    </row>
    <row r="2919" spans="12:17" x14ac:dyDescent="0.3">
      <c r="L2919" s="25"/>
      <c r="Q2919" s="17"/>
    </row>
    <row r="2920" spans="12:17" x14ac:dyDescent="0.3">
      <c r="L2920" s="25"/>
      <c r="Q2920" s="17"/>
    </row>
    <row r="2921" spans="12:17" x14ac:dyDescent="0.3">
      <c r="L2921" s="25"/>
      <c r="Q2921" s="17"/>
    </row>
    <row r="2922" spans="12:17" x14ac:dyDescent="0.3">
      <c r="L2922" s="25"/>
      <c r="Q2922" s="17"/>
    </row>
    <row r="2923" spans="12:17" x14ac:dyDescent="0.3">
      <c r="L2923" s="25"/>
      <c r="Q2923" s="17"/>
    </row>
    <row r="2924" spans="12:17" x14ac:dyDescent="0.3">
      <c r="L2924" s="25"/>
      <c r="Q2924" s="17"/>
    </row>
    <row r="2925" spans="12:17" x14ac:dyDescent="0.3">
      <c r="L2925" s="25"/>
      <c r="Q2925" s="17"/>
    </row>
    <row r="2926" spans="12:17" x14ac:dyDescent="0.3">
      <c r="L2926" s="25"/>
      <c r="Q2926" s="17"/>
    </row>
    <row r="2927" spans="12:17" x14ac:dyDescent="0.3">
      <c r="L2927" s="25"/>
      <c r="Q2927" s="17"/>
    </row>
    <row r="2928" spans="12:17" x14ac:dyDescent="0.3">
      <c r="L2928" s="25"/>
      <c r="Q2928" s="17"/>
    </row>
    <row r="2929" spans="12:17" x14ac:dyDescent="0.3">
      <c r="L2929" s="25"/>
      <c r="Q2929" s="17"/>
    </row>
    <row r="2930" spans="12:17" x14ac:dyDescent="0.3">
      <c r="L2930" s="25"/>
      <c r="Q2930" s="17"/>
    </row>
    <row r="2931" spans="12:17" x14ac:dyDescent="0.3">
      <c r="L2931" s="25"/>
      <c r="Q2931" s="17"/>
    </row>
    <row r="2932" spans="12:17" x14ac:dyDescent="0.3">
      <c r="L2932" s="25"/>
      <c r="Q2932" s="17"/>
    </row>
    <row r="2933" spans="12:17" x14ac:dyDescent="0.3">
      <c r="L2933" s="25"/>
      <c r="Q2933" s="17"/>
    </row>
    <row r="2934" spans="12:17" x14ac:dyDescent="0.3">
      <c r="L2934" s="25"/>
      <c r="Q2934" s="17"/>
    </row>
    <row r="2935" spans="12:17" x14ac:dyDescent="0.3">
      <c r="L2935" s="25"/>
      <c r="Q2935" s="17"/>
    </row>
    <row r="2936" spans="12:17" x14ac:dyDescent="0.3">
      <c r="L2936" s="25"/>
      <c r="Q2936" s="17"/>
    </row>
    <row r="2937" spans="12:17" x14ac:dyDescent="0.3">
      <c r="L2937" s="25"/>
      <c r="Q2937" s="17"/>
    </row>
    <row r="2938" spans="12:17" x14ac:dyDescent="0.3">
      <c r="L2938" s="25"/>
      <c r="Q2938" s="17"/>
    </row>
    <row r="2939" spans="12:17" x14ac:dyDescent="0.3">
      <c r="L2939" s="25"/>
      <c r="Q2939" s="17"/>
    </row>
    <row r="2940" spans="12:17" x14ac:dyDescent="0.3">
      <c r="L2940" s="25"/>
      <c r="Q2940" s="17"/>
    </row>
    <row r="2941" spans="12:17" x14ac:dyDescent="0.3">
      <c r="L2941" s="25"/>
      <c r="Q2941" s="17"/>
    </row>
    <row r="2942" spans="12:17" x14ac:dyDescent="0.3">
      <c r="L2942" s="25"/>
      <c r="Q2942" s="17"/>
    </row>
    <row r="2943" spans="12:17" x14ac:dyDescent="0.3">
      <c r="L2943" s="25"/>
      <c r="Q2943" s="17"/>
    </row>
    <row r="2944" spans="12:17" x14ac:dyDescent="0.3">
      <c r="L2944" s="25"/>
      <c r="Q2944" s="17"/>
    </row>
    <row r="2945" spans="12:17" x14ac:dyDescent="0.3">
      <c r="L2945" s="25"/>
      <c r="Q2945" s="17"/>
    </row>
    <row r="2946" spans="12:17" x14ac:dyDescent="0.3">
      <c r="L2946" s="25"/>
      <c r="Q2946" s="17"/>
    </row>
    <row r="2947" spans="12:17" x14ac:dyDescent="0.3">
      <c r="L2947" s="25"/>
      <c r="Q2947" s="17"/>
    </row>
    <row r="2948" spans="12:17" x14ac:dyDescent="0.3">
      <c r="L2948" s="25"/>
      <c r="Q2948" s="17"/>
    </row>
    <row r="2949" spans="12:17" x14ac:dyDescent="0.3">
      <c r="L2949" s="25"/>
      <c r="Q2949" s="17"/>
    </row>
    <row r="2950" spans="12:17" x14ac:dyDescent="0.3">
      <c r="L2950" s="25"/>
      <c r="Q2950" s="17"/>
    </row>
    <row r="2951" spans="12:17" x14ac:dyDescent="0.3">
      <c r="L2951" s="25"/>
      <c r="Q2951" s="17"/>
    </row>
    <row r="2952" spans="12:17" x14ac:dyDescent="0.3">
      <c r="L2952" s="25"/>
      <c r="Q2952" s="17"/>
    </row>
    <row r="2953" spans="12:17" x14ac:dyDescent="0.3">
      <c r="L2953" s="25"/>
      <c r="Q2953" s="17"/>
    </row>
    <row r="2954" spans="12:17" x14ac:dyDescent="0.3">
      <c r="L2954" s="25"/>
      <c r="Q2954" s="17"/>
    </row>
    <row r="2955" spans="12:17" x14ac:dyDescent="0.3">
      <c r="L2955" s="25"/>
      <c r="Q2955" s="17"/>
    </row>
    <row r="2956" spans="12:17" x14ac:dyDescent="0.3">
      <c r="L2956" s="25"/>
      <c r="Q2956" s="17"/>
    </row>
    <row r="2957" spans="12:17" x14ac:dyDescent="0.3">
      <c r="L2957" s="25"/>
      <c r="Q2957" s="17"/>
    </row>
    <row r="2958" spans="12:17" x14ac:dyDescent="0.3">
      <c r="L2958" s="25"/>
      <c r="Q2958" s="17"/>
    </row>
    <row r="2959" spans="12:17" x14ac:dyDescent="0.3">
      <c r="L2959" s="25"/>
      <c r="Q2959" s="17"/>
    </row>
    <row r="2960" spans="12:17" x14ac:dyDescent="0.3">
      <c r="L2960" s="25"/>
      <c r="Q2960" s="17"/>
    </row>
    <row r="2961" spans="12:17" x14ac:dyDescent="0.3">
      <c r="L2961" s="25"/>
      <c r="Q2961" s="17"/>
    </row>
    <row r="2962" spans="12:17" x14ac:dyDescent="0.3">
      <c r="L2962" s="25"/>
      <c r="Q2962" s="17"/>
    </row>
    <row r="2963" spans="12:17" x14ac:dyDescent="0.3">
      <c r="L2963" s="25"/>
      <c r="Q2963" s="17"/>
    </row>
    <row r="2964" spans="12:17" x14ac:dyDescent="0.3">
      <c r="L2964" s="25"/>
      <c r="Q2964" s="17"/>
    </row>
    <row r="2965" spans="12:17" x14ac:dyDescent="0.3">
      <c r="L2965" s="25"/>
      <c r="Q2965" s="17"/>
    </row>
    <row r="2966" spans="12:17" x14ac:dyDescent="0.3">
      <c r="L2966" s="25"/>
      <c r="Q2966" s="17"/>
    </row>
    <row r="2967" spans="12:17" x14ac:dyDescent="0.3">
      <c r="L2967" s="25"/>
      <c r="Q2967" s="17"/>
    </row>
    <row r="2968" spans="12:17" x14ac:dyDescent="0.3">
      <c r="L2968" s="25"/>
      <c r="Q2968" s="17"/>
    </row>
    <row r="2969" spans="12:17" x14ac:dyDescent="0.3">
      <c r="L2969" s="25"/>
      <c r="Q2969" s="17"/>
    </row>
    <row r="2970" spans="12:17" x14ac:dyDescent="0.3">
      <c r="L2970" s="25"/>
      <c r="Q2970" s="17"/>
    </row>
    <row r="2971" spans="12:17" x14ac:dyDescent="0.3">
      <c r="L2971" s="25"/>
      <c r="Q2971" s="17"/>
    </row>
    <row r="2972" spans="12:17" x14ac:dyDescent="0.3">
      <c r="L2972" s="25"/>
      <c r="Q2972" s="17"/>
    </row>
    <row r="2973" spans="12:17" x14ac:dyDescent="0.3">
      <c r="L2973" s="25"/>
      <c r="Q2973" s="17"/>
    </row>
    <row r="2974" spans="12:17" x14ac:dyDescent="0.3">
      <c r="L2974" s="25"/>
      <c r="Q2974" s="17"/>
    </row>
    <row r="2975" spans="12:17" x14ac:dyDescent="0.3">
      <c r="L2975" s="25"/>
      <c r="Q2975" s="17"/>
    </row>
    <row r="2976" spans="12:17" x14ac:dyDescent="0.3">
      <c r="L2976" s="25"/>
      <c r="Q2976" s="17"/>
    </row>
    <row r="2977" spans="12:17" x14ac:dyDescent="0.3">
      <c r="L2977" s="25"/>
      <c r="Q2977" s="17"/>
    </row>
    <row r="2978" spans="12:17" x14ac:dyDescent="0.3">
      <c r="L2978" s="25"/>
      <c r="Q2978" s="17"/>
    </row>
    <row r="2979" spans="12:17" x14ac:dyDescent="0.3">
      <c r="L2979" s="25"/>
      <c r="Q2979" s="17"/>
    </row>
    <row r="2980" spans="12:17" x14ac:dyDescent="0.3">
      <c r="L2980" s="25"/>
      <c r="Q2980" s="17"/>
    </row>
    <row r="2981" spans="12:17" x14ac:dyDescent="0.3">
      <c r="L2981" s="25"/>
      <c r="Q2981" s="17"/>
    </row>
    <row r="2982" spans="12:17" x14ac:dyDescent="0.3">
      <c r="L2982" s="25"/>
      <c r="Q2982" s="17"/>
    </row>
    <row r="2983" spans="12:17" x14ac:dyDescent="0.3">
      <c r="L2983" s="25"/>
      <c r="Q2983" s="17"/>
    </row>
    <row r="2984" spans="12:17" x14ac:dyDescent="0.3">
      <c r="L2984" s="25"/>
      <c r="Q2984" s="17"/>
    </row>
    <row r="2985" spans="12:17" x14ac:dyDescent="0.3">
      <c r="L2985" s="25"/>
      <c r="Q2985" s="17"/>
    </row>
    <row r="2986" spans="12:17" x14ac:dyDescent="0.3">
      <c r="L2986" s="25"/>
      <c r="Q2986" s="17"/>
    </row>
    <row r="2987" spans="12:17" x14ac:dyDescent="0.3">
      <c r="L2987" s="25"/>
      <c r="Q2987" s="17"/>
    </row>
    <row r="2988" spans="12:17" x14ac:dyDescent="0.3">
      <c r="L2988" s="25"/>
      <c r="Q2988" s="17"/>
    </row>
    <row r="2989" spans="12:17" x14ac:dyDescent="0.3">
      <c r="L2989" s="25"/>
      <c r="Q2989" s="17"/>
    </row>
    <row r="2990" spans="12:17" x14ac:dyDescent="0.3">
      <c r="L2990" s="25"/>
      <c r="Q2990" s="17"/>
    </row>
    <row r="2991" spans="12:17" x14ac:dyDescent="0.3">
      <c r="L2991" s="25"/>
      <c r="Q2991" s="17"/>
    </row>
    <row r="2992" spans="12:17" x14ac:dyDescent="0.3">
      <c r="L2992" s="25"/>
      <c r="Q2992" s="17"/>
    </row>
    <row r="2993" spans="12:17" x14ac:dyDescent="0.3">
      <c r="L2993" s="25"/>
      <c r="Q2993" s="17"/>
    </row>
    <row r="2994" spans="12:17" x14ac:dyDescent="0.3">
      <c r="L2994" s="25"/>
      <c r="Q2994" s="17"/>
    </row>
    <row r="2995" spans="12:17" x14ac:dyDescent="0.3">
      <c r="L2995" s="25"/>
      <c r="Q2995" s="17"/>
    </row>
    <row r="2996" spans="12:17" x14ac:dyDescent="0.3">
      <c r="L2996" s="25"/>
      <c r="Q2996" s="17"/>
    </row>
    <row r="2997" spans="12:17" x14ac:dyDescent="0.3">
      <c r="L2997" s="25"/>
      <c r="Q2997" s="17"/>
    </row>
    <row r="2998" spans="12:17" x14ac:dyDescent="0.3">
      <c r="L2998" s="25"/>
      <c r="Q2998" s="17"/>
    </row>
    <row r="2999" spans="12:17" x14ac:dyDescent="0.3">
      <c r="L2999" s="25"/>
      <c r="Q2999" s="17"/>
    </row>
    <row r="3000" spans="12:17" x14ac:dyDescent="0.3">
      <c r="L3000" s="25"/>
      <c r="Q3000" s="17"/>
    </row>
    <row r="3001" spans="12:17" x14ac:dyDescent="0.3">
      <c r="L3001" s="25"/>
      <c r="Q3001" s="17"/>
    </row>
    <row r="3002" spans="12:17" x14ac:dyDescent="0.3">
      <c r="L3002" s="25"/>
      <c r="Q3002" s="17"/>
    </row>
    <row r="3003" spans="12:17" x14ac:dyDescent="0.3">
      <c r="L3003" s="25"/>
      <c r="Q3003" s="17"/>
    </row>
    <row r="3004" spans="12:17" x14ac:dyDescent="0.3">
      <c r="L3004" s="25"/>
      <c r="Q3004" s="17"/>
    </row>
    <row r="3005" spans="12:17" x14ac:dyDescent="0.3">
      <c r="L3005" s="25"/>
      <c r="Q3005" s="17"/>
    </row>
    <row r="3006" spans="12:17" x14ac:dyDescent="0.3">
      <c r="L3006" s="25"/>
      <c r="Q3006" s="17"/>
    </row>
    <row r="3007" spans="12:17" x14ac:dyDescent="0.3">
      <c r="L3007" s="25"/>
      <c r="Q3007" s="17"/>
    </row>
    <row r="3008" spans="12:17" x14ac:dyDescent="0.3">
      <c r="L3008" s="25"/>
      <c r="Q3008" s="17"/>
    </row>
    <row r="3009" spans="12:17" x14ac:dyDescent="0.3">
      <c r="L3009" s="25"/>
      <c r="Q3009" s="17"/>
    </row>
    <row r="3010" spans="12:17" x14ac:dyDescent="0.3">
      <c r="L3010" s="25"/>
      <c r="Q3010" s="17"/>
    </row>
    <row r="3011" spans="12:17" x14ac:dyDescent="0.3">
      <c r="L3011" s="25"/>
      <c r="Q3011" s="17"/>
    </row>
    <row r="3012" spans="12:17" x14ac:dyDescent="0.3">
      <c r="L3012" s="25"/>
      <c r="Q3012" s="17"/>
    </row>
    <row r="3013" spans="12:17" x14ac:dyDescent="0.3">
      <c r="L3013" s="25"/>
      <c r="Q3013" s="17"/>
    </row>
    <row r="3014" spans="12:17" x14ac:dyDescent="0.3">
      <c r="L3014" s="25"/>
      <c r="Q3014" s="17"/>
    </row>
    <row r="3015" spans="12:17" x14ac:dyDescent="0.3">
      <c r="L3015" s="25"/>
      <c r="Q3015" s="17"/>
    </row>
    <row r="3016" spans="12:17" x14ac:dyDescent="0.3">
      <c r="L3016" s="25"/>
      <c r="Q3016" s="17"/>
    </row>
    <row r="3017" spans="12:17" x14ac:dyDescent="0.3">
      <c r="L3017" s="25"/>
      <c r="Q3017" s="17"/>
    </row>
    <row r="3018" spans="12:17" x14ac:dyDescent="0.3">
      <c r="L3018" s="25"/>
      <c r="Q3018" s="17"/>
    </row>
    <row r="3019" spans="12:17" x14ac:dyDescent="0.3">
      <c r="L3019" s="25"/>
      <c r="Q3019" s="17"/>
    </row>
    <row r="3020" spans="12:17" x14ac:dyDescent="0.3">
      <c r="L3020" s="25"/>
      <c r="Q3020" s="17"/>
    </row>
    <row r="3021" spans="12:17" x14ac:dyDescent="0.3">
      <c r="L3021" s="25"/>
      <c r="Q3021" s="17"/>
    </row>
    <row r="3022" spans="12:17" x14ac:dyDescent="0.3">
      <c r="L3022" s="25"/>
      <c r="Q3022" s="17"/>
    </row>
    <row r="3023" spans="12:17" x14ac:dyDescent="0.3">
      <c r="L3023" s="25"/>
      <c r="Q3023" s="17"/>
    </row>
    <row r="3024" spans="12:17" x14ac:dyDescent="0.3">
      <c r="L3024" s="25"/>
      <c r="Q3024" s="17"/>
    </row>
    <row r="3025" spans="12:17" x14ac:dyDescent="0.3">
      <c r="L3025" s="25"/>
      <c r="Q3025" s="17"/>
    </row>
    <row r="3026" spans="12:17" x14ac:dyDescent="0.3">
      <c r="L3026" s="25"/>
      <c r="Q3026" s="17"/>
    </row>
    <row r="3027" spans="12:17" x14ac:dyDescent="0.3">
      <c r="L3027" s="25"/>
      <c r="Q3027" s="17"/>
    </row>
    <row r="3028" spans="12:17" x14ac:dyDescent="0.3">
      <c r="L3028" s="25"/>
      <c r="Q3028" s="17"/>
    </row>
    <row r="3029" spans="12:17" x14ac:dyDescent="0.3">
      <c r="L3029" s="25"/>
      <c r="Q3029" s="17"/>
    </row>
    <row r="3030" spans="12:17" x14ac:dyDescent="0.3">
      <c r="L3030" s="25"/>
      <c r="Q3030" s="17"/>
    </row>
    <row r="3031" spans="12:17" x14ac:dyDescent="0.3">
      <c r="L3031" s="25"/>
      <c r="Q3031" s="17"/>
    </row>
    <row r="3032" spans="12:17" x14ac:dyDescent="0.3">
      <c r="L3032" s="25"/>
      <c r="Q3032" s="17"/>
    </row>
    <row r="3033" spans="12:17" x14ac:dyDescent="0.3">
      <c r="L3033" s="25"/>
      <c r="Q3033" s="17"/>
    </row>
    <row r="3034" spans="12:17" x14ac:dyDescent="0.3">
      <c r="L3034" s="25"/>
      <c r="Q3034" s="17"/>
    </row>
    <row r="3035" spans="12:17" x14ac:dyDescent="0.3">
      <c r="L3035" s="25"/>
      <c r="Q3035" s="17"/>
    </row>
    <row r="3036" spans="12:17" x14ac:dyDescent="0.3">
      <c r="L3036" s="25"/>
      <c r="Q3036" s="17"/>
    </row>
    <row r="3037" spans="12:17" x14ac:dyDescent="0.3">
      <c r="L3037" s="25"/>
      <c r="Q3037" s="17"/>
    </row>
    <row r="3038" spans="12:17" x14ac:dyDescent="0.3">
      <c r="L3038" s="25"/>
      <c r="Q3038" s="17"/>
    </row>
    <row r="3039" spans="12:17" x14ac:dyDescent="0.3">
      <c r="L3039" s="25"/>
      <c r="Q3039" s="17"/>
    </row>
    <row r="3040" spans="12:17" x14ac:dyDescent="0.3">
      <c r="L3040" s="25"/>
      <c r="Q3040" s="17"/>
    </row>
    <row r="3041" spans="12:17" x14ac:dyDescent="0.3">
      <c r="L3041" s="25"/>
      <c r="Q3041" s="17"/>
    </row>
    <row r="3042" spans="12:17" x14ac:dyDescent="0.3">
      <c r="L3042" s="25"/>
      <c r="Q3042" s="17"/>
    </row>
    <row r="3043" spans="12:17" x14ac:dyDescent="0.3">
      <c r="L3043" s="25"/>
      <c r="Q3043" s="17"/>
    </row>
    <row r="3044" spans="12:17" x14ac:dyDescent="0.3">
      <c r="L3044" s="25"/>
      <c r="Q3044" s="17"/>
    </row>
    <row r="3045" spans="12:17" x14ac:dyDescent="0.3">
      <c r="L3045" s="25"/>
      <c r="Q3045" s="17"/>
    </row>
    <row r="3046" spans="12:17" x14ac:dyDescent="0.3">
      <c r="L3046" s="25"/>
      <c r="Q3046" s="17"/>
    </row>
    <row r="3047" spans="12:17" x14ac:dyDescent="0.3">
      <c r="L3047" s="25"/>
      <c r="Q3047" s="17"/>
    </row>
    <row r="3048" spans="12:17" x14ac:dyDescent="0.3">
      <c r="L3048" s="25"/>
      <c r="Q3048" s="17"/>
    </row>
    <row r="3049" spans="12:17" x14ac:dyDescent="0.3">
      <c r="L3049" s="25"/>
      <c r="Q3049" s="17"/>
    </row>
    <row r="3050" spans="12:17" x14ac:dyDescent="0.3">
      <c r="L3050" s="25"/>
      <c r="Q3050" s="17"/>
    </row>
    <row r="3051" spans="12:17" x14ac:dyDescent="0.3">
      <c r="L3051" s="25"/>
      <c r="Q3051" s="17"/>
    </row>
    <row r="3052" spans="12:17" x14ac:dyDescent="0.3">
      <c r="L3052" s="25"/>
      <c r="Q3052" s="17"/>
    </row>
    <row r="3053" spans="12:17" x14ac:dyDescent="0.3">
      <c r="L3053" s="25"/>
      <c r="Q3053" s="17"/>
    </row>
    <row r="3054" spans="12:17" x14ac:dyDescent="0.3">
      <c r="L3054" s="25"/>
      <c r="Q3054" s="17"/>
    </row>
    <row r="3055" spans="12:17" x14ac:dyDescent="0.3">
      <c r="L3055" s="25"/>
      <c r="Q3055" s="17"/>
    </row>
    <row r="3056" spans="12:17" x14ac:dyDescent="0.3">
      <c r="L3056" s="25"/>
      <c r="Q3056" s="17"/>
    </row>
    <row r="3057" spans="12:17" x14ac:dyDescent="0.3">
      <c r="L3057" s="25"/>
      <c r="Q3057" s="17"/>
    </row>
    <row r="3058" spans="12:17" x14ac:dyDescent="0.3">
      <c r="L3058" s="25"/>
      <c r="Q3058" s="17"/>
    </row>
    <row r="3059" spans="12:17" x14ac:dyDescent="0.3">
      <c r="L3059" s="25"/>
      <c r="Q3059" s="17"/>
    </row>
    <row r="3060" spans="12:17" x14ac:dyDescent="0.3">
      <c r="L3060" s="25"/>
      <c r="Q3060" s="17"/>
    </row>
    <row r="3061" spans="12:17" x14ac:dyDescent="0.3">
      <c r="L3061" s="25"/>
      <c r="Q3061" s="17"/>
    </row>
    <row r="3062" spans="12:17" x14ac:dyDescent="0.3">
      <c r="L3062" s="25"/>
      <c r="Q3062" s="17"/>
    </row>
    <row r="3063" spans="12:17" x14ac:dyDescent="0.3">
      <c r="L3063" s="25"/>
      <c r="Q3063" s="17"/>
    </row>
    <row r="3064" spans="12:17" x14ac:dyDescent="0.3">
      <c r="L3064" s="25"/>
      <c r="Q3064" s="17"/>
    </row>
    <row r="3065" spans="12:17" x14ac:dyDescent="0.3">
      <c r="L3065" s="25"/>
      <c r="Q3065" s="17"/>
    </row>
    <row r="3066" spans="12:17" x14ac:dyDescent="0.3">
      <c r="L3066" s="25"/>
      <c r="Q3066" s="17"/>
    </row>
    <row r="3067" spans="12:17" x14ac:dyDescent="0.3">
      <c r="L3067" s="25"/>
      <c r="Q3067" s="17"/>
    </row>
    <row r="3068" spans="12:17" x14ac:dyDescent="0.3">
      <c r="L3068" s="25"/>
      <c r="Q3068" s="17"/>
    </row>
    <row r="3069" spans="12:17" x14ac:dyDescent="0.3">
      <c r="L3069" s="25"/>
      <c r="Q3069" s="17"/>
    </row>
    <row r="3070" spans="12:17" x14ac:dyDescent="0.3">
      <c r="L3070" s="25"/>
      <c r="Q3070" s="17"/>
    </row>
    <row r="3071" spans="12:17" x14ac:dyDescent="0.3">
      <c r="L3071" s="25"/>
      <c r="Q3071" s="17"/>
    </row>
    <row r="3072" spans="12:17" x14ac:dyDescent="0.3">
      <c r="L3072" s="25"/>
      <c r="Q3072" s="17"/>
    </row>
    <row r="3073" spans="12:17" x14ac:dyDescent="0.3">
      <c r="L3073" s="25"/>
      <c r="Q3073" s="17"/>
    </row>
    <row r="3074" spans="12:17" x14ac:dyDescent="0.3">
      <c r="L3074" s="25"/>
      <c r="Q3074" s="17"/>
    </row>
    <row r="3075" spans="12:17" x14ac:dyDescent="0.3">
      <c r="L3075" s="25"/>
      <c r="Q3075" s="17"/>
    </row>
    <row r="3076" spans="12:17" x14ac:dyDescent="0.3">
      <c r="L3076" s="25"/>
      <c r="Q3076" s="17"/>
    </row>
    <row r="3077" spans="12:17" x14ac:dyDescent="0.3">
      <c r="L3077" s="25"/>
      <c r="Q3077" s="17"/>
    </row>
    <row r="3078" spans="12:17" x14ac:dyDescent="0.3">
      <c r="L3078" s="25"/>
      <c r="Q3078" s="17"/>
    </row>
    <row r="3079" spans="12:17" x14ac:dyDescent="0.3">
      <c r="L3079" s="25"/>
      <c r="Q3079" s="17"/>
    </row>
    <row r="3080" spans="12:17" x14ac:dyDescent="0.3">
      <c r="L3080" s="25"/>
      <c r="Q3080" s="17"/>
    </row>
    <row r="3081" spans="12:17" x14ac:dyDescent="0.3">
      <c r="L3081" s="25"/>
      <c r="Q3081" s="17"/>
    </row>
    <row r="3082" spans="12:17" x14ac:dyDescent="0.3">
      <c r="L3082" s="25"/>
      <c r="Q3082" s="17"/>
    </row>
    <row r="3083" spans="12:17" x14ac:dyDescent="0.3">
      <c r="L3083" s="25"/>
      <c r="Q3083" s="17"/>
    </row>
    <row r="3084" spans="12:17" x14ac:dyDescent="0.3">
      <c r="L3084" s="25"/>
      <c r="Q3084" s="17"/>
    </row>
    <row r="3085" spans="12:17" x14ac:dyDescent="0.3">
      <c r="L3085" s="25"/>
      <c r="Q3085" s="17"/>
    </row>
    <row r="3086" spans="12:17" x14ac:dyDescent="0.3">
      <c r="L3086" s="25"/>
      <c r="Q3086" s="17"/>
    </row>
    <row r="3087" spans="12:17" x14ac:dyDescent="0.3">
      <c r="L3087" s="25"/>
      <c r="Q3087" s="17"/>
    </row>
    <row r="3088" spans="12:17" x14ac:dyDescent="0.3">
      <c r="L3088" s="25"/>
      <c r="Q3088" s="17"/>
    </row>
    <row r="3089" spans="12:17" x14ac:dyDescent="0.3">
      <c r="L3089" s="25"/>
      <c r="Q3089" s="17"/>
    </row>
    <row r="3090" spans="12:17" x14ac:dyDescent="0.3">
      <c r="L3090" s="25"/>
      <c r="Q3090" s="17"/>
    </row>
    <row r="3091" spans="12:17" x14ac:dyDescent="0.3">
      <c r="L3091" s="25"/>
      <c r="Q3091" s="17"/>
    </row>
    <row r="3092" spans="12:17" x14ac:dyDescent="0.3">
      <c r="L3092" s="25"/>
      <c r="Q3092" s="17"/>
    </row>
    <row r="3093" spans="12:17" x14ac:dyDescent="0.3">
      <c r="L3093" s="25"/>
      <c r="Q3093" s="17"/>
    </row>
    <row r="3094" spans="12:17" x14ac:dyDescent="0.3">
      <c r="L3094" s="25"/>
      <c r="Q3094" s="17"/>
    </row>
    <row r="3095" spans="12:17" x14ac:dyDescent="0.3">
      <c r="L3095" s="25"/>
      <c r="Q3095" s="17"/>
    </row>
    <row r="3096" spans="12:17" x14ac:dyDescent="0.3">
      <c r="L3096" s="25"/>
      <c r="Q3096" s="17"/>
    </row>
    <row r="3097" spans="12:17" x14ac:dyDescent="0.3">
      <c r="L3097" s="25"/>
      <c r="Q3097" s="17"/>
    </row>
    <row r="3098" spans="12:17" x14ac:dyDescent="0.3">
      <c r="L3098" s="25"/>
      <c r="Q3098" s="17"/>
    </row>
    <row r="3099" spans="12:17" x14ac:dyDescent="0.3">
      <c r="L3099" s="25"/>
      <c r="Q3099" s="17"/>
    </row>
    <row r="3100" spans="12:17" x14ac:dyDescent="0.3">
      <c r="L3100" s="25"/>
      <c r="Q3100" s="17"/>
    </row>
    <row r="3101" spans="12:17" x14ac:dyDescent="0.3">
      <c r="L3101" s="25"/>
      <c r="Q3101" s="17"/>
    </row>
    <row r="3102" spans="12:17" x14ac:dyDescent="0.3">
      <c r="L3102" s="25"/>
      <c r="Q3102" s="17"/>
    </row>
    <row r="3103" spans="12:17" x14ac:dyDescent="0.3">
      <c r="L3103" s="25"/>
      <c r="Q3103" s="17"/>
    </row>
    <row r="3104" spans="12:17" x14ac:dyDescent="0.3">
      <c r="L3104" s="25"/>
      <c r="Q3104" s="17"/>
    </row>
    <row r="3105" spans="12:17" x14ac:dyDescent="0.3">
      <c r="L3105" s="25"/>
      <c r="Q3105" s="17"/>
    </row>
    <row r="3106" spans="12:17" x14ac:dyDescent="0.3">
      <c r="L3106" s="25"/>
      <c r="Q3106" s="17"/>
    </row>
    <row r="3107" spans="12:17" x14ac:dyDescent="0.3">
      <c r="L3107" s="25"/>
      <c r="Q3107" s="17"/>
    </row>
    <row r="3108" spans="12:17" x14ac:dyDescent="0.3">
      <c r="L3108" s="25"/>
      <c r="Q3108" s="17"/>
    </row>
    <row r="3109" spans="12:17" x14ac:dyDescent="0.3">
      <c r="L3109" s="25"/>
      <c r="Q3109" s="17"/>
    </row>
    <row r="3110" spans="12:17" x14ac:dyDescent="0.3">
      <c r="L3110" s="25"/>
      <c r="Q3110" s="17"/>
    </row>
    <row r="3111" spans="12:17" x14ac:dyDescent="0.3">
      <c r="L3111" s="25"/>
      <c r="Q3111" s="17"/>
    </row>
    <row r="3112" spans="12:17" x14ac:dyDescent="0.3">
      <c r="L3112" s="25"/>
      <c r="Q3112" s="17"/>
    </row>
    <row r="3113" spans="12:17" x14ac:dyDescent="0.3">
      <c r="L3113" s="25"/>
      <c r="Q3113" s="17"/>
    </row>
    <row r="3114" spans="12:17" x14ac:dyDescent="0.3">
      <c r="L3114" s="25"/>
      <c r="Q3114" s="17"/>
    </row>
    <row r="3115" spans="12:17" x14ac:dyDescent="0.3">
      <c r="L3115" s="25"/>
      <c r="Q3115" s="17"/>
    </row>
    <row r="3116" spans="12:17" x14ac:dyDescent="0.3">
      <c r="L3116" s="25"/>
      <c r="Q3116" s="17"/>
    </row>
    <row r="3117" spans="12:17" x14ac:dyDescent="0.3">
      <c r="L3117" s="25"/>
      <c r="Q3117" s="17"/>
    </row>
    <row r="3118" spans="12:17" x14ac:dyDescent="0.3">
      <c r="L3118" s="25"/>
      <c r="Q3118" s="17"/>
    </row>
    <row r="3119" spans="12:17" x14ac:dyDescent="0.3">
      <c r="L3119" s="25"/>
      <c r="Q3119" s="17"/>
    </row>
    <row r="3120" spans="12:17" x14ac:dyDescent="0.3">
      <c r="L3120" s="25"/>
      <c r="Q3120" s="17"/>
    </row>
    <row r="3121" spans="12:17" x14ac:dyDescent="0.3">
      <c r="L3121" s="25"/>
      <c r="Q3121" s="17"/>
    </row>
    <row r="3122" spans="12:17" x14ac:dyDescent="0.3">
      <c r="L3122" s="25"/>
      <c r="Q3122" s="17"/>
    </row>
    <row r="3123" spans="12:17" x14ac:dyDescent="0.3">
      <c r="L3123" s="25"/>
      <c r="Q3123" s="17"/>
    </row>
    <row r="3124" spans="12:17" x14ac:dyDescent="0.3">
      <c r="L3124" s="25"/>
      <c r="Q3124" s="17"/>
    </row>
    <row r="3125" spans="12:17" x14ac:dyDescent="0.3">
      <c r="L3125" s="25"/>
      <c r="Q3125" s="17"/>
    </row>
    <row r="3126" spans="12:17" x14ac:dyDescent="0.3">
      <c r="L3126" s="25"/>
      <c r="Q3126" s="17"/>
    </row>
    <row r="3127" spans="12:17" x14ac:dyDescent="0.3">
      <c r="L3127" s="25"/>
      <c r="Q3127" s="17"/>
    </row>
    <row r="3128" spans="12:17" x14ac:dyDescent="0.3">
      <c r="L3128" s="25"/>
      <c r="Q3128" s="17"/>
    </row>
    <row r="3129" spans="12:17" x14ac:dyDescent="0.3">
      <c r="L3129" s="25"/>
      <c r="Q3129" s="17"/>
    </row>
    <row r="3130" spans="12:17" x14ac:dyDescent="0.3">
      <c r="L3130" s="25"/>
      <c r="Q3130" s="17"/>
    </row>
    <row r="3131" spans="12:17" x14ac:dyDescent="0.3">
      <c r="L3131" s="25"/>
      <c r="Q3131" s="17"/>
    </row>
    <row r="3132" spans="12:17" x14ac:dyDescent="0.3">
      <c r="L3132" s="25"/>
      <c r="Q3132" s="17"/>
    </row>
    <row r="3133" spans="12:17" x14ac:dyDescent="0.3">
      <c r="L3133" s="25"/>
      <c r="Q3133" s="17"/>
    </row>
    <row r="3134" spans="12:17" x14ac:dyDescent="0.3">
      <c r="L3134" s="25"/>
      <c r="Q3134" s="17"/>
    </row>
    <row r="3135" spans="12:17" x14ac:dyDescent="0.3">
      <c r="L3135" s="25"/>
      <c r="Q3135" s="17"/>
    </row>
    <row r="3136" spans="12:17" x14ac:dyDescent="0.3">
      <c r="L3136" s="25"/>
      <c r="Q3136" s="17"/>
    </row>
    <row r="3137" spans="12:17" x14ac:dyDescent="0.3">
      <c r="L3137" s="25"/>
      <c r="Q3137" s="17"/>
    </row>
    <row r="3138" spans="12:17" x14ac:dyDescent="0.3">
      <c r="L3138" s="25"/>
      <c r="Q3138" s="17"/>
    </row>
    <row r="3139" spans="12:17" x14ac:dyDescent="0.3">
      <c r="L3139" s="25"/>
      <c r="Q3139" s="17"/>
    </row>
    <row r="3140" spans="12:17" x14ac:dyDescent="0.3">
      <c r="L3140" s="25"/>
      <c r="Q3140" s="17"/>
    </row>
    <row r="3141" spans="12:17" x14ac:dyDescent="0.3">
      <c r="L3141" s="25"/>
      <c r="Q3141" s="17"/>
    </row>
    <row r="3142" spans="12:17" x14ac:dyDescent="0.3">
      <c r="L3142" s="25"/>
      <c r="Q3142" s="17"/>
    </row>
    <row r="3143" spans="12:17" x14ac:dyDescent="0.3">
      <c r="L3143" s="25"/>
      <c r="Q3143" s="17"/>
    </row>
    <row r="3144" spans="12:17" x14ac:dyDescent="0.3">
      <c r="L3144" s="25"/>
      <c r="Q3144" s="17"/>
    </row>
    <row r="3145" spans="12:17" x14ac:dyDescent="0.3">
      <c r="L3145" s="25"/>
      <c r="Q3145" s="17"/>
    </row>
    <row r="3146" spans="12:17" x14ac:dyDescent="0.3">
      <c r="L3146" s="25"/>
      <c r="Q3146" s="17"/>
    </row>
    <row r="3147" spans="12:17" x14ac:dyDescent="0.3">
      <c r="L3147" s="25"/>
      <c r="Q3147" s="17"/>
    </row>
    <row r="3148" spans="12:17" x14ac:dyDescent="0.3">
      <c r="L3148" s="25"/>
      <c r="Q3148" s="17"/>
    </row>
    <row r="3149" spans="12:17" x14ac:dyDescent="0.3">
      <c r="L3149" s="25"/>
      <c r="Q3149" s="17"/>
    </row>
    <row r="3150" spans="12:17" x14ac:dyDescent="0.3">
      <c r="L3150" s="25"/>
      <c r="Q3150" s="17"/>
    </row>
    <row r="3151" spans="12:17" x14ac:dyDescent="0.3">
      <c r="L3151" s="25"/>
      <c r="Q3151" s="17"/>
    </row>
    <row r="3152" spans="12:17" x14ac:dyDescent="0.3">
      <c r="L3152" s="25"/>
      <c r="Q3152" s="17"/>
    </row>
    <row r="3153" spans="12:17" x14ac:dyDescent="0.3">
      <c r="L3153" s="25"/>
      <c r="Q3153" s="17"/>
    </row>
    <row r="3154" spans="12:17" x14ac:dyDescent="0.3">
      <c r="L3154" s="25"/>
      <c r="Q3154" s="17"/>
    </row>
    <row r="3155" spans="12:17" x14ac:dyDescent="0.3">
      <c r="L3155" s="25"/>
      <c r="Q3155" s="17"/>
    </row>
    <row r="3156" spans="12:17" x14ac:dyDescent="0.3">
      <c r="L3156" s="25"/>
      <c r="Q3156" s="17"/>
    </row>
    <row r="3157" spans="12:17" x14ac:dyDescent="0.3">
      <c r="L3157" s="25"/>
      <c r="Q3157" s="17"/>
    </row>
    <row r="3158" spans="12:17" x14ac:dyDescent="0.3">
      <c r="L3158" s="25"/>
      <c r="Q3158" s="17"/>
    </row>
    <row r="3159" spans="12:17" x14ac:dyDescent="0.3">
      <c r="L3159" s="25"/>
      <c r="Q3159" s="17"/>
    </row>
    <row r="3160" spans="12:17" x14ac:dyDescent="0.3">
      <c r="L3160" s="25"/>
      <c r="Q3160" s="17"/>
    </row>
    <row r="3161" spans="12:17" x14ac:dyDescent="0.3">
      <c r="L3161" s="25"/>
      <c r="Q3161" s="17"/>
    </row>
    <row r="3162" spans="12:17" x14ac:dyDescent="0.3">
      <c r="L3162" s="25"/>
      <c r="Q3162" s="17"/>
    </row>
    <row r="3163" spans="12:17" x14ac:dyDescent="0.3">
      <c r="L3163" s="25"/>
      <c r="Q3163" s="17"/>
    </row>
    <row r="3164" spans="12:17" x14ac:dyDescent="0.3">
      <c r="L3164" s="25"/>
      <c r="Q3164" s="17"/>
    </row>
    <row r="3165" spans="12:17" x14ac:dyDescent="0.3">
      <c r="L3165" s="25"/>
      <c r="Q3165" s="17"/>
    </row>
    <row r="3166" spans="12:17" x14ac:dyDescent="0.3">
      <c r="L3166" s="25"/>
      <c r="Q3166" s="17"/>
    </row>
    <row r="3167" spans="12:17" x14ac:dyDescent="0.3">
      <c r="L3167" s="25"/>
      <c r="Q3167" s="17"/>
    </row>
    <row r="3168" spans="12:17" x14ac:dyDescent="0.3">
      <c r="L3168" s="25"/>
      <c r="Q3168" s="17"/>
    </row>
    <row r="3169" spans="12:17" x14ac:dyDescent="0.3">
      <c r="L3169" s="25"/>
      <c r="Q3169" s="17"/>
    </row>
    <row r="3170" spans="12:17" x14ac:dyDescent="0.3">
      <c r="L3170" s="25"/>
      <c r="Q3170" s="17"/>
    </row>
    <row r="3171" spans="12:17" x14ac:dyDescent="0.3">
      <c r="L3171" s="25"/>
      <c r="Q3171" s="17"/>
    </row>
    <row r="3172" spans="12:17" x14ac:dyDescent="0.3">
      <c r="L3172" s="25"/>
      <c r="Q3172" s="17"/>
    </row>
    <row r="3173" spans="12:17" x14ac:dyDescent="0.3">
      <c r="L3173" s="25"/>
      <c r="Q3173" s="17"/>
    </row>
    <row r="3174" spans="12:17" x14ac:dyDescent="0.3">
      <c r="L3174" s="25"/>
      <c r="Q3174" s="17"/>
    </row>
    <row r="3175" spans="12:17" x14ac:dyDescent="0.3">
      <c r="L3175" s="25"/>
      <c r="Q3175" s="17"/>
    </row>
    <row r="3176" spans="12:17" x14ac:dyDescent="0.3">
      <c r="L3176" s="25"/>
      <c r="Q3176" s="17"/>
    </row>
    <row r="3177" spans="12:17" x14ac:dyDescent="0.3">
      <c r="L3177" s="25"/>
      <c r="Q3177" s="17"/>
    </row>
    <row r="3178" spans="12:17" x14ac:dyDescent="0.3">
      <c r="L3178" s="25"/>
      <c r="Q3178" s="17"/>
    </row>
    <row r="3179" spans="12:17" x14ac:dyDescent="0.3">
      <c r="L3179" s="25"/>
      <c r="Q3179" s="17"/>
    </row>
    <row r="3180" spans="12:17" x14ac:dyDescent="0.3">
      <c r="L3180" s="25"/>
      <c r="Q3180" s="17"/>
    </row>
    <row r="3181" spans="12:17" x14ac:dyDescent="0.3">
      <c r="L3181" s="25"/>
      <c r="Q3181" s="17"/>
    </row>
    <row r="3182" spans="12:17" x14ac:dyDescent="0.3">
      <c r="L3182" s="25"/>
      <c r="Q3182" s="17"/>
    </row>
    <row r="3183" spans="12:17" x14ac:dyDescent="0.3">
      <c r="L3183" s="25"/>
      <c r="Q3183" s="17"/>
    </row>
    <row r="3184" spans="12:17" x14ac:dyDescent="0.3">
      <c r="L3184" s="25"/>
      <c r="Q3184" s="17"/>
    </row>
    <row r="3185" spans="12:17" x14ac:dyDescent="0.3">
      <c r="L3185" s="25"/>
      <c r="Q3185" s="17"/>
    </row>
    <row r="3186" spans="12:17" x14ac:dyDescent="0.3">
      <c r="L3186" s="25"/>
      <c r="Q3186" s="17"/>
    </row>
    <row r="3187" spans="12:17" x14ac:dyDescent="0.3">
      <c r="L3187" s="25"/>
      <c r="Q3187" s="17"/>
    </row>
    <row r="3188" spans="12:17" x14ac:dyDescent="0.3">
      <c r="L3188" s="25"/>
      <c r="Q3188" s="17"/>
    </row>
    <row r="3189" spans="12:17" x14ac:dyDescent="0.3">
      <c r="L3189" s="25"/>
      <c r="Q3189" s="17"/>
    </row>
    <row r="3190" spans="12:17" x14ac:dyDescent="0.3">
      <c r="L3190" s="25"/>
      <c r="Q3190" s="17"/>
    </row>
    <row r="3191" spans="12:17" x14ac:dyDescent="0.3">
      <c r="L3191" s="25"/>
      <c r="Q3191" s="17"/>
    </row>
    <row r="3192" spans="12:17" x14ac:dyDescent="0.3">
      <c r="L3192" s="25"/>
      <c r="Q3192" s="17"/>
    </row>
    <row r="3193" spans="12:17" x14ac:dyDescent="0.3">
      <c r="L3193" s="25"/>
      <c r="Q3193" s="17"/>
    </row>
    <row r="3194" spans="12:17" x14ac:dyDescent="0.3">
      <c r="L3194" s="25"/>
      <c r="Q3194" s="17"/>
    </row>
    <row r="3195" spans="12:17" x14ac:dyDescent="0.3">
      <c r="L3195" s="25"/>
      <c r="Q3195" s="17"/>
    </row>
    <row r="3196" spans="12:17" x14ac:dyDescent="0.3">
      <c r="L3196" s="25"/>
      <c r="Q3196" s="17"/>
    </row>
    <row r="3197" spans="12:17" x14ac:dyDescent="0.3">
      <c r="L3197" s="25"/>
      <c r="Q3197" s="17"/>
    </row>
    <row r="3198" spans="12:17" x14ac:dyDescent="0.3">
      <c r="L3198" s="25"/>
      <c r="Q3198" s="17"/>
    </row>
    <row r="3199" spans="12:17" x14ac:dyDescent="0.3">
      <c r="L3199" s="25"/>
      <c r="Q3199" s="17"/>
    </row>
    <row r="3200" spans="12:17" x14ac:dyDescent="0.3">
      <c r="L3200" s="25"/>
      <c r="Q3200" s="17"/>
    </row>
    <row r="3201" spans="12:17" x14ac:dyDescent="0.3">
      <c r="L3201" s="25"/>
      <c r="Q3201" s="17"/>
    </row>
    <row r="3202" spans="12:17" x14ac:dyDescent="0.3">
      <c r="L3202" s="25"/>
      <c r="Q3202" s="17"/>
    </row>
    <row r="3203" spans="12:17" x14ac:dyDescent="0.3">
      <c r="L3203" s="25"/>
      <c r="Q3203" s="17"/>
    </row>
    <row r="3204" spans="12:17" x14ac:dyDescent="0.3">
      <c r="L3204" s="25"/>
      <c r="Q3204" s="17"/>
    </row>
    <row r="3205" spans="12:17" x14ac:dyDescent="0.3">
      <c r="L3205" s="25"/>
      <c r="Q3205" s="17"/>
    </row>
    <row r="3206" spans="12:17" x14ac:dyDescent="0.3">
      <c r="L3206" s="25"/>
      <c r="Q3206" s="17"/>
    </row>
    <row r="3207" spans="12:17" x14ac:dyDescent="0.3">
      <c r="L3207" s="25"/>
      <c r="Q3207" s="17"/>
    </row>
    <row r="3208" spans="12:17" x14ac:dyDescent="0.3">
      <c r="L3208" s="25"/>
      <c r="Q3208" s="17"/>
    </row>
    <row r="3209" spans="12:17" x14ac:dyDescent="0.3">
      <c r="L3209" s="25"/>
      <c r="Q3209" s="17"/>
    </row>
    <row r="3210" spans="12:17" x14ac:dyDescent="0.3">
      <c r="L3210" s="25"/>
      <c r="Q3210" s="17"/>
    </row>
    <row r="3211" spans="12:17" x14ac:dyDescent="0.3">
      <c r="L3211" s="25"/>
      <c r="Q3211" s="17"/>
    </row>
    <row r="3212" spans="12:17" x14ac:dyDescent="0.3">
      <c r="L3212" s="25"/>
      <c r="Q3212" s="17"/>
    </row>
    <row r="3213" spans="12:17" x14ac:dyDescent="0.3">
      <c r="L3213" s="25"/>
      <c r="Q3213" s="17"/>
    </row>
    <row r="3214" spans="12:17" x14ac:dyDescent="0.3">
      <c r="L3214" s="25"/>
      <c r="Q3214" s="17"/>
    </row>
    <row r="3215" spans="12:17" x14ac:dyDescent="0.3">
      <c r="L3215" s="25"/>
      <c r="Q3215" s="17"/>
    </row>
    <row r="3216" spans="12:17" x14ac:dyDescent="0.3">
      <c r="L3216" s="25"/>
      <c r="Q3216" s="17"/>
    </row>
    <row r="3217" spans="12:17" x14ac:dyDescent="0.3">
      <c r="L3217" s="25"/>
      <c r="Q3217" s="17"/>
    </row>
    <row r="3218" spans="12:17" x14ac:dyDescent="0.3">
      <c r="L3218" s="25"/>
      <c r="Q3218" s="17"/>
    </row>
    <row r="3219" spans="12:17" x14ac:dyDescent="0.3">
      <c r="L3219" s="25"/>
      <c r="Q3219" s="17"/>
    </row>
    <row r="3220" spans="12:17" x14ac:dyDescent="0.3">
      <c r="L3220" s="25"/>
      <c r="Q3220" s="17"/>
    </row>
    <row r="3221" spans="12:17" x14ac:dyDescent="0.3">
      <c r="L3221" s="25"/>
      <c r="Q3221" s="17"/>
    </row>
    <row r="3222" spans="12:17" x14ac:dyDescent="0.3">
      <c r="L3222" s="25"/>
      <c r="Q3222" s="17"/>
    </row>
    <row r="3223" spans="12:17" x14ac:dyDescent="0.3">
      <c r="L3223" s="25"/>
      <c r="Q3223" s="17"/>
    </row>
    <row r="3224" spans="12:17" x14ac:dyDescent="0.3">
      <c r="L3224" s="25"/>
      <c r="Q3224" s="17"/>
    </row>
    <row r="3225" spans="12:17" x14ac:dyDescent="0.3">
      <c r="L3225" s="25"/>
      <c r="Q3225" s="17"/>
    </row>
    <row r="3226" spans="12:17" x14ac:dyDescent="0.3">
      <c r="L3226" s="25"/>
      <c r="Q3226" s="17"/>
    </row>
    <row r="3227" spans="12:17" x14ac:dyDescent="0.3">
      <c r="L3227" s="25"/>
      <c r="Q3227" s="17"/>
    </row>
    <row r="3228" spans="12:17" x14ac:dyDescent="0.3">
      <c r="L3228" s="25"/>
      <c r="Q3228" s="17"/>
    </row>
    <row r="3229" spans="12:17" x14ac:dyDescent="0.3">
      <c r="L3229" s="25"/>
      <c r="Q3229" s="17"/>
    </row>
    <row r="3230" spans="12:17" x14ac:dyDescent="0.3">
      <c r="L3230" s="25"/>
      <c r="Q3230" s="17"/>
    </row>
    <row r="3231" spans="12:17" x14ac:dyDescent="0.3">
      <c r="L3231" s="25"/>
      <c r="Q3231" s="17"/>
    </row>
    <row r="3232" spans="12:17" x14ac:dyDescent="0.3">
      <c r="L3232" s="25"/>
      <c r="Q3232" s="17"/>
    </row>
    <row r="3233" spans="12:17" x14ac:dyDescent="0.3">
      <c r="L3233" s="25"/>
      <c r="Q3233" s="17"/>
    </row>
    <row r="3234" spans="12:17" x14ac:dyDescent="0.3">
      <c r="L3234" s="25"/>
      <c r="Q3234" s="17"/>
    </row>
    <row r="3235" spans="12:17" x14ac:dyDescent="0.3">
      <c r="L3235" s="25"/>
      <c r="Q3235" s="17"/>
    </row>
    <row r="3236" spans="12:17" x14ac:dyDescent="0.3">
      <c r="L3236" s="25"/>
      <c r="Q3236" s="17"/>
    </row>
    <row r="3237" spans="12:17" x14ac:dyDescent="0.3">
      <c r="L3237" s="25"/>
      <c r="Q3237" s="17"/>
    </row>
    <row r="3238" spans="12:17" x14ac:dyDescent="0.3">
      <c r="L3238" s="25"/>
      <c r="Q3238" s="17"/>
    </row>
    <row r="3239" spans="12:17" x14ac:dyDescent="0.3">
      <c r="L3239" s="25"/>
      <c r="Q3239" s="17"/>
    </row>
    <row r="3240" spans="12:17" x14ac:dyDescent="0.3">
      <c r="L3240" s="25"/>
      <c r="Q3240" s="17"/>
    </row>
    <row r="3241" spans="12:17" x14ac:dyDescent="0.3">
      <c r="L3241" s="25"/>
      <c r="Q3241" s="17"/>
    </row>
    <row r="3242" spans="12:17" x14ac:dyDescent="0.3">
      <c r="L3242" s="25"/>
      <c r="Q3242" s="17"/>
    </row>
    <row r="3243" spans="12:17" x14ac:dyDescent="0.3">
      <c r="L3243" s="25"/>
      <c r="Q3243" s="17"/>
    </row>
    <row r="3244" spans="12:17" x14ac:dyDescent="0.3">
      <c r="L3244" s="25"/>
      <c r="Q3244" s="17"/>
    </row>
    <row r="3245" spans="12:17" x14ac:dyDescent="0.3">
      <c r="L3245" s="25"/>
      <c r="Q3245" s="17"/>
    </row>
    <row r="3246" spans="12:17" x14ac:dyDescent="0.3">
      <c r="L3246" s="25"/>
      <c r="Q3246" s="17"/>
    </row>
    <row r="3247" spans="12:17" x14ac:dyDescent="0.3">
      <c r="L3247" s="25"/>
      <c r="Q3247" s="17"/>
    </row>
    <row r="3248" spans="12:17" x14ac:dyDescent="0.3">
      <c r="L3248" s="25"/>
      <c r="Q3248" s="17"/>
    </row>
    <row r="3249" spans="12:17" x14ac:dyDescent="0.3">
      <c r="L3249" s="25"/>
      <c r="Q3249" s="17"/>
    </row>
    <row r="3250" spans="12:17" x14ac:dyDescent="0.3">
      <c r="L3250" s="25"/>
      <c r="Q3250" s="17"/>
    </row>
    <row r="3251" spans="12:17" x14ac:dyDescent="0.3">
      <c r="L3251" s="25"/>
      <c r="Q3251" s="17"/>
    </row>
    <row r="3252" spans="12:17" x14ac:dyDescent="0.3">
      <c r="L3252" s="25"/>
      <c r="Q3252" s="17"/>
    </row>
    <row r="3253" spans="12:17" x14ac:dyDescent="0.3">
      <c r="L3253" s="25"/>
      <c r="Q3253" s="17"/>
    </row>
    <row r="3254" spans="12:17" x14ac:dyDescent="0.3">
      <c r="L3254" s="25"/>
      <c r="Q3254" s="17"/>
    </row>
    <row r="3255" spans="12:17" x14ac:dyDescent="0.3">
      <c r="L3255" s="25"/>
      <c r="Q3255" s="17"/>
    </row>
    <row r="3256" spans="12:17" x14ac:dyDescent="0.3">
      <c r="L3256" s="25"/>
      <c r="Q3256" s="17"/>
    </row>
    <row r="3257" spans="12:17" x14ac:dyDescent="0.3">
      <c r="L3257" s="25"/>
      <c r="Q3257" s="17"/>
    </row>
    <row r="3258" spans="12:17" x14ac:dyDescent="0.3">
      <c r="L3258" s="25"/>
      <c r="Q3258" s="17"/>
    </row>
    <row r="3259" spans="12:17" x14ac:dyDescent="0.3">
      <c r="L3259" s="25"/>
      <c r="Q3259" s="17"/>
    </row>
    <row r="3260" spans="12:17" x14ac:dyDescent="0.3">
      <c r="L3260" s="25"/>
      <c r="Q3260" s="17"/>
    </row>
    <row r="3261" spans="12:17" x14ac:dyDescent="0.3">
      <c r="L3261" s="25"/>
      <c r="Q3261" s="17"/>
    </row>
    <row r="3262" spans="12:17" x14ac:dyDescent="0.3">
      <c r="L3262" s="25"/>
      <c r="Q3262" s="17"/>
    </row>
    <row r="3263" spans="12:17" x14ac:dyDescent="0.3">
      <c r="L3263" s="25"/>
      <c r="Q3263" s="17"/>
    </row>
    <row r="3264" spans="12:17" x14ac:dyDescent="0.3">
      <c r="L3264" s="25"/>
      <c r="Q3264" s="17"/>
    </row>
    <row r="3265" spans="12:17" x14ac:dyDescent="0.3">
      <c r="L3265" s="25"/>
      <c r="Q3265" s="17"/>
    </row>
    <row r="3266" spans="12:17" x14ac:dyDescent="0.3">
      <c r="L3266" s="25"/>
      <c r="Q3266" s="17"/>
    </row>
    <row r="3267" spans="12:17" x14ac:dyDescent="0.3">
      <c r="L3267" s="25"/>
      <c r="Q3267" s="17"/>
    </row>
    <row r="3268" spans="12:17" x14ac:dyDescent="0.3">
      <c r="L3268" s="25"/>
      <c r="Q3268" s="17"/>
    </row>
    <row r="3269" spans="12:17" x14ac:dyDescent="0.3">
      <c r="L3269" s="25"/>
      <c r="Q3269" s="17"/>
    </row>
    <row r="3270" spans="12:17" x14ac:dyDescent="0.3">
      <c r="L3270" s="25"/>
      <c r="Q3270" s="17"/>
    </row>
    <row r="3271" spans="12:17" x14ac:dyDescent="0.3">
      <c r="L3271" s="25"/>
      <c r="Q3271" s="17"/>
    </row>
    <row r="3272" spans="12:17" x14ac:dyDescent="0.3">
      <c r="L3272" s="25"/>
      <c r="Q3272" s="17"/>
    </row>
    <row r="3273" spans="12:17" x14ac:dyDescent="0.3">
      <c r="L3273" s="25"/>
      <c r="Q3273" s="17"/>
    </row>
    <row r="3274" spans="12:17" x14ac:dyDescent="0.3">
      <c r="L3274" s="25"/>
      <c r="Q3274" s="17"/>
    </row>
    <row r="3275" spans="12:17" x14ac:dyDescent="0.3">
      <c r="L3275" s="25"/>
      <c r="Q3275" s="17"/>
    </row>
    <row r="3276" spans="12:17" x14ac:dyDescent="0.3">
      <c r="L3276" s="25"/>
      <c r="Q3276" s="17"/>
    </row>
    <row r="3277" spans="12:17" x14ac:dyDescent="0.3">
      <c r="L3277" s="25"/>
      <c r="Q3277" s="17"/>
    </row>
    <row r="3278" spans="12:17" x14ac:dyDescent="0.3">
      <c r="L3278" s="25"/>
      <c r="Q3278" s="17"/>
    </row>
    <row r="3279" spans="12:17" x14ac:dyDescent="0.3">
      <c r="L3279" s="25"/>
      <c r="Q3279" s="17"/>
    </row>
    <row r="3280" spans="12:17" x14ac:dyDescent="0.3">
      <c r="L3280" s="25"/>
      <c r="Q3280" s="17"/>
    </row>
    <row r="3281" spans="12:17" x14ac:dyDescent="0.3">
      <c r="L3281" s="25"/>
      <c r="Q3281" s="17"/>
    </row>
    <row r="3282" spans="12:17" x14ac:dyDescent="0.3">
      <c r="L3282" s="25"/>
      <c r="Q3282" s="17"/>
    </row>
    <row r="3283" spans="12:17" x14ac:dyDescent="0.3">
      <c r="L3283" s="25"/>
      <c r="Q3283" s="17"/>
    </row>
    <row r="3284" spans="12:17" x14ac:dyDescent="0.3">
      <c r="L3284" s="25"/>
      <c r="Q3284" s="17"/>
    </row>
    <row r="3285" spans="12:17" x14ac:dyDescent="0.3">
      <c r="L3285" s="25"/>
      <c r="Q3285" s="17"/>
    </row>
    <row r="3286" spans="12:17" x14ac:dyDescent="0.3">
      <c r="L3286" s="25"/>
      <c r="Q3286" s="17"/>
    </row>
    <row r="3287" spans="12:17" x14ac:dyDescent="0.3">
      <c r="L3287" s="25"/>
      <c r="Q3287" s="17"/>
    </row>
    <row r="3288" spans="12:17" x14ac:dyDescent="0.3">
      <c r="L3288" s="25"/>
      <c r="Q3288" s="17"/>
    </row>
    <row r="3289" spans="12:17" x14ac:dyDescent="0.3">
      <c r="L3289" s="25"/>
      <c r="Q3289" s="17"/>
    </row>
    <row r="3290" spans="12:17" x14ac:dyDescent="0.3">
      <c r="L3290" s="25"/>
      <c r="Q3290" s="17"/>
    </row>
    <row r="3291" spans="12:17" x14ac:dyDescent="0.3">
      <c r="L3291" s="25"/>
      <c r="Q3291" s="17"/>
    </row>
    <row r="3292" spans="12:17" x14ac:dyDescent="0.3">
      <c r="L3292" s="25"/>
      <c r="Q3292" s="17"/>
    </row>
    <row r="3293" spans="12:17" x14ac:dyDescent="0.3">
      <c r="L3293" s="25"/>
      <c r="Q3293" s="17"/>
    </row>
    <row r="3294" spans="12:17" x14ac:dyDescent="0.3">
      <c r="L3294" s="25"/>
      <c r="Q3294" s="17"/>
    </row>
    <row r="3295" spans="12:17" x14ac:dyDescent="0.3">
      <c r="L3295" s="25"/>
      <c r="Q3295" s="17"/>
    </row>
    <row r="3296" spans="12:17" x14ac:dyDescent="0.3">
      <c r="L3296" s="25"/>
      <c r="Q3296" s="17"/>
    </row>
    <row r="3297" spans="12:17" x14ac:dyDescent="0.3">
      <c r="L3297" s="25"/>
      <c r="Q3297" s="17"/>
    </row>
    <row r="3298" spans="12:17" x14ac:dyDescent="0.3">
      <c r="L3298" s="25"/>
      <c r="Q3298" s="17"/>
    </row>
    <row r="3299" spans="12:17" x14ac:dyDescent="0.3">
      <c r="L3299" s="25"/>
      <c r="Q3299" s="17"/>
    </row>
    <row r="3300" spans="12:17" x14ac:dyDescent="0.3">
      <c r="L3300" s="25"/>
      <c r="Q3300" s="17"/>
    </row>
    <row r="3301" spans="12:17" x14ac:dyDescent="0.3">
      <c r="L3301" s="25"/>
      <c r="Q3301" s="17"/>
    </row>
    <row r="3302" spans="12:17" x14ac:dyDescent="0.3">
      <c r="L3302" s="25"/>
      <c r="Q3302" s="17"/>
    </row>
    <row r="3303" spans="12:17" x14ac:dyDescent="0.3">
      <c r="L3303" s="25"/>
      <c r="Q3303" s="17"/>
    </row>
    <row r="3304" spans="12:17" x14ac:dyDescent="0.3">
      <c r="L3304" s="25"/>
      <c r="Q3304" s="17"/>
    </row>
    <row r="3305" spans="12:17" x14ac:dyDescent="0.3">
      <c r="L3305" s="25"/>
      <c r="Q3305" s="17"/>
    </row>
    <row r="3306" spans="12:17" x14ac:dyDescent="0.3">
      <c r="L3306" s="25"/>
      <c r="Q3306" s="17"/>
    </row>
    <row r="3307" spans="12:17" x14ac:dyDescent="0.3">
      <c r="L3307" s="25"/>
      <c r="Q3307" s="17"/>
    </row>
    <row r="3308" spans="12:17" x14ac:dyDescent="0.3">
      <c r="L3308" s="25"/>
      <c r="Q3308" s="17"/>
    </row>
    <row r="3309" spans="12:17" x14ac:dyDescent="0.3">
      <c r="L3309" s="25"/>
      <c r="Q3309" s="17"/>
    </row>
    <row r="3310" spans="12:17" x14ac:dyDescent="0.3">
      <c r="L3310" s="25"/>
      <c r="Q3310" s="17"/>
    </row>
    <row r="3311" spans="12:17" x14ac:dyDescent="0.3">
      <c r="L3311" s="25"/>
      <c r="Q3311" s="17"/>
    </row>
    <row r="3312" spans="12:17" x14ac:dyDescent="0.3">
      <c r="L3312" s="25"/>
      <c r="Q3312" s="17"/>
    </row>
    <row r="3313" spans="12:17" x14ac:dyDescent="0.3">
      <c r="L3313" s="25"/>
      <c r="Q3313" s="17"/>
    </row>
    <row r="3314" spans="12:17" x14ac:dyDescent="0.3">
      <c r="L3314" s="25"/>
      <c r="Q3314" s="17"/>
    </row>
    <row r="3315" spans="12:17" x14ac:dyDescent="0.3">
      <c r="L3315" s="25"/>
      <c r="Q3315" s="17"/>
    </row>
    <row r="3316" spans="12:17" x14ac:dyDescent="0.3">
      <c r="L3316" s="25"/>
      <c r="Q3316" s="17"/>
    </row>
    <row r="3317" spans="12:17" x14ac:dyDescent="0.3">
      <c r="L3317" s="25"/>
      <c r="Q3317" s="17"/>
    </row>
    <row r="3318" spans="12:17" x14ac:dyDescent="0.3">
      <c r="L3318" s="25"/>
      <c r="Q3318" s="17"/>
    </row>
    <row r="3319" spans="12:17" x14ac:dyDescent="0.3">
      <c r="L3319" s="25"/>
      <c r="Q3319" s="17"/>
    </row>
    <row r="3320" spans="12:17" x14ac:dyDescent="0.3">
      <c r="L3320" s="25"/>
      <c r="Q3320" s="17"/>
    </row>
    <row r="3321" spans="12:17" x14ac:dyDescent="0.3">
      <c r="L3321" s="25"/>
      <c r="Q3321" s="17"/>
    </row>
    <row r="3322" spans="12:17" x14ac:dyDescent="0.3">
      <c r="L3322" s="25"/>
      <c r="Q3322" s="17"/>
    </row>
    <row r="3323" spans="12:17" x14ac:dyDescent="0.3">
      <c r="L3323" s="25"/>
      <c r="Q3323" s="17"/>
    </row>
    <row r="3324" spans="12:17" x14ac:dyDescent="0.3">
      <c r="L3324" s="25"/>
      <c r="Q3324" s="17"/>
    </row>
    <row r="3325" spans="12:17" x14ac:dyDescent="0.3">
      <c r="L3325" s="25"/>
      <c r="Q3325" s="17"/>
    </row>
    <row r="3326" spans="12:17" x14ac:dyDescent="0.3">
      <c r="L3326" s="25"/>
      <c r="Q3326" s="17"/>
    </row>
    <row r="3327" spans="12:17" x14ac:dyDescent="0.3">
      <c r="L3327" s="25"/>
      <c r="Q3327" s="17"/>
    </row>
    <row r="3328" spans="12:17" x14ac:dyDescent="0.3">
      <c r="L3328" s="25"/>
      <c r="Q3328" s="17"/>
    </row>
    <row r="3329" spans="12:17" x14ac:dyDescent="0.3">
      <c r="L3329" s="25"/>
      <c r="Q3329" s="17"/>
    </row>
    <row r="3330" spans="12:17" x14ac:dyDescent="0.3">
      <c r="L3330" s="25"/>
      <c r="Q3330" s="17"/>
    </row>
    <row r="3331" spans="12:17" x14ac:dyDescent="0.3">
      <c r="L3331" s="25"/>
      <c r="Q3331" s="17"/>
    </row>
    <row r="3332" spans="12:17" x14ac:dyDescent="0.3">
      <c r="L3332" s="25"/>
      <c r="Q3332" s="17"/>
    </row>
    <row r="3333" spans="12:17" x14ac:dyDescent="0.3">
      <c r="L3333" s="25"/>
      <c r="Q3333" s="17"/>
    </row>
    <row r="3334" spans="12:17" x14ac:dyDescent="0.3">
      <c r="L3334" s="25"/>
      <c r="Q3334" s="17"/>
    </row>
    <row r="3335" spans="12:17" x14ac:dyDescent="0.3">
      <c r="L3335" s="25"/>
      <c r="Q3335" s="17"/>
    </row>
    <row r="3336" spans="12:17" x14ac:dyDescent="0.3">
      <c r="L3336" s="25"/>
      <c r="Q3336" s="17"/>
    </row>
    <row r="3337" spans="12:17" x14ac:dyDescent="0.3">
      <c r="L3337" s="25"/>
      <c r="Q3337" s="17"/>
    </row>
    <row r="3338" spans="12:17" x14ac:dyDescent="0.3">
      <c r="L3338" s="25"/>
      <c r="Q3338" s="17"/>
    </row>
    <row r="3339" spans="12:17" x14ac:dyDescent="0.3">
      <c r="L3339" s="25"/>
      <c r="Q3339" s="17"/>
    </row>
    <row r="3340" spans="12:17" x14ac:dyDescent="0.3">
      <c r="L3340" s="25"/>
      <c r="Q3340" s="17"/>
    </row>
    <row r="3341" spans="12:17" x14ac:dyDescent="0.3">
      <c r="L3341" s="25"/>
      <c r="Q3341" s="17"/>
    </row>
    <row r="3342" spans="12:17" x14ac:dyDescent="0.3">
      <c r="L3342" s="25"/>
      <c r="Q3342" s="17"/>
    </row>
    <row r="3343" spans="12:17" x14ac:dyDescent="0.3">
      <c r="L3343" s="25"/>
      <c r="Q3343" s="17"/>
    </row>
    <row r="3344" spans="12:17" x14ac:dyDescent="0.3">
      <c r="L3344" s="25"/>
      <c r="Q3344" s="17"/>
    </row>
    <row r="3345" spans="12:17" x14ac:dyDescent="0.3">
      <c r="L3345" s="25"/>
      <c r="Q3345" s="17"/>
    </row>
    <row r="3346" spans="12:17" x14ac:dyDescent="0.3">
      <c r="L3346" s="25"/>
      <c r="Q3346" s="17"/>
    </row>
    <row r="3347" spans="12:17" x14ac:dyDescent="0.3">
      <c r="L3347" s="25"/>
      <c r="Q3347" s="17"/>
    </row>
    <row r="3348" spans="12:17" x14ac:dyDescent="0.3">
      <c r="L3348" s="25"/>
      <c r="Q3348" s="17"/>
    </row>
    <row r="3349" spans="12:17" x14ac:dyDescent="0.3">
      <c r="L3349" s="25"/>
      <c r="Q3349" s="17"/>
    </row>
    <row r="3350" spans="12:17" x14ac:dyDescent="0.3">
      <c r="L3350" s="25"/>
      <c r="Q3350" s="17"/>
    </row>
    <row r="3351" spans="12:17" x14ac:dyDescent="0.3">
      <c r="L3351" s="25"/>
      <c r="Q3351" s="17"/>
    </row>
    <row r="3352" spans="12:17" x14ac:dyDescent="0.3">
      <c r="L3352" s="25"/>
      <c r="Q3352" s="17"/>
    </row>
    <row r="3353" spans="12:17" x14ac:dyDescent="0.3">
      <c r="L3353" s="25"/>
      <c r="Q3353" s="17"/>
    </row>
    <row r="3354" spans="12:17" x14ac:dyDescent="0.3">
      <c r="L3354" s="25"/>
      <c r="Q3354" s="17"/>
    </row>
    <row r="3355" spans="12:17" x14ac:dyDescent="0.3">
      <c r="L3355" s="25"/>
      <c r="Q3355" s="17"/>
    </row>
    <row r="3356" spans="12:17" x14ac:dyDescent="0.3">
      <c r="L3356" s="25"/>
      <c r="Q3356" s="17"/>
    </row>
    <row r="3357" spans="12:17" x14ac:dyDescent="0.3">
      <c r="L3357" s="25"/>
      <c r="Q3357" s="17"/>
    </row>
    <row r="3358" spans="12:17" x14ac:dyDescent="0.3">
      <c r="L3358" s="25"/>
      <c r="Q3358" s="17"/>
    </row>
    <row r="3359" spans="12:17" x14ac:dyDescent="0.3">
      <c r="L3359" s="25"/>
      <c r="Q3359" s="17"/>
    </row>
    <row r="3360" spans="12:17" x14ac:dyDescent="0.3">
      <c r="L3360" s="25"/>
      <c r="Q3360" s="17"/>
    </row>
    <row r="3361" spans="12:17" x14ac:dyDescent="0.3">
      <c r="L3361" s="25"/>
      <c r="Q3361" s="17"/>
    </row>
    <row r="3362" spans="12:17" x14ac:dyDescent="0.3">
      <c r="L3362" s="25"/>
      <c r="Q3362" s="17"/>
    </row>
    <row r="3363" spans="12:17" x14ac:dyDescent="0.3">
      <c r="L3363" s="25"/>
      <c r="Q3363" s="17"/>
    </row>
    <row r="3364" spans="12:17" x14ac:dyDescent="0.3">
      <c r="L3364" s="25"/>
      <c r="Q3364" s="17"/>
    </row>
    <row r="3365" spans="12:17" x14ac:dyDescent="0.3">
      <c r="L3365" s="25"/>
      <c r="Q3365" s="17"/>
    </row>
    <row r="3366" spans="12:17" x14ac:dyDescent="0.3">
      <c r="L3366" s="25"/>
      <c r="Q3366" s="17"/>
    </row>
    <row r="3367" spans="12:17" x14ac:dyDescent="0.3">
      <c r="L3367" s="25"/>
      <c r="Q3367" s="17"/>
    </row>
    <row r="3368" spans="12:17" x14ac:dyDescent="0.3">
      <c r="L3368" s="25"/>
      <c r="Q3368" s="17"/>
    </row>
    <row r="3369" spans="12:17" x14ac:dyDescent="0.3">
      <c r="L3369" s="25"/>
      <c r="Q3369" s="17"/>
    </row>
    <row r="3370" spans="12:17" x14ac:dyDescent="0.3">
      <c r="L3370" s="25"/>
      <c r="Q3370" s="17"/>
    </row>
    <row r="3371" spans="12:17" x14ac:dyDescent="0.3">
      <c r="L3371" s="25"/>
      <c r="Q3371" s="17"/>
    </row>
    <row r="3372" spans="12:17" x14ac:dyDescent="0.3">
      <c r="L3372" s="25"/>
      <c r="Q3372" s="17"/>
    </row>
    <row r="3373" spans="12:17" x14ac:dyDescent="0.3">
      <c r="L3373" s="25"/>
      <c r="Q3373" s="17"/>
    </row>
    <row r="3374" spans="12:17" x14ac:dyDescent="0.3">
      <c r="L3374" s="25"/>
      <c r="Q3374" s="17"/>
    </row>
    <row r="3375" spans="12:17" x14ac:dyDescent="0.3">
      <c r="L3375" s="25"/>
      <c r="Q3375" s="17"/>
    </row>
    <row r="3376" spans="12:17" x14ac:dyDescent="0.3">
      <c r="L3376" s="25"/>
      <c r="Q3376" s="17"/>
    </row>
    <row r="3377" spans="12:17" x14ac:dyDescent="0.3">
      <c r="L3377" s="25"/>
      <c r="Q3377" s="17"/>
    </row>
    <row r="3378" spans="12:17" x14ac:dyDescent="0.3">
      <c r="L3378" s="25"/>
      <c r="Q3378" s="17"/>
    </row>
    <row r="3379" spans="12:17" x14ac:dyDescent="0.3">
      <c r="L3379" s="25"/>
      <c r="Q3379" s="17"/>
    </row>
    <row r="3380" spans="12:17" x14ac:dyDescent="0.3">
      <c r="L3380" s="25"/>
      <c r="Q3380" s="17"/>
    </row>
    <row r="3381" spans="12:17" x14ac:dyDescent="0.3">
      <c r="L3381" s="25"/>
      <c r="Q3381" s="17"/>
    </row>
    <row r="3382" spans="12:17" x14ac:dyDescent="0.3">
      <c r="L3382" s="25"/>
      <c r="Q3382" s="17"/>
    </row>
    <row r="3383" spans="12:17" x14ac:dyDescent="0.3">
      <c r="L3383" s="25"/>
      <c r="Q3383" s="17"/>
    </row>
    <row r="3384" spans="12:17" x14ac:dyDescent="0.3">
      <c r="L3384" s="25"/>
      <c r="Q3384" s="17"/>
    </row>
    <row r="3385" spans="12:17" x14ac:dyDescent="0.3">
      <c r="L3385" s="25"/>
      <c r="Q3385" s="17"/>
    </row>
    <row r="3386" spans="12:17" x14ac:dyDescent="0.3">
      <c r="L3386" s="25"/>
      <c r="Q3386" s="17"/>
    </row>
    <row r="3387" spans="12:17" x14ac:dyDescent="0.3">
      <c r="L3387" s="25"/>
      <c r="Q3387" s="17"/>
    </row>
    <row r="3388" spans="12:17" x14ac:dyDescent="0.3">
      <c r="L3388" s="25"/>
      <c r="Q3388" s="17"/>
    </row>
    <row r="3389" spans="12:17" x14ac:dyDescent="0.3">
      <c r="L3389" s="25"/>
      <c r="Q3389" s="17"/>
    </row>
    <row r="3390" spans="12:17" x14ac:dyDescent="0.3">
      <c r="L3390" s="25"/>
      <c r="Q3390" s="17"/>
    </row>
    <row r="3391" spans="12:17" x14ac:dyDescent="0.3">
      <c r="L3391" s="25"/>
      <c r="Q3391" s="17"/>
    </row>
    <row r="3392" spans="12:17" x14ac:dyDescent="0.3">
      <c r="L3392" s="25"/>
      <c r="Q3392" s="17"/>
    </row>
    <row r="3393" spans="12:17" x14ac:dyDescent="0.3">
      <c r="L3393" s="25"/>
      <c r="Q3393" s="17"/>
    </row>
    <row r="3394" spans="12:17" x14ac:dyDescent="0.3">
      <c r="L3394" s="25"/>
      <c r="Q3394" s="17"/>
    </row>
    <row r="3395" spans="12:17" x14ac:dyDescent="0.3">
      <c r="L3395" s="25"/>
      <c r="Q3395" s="17"/>
    </row>
    <row r="3396" spans="12:17" x14ac:dyDescent="0.3">
      <c r="L3396" s="25"/>
      <c r="Q3396" s="17"/>
    </row>
    <row r="3397" spans="12:17" x14ac:dyDescent="0.3">
      <c r="L3397" s="25"/>
      <c r="Q3397" s="17"/>
    </row>
    <row r="3398" spans="12:17" x14ac:dyDescent="0.3">
      <c r="L3398" s="25"/>
      <c r="Q3398" s="17"/>
    </row>
    <row r="3399" spans="12:17" x14ac:dyDescent="0.3">
      <c r="L3399" s="25"/>
      <c r="Q3399" s="17"/>
    </row>
    <row r="3400" spans="12:17" x14ac:dyDescent="0.3">
      <c r="L3400" s="25"/>
      <c r="Q3400" s="17"/>
    </row>
    <row r="3401" spans="12:17" x14ac:dyDescent="0.3">
      <c r="L3401" s="25"/>
      <c r="Q3401" s="17"/>
    </row>
    <row r="3402" spans="12:17" x14ac:dyDescent="0.3">
      <c r="L3402" s="25"/>
      <c r="Q3402" s="17"/>
    </row>
    <row r="3403" spans="12:17" x14ac:dyDescent="0.3">
      <c r="L3403" s="25"/>
      <c r="Q3403" s="17"/>
    </row>
    <row r="3404" spans="12:17" x14ac:dyDescent="0.3">
      <c r="L3404" s="25"/>
      <c r="Q3404" s="17"/>
    </row>
    <row r="3405" spans="12:17" x14ac:dyDescent="0.3">
      <c r="L3405" s="25"/>
      <c r="Q3405" s="17"/>
    </row>
    <row r="3406" spans="12:17" x14ac:dyDescent="0.3">
      <c r="L3406" s="25"/>
      <c r="Q3406" s="17"/>
    </row>
    <row r="3407" spans="12:17" x14ac:dyDescent="0.3">
      <c r="L3407" s="25"/>
      <c r="Q3407" s="17"/>
    </row>
    <row r="3408" spans="12:17" x14ac:dyDescent="0.3">
      <c r="L3408" s="25"/>
      <c r="Q3408" s="17"/>
    </row>
    <row r="3409" spans="12:17" x14ac:dyDescent="0.3">
      <c r="L3409" s="25"/>
      <c r="Q3409" s="17"/>
    </row>
    <row r="3410" spans="12:17" x14ac:dyDescent="0.3">
      <c r="L3410" s="25"/>
      <c r="Q3410" s="17"/>
    </row>
    <row r="3411" spans="12:17" x14ac:dyDescent="0.3">
      <c r="L3411" s="25"/>
      <c r="Q3411" s="17"/>
    </row>
    <row r="3412" spans="12:17" x14ac:dyDescent="0.3">
      <c r="L3412" s="25"/>
      <c r="Q3412" s="17"/>
    </row>
    <row r="3413" spans="12:17" x14ac:dyDescent="0.3">
      <c r="L3413" s="25"/>
      <c r="Q3413" s="17"/>
    </row>
    <row r="3414" spans="12:17" x14ac:dyDescent="0.3">
      <c r="L3414" s="25"/>
      <c r="Q3414" s="17"/>
    </row>
    <row r="3415" spans="12:17" x14ac:dyDescent="0.3">
      <c r="L3415" s="25"/>
      <c r="Q3415" s="17"/>
    </row>
    <row r="3416" spans="12:17" x14ac:dyDescent="0.3">
      <c r="L3416" s="25"/>
      <c r="Q3416" s="17"/>
    </row>
    <row r="3417" spans="12:17" x14ac:dyDescent="0.3">
      <c r="L3417" s="25"/>
      <c r="Q3417" s="17"/>
    </row>
    <row r="3418" spans="12:17" x14ac:dyDescent="0.3">
      <c r="L3418" s="25"/>
      <c r="Q3418" s="17"/>
    </row>
    <row r="3419" spans="12:17" x14ac:dyDescent="0.3">
      <c r="L3419" s="25"/>
      <c r="Q3419" s="17"/>
    </row>
    <row r="3420" spans="12:17" x14ac:dyDescent="0.3">
      <c r="L3420" s="25"/>
      <c r="Q3420" s="17"/>
    </row>
    <row r="3421" spans="12:17" x14ac:dyDescent="0.3">
      <c r="L3421" s="25"/>
      <c r="Q3421" s="17"/>
    </row>
    <row r="3422" spans="12:17" x14ac:dyDescent="0.3">
      <c r="L3422" s="25"/>
      <c r="Q3422" s="17"/>
    </row>
    <row r="3423" spans="12:17" x14ac:dyDescent="0.3">
      <c r="L3423" s="25"/>
      <c r="Q3423" s="17"/>
    </row>
    <row r="3424" spans="12:17" x14ac:dyDescent="0.3">
      <c r="L3424" s="25"/>
      <c r="Q3424" s="17"/>
    </row>
    <row r="3425" spans="12:17" x14ac:dyDescent="0.3">
      <c r="L3425" s="25"/>
      <c r="Q3425" s="17"/>
    </row>
    <row r="3426" spans="12:17" x14ac:dyDescent="0.3">
      <c r="L3426" s="25"/>
      <c r="Q3426" s="17"/>
    </row>
    <row r="3427" spans="12:17" x14ac:dyDescent="0.3">
      <c r="L3427" s="25"/>
      <c r="Q3427" s="17"/>
    </row>
    <row r="3428" spans="12:17" x14ac:dyDescent="0.3">
      <c r="L3428" s="25"/>
      <c r="Q3428" s="17"/>
    </row>
    <row r="3429" spans="12:17" x14ac:dyDescent="0.3">
      <c r="L3429" s="25"/>
      <c r="Q3429" s="17"/>
    </row>
    <row r="3430" spans="12:17" x14ac:dyDescent="0.3">
      <c r="L3430" s="25"/>
      <c r="Q3430" s="17"/>
    </row>
    <row r="3431" spans="12:17" x14ac:dyDescent="0.3">
      <c r="L3431" s="25"/>
      <c r="Q3431" s="17"/>
    </row>
    <row r="3432" spans="12:17" x14ac:dyDescent="0.3">
      <c r="L3432" s="25"/>
      <c r="Q3432" s="17"/>
    </row>
    <row r="3433" spans="12:17" x14ac:dyDescent="0.3">
      <c r="L3433" s="25"/>
      <c r="Q3433" s="17"/>
    </row>
    <row r="3434" spans="12:17" x14ac:dyDescent="0.3">
      <c r="L3434" s="25"/>
      <c r="Q3434" s="17"/>
    </row>
    <row r="3435" spans="12:17" x14ac:dyDescent="0.3">
      <c r="L3435" s="25"/>
      <c r="Q3435" s="17"/>
    </row>
    <row r="3436" spans="12:17" x14ac:dyDescent="0.3">
      <c r="L3436" s="25"/>
      <c r="Q3436" s="17"/>
    </row>
    <row r="3437" spans="12:17" x14ac:dyDescent="0.3">
      <c r="L3437" s="25"/>
      <c r="Q3437" s="17"/>
    </row>
    <row r="3438" spans="12:17" x14ac:dyDescent="0.3">
      <c r="L3438" s="25"/>
      <c r="Q3438" s="17"/>
    </row>
    <row r="3439" spans="12:17" x14ac:dyDescent="0.3">
      <c r="L3439" s="25"/>
      <c r="Q3439" s="17"/>
    </row>
    <row r="3440" spans="12:17" x14ac:dyDescent="0.3">
      <c r="L3440" s="25"/>
      <c r="Q3440" s="17"/>
    </row>
    <row r="3441" spans="12:17" x14ac:dyDescent="0.3">
      <c r="L3441" s="25"/>
      <c r="Q3441" s="17"/>
    </row>
    <row r="3442" spans="12:17" x14ac:dyDescent="0.3">
      <c r="L3442" s="25"/>
      <c r="Q3442" s="17"/>
    </row>
    <row r="3443" spans="12:17" x14ac:dyDescent="0.3">
      <c r="L3443" s="25"/>
      <c r="Q3443" s="17"/>
    </row>
    <row r="3444" spans="12:17" x14ac:dyDescent="0.3">
      <c r="L3444" s="25"/>
      <c r="Q3444" s="17"/>
    </row>
    <row r="3445" spans="12:17" x14ac:dyDescent="0.3">
      <c r="L3445" s="25"/>
      <c r="Q3445" s="17"/>
    </row>
    <row r="3446" spans="12:17" x14ac:dyDescent="0.3">
      <c r="L3446" s="25"/>
      <c r="Q3446" s="17"/>
    </row>
    <row r="3447" spans="12:17" x14ac:dyDescent="0.3">
      <c r="L3447" s="25"/>
      <c r="Q3447" s="17"/>
    </row>
    <row r="3448" spans="12:17" x14ac:dyDescent="0.3">
      <c r="L3448" s="25"/>
      <c r="Q3448" s="17"/>
    </row>
    <row r="3449" spans="12:17" x14ac:dyDescent="0.3">
      <c r="L3449" s="25"/>
      <c r="Q3449" s="17"/>
    </row>
    <row r="3450" spans="12:17" x14ac:dyDescent="0.3">
      <c r="L3450" s="25"/>
      <c r="Q3450" s="17"/>
    </row>
    <row r="3451" spans="12:17" x14ac:dyDescent="0.3">
      <c r="L3451" s="25"/>
      <c r="Q3451" s="17"/>
    </row>
    <row r="3452" spans="12:17" x14ac:dyDescent="0.3">
      <c r="L3452" s="25"/>
      <c r="Q3452" s="17"/>
    </row>
    <row r="3453" spans="12:17" x14ac:dyDescent="0.3">
      <c r="L3453" s="25"/>
      <c r="Q3453" s="17"/>
    </row>
    <row r="3454" spans="12:17" x14ac:dyDescent="0.3">
      <c r="L3454" s="25"/>
      <c r="Q3454" s="17"/>
    </row>
    <row r="3455" spans="12:17" x14ac:dyDescent="0.3">
      <c r="L3455" s="25"/>
      <c r="Q3455" s="17"/>
    </row>
    <row r="3456" spans="12:17" x14ac:dyDescent="0.3">
      <c r="L3456" s="25"/>
      <c r="Q3456" s="17"/>
    </row>
    <row r="3457" spans="12:17" x14ac:dyDescent="0.3">
      <c r="L3457" s="25"/>
      <c r="Q3457" s="17"/>
    </row>
    <row r="3458" spans="12:17" x14ac:dyDescent="0.3">
      <c r="L3458" s="25"/>
      <c r="Q3458" s="17"/>
    </row>
    <row r="3459" spans="12:17" x14ac:dyDescent="0.3">
      <c r="L3459" s="25"/>
      <c r="Q3459" s="17"/>
    </row>
    <row r="3460" spans="12:17" x14ac:dyDescent="0.3">
      <c r="L3460" s="25"/>
      <c r="Q3460" s="17"/>
    </row>
    <row r="3461" spans="12:17" x14ac:dyDescent="0.3">
      <c r="L3461" s="25"/>
      <c r="Q3461" s="17"/>
    </row>
    <row r="3462" spans="12:17" x14ac:dyDescent="0.3">
      <c r="L3462" s="25"/>
      <c r="Q3462" s="17"/>
    </row>
    <row r="3463" spans="12:17" x14ac:dyDescent="0.3">
      <c r="L3463" s="25"/>
      <c r="Q3463" s="17"/>
    </row>
    <row r="3464" spans="12:17" x14ac:dyDescent="0.3">
      <c r="L3464" s="25"/>
      <c r="Q3464" s="17"/>
    </row>
    <row r="3465" spans="12:17" x14ac:dyDescent="0.3">
      <c r="L3465" s="25"/>
      <c r="Q3465" s="17"/>
    </row>
    <row r="3466" spans="12:17" x14ac:dyDescent="0.3">
      <c r="L3466" s="25"/>
      <c r="Q3466" s="17"/>
    </row>
    <row r="3467" spans="12:17" x14ac:dyDescent="0.3">
      <c r="L3467" s="25"/>
      <c r="Q3467" s="17"/>
    </row>
    <row r="3468" spans="12:17" x14ac:dyDescent="0.3">
      <c r="L3468" s="25"/>
      <c r="Q3468" s="17"/>
    </row>
    <row r="3469" spans="12:17" x14ac:dyDescent="0.3">
      <c r="L3469" s="25"/>
      <c r="Q3469" s="17"/>
    </row>
    <row r="3470" spans="12:17" x14ac:dyDescent="0.3">
      <c r="L3470" s="25"/>
      <c r="Q3470" s="17"/>
    </row>
    <row r="3471" spans="12:17" x14ac:dyDescent="0.3">
      <c r="L3471" s="25"/>
      <c r="Q3471" s="17"/>
    </row>
    <row r="3472" spans="12:17" x14ac:dyDescent="0.3">
      <c r="L3472" s="25"/>
      <c r="Q3472" s="17"/>
    </row>
    <row r="3473" spans="12:17" x14ac:dyDescent="0.3">
      <c r="L3473" s="25"/>
      <c r="Q3473" s="17"/>
    </row>
    <row r="3474" spans="12:17" x14ac:dyDescent="0.3">
      <c r="L3474" s="25"/>
      <c r="Q3474" s="17"/>
    </row>
    <row r="3475" spans="12:17" x14ac:dyDescent="0.3">
      <c r="L3475" s="25"/>
      <c r="Q3475" s="17"/>
    </row>
    <row r="3476" spans="12:17" x14ac:dyDescent="0.3">
      <c r="L3476" s="25"/>
      <c r="Q3476" s="17"/>
    </row>
    <row r="3477" spans="12:17" x14ac:dyDescent="0.3">
      <c r="L3477" s="25"/>
      <c r="Q3477" s="17"/>
    </row>
    <row r="3478" spans="12:17" x14ac:dyDescent="0.3">
      <c r="L3478" s="25"/>
      <c r="Q3478" s="17"/>
    </row>
    <row r="3479" spans="12:17" x14ac:dyDescent="0.3">
      <c r="L3479" s="25"/>
      <c r="Q3479" s="17"/>
    </row>
    <row r="3480" spans="12:17" x14ac:dyDescent="0.3">
      <c r="L3480" s="25"/>
      <c r="Q3480" s="17"/>
    </row>
    <row r="3481" spans="12:17" x14ac:dyDescent="0.3">
      <c r="L3481" s="25"/>
      <c r="Q3481" s="17"/>
    </row>
    <row r="3482" spans="12:17" x14ac:dyDescent="0.3">
      <c r="L3482" s="25"/>
      <c r="Q3482" s="17"/>
    </row>
    <row r="3483" spans="12:17" x14ac:dyDescent="0.3">
      <c r="L3483" s="25"/>
      <c r="Q3483" s="17"/>
    </row>
    <row r="3484" spans="12:17" x14ac:dyDescent="0.3">
      <c r="L3484" s="25"/>
      <c r="Q3484" s="17"/>
    </row>
    <row r="3485" spans="12:17" x14ac:dyDescent="0.3">
      <c r="L3485" s="25"/>
      <c r="Q3485" s="17"/>
    </row>
    <row r="3486" spans="12:17" x14ac:dyDescent="0.3">
      <c r="L3486" s="25"/>
      <c r="Q3486" s="17"/>
    </row>
    <row r="3487" spans="12:17" x14ac:dyDescent="0.3">
      <c r="L3487" s="25"/>
      <c r="Q3487" s="17"/>
    </row>
    <row r="3488" spans="12:17" x14ac:dyDescent="0.3">
      <c r="L3488" s="25"/>
      <c r="Q3488" s="17"/>
    </row>
    <row r="3489" spans="12:17" x14ac:dyDescent="0.3">
      <c r="L3489" s="25"/>
      <c r="Q3489" s="17"/>
    </row>
    <row r="3490" spans="12:17" x14ac:dyDescent="0.3">
      <c r="L3490" s="25"/>
      <c r="Q3490" s="17"/>
    </row>
    <row r="3491" spans="12:17" x14ac:dyDescent="0.3">
      <c r="L3491" s="25"/>
      <c r="Q3491" s="17"/>
    </row>
    <row r="3492" spans="12:17" x14ac:dyDescent="0.3">
      <c r="L3492" s="25"/>
      <c r="Q3492" s="17"/>
    </row>
    <row r="3493" spans="12:17" x14ac:dyDescent="0.3">
      <c r="L3493" s="25"/>
      <c r="Q3493" s="17"/>
    </row>
    <row r="3494" spans="12:17" x14ac:dyDescent="0.3">
      <c r="L3494" s="25"/>
      <c r="Q3494" s="17"/>
    </row>
    <row r="3495" spans="12:17" x14ac:dyDescent="0.3">
      <c r="L3495" s="25"/>
      <c r="Q3495" s="17"/>
    </row>
    <row r="3496" spans="12:17" x14ac:dyDescent="0.3">
      <c r="L3496" s="25"/>
      <c r="Q3496" s="17"/>
    </row>
    <row r="3497" spans="12:17" x14ac:dyDescent="0.3">
      <c r="L3497" s="25"/>
      <c r="Q3497" s="17"/>
    </row>
    <row r="3498" spans="12:17" x14ac:dyDescent="0.3">
      <c r="L3498" s="25"/>
      <c r="Q3498" s="17"/>
    </row>
    <row r="3499" spans="12:17" x14ac:dyDescent="0.3">
      <c r="L3499" s="25"/>
      <c r="Q3499" s="17"/>
    </row>
    <row r="3500" spans="12:17" x14ac:dyDescent="0.3">
      <c r="L3500" s="25"/>
      <c r="Q3500" s="17"/>
    </row>
    <row r="3501" spans="12:17" x14ac:dyDescent="0.3">
      <c r="L3501" s="25"/>
      <c r="Q3501" s="17"/>
    </row>
    <row r="3502" spans="12:17" x14ac:dyDescent="0.3">
      <c r="L3502" s="25"/>
      <c r="Q3502" s="17"/>
    </row>
    <row r="3503" spans="12:17" x14ac:dyDescent="0.3">
      <c r="L3503" s="25"/>
      <c r="Q3503" s="17"/>
    </row>
    <row r="3504" spans="12:17" x14ac:dyDescent="0.3">
      <c r="L3504" s="25"/>
      <c r="Q3504" s="17"/>
    </row>
    <row r="3505" spans="12:17" x14ac:dyDescent="0.3">
      <c r="L3505" s="25"/>
      <c r="Q3505" s="17"/>
    </row>
    <row r="3506" spans="12:17" x14ac:dyDescent="0.3">
      <c r="L3506" s="25"/>
      <c r="Q3506" s="17"/>
    </row>
    <row r="3507" spans="12:17" x14ac:dyDescent="0.3">
      <c r="L3507" s="25"/>
      <c r="Q3507" s="17"/>
    </row>
    <row r="3508" spans="12:17" x14ac:dyDescent="0.3">
      <c r="L3508" s="25"/>
      <c r="Q3508" s="17"/>
    </row>
    <row r="3509" spans="12:17" x14ac:dyDescent="0.3">
      <c r="L3509" s="25"/>
      <c r="Q3509" s="17"/>
    </row>
    <row r="3510" spans="12:17" x14ac:dyDescent="0.3">
      <c r="L3510" s="25"/>
      <c r="Q3510" s="17"/>
    </row>
    <row r="3511" spans="12:17" x14ac:dyDescent="0.3">
      <c r="L3511" s="25"/>
      <c r="Q3511" s="17"/>
    </row>
    <row r="3512" spans="12:17" x14ac:dyDescent="0.3">
      <c r="L3512" s="25"/>
      <c r="Q3512" s="17"/>
    </row>
    <row r="3513" spans="12:17" x14ac:dyDescent="0.3">
      <c r="L3513" s="25"/>
      <c r="Q3513" s="17"/>
    </row>
    <row r="3514" spans="12:17" x14ac:dyDescent="0.3">
      <c r="L3514" s="25"/>
      <c r="Q3514" s="17"/>
    </row>
    <row r="3515" spans="12:17" x14ac:dyDescent="0.3">
      <c r="L3515" s="25"/>
      <c r="Q3515" s="17"/>
    </row>
    <row r="3516" spans="12:17" x14ac:dyDescent="0.3">
      <c r="L3516" s="25"/>
      <c r="Q3516" s="17"/>
    </row>
    <row r="3517" spans="12:17" x14ac:dyDescent="0.3">
      <c r="L3517" s="25"/>
      <c r="Q3517" s="17"/>
    </row>
    <row r="3518" spans="12:17" x14ac:dyDescent="0.3">
      <c r="L3518" s="25"/>
      <c r="Q3518" s="17"/>
    </row>
    <row r="3519" spans="12:17" x14ac:dyDescent="0.3">
      <c r="L3519" s="25"/>
      <c r="Q3519" s="17"/>
    </row>
    <row r="3520" spans="12:17" x14ac:dyDescent="0.3">
      <c r="L3520" s="25"/>
      <c r="Q3520" s="17"/>
    </row>
    <row r="3521" spans="12:17" x14ac:dyDescent="0.3">
      <c r="L3521" s="25"/>
      <c r="Q3521" s="17"/>
    </row>
    <row r="3522" spans="12:17" x14ac:dyDescent="0.3">
      <c r="L3522" s="25"/>
      <c r="Q3522" s="17"/>
    </row>
    <row r="3523" spans="12:17" x14ac:dyDescent="0.3">
      <c r="L3523" s="25"/>
      <c r="Q3523" s="17"/>
    </row>
    <row r="3524" spans="12:17" x14ac:dyDescent="0.3">
      <c r="L3524" s="25"/>
      <c r="Q3524" s="17"/>
    </row>
    <row r="3525" spans="12:17" x14ac:dyDescent="0.3">
      <c r="L3525" s="25"/>
      <c r="Q3525" s="17"/>
    </row>
    <row r="3526" spans="12:17" x14ac:dyDescent="0.3">
      <c r="L3526" s="25"/>
      <c r="Q3526" s="17"/>
    </row>
    <row r="3527" spans="12:17" x14ac:dyDescent="0.3">
      <c r="L3527" s="25"/>
      <c r="Q3527" s="17"/>
    </row>
    <row r="3528" spans="12:17" x14ac:dyDescent="0.3">
      <c r="L3528" s="25"/>
      <c r="Q3528" s="17"/>
    </row>
    <row r="3529" spans="12:17" x14ac:dyDescent="0.3">
      <c r="L3529" s="25"/>
      <c r="Q3529" s="17"/>
    </row>
    <row r="3530" spans="12:17" x14ac:dyDescent="0.3">
      <c r="L3530" s="25"/>
      <c r="Q3530" s="17"/>
    </row>
    <row r="3531" spans="12:17" x14ac:dyDescent="0.3">
      <c r="L3531" s="25"/>
      <c r="Q3531" s="17"/>
    </row>
    <row r="3532" spans="12:17" x14ac:dyDescent="0.3">
      <c r="L3532" s="25"/>
      <c r="Q3532" s="17"/>
    </row>
    <row r="3533" spans="12:17" x14ac:dyDescent="0.3">
      <c r="L3533" s="25"/>
      <c r="Q3533" s="17"/>
    </row>
    <row r="3534" spans="12:17" x14ac:dyDescent="0.3">
      <c r="L3534" s="25"/>
      <c r="Q3534" s="17"/>
    </row>
    <row r="3535" spans="12:17" x14ac:dyDescent="0.3">
      <c r="L3535" s="25"/>
      <c r="Q3535" s="17"/>
    </row>
    <row r="3536" spans="12:17" x14ac:dyDescent="0.3">
      <c r="L3536" s="25"/>
      <c r="Q3536" s="17"/>
    </row>
    <row r="3537" spans="12:17" x14ac:dyDescent="0.3">
      <c r="L3537" s="25"/>
      <c r="Q3537" s="17"/>
    </row>
    <row r="3538" spans="12:17" x14ac:dyDescent="0.3">
      <c r="L3538" s="25"/>
      <c r="Q3538" s="17"/>
    </row>
    <row r="3539" spans="12:17" x14ac:dyDescent="0.3">
      <c r="L3539" s="25"/>
      <c r="Q3539" s="17"/>
    </row>
    <row r="3540" spans="12:17" x14ac:dyDescent="0.3">
      <c r="L3540" s="25"/>
      <c r="Q3540" s="17"/>
    </row>
    <row r="3541" spans="12:17" x14ac:dyDescent="0.3">
      <c r="L3541" s="25"/>
      <c r="Q3541" s="17"/>
    </row>
    <row r="3542" spans="12:17" x14ac:dyDescent="0.3">
      <c r="L3542" s="25"/>
      <c r="Q3542" s="17"/>
    </row>
    <row r="3543" spans="12:17" x14ac:dyDescent="0.3">
      <c r="L3543" s="25"/>
      <c r="Q3543" s="17"/>
    </row>
    <row r="3544" spans="12:17" x14ac:dyDescent="0.3">
      <c r="L3544" s="25"/>
      <c r="Q3544" s="17"/>
    </row>
    <row r="3545" spans="12:17" x14ac:dyDescent="0.3">
      <c r="L3545" s="25"/>
      <c r="Q3545" s="17"/>
    </row>
    <row r="3546" spans="12:17" x14ac:dyDescent="0.3">
      <c r="L3546" s="25"/>
      <c r="Q3546" s="17"/>
    </row>
    <row r="3547" spans="12:17" x14ac:dyDescent="0.3">
      <c r="L3547" s="25"/>
      <c r="Q3547" s="17"/>
    </row>
    <row r="3548" spans="12:17" x14ac:dyDescent="0.3">
      <c r="L3548" s="25"/>
      <c r="Q3548" s="17"/>
    </row>
    <row r="3549" spans="12:17" x14ac:dyDescent="0.3">
      <c r="L3549" s="25"/>
      <c r="Q3549" s="17"/>
    </row>
    <row r="3550" spans="12:17" x14ac:dyDescent="0.3">
      <c r="L3550" s="25"/>
      <c r="Q3550" s="17"/>
    </row>
    <row r="3551" spans="12:17" x14ac:dyDescent="0.3">
      <c r="L3551" s="25"/>
      <c r="Q3551" s="17"/>
    </row>
    <row r="3552" spans="12:17" x14ac:dyDescent="0.3">
      <c r="L3552" s="25"/>
      <c r="Q3552" s="17"/>
    </row>
    <row r="3553" spans="12:17" x14ac:dyDescent="0.3">
      <c r="L3553" s="25"/>
      <c r="Q3553" s="17"/>
    </row>
    <row r="3554" spans="12:17" x14ac:dyDescent="0.3">
      <c r="L3554" s="25"/>
      <c r="Q3554" s="17"/>
    </row>
    <row r="3555" spans="12:17" x14ac:dyDescent="0.3">
      <c r="L3555" s="25"/>
      <c r="Q3555" s="17"/>
    </row>
    <row r="3556" spans="12:17" x14ac:dyDescent="0.3">
      <c r="L3556" s="25"/>
      <c r="Q3556" s="17"/>
    </row>
    <row r="3557" spans="12:17" x14ac:dyDescent="0.3">
      <c r="L3557" s="25"/>
      <c r="Q3557" s="17"/>
    </row>
    <row r="3558" spans="12:17" x14ac:dyDescent="0.3">
      <c r="L3558" s="25"/>
      <c r="Q3558" s="17"/>
    </row>
    <row r="3559" spans="12:17" x14ac:dyDescent="0.3">
      <c r="L3559" s="25"/>
      <c r="Q3559" s="17"/>
    </row>
    <row r="3560" spans="12:17" x14ac:dyDescent="0.3">
      <c r="L3560" s="25"/>
      <c r="Q3560" s="17"/>
    </row>
    <row r="3561" spans="12:17" x14ac:dyDescent="0.3">
      <c r="L3561" s="25"/>
      <c r="Q3561" s="17"/>
    </row>
    <row r="3562" spans="12:17" x14ac:dyDescent="0.3">
      <c r="L3562" s="25"/>
      <c r="Q3562" s="17"/>
    </row>
    <row r="3563" spans="12:17" x14ac:dyDescent="0.3">
      <c r="L3563" s="25"/>
      <c r="Q3563" s="17"/>
    </row>
    <row r="3564" spans="12:17" x14ac:dyDescent="0.3">
      <c r="L3564" s="25"/>
      <c r="Q3564" s="17"/>
    </row>
    <row r="3565" spans="12:17" x14ac:dyDescent="0.3">
      <c r="L3565" s="25"/>
      <c r="Q3565" s="17"/>
    </row>
    <row r="3566" spans="12:17" x14ac:dyDescent="0.3">
      <c r="L3566" s="25"/>
      <c r="Q3566" s="17"/>
    </row>
    <row r="3567" spans="12:17" x14ac:dyDescent="0.3">
      <c r="L3567" s="25"/>
      <c r="Q3567" s="17"/>
    </row>
    <row r="3568" spans="12:17" x14ac:dyDescent="0.3">
      <c r="L3568" s="25"/>
      <c r="Q3568" s="17"/>
    </row>
    <row r="3569" spans="12:17" x14ac:dyDescent="0.3">
      <c r="L3569" s="25"/>
      <c r="Q3569" s="17"/>
    </row>
    <row r="3570" spans="12:17" x14ac:dyDescent="0.3">
      <c r="L3570" s="25"/>
      <c r="Q3570" s="17"/>
    </row>
    <row r="3571" spans="12:17" x14ac:dyDescent="0.3">
      <c r="L3571" s="25"/>
      <c r="Q3571" s="17"/>
    </row>
    <row r="3572" spans="12:17" x14ac:dyDescent="0.3">
      <c r="L3572" s="25"/>
      <c r="Q3572" s="17"/>
    </row>
    <row r="3573" spans="12:17" x14ac:dyDescent="0.3">
      <c r="L3573" s="25"/>
      <c r="Q3573" s="17"/>
    </row>
    <row r="3574" spans="12:17" x14ac:dyDescent="0.3">
      <c r="L3574" s="25"/>
      <c r="Q3574" s="17"/>
    </row>
    <row r="3575" spans="12:17" x14ac:dyDescent="0.3">
      <c r="L3575" s="25"/>
      <c r="Q3575" s="17"/>
    </row>
    <row r="3576" spans="12:17" x14ac:dyDescent="0.3">
      <c r="L3576" s="25"/>
      <c r="Q3576" s="17"/>
    </row>
    <row r="3577" spans="12:17" x14ac:dyDescent="0.3">
      <c r="L3577" s="25"/>
      <c r="Q3577" s="17"/>
    </row>
    <row r="3578" spans="12:17" x14ac:dyDescent="0.3">
      <c r="L3578" s="25"/>
      <c r="Q3578" s="17"/>
    </row>
    <row r="3579" spans="12:17" x14ac:dyDescent="0.3">
      <c r="L3579" s="25"/>
      <c r="Q3579" s="17"/>
    </row>
    <row r="3580" spans="12:17" x14ac:dyDescent="0.3">
      <c r="L3580" s="25"/>
      <c r="Q3580" s="17"/>
    </row>
    <row r="3581" spans="12:17" x14ac:dyDescent="0.3">
      <c r="L3581" s="25"/>
      <c r="Q3581" s="17"/>
    </row>
    <row r="3582" spans="12:17" x14ac:dyDescent="0.3">
      <c r="L3582" s="25"/>
      <c r="Q3582" s="17"/>
    </row>
    <row r="3583" spans="12:17" x14ac:dyDescent="0.3">
      <c r="L3583" s="25"/>
      <c r="Q3583" s="17"/>
    </row>
    <row r="3584" spans="12:17" x14ac:dyDescent="0.3">
      <c r="L3584" s="25"/>
      <c r="Q3584" s="17"/>
    </row>
    <row r="3585" spans="12:17" x14ac:dyDescent="0.3">
      <c r="L3585" s="25"/>
      <c r="Q3585" s="17"/>
    </row>
    <row r="3586" spans="12:17" x14ac:dyDescent="0.3">
      <c r="L3586" s="25"/>
      <c r="Q3586" s="17"/>
    </row>
    <row r="3587" spans="12:17" x14ac:dyDescent="0.3">
      <c r="L3587" s="25"/>
      <c r="Q3587" s="17"/>
    </row>
    <row r="3588" spans="12:17" x14ac:dyDescent="0.3">
      <c r="L3588" s="25"/>
      <c r="Q3588" s="17"/>
    </row>
    <row r="3589" spans="12:17" x14ac:dyDescent="0.3">
      <c r="L3589" s="25"/>
      <c r="Q3589" s="17"/>
    </row>
    <row r="3590" spans="12:17" x14ac:dyDescent="0.3">
      <c r="L3590" s="25"/>
      <c r="Q3590" s="17"/>
    </row>
    <row r="3591" spans="12:17" x14ac:dyDescent="0.3">
      <c r="L3591" s="25"/>
      <c r="Q3591" s="17"/>
    </row>
    <row r="3592" spans="12:17" x14ac:dyDescent="0.3">
      <c r="L3592" s="25"/>
      <c r="Q3592" s="17"/>
    </row>
    <row r="3593" spans="12:17" x14ac:dyDescent="0.3">
      <c r="L3593" s="25"/>
      <c r="Q3593" s="17"/>
    </row>
    <row r="3594" spans="12:17" x14ac:dyDescent="0.3">
      <c r="L3594" s="25"/>
      <c r="Q3594" s="17"/>
    </row>
    <row r="3595" spans="12:17" x14ac:dyDescent="0.3">
      <c r="L3595" s="25"/>
      <c r="Q3595" s="17"/>
    </row>
    <row r="3596" spans="12:17" x14ac:dyDescent="0.3">
      <c r="L3596" s="25"/>
      <c r="Q3596" s="17"/>
    </row>
    <row r="3597" spans="12:17" x14ac:dyDescent="0.3">
      <c r="L3597" s="25"/>
      <c r="Q3597" s="17"/>
    </row>
    <row r="3598" spans="12:17" x14ac:dyDescent="0.3">
      <c r="L3598" s="25"/>
      <c r="Q3598" s="17"/>
    </row>
    <row r="3599" spans="12:17" x14ac:dyDescent="0.3">
      <c r="L3599" s="25"/>
      <c r="Q3599" s="17"/>
    </row>
    <row r="3600" spans="12:17" x14ac:dyDescent="0.3">
      <c r="L3600" s="25"/>
      <c r="Q3600" s="17"/>
    </row>
    <row r="3601" spans="12:17" x14ac:dyDescent="0.3">
      <c r="L3601" s="25"/>
      <c r="Q3601" s="17"/>
    </row>
    <row r="3602" spans="12:17" x14ac:dyDescent="0.3">
      <c r="L3602" s="25"/>
      <c r="Q3602" s="17"/>
    </row>
    <row r="3603" spans="12:17" x14ac:dyDescent="0.3">
      <c r="L3603" s="25"/>
      <c r="Q3603" s="17"/>
    </row>
    <row r="3604" spans="12:17" x14ac:dyDescent="0.3">
      <c r="L3604" s="25"/>
      <c r="Q3604" s="17"/>
    </row>
    <row r="3605" spans="12:17" x14ac:dyDescent="0.3">
      <c r="L3605" s="25"/>
      <c r="Q3605" s="17"/>
    </row>
    <row r="3606" spans="12:17" x14ac:dyDescent="0.3">
      <c r="L3606" s="25"/>
      <c r="Q3606" s="17"/>
    </row>
    <row r="3607" spans="12:17" x14ac:dyDescent="0.3">
      <c r="L3607" s="25"/>
      <c r="Q3607" s="17"/>
    </row>
    <row r="3608" spans="12:17" x14ac:dyDescent="0.3">
      <c r="L3608" s="25"/>
      <c r="Q3608" s="17"/>
    </row>
    <row r="3609" spans="12:17" x14ac:dyDescent="0.3">
      <c r="L3609" s="25"/>
      <c r="Q3609" s="17"/>
    </row>
    <row r="3610" spans="12:17" x14ac:dyDescent="0.3">
      <c r="L3610" s="25"/>
      <c r="Q3610" s="17"/>
    </row>
    <row r="3611" spans="12:17" x14ac:dyDescent="0.3">
      <c r="L3611" s="25"/>
      <c r="Q3611" s="17"/>
    </row>
    <row r="3612" spans="12:17" x14ac:dyDescent="0.3">
      <c r="L3612" s="25"/>
      <c r="Q3612" s="17"/>
    </row>
    <row r="3613" spans="12:17" x14ac:dyDescent="0.3">
      <c r="L3613" s="25"/>
      <c r="Q3613" s="17"/>
    </row>
    <row r="3614" spans="12:17" x14ac:dyDescent="0.3">
      <c r="L3614" s="25"/>
      <c r="Q3614" s="17"/>
    </row>
    <row r="3615" spans="12:17" x14ac:dyDescent="0.3">
      <c r="L3615" s="25"/>
      <c r="Q3615" s="17"/>
    </row>
    <row r="3616" spans="12:17" x14ac:dyDescent="0.3">
      <c r="L3616" s="25"/>
      <c r="Q3616" s="17"/>
    </row>
    <row r="3617" spans="12:17" x14ac:dyDescent="0.3">
      <c r="L3617" s="25"/>
      <c r="Q3617" s="17"/>
    </row>
    <row r="3618" spans="12:17" x14ac:dyDescent="0.3">
      <c r="L3618" s="25"/>
      <c r="Q3618" s="17"/>
    </row>
    <row r="3619" spans="12:17" x14ac:dyDescent="0.3">
      <c r="L3619" s="25"/>
      <c r="Q3619" s="17"/>
    </row>
    <row r="3620" spans="12:17" x14ac:dyDescent="0.3">
      <c r="L3620" s="25"/>
      <c r="Q3620" s="17"/>
    </row>
    <row r="3621" spans="12:17" x14ac:dyDescent="0.3">
      <c r="L3621" s="25"/>
      <c r="Q3621" s="17"/>
    </row>
    <row r="3622" spans="12:17" x14ac:dyDescent="0.3">
      <c r="L3622" s="25"/>
      <c r="Q3622" s="17"/>
    </row>
    <row r="3623" spans="12:17" x14ac:dyDescent="0.3">
      <c r="L3623" s="25"/>
      <c r="Q3623" s="17"/>
    </row>
    <row r="3624" spans="12:17" x14ac:dyDescent="0.3">
      <c r="L3624" s="25"/>
      <c r="Q3624" s="17"/>
    </row>
    <row r="3625" spans="12:17" x14ac:dyDescent="0.3">
      <c r="L3625" s="25"/>
      <c r="Q3625" s="17"/>
    </row>
    <row r="3626" spans="12:17" x14ac:dyDescent="0.3">
      <c r="L3626" s="25"/>
      <c r="Q3626" s="17"/>
    </row>
    <row r="3627" spans="12:17" x14ac:dyDescent="0.3">
      <c r="L3627" s="25"/>
      <c r="Q3627" s="17"/>
    </row>
    <row r="3628" spans="12:17" x14ac:dyDescent="0.3">
      <c r="L3628" s="25"/>
      <c r="Q3628" s="17"/>
    </row>
    <row r="3629" spans="12:17" x14ac:dyDescent="0.3">
      <c r="L3629" s="25"/>
      <c r="Q3629" s="17"/>
    </row>
    <row r="3630" spans="12:17" x14ac:dyDescent="0.3">
      <c r="L3630" s="25"/>
      <c r="Q3630" s="17"/>
    </row>
    <row r="3631" spans="12:17" x14ac:dyDescent="0.3">
      <c r="L3631" s="25"/>
      <c r="Q3631" s="17"/>
    </row>
    <row r="3632" spans="12:17" x14ac:dyDescent="0.3">
      <c r="L3632" s="25"/>
      <c r="Q3632" s="17"/>
    </row>
    <row r="3633" spans="12:17" x14ac:dyDescent="0.3">
      <c r="L3633" s="25"/>
      <c r="Q3633" s="17"/>
    </row>
    <row r="3634" spans="12:17" x14ac:dyDescent="0.3">
      <c r="L3634" s="25"/>
      <c r="Q3634" s="17"/>
    </row>
    <row r="3635" spans="12:17" x14ac:dyDescent="0.3">
      <c r="L3635" s="25"/>
      <c r="Q3635" s="17"/>
    </row>
    <row r="3636" spans="12:17" x14ac:dyDescent="0.3">
      <c r="L3636" s="25"/>
      <c r="Q3636" s="17"/>
    </row>
    <row r="3637" spans="12:17" x14ac:dyDescent="0.3">
      <c r="L3637" s="25"/>
      <c r="Q3637" s="17"/>
    </row>
    <row r="3638" spans="12:17" x14ac:dyDescent="0.3">
      <c r="L3638" s="25"/>
      <c r="Q3638" s="17"/>
    </row>
    <row r="3639" spans="12:17" x14ac:dyDescent="0.3">
      <c r="L3639" s="25"/>
      <c r="Q3639" s="17"/>
    </row>
    <row r="3640" spans="12:17" x14ac:dyDescent="0.3">
      <c r="L3640" s="25"/>
      <c r="Q3640" s="17"/>
    </row>
    <row r="3641" spans="12:17" x14ac:dyDescent="0.3">
      <c r="L3641" s="25"/>
      <c r="Q3641" s="17"/>
    </row>
    <row r="3642" spans="12:17" x14ac:dyDescent="0.3">
      <c r="L3642" s="25"/>
      <c r="Q3642" s="17"/>
    </row>
    <row r="3643" spans="12:17" x14ac:dyDescent="0.3">
      <c r="L3643" s="25"/>
      <c r="Q3643" s="17"/>
    </row>
    <row r="3644" spans="12:17" x14ac:dyDescent="0.3">
      <c r="L3644" s="25"/>
      <c r="Q3644" s="17"/>
    </row>
    <row r="3645" spans="12:17" x14ac:dyDescent="0.3">
      <c r="L3645" s="25"/>
      <c r="Q3645" s="17"/>
    </row>
    <row r="3646" spans="12:17" x14ac:dyDescent="0.3">
      <c r="L3646" s="25"/>
      <c r="Q3646" s="17"/>
    </row>
    <row r="3647" spans="12:17" x14ac:dyDescent="0.3">
      <c r="L3647" s="25"/>
      <c r="Q3647" s="17"/>
    </row>
    <row r="3648" spans="12:17" x14ac:dyDescent="0.3">
      <c r="L3648" s="25"/>
      <c r="Q3648" s="17"/>
    </row>
    <row r="3649" spans="12:17" x14ac:dyDescent="0.3">
      <c r="L3649" s="25"/>
      <c r="Q3649" s="17"/>
    </row>
    <row r="3650" spans="12:17" x14ac:dyDescent="0.3">
      <c r="L3650" s="25"/>
      <c r="Q3650" s="17"/>
    </row>
    <row r="3651" spans="12:17" x14ac:dyDescent="0.3">
      <c r="L3651" s="25"/>
      <c r="Q3651" s="17"/>
    </row>
    <row r="3652" spans="12:17" x14ac:dyDescent="0.3">
      <c r="L3652" s="25"/>
      <c r="Q3652" s="17"/>
    </row>
    <row r="3653" spans="12:17" x14ac:dyDescent="0.3">
      <c r="L3653" s="25"/>
      <c r="Q3653" s="17"/>
    </row>
    <row r="3654" spans="12:17" x14ac:dyDescent="0.3">
      <c r="L3654" s="25"/>
      <c r="Q3654" s="17"/>
    </row>
    <row r="3655" spans="12:17" x14ac:dyDescent="0.3">
      <c r="L3655" s="25"/>
      <c r="Q3655" s="17"/>
    </row>
    <row r="3656" spans="12:17" x14ac:dyDescent="0.3">
      <c r="L3656" s="25"/>
      <c r="Q3656" s="17"/>
    </row>
    <row r="3657" spans="12:17" x14ac:dyDescent="0.3">
      <c r="L3657" s="25"/>
      <c r="Q3657" s="17"/>
    </row>
    <row r="3658" spans="12:17" x14ac:dyDescent="0.3">
      <c r="L3658" s="25"/>
      <c r="Q3658" s="17"/>
    </row>
    <row r="3659" spans="12:17" x14ac:dyDescent="0.3">
      <c r="L3659" s="25"/>
      <c r="Q3659" s="17"/>
    </row>
    <row r="3660" spans="12:17" x14ac:dyDescent="0.3">
      <c r="L3660" s="25"/>
      <c r="Q3660" s="17"/>
    </row>
    <row r="3661" spans="12:17" x14ac:dyDescent="0.3">
      <c r="L3661" s="25"/>
      <c r="Q3661" s="17"/>
    </row>
    <row r="3662" spans="12:17" x14ac:dyDescent="0.3">
      <c r="L3662" s="25"/>
      <c r="Q3662" s="17"/>
    </row>
    <row r="3663" spans="12:17" x14ac:dyDescent="0.3">
      <c r="L3663" s="25"/>
      <c r="Q3663" s="17"/>
    </row>
    <row r="3664" spans="12:17" x14ac:dyDescent="0.3">
      <c r="L3664" s="25"/>
      <c r="Q3664" s="17"/>
    </row>
    <row r="3665" spans="12:17" x14ac:dyDescent="0.3">
      <c r="L3665" s="25"/>
      <c r="Q3665" s="17"/>
    </row>
    <row r="3666" spans="12:17" x14ac:dyDescent="0.3">
      <c r="L3666" s="25"/>
      <c r="Q3666" s="17"/>
    </row>
    <row r="3667" spans="12:17" x14ac:dyDescent="0.3">
      <c r="L3667" s="25"/>
      <c r="Q3667" s="17"/>
    </row>
    <row r="3668" spans="12:17" x14ac:dyDescent="0.3">
      <c r="L3668" s="25"/>
      <c r="Q3668" s="17"/>
    </row>
    <row r="3669" spans="12:17" x14ac:dyDescent="0.3">
      <c r="L3669" s="25"/>
      <c r="Q3669" s="17"/>
    </row>
    <row r="3670" spans="12:17" x14ac:dyDescent="0.3">
      <c r="L3670" s="25"/>
      <c r="Q3670" s="17"/>
    </row>
    <row r="3671" spans="12:17" x14ac:dyDescent="0.3">
      <c r="L3671" s="25"/>
      <c r="Q3671" s="17"/>
    </row>
    <row r="3672" spans="12:17" x14ac:dyDescent="0.3">
      <c r="L3672" s="25"/>
      <c r="Q3672" s="17"/>
    </row>
    <row r="3673" spans="12:17" x14ac:dyDescent="0.3">
      <c r="L3673" s="25"/>
      <c r="Q3673" s="17"/>
    </row>
    <row r="3674" spans="12:17" x14ac:dyDescent="0.3">
      <c r="L3674" s="25"/>
      <c r="Q3674" s="17"/>
    </row>
    <row r="3675" spans="12:17" x14ac:dyDescent="0.3">
      <c r="L3675" s="25"/>
      <c r="Q3675" s="17"/>
    </row>
    <row r="3676" spans="12:17" x14ac:dyDescent="0.3">
      <c r="L3676" s="25"/>
      <c r="Q3676" s="17"/>
    </row>
    <row r="3677" spans="12:17" x14ac:dyDescent="0.3">
      <c r="L3677" s="25"/>
      <c r="Q3677" s="17"/>
    </row>
    <row r="3678" spans="12:17" x14ac:dyDescent="0.3">
      <c r="L3678" s="25"/>
      <c r="Q3678" s="17"/>
    </row>
    <row r="3679" spans="12:17" x14ac:dyDescent="0.3">
      <c r="L3679" s="25"/>
      <c r="Q3679" s="17"/>
    </row>
    <row r="3680" spans="12:17" x14ac:dyDescent="0.3">
      <c r="L3680" s="25"/>
      <c r="Q3680" s="17"/>
    </row>
    <row r="3681" spans="12:17" x14ac:dyDescent="0.3">
      <c r="L3681" s="25"/>
      <c r="Q3681" s="17"/>
    </row>
    <row r="3682" spans="12:17" x14ac:dyDescent="0.3">
      <c r="L3682" s="25"/>
      <c r="Q3682" s="17"/>
    </row>
    <row r="3683" spans="12:17" x14ac:dyDescent="0.3">
      <c r="L3683" s="25"/>
      <c r="Q3683" s="17"/>
    </row>
    <row r="3684" spans="12:17" x14ac:dyDescent="0.3">
      <c r="L3684" s="25"/>
      <c r="Q3684" s="17"/>
    </row>
    <row r="3685" spans="12:17" x14ac:dyDescent="0.3">
      <c r="L3685" s="25"/>
      <c r="Q3685" s="17"/>
    </row>
    <row r="3686" spans="12:17" x14ac:dyDescent="0.3">
      <c r="L3686" s="25"/>
      <c r="Q3686" s="17"/>
    </row>
    <row r="3687" spans="12:17" x14ac:dyDescent="0.3">
      <c r="L3687" s="25"/>
      <c r="Q3687" s="17"/>
    </row>
    <row r="3688" spans="12:17" x14ac:dyDescent="0.3">
      <c r="L3688" s="25"/>
      <c r="Q3688" s="17"/>
    </row>
    <row r="3689" spans="12:17" x14ac:dyDescent="0.3">
      <c r="L3689" s="25"/>
      <c r="Q3689" s="17"/>
    </row>
    <row r="3690" spans="12:17" x14ac:dyDescent="0.3">
      <c r="L3690" s="25"/>
      <c r="Q3690" s="17"/>
    </row>
    <row r="3691" spans="12:17" x14ac:dyDescent="0.3">
      <c r="L3691" s="25"/>
      <c r="Q3691" s="17"/>
    </row>
    <row r="3692" spans="12:17" x14ac:dyDescent="0.3">
      <c r="L3692" s="25"/>
      <c r="Q3692" s="17"/>
    </row>
    <row r="3693" spans="12:17" x14ac:dyDescent="0.3">
      <c r="L3693" s="25"/>
      <c r="Q3693" s="17"/>
    </row>
    <row r="3694" spans="12:17" x14ac:dyDescent="0.3">
      <c r="L3694" s="25"/>
      <c r="Q3694" s="17"/>
    </row>
    <row r="3695" spans="12:17" x14ac:dyDescent="0.3">
      <c r="L3695" s="25"/>
      <c r="Q3695" s="17"/>
    </row>
    <row r="3696" spans="12:17" x14ac:dyDescent="0.3">
      <c r="L3696" s="25"/>
      <c r="Q3696" s="17"/>
    </row>
    <row r="3697" spans="12:17" x14ac:dyDescent="0.3">
      <c r="L3697" s="25"/>
      <c r="Q3697" s="17"/>
    </row>
    <row r="3698" spans="12:17" x14ac:dyDescent="0.3">
      <c r="L3698" s="25"/>
      <c r="Q3698" s="17"/>
    </row>
    <row r="3699" spans="12:17" x14ac:dyDescent="0.3">
      <c r="L3699" s="25"/>
      <c r="Q3699" s="17"/>
    </row>
    <row r="3700" spans="12:17" x14ac:dyDescent="0.3">
      <c r="L3700" s="25"/>
      <c r="Q3700" s="17"/>
    </row>
    <row r="3701" spans="12:17" x14ac:dyDescent="0.3">
      <c r="L3701" s="25"/>
      <c r="Q3701" s="17"/>
    </row>
    <row r="3702" spans="12:17" x14ac:dyDescent="0.3">
      <c r="L3702" s="25"/>
      <c r="Q3702" s="17"/>
    </row>
    <row r="3703" spans="12:17" x14ac:dyDescent="0.3">
      <c r="L3703" s="25"/>
      <c r="Q3703" s="17"/>
    </row>
    <row r="3704" spans="12:17" x14ac:dyDescent="0.3">
      <c r="L3704" s="25"/>
      <c r="Q3704" s="17"/>
    </row>
    <row r="3705" spans="12:17" x14ac:dyDescent="0.3">
      <c r="L3705" s="25"/>
      <c r="Q3705" s="17"/>
    </row>
    <row r="3706" spans="12:17" x14ac:dyDescent="0.3">
      <c r="L3706" s="25"/>
      <c r="Q3706" s="17"/>
    </row>
    <row r="3707" spans="12:17" x14ac:dyDescent="0.3">
      <c r="L3707" s="25"/>
      <c r="Q3707" s="17"/>
    </row>
    <row r="3708" spans="12:17" x14ac:dyDescent="0.3">
      <c r="L3708" s="25"/>
      <c r="Q3708" s="17"/>
    </row>
    <row r="3709" spans="12:17" x14ac:dyDescent="0.3">
      <c r="L3709" s="25"/>
      <c r="Q3709" s="17"/>
    </row>
    <row r="3710" spans="12:17" x14ac:dyDescent="0.3">
      <c r="L3710" s="25"/>
      <c r="Q3710" s="17"/>
    </row>
    <row r="3711" spans="12:17" x14ac:dyDescent="0.3">
      <c r="L3711" s="25"/>
      <c r="Q3711" s="17"/>
    </row>
    <row r="3712" spans="12:17" x14ac:dyDescent="0.3">
      <c r="L3712" s="25"/>
      <c r="Q3712" s="17"/>
    </row>
    <row r="3713" spans="12:17" x14ac:dyDescent="0.3">
      <c r="L3713" s="25"/>
      <c r="Q3713" s="17"/>
    </row>
    <row r="3714" spans="12:17" x14ac:dyDescent="0.3">
      <c r="L3714" s="25"/>
      <c r="Q3714" s="17"/>
    </row>
    <row r="3715" spans="12:17" x14ac:dyDescent="0.3">
      <c r="L3715" s="25"/>
      <c r="Q3715" s="17"/>
    </row>
    <row r="3716" spans="12:17" x14ac:dyDescent="0.3">
      <c r="L3716" s="25"/>
      <c r="Q3716" s="17"/>
    </row>
    <row r="3717" spans="12:17" x14ac:dyDescent="0.3">
      <c r="L3717" s="25"/>
      <c r="Q3717" s="17"/>
    </row>
    <row r="3718" spans="12:17" x14ac:dyDescent="0.3">
      <c r="L3718" s="25"/>
      <c r="Q3718" s="17"/>
    </row>
    <row r="3719" spans="12:17" x14ac:dyDescent="0.3">
      <c r="L3719" s="25"/>
      <c r="Q3719" s="17"/>
    </row>
    <row r="3720" spans="12:17" x14ac:dyDescent="0.3">
      <c r="L3720" s="25"/>
      <c r="Q3720" s="17"/>
    </row>
    <row r="3721" spans="12:17" x14ac:dyDescent="0.3">
      <c r="L3721" s="25"/>
      <c r="Q3721" s="17"/>
    </row>
    <row r="3722" spans="12:17" x14ac:dyDescent="0.3">
      <c r="L3722" s="25"/>
      <c r="Q3722" s="17"/>
    </row>
    <row r="3723" spans="12:17" x14ac:dyDescent="0.3">
      <c r="L3723" s="25"/>
      <c r="Q3723" s="17"/>
    </row>
    <row r="3724" spans="12:17" x14ac:dyDescent="0.3">
      <c r="L3724" s="25"/>
      <c r="Q3724" s="17"/>
    </row>
    <row r="3725" spans="12:17" x14ac:dyDescent="0.3">
      <c r="L3725" s="25"/>
      <c r="Q3725" s="17"/>
    </row>
    <row r="3726" spans="12:17" x14ac:dyDescent="0.3">
      <c r="L3726" s="25"/>
      <c r="Q3726" s="17"/>
    </row>
    <row r="3727" spans="12:17" x14ac:dyDescent="0.3">
      <c r="L3727" s="25"/>
      <c r="Q3727" s="17"/>
    </row>
    <row r="3728" spans="12:17" x14ac:dyDescent="0.3">
      <c r="L3728" s="25"/>
      <c r="Q3728" s="17"/>
    </row>
    <row r="3729" spans="12:17" x14ac:dyDescent="0.3">
      <c r="L3729" s="25"/>
      <c r="Q3729" s="17"/>
    </row>
    <row r="3730" spans="12:17" x14ac:dyDescent="0.3">
      <c r="L3730" s="25"/>
      <c r="Q3730" s="17"/>
    </row>
    <row r="3731" spans="12:17" x14ac:dyDescent="0.3">
      <c r="L3731" s="25"/>
      <c r="Q3731" s="17"/>
    </row>
    <row r="3732" spans="12:17" x14ac:dyDescent="0.3">
      <c r="L3732" s="25"/>
      <c r="Q3732" s="17"/>
    </row>
    <row r="3733" spans="12:17" x14ac:dyDescent="0.3">
      <c r="L3733" s="25"/>
      <c r="Q3733" s="17"/>
    </row>
    <row r="3734" spans="12:17" x14ac:dyDescent="0.3">
      <c r="L3734" s="25"/>
      <c r="Q3734" s="17"/>
    </row>
    <row r="3735" spans="12:17" x14ac:dyDescent="0.3">
      <c r="L3735" s="25"/>
      <c r="Q3735" s="17"/>
    </row>
    <row r="3736" spans="12:17" x14ac:dyDescent="0.3">
      <c r="L3736" s="25"/>
      <c r="Q3736" s="17"/>
    </row>
    <row r="3737" spans="12:17" x14ac:dyDescent="0.3">
      <c r="L3737" s="25"/>
      <c r="Q3737" s="17"/>
    </row>
    <row r="3738" spans="12:17" x14ac:dyDescent="0.3">
      <c r="L3738" s="25"/>
      <c r="Q3738" s="17"/>
    </row>
    <row r="3739" spans="12:17" x14ac:dyDescent="0.3">
      <c r="L3739" s="25"/>
      <c r="Q3739" s="17"/>
    </row>
    <row r="3740" spans="12:17" x14ac:dyDescent="0.3">
      <c r="L3740" s="25"/>
      <c r="Q3740" s="17"/>
    </row>
    <row r="3741" spans="12:17" x14ac:dyDescent="0.3">
      <c r="L3741" s="25"/>
      <c r="Q3741" s="17"/>
    </row>
    <row r="3742" spans="12:17" x14ac:dyDescent="0.3">
      <c r="L3742" s="25"/>
      <c r="Q3742" s="17"/>
    </row>
    <row r="3743" spans="12:17" x14ac:dyDescent="0.3">
      <c r="L3743" s="25"/>
      <c r="Q3743" s="17"/>
    </row>
    <row r="3744" spans="12:17" x14ac:dyDescent="0.3">
      <c r="L3744" s="25"/>
      <c r="Q3744" s="17"/>
    </row>
    <row r="3745" spans="12:17" x14ac:dyDescent="0.3">
      <c r="L3745" s="25"/>
      <c r="Q3745" s="17"/>
    </row>
    <row r="3746" spans="12:17" x14ac:dyDescent="0.3">
      <c r="L3746" s="25"/>
      <c r="Q3746" s="17"/>
    </row>
    <row r="3747" spans="12:17" x14ac:dyDescent="0.3">
      <c r="L3747" s="25"/>
      <c r="Q3747" s="17"/>
    </row>
    <row r="3748" spans="12:17" x14ac:dyDescent="0.3">
      <c r="L3748" s="25"/>
      <c r="Q3748" s="17"/>
    </row>
    <row r="3749" spans="12:17" x14ac:dyDescent="0.3">
      <c r="L3749" s="25"/>
      <c r="Q3749" s="17"/>
    </row>
    <row r="3750" spans="12:17" x14ac:dyDescent="0.3">
      <c r="L3750" s="25"/>
      <c r="Q3750" s="17"/>
    </row>
    <row r="3751" spans="12:17" x14ac:dyDescent="0.3">
      <c r="L3751" s="25"/>
      <c r="Q3751" s="17"/>
    </row>
    <row r="3752" spans="12:17" x14ac:dyDescent="0.3">
      <c r="L3752" s="25"/>
      <c r="Q3752" s="17"/>
    </row>
    <row r="3753" spans="12:17" x14ac:dyDescent="0.3">
      <c r="L3753" s="25"/>
      <c r="Q3753" s="17"/>
    </row>
    <row r="3754" spans="12:17" x14ac:dyDescent="0.3">
      <c r="L3754" s="25"/>
      <c r="Q3754" s="17"/>
    </row>
    <row r="3755" spans="12:17" x14ac:dyDescent="0.3">
      <c r="L3755" s="25"/>
      <c r="Q3755" s="17"/>
    </row>
    <row r="3756" spans="12:17" x14ac:dyDescent="0.3">
      <c r="L3756" s="25"/>
      <c r="Q3756" s="17"/>
    </row>
    <row r="3757" spans="12:17" x14ac:dyDescent="0.3">
      <c r="L3757" s="25"/>
      <c r="Q3757" s="17"/>
    </row>
    <row r="3758" spans="12:17" x14ac:dyDescent="0.3">
      <c r="L3758" s="25"/>
      <c r="Q3758" s="17"/>
    </row>
    <row r="3759" spans="12:17" x14ac:dyDescent="0.3">
      <c r="L3759" s="25"/>
      <c r="Q3759" s="17"/>
    </row>
    <row r="3760" spans="12:17" x14ac:dyDescent="0.3">
      <c r="L3760" s="25"/>
      <c r="Q3760" s="17"/>
    </row>
    <row r="3761" spans="12:17" x14ac:dyDescent="0.3">
      <c r="L3761" s="25"/>
      <c r="Q3761" s="17"/>
    </row>
    <row r="3762" spans="12:17" x14ac:dyDescent="0.3">
      <c r="L3762" s="25"/>
      <c r="Q3762" s="17"/>
    </row>
    <row r="3763" spans="12:17" x14ac:dyDescent="0.3">
      <c r="L3763" s="25"/>
      <c r="Q3763" s="17"/>
    </row>
    <row r="3764" spans="12:17" x14ac:dyDescent="0.3">
      <c r="L3764" s="25"/>
      <c r="Q3764" s="17"/>
    </row>
    <row r="3765" spans="12:17" x14ac:dyDescent="0.3">
      <c r="L3765" s="25"/>
      <c r="Q3765" s="17"/>
    </row>
    <row r="3766" spans="12:17" x14ac:dyDescent="0.3">
      <c r="L3766" s="25"/>
      <c r="Q3766" s="17"/>
    </row>
    <row r="3767" spans="12:17" x14ac:dyDescent="0.3">
      <c r="L3767" s="25"/>
      <c r="Q3767" s="17"/>
    </row>
    <row r="3768" spans="12:17" x14ac:dyDescent="0.3">
      <c r="L3768" s="25"/>
      <c r="Q3768" s="17"/>
    </row>
    <row r="3769" spans="12:17" x14ac:dyDescent="0.3">
      <c r="L3769" s="25"/>
      <c r="Q3769" s="17"/>
    </row>
    <row r="3770" spans="12:17" x14ac:dyDescent="0.3">
      <c r="L3770" s="25"/>
      <c r="Q3770" s="17"/>
    </row>
    <row r="3771" spans="12:17" x14ac:dyDescent="0.3">
      <c r="L3771" s="25"/>
      <c r="Q3771" s="17"/>
    </row>
    <row r="3772" spans="12:17" x14ac:dyDescent="0.3">
      <c r="L3772" s="25"/>
      <c r="Q3772" s="17"/>
    </row>
    <row r="3773" spans="12:17" x14ac:dyDescent="0.3">
      <c r="L3773" s="25"/>
      <c r="Q3773" s="17"/>
    </row>
    <row r="3774" spans="12:17" x14ac:dyDescent="0.3">
      <c r="L3774" s="25"/>
      <c r="Q3774" s="17"/>
    </row>
    <row r="3775" spans="12:17" x14ac:dyDescent="0.3">
      <c r="L3775" s="25"/>
      <c r="Q3775" s="17"/>
    </row>
    <row r="3776" spans="12:17" x14ac:dyDescent="0.3">
      <c r="L3776" s="25"/>
      <c r="Q3776" s="17"/>
    </row>
    <row r="3777" spans="12:17" x14ac:dyDescent="0.3">
      <c r="L3777" s="25"/>
      <c r="Q3777" s="17"/>
    </row>
    <row r="3778" spans="12:17" x14ac:dyDescent="0.3">
      <c r="L3778" s="25"/>
      <c r="Q3778" s="17"/>
    </row>
    <row r="3779" spans="12:17" x14ac:dyDescent="0.3">
      <c r="L3779" s="25"/>
      <c r="Q3779" s="17"/>
    </row>
    <row r="3780" spans="12:17" x14ac:dyDescent="0.3">
      <c r="L3780" s="25"/>
      <c r="Q3780" s="17"/>
    </row>
    <row r="3781" spans="12:17" x14ac:dyDescent="0.3">
      <c r="L3781" s="25"/>
      <c r="Q3781" s="17"/>
    </row>
    <row r="3782" spans="12:17" x14ac:dyDescent="0.3">
      <c r="L3782" s="25"/>
      <c r="Q3782" s="17"/>
    </row>
    <row r="3783" spans="12:17" x14ac:dyDescent="0.3">
      <c r="L3783" s="25"/>
      <c r="Q3783" s="17"/>
    </row>
    <row r="3784" spans="12:17" x14ac:dyDescent="0.3">
      <c r="L3784" s="25"/>
      <c r="Q3784" s="17"/>
    </row>
    <row r="3785" spans="12:17" x14ac:dyDescent="0.3">
      <c r="L3785" s="25"/>
      <c r="Q3785" s="17"/>
    </row>
    <row r="3786" spans="12:17" x14ac:dyDescent="0.3">
      <c r="L3786" s="25"/>
      <c r="Q3786" s="17"/>
    </row>
    <row r="3787" spans="12:17" x14ac:dyDescent="0.3">
      <c r="L3787" s="25"/>
      <c r="Q3787" s="17"/>
    </row>
    <row r="3788" spans="12:17" x14ac:dyDescent="0.3">
      <c r="L3788" s="25"/>
      <c r="Q3788" s="17"/>
    </row>
    <row r="3789" spans="12:17" x14ac:dyDescent="0.3">
      <c r="L3789" s="25"/>
      <c r="Q3789" s="17"/>
    </row>
    <row r="3790" spans="12:17" x14ac:dyDescent="0.3">
      <c r="L3790" s="25"/>
      <c r="Q3790" s="17"/>
    </row>
    <row r="3791" spans="12:17" x14ac:dyDescent="0.3">
      <c r="L3791" s="25"/>
      <c r="Q3791" s="17"/>
    </row>
    <row r="3792" spans="12:17" x14ac:dyDescent="0.3">
      <c r="L3792" s="25"/>
      <c r="Q3792" s="17"/>
    </row>
    <row r="3793" spans="12:17" x14ac:dyDescent="0.3">
      <c r="L3793" s="25"/>
      <c r="Q3793" s="17"/>
    </row>
    <row r="3794" spans="12:17" x14ac:dyDescent="0.3">
      <c r="L3794" s="25"/>
      <c r="Q3794" s="17"/>
    </row>
    <row r="3795" spans="12:17" x14ac:dyDescent="0.3">
      <c r="L3795" s="25"/>
      <c r="Q3795" s="17"/>
    </row>
    <row r="3796" spans="12:17" x14ac:dyDescent="0.3">
      <c r="L3796" s="25"/>
      <c r="Q3796" s="17"/>
    </row>
    <row r="3797" spans="12:17" x14ac:dyDescent="0.3">
      <c r="L3797" s="25"/>
      <c r="Q3797" s="17"/>
    </row>
    <row r="3798" spans="12:17" x14ac:dyDescent="0.3">
      <c r="L3798" s="25"/>
      <c r="Q3798" s="17"/>
    </row>
    <row r="3799" spans="12:17" x14ac:dyDescent="0.3">
      <c r="L3799" s="25"/>
      <c r="Q3799" s="17"/>
    </row>
    <row r="3800" spans="12:17" x14ac:dyDescent="0.3">
      <c r="L3800" s="25"/>
      <c r="Q3800" s="17"/>
    </row>
    <row r="3801" spans="12:17" x14ac:dyDescent="0.3">
      <c r="L3801" s="25"/>
      <c r="Q3801" s="17"/>
    </row>
    <row r="3802" spans="12:17" x14ac:dyDescent="0.3">
      <c r="L3802" s="25"/>
      <c r="Q3802" s="17"/>
    </row>
    <row r="3803" spans="12:17" x14ac:dyDescent="0.3">
      <c r="L3803" s="25"/>
      <c r="Q3803" s="17"/>
    </row>
    <row r="3804" spans="12:17" x14ac:dyDescent="0.3">
      <c r="L3804" s="25"/>
      <c r="Q3804" s="17"/>
    </row>
    <row r="3805" spans="12:17" x14ac:dyDescent="0.3">
      <c r="L3805" s="25"/>
      <c r="Q3805" s="17"/>
    </row>
    <row r="3806" spans="12:17" x14ac:dyDescent="0.3">
      <c r="L3806" s="25"/>
      <c r="Q3806" s="17"/>
    </row>
    <row r="3807" spans="12:17" x14ac:dyDescent="0.3">
      <c r="L3807" s="25"/>
      <c r="Q3807" s="17"/>
    </row>
    <row r="3808" spans="12:17" x14ac:dyDescent="0.3">
      <c r="L3808" s="25"/>
      <c r="Q3808" s="17"/>
    </row>
    <row r="3809" spans="12:17" x14ac:dyDescent="0.3">
      <c r="L3809" s="25"/>
      <c r="Q3809" s="17"/>
    </row>
    <row r="3810" spans="12:17" x14ac:dyDescent="0.3">
      <c r="L3810" s="25"/>
      <c r="Q3810" s="17"/>
    </row>
    <row r="3811" spans="12:17" x14ac:dyDescent="0.3">
      <c r="L3811" s="25"/>
      <c r="Q3811" s="17"/>
    </row>
    <row r="3812" spans="12:17" x14ac:dyDescent="0.3">
      <c r="L3812" s="25"/>
      <c r="Q3812" s="17"/>
    </row>
    <row r="3813" spans="12:17" x14ac:dyDescent="0.3">
      <c r="L3813" s="25"/>
      <c r="Q3813" s="17"/>
    </row>
    <row r="3814" spans="12:17" x14ac:dyDescent="0.3">
      <c r="L3814" s="25"/>
      <c r="Q3814" s="17"/>
    </row>
    <row r="3815" spans="12:17" x14ac:dyDescent="0.3">
      <c r="L3815" s="25"/>
      <c r="Q3815" s="17"/>
    </row>
    <row r="3816" spans="12:17" x14ac:dyDescent="0.3">
      <c r="L3816" s="25"/>
      <c r="Q3816" s="17"/>
    </row>
    <row r="3817" spans="12:17" x14ac:dyDescent="0.3">
      <c r="L3817" s="25"/>
      <c r="Q3817" s="17"/>
    </row>
    <row r="3818" spans="12:17" x14ac:dyDescent="0.3">
      <c r="L3818" s="25"/>
      <c r="Q3818" s="17"/>
    </row>
    <row r="3819" spans="12:17" x14ac:dyDescent="0.3">
      <c r="L3819" s="25"/>
      <c r="Q3819" s="17"/>
    </row>
    <row r="3820" spans="12:17" x14ac:dyDescent="0.3">
      <c r="L3820" s="25"/>
      <c r="Q3820" s="17"/>
    </row>
    <row r="3821" spans="12:17" x14ac:dyDescent="0.3">
      <c r="L3821" s="25"/>
      <c r="Q3821" s="17"/>
    </row>
    <row r="3822" spans="12:17" x14ac:dyDescent="0.3">
      <c r="L3822" s="25"/>
      <c r="Q3822" s="17"/>
    </row>
    <row r="3823" spans="12:17" x14ac:dyDescent="0.3">
      <c r="L3823" s="25"/>
      <c r="Q3823" s="17"/>
    </row>
    <row r="3824" spans="12:17" x14ac:dyDescent="0.3">
      <c r="L3824" s="25"/>
      <c r="Q3824" s="17"/>
    </row>
    <row r="3825" spans="12:17" x14ac:dyDescent="0.3">
      <c r="L3825" s="25"/>
      <c r="Q3825" s="17"/>
    </row>
    <row r="3826" spans="12:17" x14ac:dyDescent="0.3">
      <c r="L3826" s="25"/>
      <c r="Q3826" s="17"/>
    </row>
    <row r="3827" spans="12:17" x14ac:dyDescent="0.3">
      <c r="L3827" s="25"/>
      <c r="Q3827" s="17"/>
    </row>
    <row r="3828" spans="12:17" x14ac:dyDescent="0.3">
      <c r="L3828" s="25"/>
      <c r="Q3828" s="17"/>
    </row>
    <row r="3829" spans="12:17" x14ac:dyDescent="0.3">
      <c r="L3829" s="25"/>
      <c r="Q3829" s="17"/>
    </row>
    <row r="3830" spans="12:17" x14ac:dyDescent="0.3">
      <c r="L3830" s="25"/>
      <c r="Q3830" s="17"/>
    </row>
    <row r="3831" spans="12:17" x14ac:dyDescent="0.3">
      <c r="L3831" s="25"/>
      <c r="Q3831" s="17"/>
    </row>
    <row r="3832" spans="12:17" x14ac:dyDescent="0.3">
      <c r="L3832" s="25"/>
      <c r="Q3832" s="17"/>
    </row>
    <row r="3833" spans="12:17" x14ac:dyDescent="0.3">
      <c r="L3833" s="25"/>
      <c r="Q3833" s="17"/>
    </row>
    <row r="3834" spans="12:17" x14ac:dyDescent="0.3">
      <c r="L3834" s="25"/>
      <c r="Q3834" s="17"/>
    </row>
    <row r="3835" spans="12:17" x14ac:dyDescent="0.3">
      <c r="L3835" s="25"/>
      <c r="Q3835" s="17"/>
    </row>
    <row r="3836" spans="12:17" x14ac:dyDescent="0.3">
      <c r="L3836" s="25"/>
      <c r="Q3836" s="17"/>
    </row>
    <row r="3837" spans="12:17" x14ac:dyDescent="0.3">
      <c r="L3837" s="25"/>
      <c r="Q3837" s="17"/>
    </row>
    <row r="3838" spans="12:17" x14ac:dyDescent="0.3">
      <c r="L3838" s="25"/>
      <c r="Q3838" s="17"/>
    </row>
    <row r="3839" spans="12:17" x14ac:dyDescent="0.3">
      <c r="L3839" s="25"/>
      <c r="Q3839" s="17"/>
    </row>
    <row r="3840" spans="12:17" x14ac:dyDescent="0.3">
      <c r="L3840" s="25"/>
      <c r="Q3840" s="17"/>
    </row>
    <row r="3841" spans="12:17" x14ac:dyDescent="0.3">
      <c r="L3841" s="25"/>
      <c r="Q3841" s="17"/>
    </row>
    <row r="3842" spans="12:17" x14ac:dyDescent="0.3">
      <c r="L3842" s="25"/>
      <c r="Q3842" s="17"/>
    </row>
    <row r="3843" spans="12:17" x14ac:dyDescent="0.3">
      <c r="L3843" s="25"/>
      <c r="Q3843" s="17"/>
    </row>
    <row r="3844" spans="12:17" x14ac:dyDescent="0.3">
      <c r="L3844" s="25"/>
      <c r="Q3844" s="17"/>
    </row>
    <row r="3845" spans="12:17" x14ac:dyDescent="0.3">
      <c r="L3845" s="25"/>
      <c r="Q3845" s="17"/>
    </row>
    <row r="3846" spans="12:17" x14ac:dyDescent="0.3">
      <c r="L3846" s="25"/>
      <c r="Q3846" s="17"/>
    </row>
    <row r="3847" spans="12:17" x14ac:dyDescent="0.3">
      <c r="L3847" s="25"/>
      <c r="Q3847" s="17"/>
    </row>
    <row r="3848" spans="12:17" x14ac:dyDescent="0.3">
      <c r="L3848" s="25"/>
      <c r="Q3848" s="17"/>
    </row>
    <row r="3849" spans="12:17" x14ac:dyDescent="0.3">
      <c r="L3849" s="25"/>
      <c r="Q3849" s="17"/>
    </row>
    <row r="3850" spans="12:17" x14ac:dyDescent="0.3">
      <c r="L3850" s="25"/>
      <c r="Q3850" s="17"/>
    </row>
    <row r="3851" spans="12:17" x14ac:dyDescent="0.3">
      <c r="L3851" s="25"/>
      <c r="Q3851" s="17"/>
    </row>
    <row r="3852" spans="12:17" x14ac:dyDescent="0.3">
      <c r="L3852" s="25"/>
      <c r="Q3852" s="17"/>
    </row>
    <row r="3853" spans="12:17" x14ac:dyDescent="0.3">
      <c r="L3853" s="25"/>
      <c r="Q3853" s="17"/>
    </row>
    <row r="3854" spans="12:17" x14ac:dyDescent="0.3">
      <c r="L3854" s="25"/>
      <c r="Q3854" s="17"/>
    </row>
    <row r="3855" spans="12:17" x14ac:dyDescent="0.3">
      <c r="L3855" s="25"/>
      <c r="Q3855" s="17"/>
    </row>
    <row r="3856" spans="12:17" x14ac:dyDescent="0.3">
      <c r="L3856" s="25"/>
      <c r="Q3856" s="17"/>
    </row>
    <row r="3857" spans="12:17" x14ac:dyDescent="0.3">
      <c r="L3857" s="25"/>
      <c r="Q3857" s="17"/>
    </row>
    <row r="3858" spans="12:17" x14ac:dyDescent="0.3">
      <c r="L3858" s="25"/>
      <c r="Q3858" s="17"/>
    </row>
    <row r="3859" spans="12:17" x14ac:dyDescent="0.3">
      <c r="L3859" s="25"/>
      <c r="Q3859" s="17"/>
    </row>
    <row r="3860" spans="12:17" x14ac:dyDescent="0.3">
      <c r="L3860" s="25"/>
      <c r="Q3860" s="17"/>
    </row>
    <row r="3861" spans="12:17" x14ac:dyDescent="0.3">
      <c r="L3861" s="25"/>
      <c r="Q3861" s="17"/>
    </row>
    <row r="3862" spans="12:17" x14ac:dyDescent="0.3">
      <c r="L3862" s="25"/>
      <c r="Q3862" s="17"/>
    </row>
    <row r="3863" spans="12:17" x14ac:dyDescent="0.3">
      <c r="L3863" s="25"/>
      <c r="Q3863" s="17"/>
    </row>
    <row r="3864" spans="12:17" x14ac:dyDescent="0.3">
      <c r="L3864" s="25"/>
      <c r="Q3864" s="17"/>
    </row>
    <row r="3865" spans="12:17" x14ac:dyDescent="0.3">
      <c r="L3865" s="25"/>
      <c r="Q3865" s="17"/>
    </row>
    <row r="3866" spans="12:17" x14ac:dyDescent="0.3">
      <c r="L3866" s="25"/>
      <c r="Q3866" s="17"/>
    </row>
    <row r="3867" spans="12:17" x14ac:dyDescent="0.3">
      <c r="L3867" s="25"/>
      <c r="Q3867" s="17"/>
    </row>
    <row r="3868" spans="12:17" x14ac:dyDescent="0.3">
      <c r="L3868" s="25"/>
      <c r="Q3868" s="17"/>
    </row>
    <row r="3869" spans="12:17" x14ac:dyDescent="0.3">
      <c r="L3869" s="25"/>
      <c r="Q3869" s="17"/>
    </row>
    <row r="3870" spans="12:17" x14ac:dyDescent="0.3">
      <c r="L3870" s="25"/>
      <c r="Q3870" s="17"/>
    </row>
    <row r="3871" spans="12:17" x14ac:dyDescent="0.3">
      <c r="L3871" s="25"/>
      <c r="Q3871" s="17"/>
    </row>
    <row r="3872" spans="12:17" x14ac:dyDescent="0.3">
      <c r="L3872" s="25"/>
      <c r="Q3872" s="17"/>
    </row>
    <row r="3873" spans="12:17" x14ac:dyDescent="0.3">
      <c r="L3873" s="25"/>
      <c r="Q3873" s="17"/>
    </row>
    <row r="3874" spans="12:17" x14ac:dyDescent="0.3">
      <c r="L3874" s="25"/>
      <c r="Q3874" s="17"/>
    </row>
    <row r="3875" spans="12:17" x14ac:dyDescent="0.3">
      <c r="L3875" s="25"/>
      <c r="Q3875" s="17"/>
    </row>
    <row r="3876" spans="12:17" x14ac:dyDescent="0.3">
      <c r="L3876" s="25"/>
      <c r="Q3876" s="17"/>
    </row>
    <row r="3877" spans="12:17" x14ac:dyDescent="0.3">
      <c r="L3877" s="25"/>
      <c r="Q3877" s="17"/>
    </row>
    <row r="3878" spans="12:17" x14ac:dyDescent="0.3">
      <c r="L3878" s="25"/>
      <c r="Q3878" s="17"/>
    </row>
    <row r="3879" spans="12:17" x14ac:dyDescent="0.3">
      <c r="L3879" s="25"/>
      <c r="Q3879" s="17"/>
    </row>
    <row r="3880" spans="12:17" x14ac:dyDescent="0.3">
      <c r="L3880" s="25"/>
      <c r="Q3880" s="17"/>
    </row>
    <row r="3881" spans="12:17" x14ac:dyDescent="0.3">
      <c r="L3881" s="25"/>
      <c r="Q3881" s="17"/>
    </row>
    <row r="3882" spans="12:17" x14ac:dyDescent="0.3">
      <c r="L3882" s="25"/>
      <c r="Q3882" s="17"/>
    </row>
    <row r="3883" spans="12:17" x14ac:dyDescent="0.3">
      <c r="L3883" s="25"/>
      <c r="Q3883" s="17"/>
    </row>
    <row r="3884" spans="12:17" x14ac:dyDescent="0.3">
      <c r="L3884" s="25"/>
      <c r="Q3884" s="17"/>
    </row>
    <row r="3885" spans="12:17" x14ac:dyDescent="0.3">
      <c r="L3885" s="25"/>
      <c r="Q3885" s="17"/>
    </row>
    <row r="3886" spans="12:17" x14ac:dyDescent="0.3">
      <c r="L3886" s="25"/>
      <c r="Q3886" s="17"/>
    </row>
    <row r="3887" spans="12:17" x14ac:dyDescent="0.3">
      <c r="L3887" s="25"/>
      <c r="Q3887" s="17"/>
    </row>
    <row r="3888" spans="12:17" x14ac:dyDescent="0.3">
      <c r="L3888" s="25"/>
      <c r="Q3888" s="17"/>
    </row>
    <row r="3889" spans="12:17" x14ac:dyDescent="0.3">
      <c r="L3889" s="25"/>
      <c r="Q3889" s="17"/>
    </row>
    <row r="3890" spans="12:17" x14ac:dyDescent="0.3">
      <c r="L3890" s="25"/>
      <c r="Q3890" s="17"/>
    </row>
    <row r="3891" spans="12:17" x14ac:dyDescent="0.3">
      <c r="L3891" s="25"/>
      <c r="Q3891" s="17"/>
    </row>
    <row r="3892" spans="12:17" x14ac:dyDescent="0.3">
      <c r="L3892" s="25"/>
      <c r="Q3892" s="17"/>
    </row>
    <row r="3893" spans="12:17" x14ac:dyDescent="0.3">
      <c r="L3893" s="25"/>
      <c r="Q3893" s="17"/>
    </row>
    <row r="3894" spans="12:17" x14ac:dyDescent="0.3">
      <c r="L3894" s="25"/>
      <c r="Q3894" s="17"/>
    </row>
    <row r="3895" spans="12:17" x14ac:dyDescent="0.3">
      <c r="L3895" s="25"/>
      <c r="Q3895" s="17"/>
    </row>
    <row r="3896" spans="12:17" x14ac:dyDescent="0.3">
      <c r="L3896" s="25"/>
      <c r="Q3896" s="17"/>
    </row>
    <row r="3897" spans="12:17" x14ac:dyDescent="0.3">
      <c r="L3897" s="25"/>
      <c r="Q3897" s="17"/>
    </row>
    <row r="3898" spans="12:17" x14ac:dyDescent="0.3">
      <c r="L3898" s="25"/>
      <c r="Q3898" s="17"/>
    </row>
    <row r="3899" spans="12:17" x14ac:dyDescent="0.3">
      <c r="L3899" s="25"/>
      <c r="Q3899" s="17"/>
    </row>
    <row r="3900" spans="12:17" x14ac:dyDescent="0.3">
      <c r="L3900" s="25"/>
      <c r="Q3900" s="17"/>
    </row>
    <row r="3901" spans="12:17" x14ac:dyDescent="0.3">
      <c r="L3901" s="25"/>
      <c r="Q3901" s="17"/>
    </row>
    <row r="3902" spans="12:17" x14ac:dyDescent="0.3">
      <c r="L3902" s="25"/>
      <c r="Q3902" s="17"/>
    </row>
    <row r="3903" spans="12:17" x14ac:dyDescent="0.3">
      <c r="L3903" s="25"/>
      <c r="Q3903" s="17"/>
    </row>
    <row r="3904" spans="12:17" x14ac:dyDescent="0.3">
      <c r="L3904" s="25"/>
      <c r="Q3904" s="17"/>
    </row>
    <row r="3905" spans="12:17" x14ac:dyDescent="0.3">
      <c r="L3905" s="25"/>
      <c r="Q3905" s="17"/>
    </row>
    <row r="3906" spans="12:17" x14ac:dyDescent="0.3">
      <c r="L3906" s="25"/>
      <c r="Q3906" s="17"/>
    </row>
    <row r="3907" spans="12:17" x14ac:dyDescent="0.3">
      <c r="L3907" s="25"/>
      <c r="Q3907" s="17"/>
    </row>
    <row r="3908" spans="12:17" x14ac:dyDescent="0.3">
      <c r="L3908" s="25"/>
      <c r="Q3908" s="17"/>
    </row>
    <row r="3909" spans="12:17" x14ac:dyDescent="0.3">
      <c r="L3909" s="25"/>
      <c r="Q3909" s="17"/>
    </row>
    <row r="3910" spans="12:17" x14ac:dyDescent="0.3">
      <c r="L3910" s="25"/>
      <c r="Q3910" s="17"/>
    </row>
    <row r="3911" spans="12:17" x14ac:dyDescent="0.3">
      <c r="L3911" s="25"/>
      <c r="Q3911" s="17"/>
    </row>
    <row r="3912" spans="12:17" x14ac:dyDescent="0.3">
      <c r="L3912" s="25"/>
      <c r="Q3912" s="17"/>
    </row>
    <row r="3913" spans="12:17" x14ac:dyDescent="0.3">
      <c r="L3913" s="25"/>
      <c r="Q3913" s="17"/>
    </row>
    <row r="3914" spans="12:17" x14ac:dyDescent="0.3">
      <c r="L3914" s="25"/>
      <c r="Q3914" s="17"/>
    </row>
    <row r="3915" spans="12:17" x14ac:dyDescent="0.3">
      <c r="L3915" s="25"/>
      <c r="Q3915" s="17"/>
    </row>
    <row r="3916" spans="12:17" x14ac:dyDescent="0.3">
      <c r="L3916" s="25"/>
      <c r="Q3916" s="17"/>
    </row>
    <row r="3917" spans="12:17" x14ac:dyDescent="0.3">
      <c r="L3917" s="25"/>
      <c r="Q3917" s="17"/>
    </row>
    <row r="3918" spans="12:17" x14ac:dyDescent="0.3">
      <c r="L3918" s="25"/>
      <c r="Q3918" s="17"/>
    </row>
    <row r="3919" spans="12:17" x14ac:dyDescent="0.3">
      <c r="L3919" s="25"/>
      <c r="Q3919" s="17"/>
    </row>
    <row r="3920" spans="12:17" x14ac:dyDescent="0.3">
      <c r="L3920" s="25"/>
      <c r="Q3920" s="17"/>
    </row>
    <row r="3921" spans="12:17" x14ac:dyDescent="0.3">
      <c r="L3921" s="25"/>
      <c r="Q3921" s="17"/>
    </row>
    <row r="3922" spans="12:17" x14ac:dyDescent="0.3">
      <c r="L3922" s="25"/>
      <c r="Q3922" s="17"/>
    </row>
    <row r="3923" spans="12:17" x14ac:dyDescent="0.3">
      <c r="L3923" s="25"/>
      <c r="Q3923" s="17"/>
    </row>
    <row r="3924" spans="12:17" x14ac:dyDescent="0.3">
      <c r="L3924" s="25"/>
      <c r="Q3924" s="17"/>
    </row>
    <row r="3925" spans="12:17" x14ac:dyDescent="0.3">
      <c r="L3925" s="25"/>
      <c r="Q3925" s="17"/>
    </row>
    <row r="3926" spans="12:17" x14ac:dyDescent="0.3">
      <c r="L3926" s="25"/>
      <c r="Q3926" s="17"/>
    </row>
    <row r="3927" spans="12:17" x14ac:dyDescent="0.3">
      <c r="L3927" s="25"/>
      <c r="Q3927" s="17"/>
    </row>
    <row r="3928" spans="12:17" x14ac:dyDescent="0.3">
      <c r="L3928" s="25"/>
      <c r="Q3928" s="17"/>
    </row>
    <row r="3929" spans="12:17" x14ac:dyDescent="0.3">
      <c r="L3929" s="25"/>
      <c r="Q3929" s="17"/>
    </row>
    <row r="3930" spans="12:17" x14ac:dyDescent="0.3">
      <c r="L3930" s="25"/>
      <c r="Q3930" s="17"/>
    </row>
    <row r="3931" spans="12:17" x14ac:dyDescent="0.3">
      <c r="L3931" s="25"/>
      <c r="Q3931" s="17"/>
    </row>
    <row r="3932" spans="12:17" x14ac:dyDescent="0.3">
      <c r="L3932" s="25"/>
      <c r="Q3932" s="17"/>
    </row>
    <row r="3933" spans="12:17" x14ac:dyDescent="0.3">
      <c r="L3933" s="25"/>
      <c r="Q3933" s="17"/>
    </row>
    <row r="3934" spans="12:17" x14ac:dyDescent="0.3">
      <c r="L3934" s="25"/>
      <c r="Q3934" s="17"/>
    </row>
    <row r="3935" spans="12:17" x14ac:dyDescent="0.3">
      <c r="L3935" s="25"/>
      <c r="Q3935" s="17"/>
    </row>
    <row r="3936" spans="12:17" x14ac:dyDescent="0.3">
      <c r="L3936" s="25"/>
      <c r="Q3936" s="17"/>
    </row>
    <row r="3937" spans="12:17" x14ac:dyDescent="0.3">
      <c r="L3937" s="25"/>
      <c r="Q3937" s="17"/>
    </row>
    <row r="3938" spans="12:17" x14ac:dyDescent="0.3">
      <c r="L3938" s="25"/>
      <c r="Q3938" s="17"/>
    </row>
    <row r="3939" spans="12:17" x14ac:dyDescent="0.3">
      <c r="L3939" s="25"/>
      <c r="Q3939" s="17"/>
    </row>
    <row r="3940" spans="12:17" x14ac:dyDescent="0.3">
      <c r="L3940" s="25"/>
      <c r="Q3940" s="17"/>
    </row>
    <row r="3941" spans="12:17" x14ac:dyDescent="0.3">
      <c r="L3941" s="25"/>
      <c r="Q3941" s="17"/>
    </row>
    <row r="3942" spans="12:17" x14ac:dyDescent="0.3">
      <c r="L3942" s="25"/>
      <c r="Q3942" s="17"/>
    </row>
    <row r="3943" spans="12:17" x14ac:dyDescent="0.3">
      <c r="L3943" s="25"/>
      <c r="Q3943" s="17"/>
    </row>
    <row r="3944" spans="12:17" x14ac:dyDescent="0.3">
      <c r="L3944" s="25"/>
      <c r="Q3944" s="17"/>
    </row>
    <row r="3945" spans="12:17" x14ac:dyDescent="0.3">
      <c r="L3945" s="25"/>
      <c r="Q3945" s="17"/>
    </row>
    <row r="3946" spans="12:17" x14ac:dyDescent="0.3">
      <c r="L3946" s="25"/>
      <c r="Q3946" s="17"/>
    </row>
    <row r="3947" spans="12:17" x14ac:dyDescent="0.3">
      <c r="L3947" s="25"/>
      <c r="Q3947" s="17"/>
    </row>
    <row r="3948" spans="12:17" x14ac:dyDescent="0.3">
      <c r="L3948" s="25"/>
      <c r="Q3948" s="17"/>
    </row>
    <row r="3949" spans="12:17" x14ac:dyDescent="0.3">
      <c r="L3949" s="25"/>
      <c r="Q3949" s="17"/>
    </row>
    <row r="3950" spans="12:17" x14ac:dyDescent="0.3">
      <c r="L3950" s="25"/>
      <c r="Q3950" s="17"/>
    </row>
    <row r="3951" spans="12:17" x14ac:dyDescent="0.3">
      <c r="L3951" s="25"/>
      <c r="Q3951" s="17"/>
    </row>
    <row r="3952" spans="12:17" x14ac:dyDescent="0.3">
      <c r="L3952" s="25"/>
      <c r="Q3952" s="17"/>
    </row>
    <row r="3953" spans="12:17" x14ac:dyDescent="0.3">
      <c r="L3953" s="25"/>
      <c r="Q3953" s="17"/>
    </row>
    <row r="3954" spans="12:17" x14ac:dyDescent="0.3">
      <c r="L3954" s="25"/>
      <c r="Q3954" s="17"/>
    </row>
    <row r="3955" spans="12:17" x14ac:dyDescent="0.3">
      <c r="L3955" s="25"/>
      <c r="Q3955" s="17"/>
    </row>
    <row r="3956" spans="12:17" x14ac:dyDescent="0.3">
      <c r="L3956" s="25"/>
      <c r="Q3956" s="17"/>
    </row>
    <row r="3957" spans="12:17" x14ac:dyDescent="0.3">
      <c r="L3957" s="25"/>
      <c r="Q3957" s="17"/>
    </row>
    <row r="3958" spans="12:17" x14ac:dyDescent="0.3">
      <c r="L3958" s="25"/>
      <c r="Q3958" s="17"/>
    </row>
    <row r="3959" spans="12:17" x14ac:dyDescent="0.3">
      <c r="L3959" s="25"/>
      <c r="Q3959" s="17"/>
    </row>
    <row r="3960" spans="12:17" x14ac:dyDescent="0.3">
      <c r="L3960" s="25"/>
      <c r="Q3960" s="17"/>
    </row>
    <row r="3961" spans="12:17" x14ac:dyDescent="0.3">
      <c r="L3961" s="25"/>
      <c r="Q3961" s="17"/>
    </row>
    <row r="3962" spans="12:17" x14ac:dyDescent="0.3">
      <c r="L3962" s="25"/>
      <c r="Q3962" s="17"/>
    </row>
    <row r="3963" spans="12:17" x14ac:dyDescent="0.3">
      <c r="L3963" s="25"/>
      <c r="Q3963" s="17"/>
    </row>
    <row r="3964" spans="12:17" x14ac:dyDescent="0.3">
      <c r="L3964" s="25"/>
      <c r="Q3964" s="17"/>
    </row>
    <row r="3965" spans="12:17" x14ac:dyDescent="0.3">
      <c r="L3965" s="25"/>
      <c r="Q3965" s="17"/>
    </row>
    <row r="3966" spans="12:17" x14ac:dyDescent="0.3">
      <c r="L3966" s="25"/>
      <c r="Q3966" s="17"/>
    </row>
    <row r="3967" spans="12:17" x14ac:dyDescent="0.3">
      <c r="L3967" s="25"/>
      <c r="Q3967" s="17"/>
    </row>
    <row r="3968" spans="12:17" x14ac:dyDescent="0.3">
      <c r="L3968" s="25"/>
      <c r="Q3968" s="17"/>
    </row>
    <row r="3969" spans="12:17" x14ac:dyDescent="0.3">
      <c r="L3969" s="25"/>
      <c r="Q3969" s="17"/>
    </row>
    <row r="3970" spans="12:17" x14ac:dyDescent="0.3">
      <c r="L3970" s="25"/>
      <c r="Q3970" s="17"/>
    </row>
    <row r="3971" spans="12:17" x14ac:dyDescent="0.3">
      <c r="L3971" s="25"/>
      <c r="Q3971" s="17"/>
    </row>
    <row r="3972" spans="12:17" x14ac:dyDescent="0.3">
      <c r="L3972" s="25"/>
      <c r="Q3972" s="17"/>
    </row>
    <row r="3973" spans="12:17" x14ac:dyDescent="0.3">
      <c r="L3973" s="25"/>
      <c r="Q3973" s="17"/>
    </row>
    <row r="3974" spans="12:17" x14ac:dyDescent="0.3">
      <c r="L3974" s="25"/>
      <c r="Q3974" s="17"/>
    </row>
    <row r="3975" spans="12:17" x14ac:dyDescent="0.3">
      <c r="L3975" s="25"/>
      <c r="Q3975" s="17"/>
    </row>
    <row r="3976" spans="12:17" x14ac:dyDescent="0.3">
      <c r="L3976" s="25"/>
      <c r="Q3976" s="17"/>
    </row>
    <row r="3977" spans="12:17" x14ac:dyDescent="0.3">
      <c r="L3977" s="25"/>
      <c r="Q3977" s="17"/>
    </row>
    <row r="3978" spans="12:17" x14ac:dyDescent="0.3">
      <c r="L3978" s="25"/>
      <c r="Q3978" s="17"/>
    </row>
    <row r="3979" spans="12:17" x14ac:dyDescent="0.3">
      <c r="L3979" s="25"/>
      <c r="Q3979" s="17"/>
    </row>
    <row r="3980" spans="12:17" x14ac:dyDescent="0.3">
      <c r="L3980" s="25"/>
      <c r="Q3980" s="17"/>
    </row>
    <row r="3981" spans="12:17" x14ac:dyDescent="0.3">
      <c r="L3981" s="25"/>
      <c r="Q3981" s="17"/>
    </row>
    <row r="3982" spans="12:17" x14ac:dyDescent="0.3">
      <c r="L3982" s="25"/>
      <c r="Q3982" s="17"/>
    </row>
    <row r="3983" spans="12:17" x14ac:dyDescent="0.3">
      <c r="L3983" s="25"/>
      <c r="Q3983" s="17"/>
    </row>
    <row r="3984" spans="12:17" x14ac:dyDescent="0.3">
      <c r="L3984" s="25"/>
      <c r="Q3984" s="17"/>
    </row>
    <row r="3985" spans="12:17" x14ac:dyDescent="0.3">
      <c r="L3985" s="25"/>
      <c r="Q3985" s="17"/>
    </row>
    <row r="3986" spans="12:17" x14ac:dyDescent="0.3">
      <c r="L3986" s="25"/>
      <c r="Q3986" s="17"/>
    </row>
    <row r="3987" spans="12:17" x14ac:dyDescent="0.3">
      <c r="L3987" s="25"/>
      <c r="Q3987" s="17"/>
    </row>
    <row r="3988" spans="12:17" x14ac:dyDescent="0.3">
      <c r="L3988" s="25"/>
      <c r="Q3988" s="17"/>
    </row>
    <row r="3989" spans="12:17" x14ac:dyDescent="0.3">
      <c r="L3989" s="25"/>
      <c r="Q3989" s="17"/>
    </row>
    <row r="3990" spans="12:17" x14ac:dyDescent="0.3">
      <c r="L3990" s="25"/>
      <c r="Q3990" s="17"/>
    </row>
    <row r="3991" spans="12:17" x14ac:dyDescent="0.3">
      <c r="L3991" s="25"/>
      <c r="Q3991" s="17"/>
    </row>
    <row r="3992" spans="12:17" x14ac:dyDescent="0.3">
      <c r="L3992" s="25"/>
      <c r="Q3992" s="17"/>
    </row>
    <row r="3993" spans="12:17" x14ac:dyDescent="0.3">
      <c r="L3993" s="25"/>
      <c r="Q3993" s="17"/>
    </row>
    <row r="3994" spans="12:17" x14ac:dyDescent="0.3">
      <c r="L3994" s="25"/>
      <c r="Q3994" s="17"/>
    </row>
    <row r="3995" spans="12:17" x14ac:dyDescent="0.3">
      <c r="L3995" s="25"/>
      <c r="Q3995" s="17"/>
    </row>
    <row r="3996" spans="12:17" x14ac:dyDescent="0.3">
      <c r="L3996" s="25"/>
      <c r="Q3996" s="17"/>
    </row>
    <row r="3997" spans="12:17" x14ac:dyDescent="0.3">
      <c r="L3997" s="25"/>
      <c r="Q3997" s="17"/>
    </row>
    <row r="3998" spans="12:17" x14ac:dyDescent="0.3">
      <c r="L3998" s="25"/>
      <c r="Q3998" s="17"/>
    </row>
    <row r="3999" spans="12:17" x14ac:dyDescent="0.3">
      <c r="L3999" s="25"/>
      <c r="Q3999" s="17"/>
    </row>
    <row r="4000" spans="12:17" x14ac:dyDescent="0.3">
      <c r="L4000" s="25"/>
      <c r="Q4000" s="17"/>
    </row>
    <row r="4001" spans="12:17" x14ac:dyDescent="0.3">
      <c r="L4001" s="25"/>
      <c r="Q4001" s="17"/>
    </row>
    <row r="4002" spans="12:17" x14ac:dyDescent="0.3">
      <c r="L4002" s="25"/>
      <c r="Q4002" s="17"/>
    </row>
    <row r="4003" spans="12:17" x14ac:dyDescent="0.3">
      <c r="L4003" s="25"/>
      <c r="Q4003" s="17"/>
    </row>
    <row r="4004" spans="12:17" x14ac:dyDescent="0.3">
      <c r="L4004" s="25"/>
      <c r="Q4004" s="17"/>
    </row>
    <row r="4005" spans="12:17" x14ac:dyDescent="0.3">
      <c r="L4005" s="25"/>
      <c r="Q4005" s="17"/>
    </row>
    <row r="4006" spans="12:17" x14ac:dyDescent="0.3">
      <c r="L4006" s="25"/>
      <c r="Q4006" s="17"/>
    </row>
    <row r="4007" spans="12:17" x14ac:dyDescent="0.3">
      <c r="L4007" s="25"/>
      <c r="Q4007" s="17"/>
    </row>
    <row r="4008" spans="12:17" x14ac:dyDescent="0.3">
      <c r="L4008" s="25"/>
      <c r="Q4008" s="17"/>
    </row>
    <row r="4009" spans="12:17" x14ac:dyDescent="0.3">
      <c r="L4009" s="25"/>
      <c r="Q4009" s="17"/>
    </row>
    <row r="4010" spans="12:17" x14ac:dyDescent="0.3">
      <c r="L4010" s="25"/>
      <c r="Q4010" s="17"/>
    </row>
    <row r="4011" spans="12:17" x14ac:dyDescent="0.3">
      <c r="L4011" s="25"/>
      <c r="Q4011" s="17"/>
    </row>
    <row r="4012" spans="12:17" x14ac:dyDescent="0.3">
      <c r="L4012" s="25"/>
      <c r="Q4012" s="17"/>
    </row>
    <row r="4013" spans="12:17" x14ac:dyDescent="0.3">
      <c r="L4013" s="25"/>
      <c r="Q4013" s="17"/>
    </row>
    <row r="4014" spans="12:17" x14ac:dyDescent="0.3">
      <c r="L4014" s="25"/>
      <c r="Q4014" s="17"/>
    </row>
    <row r="4015" spans="12:17" x14ac:dyDescent="0.3">
      <c r="L4015" s="25"/>
      <c r="Q4015" s="17"/>
    </row>
    <row r="4016" spans="12:17" x14ac:dyDescent="0.3">
      <c r="L4016" s="25"/>
      <c r="Q4016" s="17"/>
    </row>
    <row r="4017" spans="12:17" x14ac:dyDescent="0.3">
      <c r="L4017" s="25"/>
      <c r="Q4017" s="17"/>
    </row>
    <row r="4018" spans="12:17" x14ac:dyDescent="0.3">
      <c r="L4018" s="25"/>
      <c r="Q4018" s="17"/>
    </row>
    <row r="4019" spans="12:17" x14ac:dyDescent="0.3">
      <c r="L4019" s="25"/>
      <c r="Q4019" s="17"/>
    </row>
    <row r="4020" spans="12:17" x14ac:dyDescent="0.3">
      <c r="L4020" s="25"/>
      <c r="Q4020" s="17"/>
    </row>
    <row r="4021" spans="12:17" x14ac:dyDescent="0.3">
      <c r="L4021" s="25"/>
      <c r="Q4021" s="17"/>
    </row>
    <row r="4022" spans="12:17" x14ac:dyDescent="0.3">
      <c r="L4022" s="25"/>
      <c r="Q4022" s="17"/>
    </row>
    <row r="4023" spans="12:17" x14ac:dyDescent="0.3">
      <c r="L4023" s="25"/>
      <c r="Q4023" s="17"/>
    </row>
    <row r="4024" spans="12:17" x14ac:dyDescent="0.3">
      <c r="L4024" s="25"/>
      <c r="Q4024" s="17"/>
    </row>
    <row r="4025" spans="12:17" x14ac:dyDescent="0.3">
      <c r="L4025" s="25"/>
      <c r="Q4025" s="17"/>
    </row>
    <row r="4026" spans="12:17" x14ac:dyDescent="0.3">
      <c r="L4026" s="25"/>
      <c r="Q4026" s="17"/>
    </row>
    <row r="4027" spans="12:17" x14ac:dyDescent="0.3">
      <c r="L4027" s="25"/>
      <c r="Q4027" s="17"/>
    </row>
    <row r="4028" spans="12:17" x14ac:dyDescent="0.3">
      <c r="L4028" s="25"/>
      <c r="Q4028" s="17"/>
    </row>
    <row r="4029" spans="12:17" x14ac:dyDescent="0.3">
      <c r="L4029" s="25"/>
      <c r="Q4029" s="17"/>
    </row>
    <row r="4030" spans="12:17" x14ac:dyDescent="0.3">
      <c r="L4030" s="25"/>
      <c r="Q4030" s="17"/>
    </row>
    <row r="4031" spans="12:17" x14ac:dyDescent="0.3">
      <c r="L4031" s="25"/>
      <c r="Q4031" s="17"/>
    </row>
    <row r="4032" spans="12:17" x14ac:dyDescent="0.3">
      <c r="L4032" s="25"/>
      <c r="Q4032" s="17"/>
    </row>
    <row r="4033" spans="12:17" x14ac:dyDescent="0.3">
      <c r="L4033" s="25"/>
      <c r="Q4033" s="17"/>
    </row>
    <row r="4034" spans="12:17" x14ac:dyDescent="0.3">
      <c r="L4034" s="25"/>
      <c r="Q4034" s="17"/>
    </row>
    <row r="4035" spans="12:17" x14ac:dyDescent="0.3">
      <c r="L4035" s="25"/>
      <c r="Q4035" s="17"/>
    </row>
    <row r="4036" spans="12:17" x14ac:dyDescent="0.3">
      <c r="L4036" s="25"/>
      <c r="Q4036" s="17"/>
    </row>
    <row r="4037" spans="12:17" x14ac:dyDescent="0.3">
      <c r="L4037" s="25"/>
      <c r="Q4037" s="17"/>
    </row>
    <row r="4038" spans="12:17" x14ac:dyDescent="0.3">
      <c r="L4038" s="25"/>
      <c r="Q4038" s="17"/>
    </row>
    <row r="4039" spans="12:17" x14ac:dyDescent="0.3">
      <c r="L4039" s="25"/>
      <c r="Q4039" s="17"/>
    </row>
    <row r="4040" spans="12:17" x14ac:dyDescent="0.3">
      <c r="L4040" s="25"/>
      <c r="Q4040" s="17"/>
    </row>
    <row r="4041" spans="12:17" x14ac:dyDescent="0.3">
      <c r="L4041" s="25"/>
      <c r="Q4041" s="17"/>
    </row>
    <row r="4042" spans="12:17" x14ac:dyDescent="0.3">
      <c r="L4042" s="25"/>
      <c r="Q4042" s="17"/>
    </row>
    <row r="4043" spans="12:17" x14ac:dyDescent="0.3">
      <c r="L4043" s="25"/>
      <c r="Q4043" s="17"/>
    </row>
    <row r="4044" spans="12:17" x14ac:dyDescent="0.3">
      <c r="L4044" s="25"/>
      <c r="Q4044" s="17"/>
    </row>
    <row r="4045" spans="12:17" x14ac:dyDescent="0.3">
      <c r="L4045" s="25"/>
      <c r="Q4045" s="17"/>
    </row>
    <row r="4046" spans="12:17" x14ac:dyDescent="0.3">
      <c r="L4046" s="25"/>
      <c r="Q4046" s="17"/>
    </row>
    <row r="4047" spans="12:17" x14ac:dyDescent="0.3">
      <c r="L4047" s="25"/>
      <c r="Q4047" s="17"/>
    </row>
    <row r="4048" spans="12:17" x14ac:dyDescent="0.3">
      <c r="L4048" s="25"/>
      <c r="Q4048" s="17"/>
    </row>
    <row r="4049" spans="12:17" x14ac:dyDescent="0.3">
      <c r="L4049" s="25"/>
      <c r="Q4049" s="17"/>
    </row>
    <row r="4050" spans="12:17" x14ac:dyDescent="0.3">
      <c r="L4050" s="25"/>
      <c r="Q4050" s="17"/>
    </row>
    <row r="4051" spans="12:17" x14ac:dyDescent="0.3">
      <c r="L4051" s="25"/>
      <c r="Q4051" s="17"/>
    </row>
    <row r="4052" spans="12:17" x14ac:dyDescent="0.3">
      <c r="L4052" s="25"/>
      <c r="Q4052" s="17"/>
    </row>
    <row r="4053" spans="12:17" x14ac:dyDescent="0.3">
      <c r="L4053" s="25"/>
      <c r="Q4053" s="17"/>
    </row>
    <row r="4054" spans="12:17" x14ac:dyDescent="0.3">
      <c r="L4054" s="25"/>
      <c r="Q4054" s="17"/>
    </row>
    <row r="4055" spans="12:17" x14ac:dyDescent="0.3">
      <c r="L4055" s="25"/>
      <c r="Q4055" s="17"/>
    </row>
    <row r="4056" spans="12:17" x14ac:dyDescent="0.3">
      <c r="L4056" s="25"/>
      <c r="Q4056" s="17"/>
    </row>
    <row r="4057" spans="12:17" x14ac:dyDescent="0.3">
      <c r="L4057" s="25"/>
      <c r="Q4057" s="17"/>
    </row>
    <row r="4058" spans="12:17" x14ac:dyDescent="0.3">
      <c r="L4058" s="25"/>
      <c r="Q4058" s="17"/>
    </row>
    <row r="4059" spans="12:17" x14ac:dyDescent="0.3">
      <c r="L4059" s="25"/>
      <c r="Q4059" s="17"/>
    </row>
    <row r="4060" spans="12:17" x14ac:dyDescent="0.3">
      <c r="L4060" s="25"/>
      <c r="Q4060" s="17"/>
    </row>
    <row r="4061" spans="12:17" x14ac:dyDescent="0.3">
      <c r="L4061" s="25"/>
      <c r="Q4061" s="17"/>
    </row>
    <row r="4062" spans="12:17" x14ac:dyDescent="0.3">
      <c r="L4062" s="25"/>
      <c r="Q4062" s="17"/>
    </row>
    <row r="4063" spans="12:17" x14ac:dyDescent="0.3">
      <c r="L4063" s="25"/>
      <c r="Q4063" s="17"/>
    </row>
    <row r="4064" spans="12:17" x14ac:dyDescent="0.3">
      <c r="L4064" s="25"/>
      <c r="Q4064" s="17"/>
    </row>
    <row r="4065" spans="12:17" x14ac:dyDescent="0.3">
      <c r="L4065" s="25"/>
      <c r="Q4065" s="17"/>
    </row>
    <row r="4066" spans="12:17" x14ac:dyDescent="0.3">
      <c r="L4066" s="25"/>
      <c r="Q4066" s="17"/>
    </row>
    <row r="4067" spans="12:17" x14ac:dyDescent="0.3">
      <c r="L4067" s="25"/>
      <c r="Q4067" s="17"/>
    </row>
    <row r="4068" spans="12:17" x14ac:dyDescent="0.3">
      <c r="L4068" s="25"/>
      <c r="Q4068" s="17"/>
    </row>
    <row r="4069" spans="12:17" x14ac:dyDescent="0.3">
      <c r="L4069" s="25"/>
      <c r="Q4069" s="17"/>
    </row>
    <row r="4070" spans="12:17" x14ac:dyDescent="0.3">
      <c r="L4070" s="25"/>
      <c r="Q4070" s="17"/>
    </row>
    <row r="4071" spans="12:17" x14ac:dyDescent="0.3">
      <c r="L4071" s="25"/>
      <c r="Q4071" s="17"/>
    </row>
    <row r="4072" spans="12:17" x14ac:dyDescent="0.3">
      <c r="L4072" s="25"/>
      <c r="Q4072" s="17"/>
    </row>
    <row r="4073" spans="12:17" x14ac:dyDescent="0.3">
      <c r="L4073" s="25"/>
      <c r="Q4073" s="17"/>
    </row>
    <row r="4074" spans="12:17" x14ac:dyDescent="0.3">
      <c r="L4074" s="25"/>
      <c r="Q4074" s="17"/>
    </row>
    <row r="4075" spans="12:17" x14ac:dyDescent="0.3">
      <c r="L4075" s="25"/>
      <c r="Q4075" s="17"/>
    </row>
    <row r="4076" spans="12:17" x14ac:dyDescent="0.3">
      <c r="L4076" s="25"/>
      <c r="Q4076" s="17"/>
    </row>
    <row r="4077" spans="12:17" x14ac:dyDescent="0.3">
      <c r="L4077" s="25"/>
      <c r="Q4077" s="17"/>
    </row>
    <row r="4078" spans="12:17" x14ac:dyDescent="0.3">
      <c r="L4078" s="25"/>
      <c r="Q4078" s="17"/>
    </row>
    <row r="4079" spans="12:17" x14ac:dyDescent="0.3">
      <c r="L4079" s="25"/>
      <c r="Q4079" s="17"/>
    </row>
    <row r="4080" spans="12:17" x14ac:dyDescent="0.3">
      <c r="L4080" s="25"/>
      <c r="Q4080" s="17"/>
    </row>
    <row r="4081" spans="12:17" x14ac:dyDescent="0.3">
      <c r="L4081" s="25"/>
      <c r="Q4081" s="17"/>
    </row>
    <row r="4082" spans="12:17" x14ac:dyDescent="0.3">
      <c r="L4082" s="25"/>
      <c r="Q4082" s="17"/>
    </row>
    <row r="4083" spans="12:17" x14ac:dyDescent="0.3">
      <c r="L4083" s="25"/>
      <c r="Q4083" s="17"/>
    </row>
    <row r="4084" spans="12:17" x14ac:dyDescent="0.3">
      <c r="L4084" s="25"/>
      <c r="Q4084" s="17"/>
    </row>
    <row r="4085" spans="12:17" x14ac:dyDescent="0.3">
      <c r="L4085" s="25"/>
      <c r="Q4085" s="17"/>
    </row>
    <row r="4086" spans="12:17" x14ac:dyDescent="0.3">
      <c r="L4086" s="25"/>
      <c r="Q4086" s="17"/>
    </row>
    <row r="4087" spans="12:17" x14ac:dyDescent="0.3">
      <c r="L4087" s="25"/>
      <c r="Q4087" s="17"/>
    </row>
    <row r="4088" spans="12:17" x14ac:dyDescent="0.3">
      <c r="L4088" s="25"/>
      <c r="Q4088" s="17"/>
    </row>
    <row r="4089" spans="12:17" x14ac:dyDescent="0.3">
      <c r="L4089" s="25"/>
      <c r="Q4089" s="17"/>
    </row>
    <row r="4090" spans="12:17" x14ac:dyDescent="0.3">
      <c r="L4090" s="25"/>
      <c r="Q4090" s="17"/>
    </row>
    <row r="4091" spans="12:17" x14ac:dyDescent="0.3">
      <c r="L4091" s="25"/>
      <c r="Q4091" s="17"/>
    </row>
    <row r="4092" spans="12:17" x14ac:dyDescent="0.3">
      <c r="L4092" s="25"/>
      <c r="Q4092" s="17"/>
    </row>
    <row r="4093" spans="12:17" x14ac:dyDescent="0.3">
      <c r="L4093" s="25"/>
      <c r="Q4093" s="17"/>
    </row>
    <row r="4094" spans="12:17" x14ac:dyDescent="0.3">
      <c r="L4094" s="25"/>
      <c r="Q4094" s="17"/>
    </row>
    <row r="4095" spans="12:17" x14ac:dyDescent="0.3">
      <c r="L4095" s="25"/>
      <c r="Q4095" s="17"/>
    </row>
    <row r="4096" spans="12:17" x14ac:dyDescent="0.3">
      <c r="L4096" s="25"/>
      <c r="Q4096" s="17"/>
    </row>
    <row r="4097" spans="12:17" x14ac:dyDescent="0.3">
      <c r="L4097" s="25"/>
      <c r="Q4097" s="17"/>
    </row>
    <row r="4098" spans="12:17" x14ac:dyDescent="0.3">
      <c r="L4098" s="25"/>
      <c r="Q4098" s="17"/>
    </row>
    <row r="4099" spans="12:17" x14ac:dyDescent="0.3">
      <c r="L4099" s="25"/>
      <c r="Q4099" s="17"/>
    </row>
    <row r="4100" spans="12:17" x14ac:dyDescent="0.3">
      <c r="L4100" s="25"/>
      <c r="Q4100" s="17"/>
    </row>
    <row r="4101" spans="12:17" x14ac:dyDescent="0.3">
      <c r="L4101" s="25"/>
      <c r="Q4101" s="17"/>
    </row>
    <row r="4102" spans="12:17" x14ac:dyDescent="0.3">
      <c r="L4102" s="25"/>
      <c r="Q4102" s="17"/>
    </row>
    <row r="4103" spans="12:17" x14ac:dyDescent="0.3">
      <c r="L4103" s="25"/>
      <c r="Q4103" s="17"/>
    </row>
    <row r="4104" spans="12:17" x14ac:dyDescent="0.3">
      <c r="L4104" s="25"/>
      <c r="Q4104" s="17"/>
    </row>
    <row r="4105" spans="12:17" x14ac:dyDescent="0.3">
      <c r="L4105" s="25"/>
      <c r="Q4105" s="17"/>
    </row>
    <row r="4106" spans="12:17" x14ac:dyDescent="0.3">
      <c r="L4106" s="25"/>
      <c r="Q4106" s="17"/>
    </row>
    <row r="4107" spans="12:17" x14ac:dyDescent="0.3">
      <c r="L4107" s="25"/>
      <c r="Q4107" s="17"/>
    </row>
    <row r="4108" spans="12:17" x14ac:dyDescent="0.3">
      <c r="L4108" s="25"/>
      <c r="Q4108" s="17"/>
    </row>
    <row r="4109" spans="12:17" x14ac:dyDescent="0.3">
      <c r="L4109" s="25"/>
      <c r="Q4109" s="17"/>
    </row>
    <row r="4110" spans="12:17" x14ac:dyDescent="0.3">
      <c r="L4110" s="25"/>
      <c r="Q4110" s="17"/>
    </row>
    <row r="4111" spans="12:17" x14ac:dyDescent="0.3">
      <c r="L4111" s="25"/>
      <c r="Q4111" s="17"/>
    </row>
    <row r="4112" spans="12:17" x14ac:dyDescent="0.3">
      <c r="L4112" s="25"/>
      <c r="Q4112" s="17"/>
    </row>
    <row r="4113" spans="12:17" x14ac:dyDescent="0.3">
      <c r="L4113" s="25"/>
      <c r="Q4113" s="17"/>
    </row>
    <row r="4114" spans="12:17" x14ac:dyDescent="0.3">
      <c r="L4114" s="25"/>
      <c r="Q4114" s="17"/>
    </row>
    <row r="4115" spans="12:17" x14ac:dyDescent="0.3">
      <c r="L4115" s="25"/>
      <c r="Q4115" s="17"/>
    </row>
    <row r="4116" spans="12:17" x14ac:dyDescent="0.3">
      <c r="L4116" s="25"/>
      <c r="Q4116" s="17"/>
    </row>
    <row r="4117" spans="12:17" x14ac:dyDescent="0.3">
      <c r="L4117" s="25"/>
      <c r="Q4117" s="17"/>
    </row>
    <row r="4118" spans="12:17" x14ac:dyDescent="0.3">
      <c r="L4118" s="25"/>
      <c r="Q4118" s="17"/>
    </row>
    <row r="4119" spans="12:17" x14ac:dyDescent="0.3">
      <c r="L4119" s="25"/>
      <c r="Q4119" s="17"/>
    </row>
    <row r="4120" spans="12:17" x14ac:dyDescent="0.3">
      <c r="L4120" s="25"/>
      <c r="Q4120" s="17"/>
    </row>
    <row r="4121" spans="12:17" x14ac:dyDescent="0.3">
      <c r="L4121" s="25"/>
      <c r="Q4121" s="17"/>
    </row>
    <row r="4122" spans="12:17" x14ac:dyDescent="0.3">
      <c r="L4122" s="25"/>
      <c r="Q4122" s="17"/>
    </row>
    <row r="4123" spans="12:17" x14ac:dyDescent="0.3">
      <c r="L4123" s="25"/>
      <c r="Q4123" s="17"/>
    </row>
    <row r="4124" spans="12:17" x14ac:dyDescent="0.3">
      <c r="L4124" s="25"/>
      <c r="Q4124" s="17"/>
    </row>
    <row r="4125" spans="12:17" x14ac:dyDescent="0.3">
      <c r="L4125" s="25"/>
      <c r="Q4125" s="17"/>
    </row>
    <row r="4126" spans="12:17" x14ac:dyDescent="0.3">
      <c r="L4126" s="25"/>
      <c r="Q4126" s="17"/>
    </row>
    <row r="4127" spans="12:17" x14ac:dyDescent="0.3">
      <c r="L4127" s="25"/>
      <c r="Q4127" s="17"/>
    </row>
    <row r="4128" spans="12:17" x14ac:dyDescent="0.3">
      <c r="L4128" s="25"/>
      <c r="Q4128" s="17"/>
    </row>
    <row r="4129" spans="12:17" x14ac:dyDescent="0.3">
      <c r="L4129" s="25"/>
      <c r="Q4129" s="17"/>
    </row>
    <row r="4130" spans="12:17" x14ac:dyDescent="0.3">
      <c r="L4130" s="25"/>
      <c r="Q4130" s="17"/>
    </row>
    <row r="4131" spans="12:17" x14ac:dyDescent="0.3">
      <c r="L4131" s="25"/>
      <c r="Q4131" s="17"/>
    </row>
    <row r="4132" spans="12:17" x14ac:dyDescent="0.3">
      <c r="L4132" s="25"/>
      <c r="Q4132" s="17"/>
    </row>
    <row r="4133" spans="12:17" x14ac:dyDescent="0.3">
      <c r="L4133" s="25"/>
      <c r="Q4133" s="17"/>
    </row>
    <row r="4134" spans="12:17" x14ac:dyDescent="0.3">
      <c r="L4134" s="25"/>
      <c r="Q4134" s="17"/>
    </row>
    <row r="4135" spans="12:17" x14ac:dyDescent="0.3">
      <c r="L4135" s="25"/>
      <c r="Q4135" s="17"/>
    </row>
    <row r="4136" spans="12:17" x14ac:dyDescent="0.3">
      <c r="L4136" s="25"/>
      <c r="Q4136" s="17"/>
    </row>
    <row r="4137" spans="12:17" x14ac:dyDescent="0.3">
      <c r="L4137" s="25"/>
      <c r="Q4137" s="17"/>
    </row>
    <row r="4138" spans="12:17" x14ac:dyDescent="0.3">
      <c r="L4138" s="25"/>
      <c r="Q4138" s="17"/>
    </row>
    <row r="4139" spans="12:17" x14ac:dyDescent="0.3">
      <c r="L4139" s="25"/>
      <c r="Q4139" s="17"/>
    </row>
    <row r="4140" spans="12:17" x14ac:dyDescent="0.3">
      <c r="L4140" s="25"/>
      <c r="Q4140" s="17"/>
    </row>
    <row r="4141" spans="12:17" x14ac:dyDescent="0.3">
      <c r="L4141" s="25"/>
      <c r="Q4141" s="17"/>
    </row>
    <row r="4142" spans="12:17" x14ac:dyDescent="0.3">
      <c r="L4142" s="25"/>
      <c r="Q4142" s="17"/>
    </row>
    <row r="4143" spans="12:17" x14ac:dyDescent="0.3">
      <c r="L4143" s="25"/>
      <c r="Q4143" s="17"/>
    </row>
    <row r="4144" spans="12:17" x14ac:dyDescent="0.3">
      <c r="L4144" s="25"/>
      <c r="Q4144" s="17"/>
    </row>
    <row r="4145" spans="12:17" x14ac:dyDescent="0.3">
      <c r="L4145" s="25"/>
      <c r="Q4145" s="17"/>
    </row>
    <row r="4146" spans="12:17" x14ac:dyDescent="0.3">
      <c r="L4146" s="25"/>
      <c r="Q4146" s="17"/>
    </row>
    <row r="4147" spans="12:17" x14ac:dyDescent="0.3">
      <c r="L4147" s="25"/>
      <c r="Q4147" s="17"/>
    </row>
    <row r="4148" spans="12:17" x14ac:dyDescent="0.3">
      <c r="L4148" s="25"/>
      <c r="Q4148" s="17"/>
    </row>
    <row r="4149" spans="12:17" x14ac:dyDescent="0.3">
      <c r="L4149" s="25"/>
      <c r="Q4149" s="17"/>
    </row>
    <row r="4150" spans="12:17" x14ac:dyDescent="0.3">
      <c r="L4150" s="25"/>
      <c r="Q4150" s="17"/>
    </row>
    <row r="4151" spans="12:17" x14ac:dyDescent="0.3">
      <c r="L4151" s="25"/>
      <c r="Q4151" s="17"/>
    </row>
    <row r="4152" spans="12:17" x14ac:dyDescent="0.3">
      <c r="L4152" s="25"/>
      <c r="Q4152" s="17"/>
    </row>
    <row r="4153" spans="12:17" x14ac:dyDescent="0.3">
      <c r="L4153" s="25"/>
      <c r="Q4153" s="17"/>
    </row>
    <row r="4154" spans="12:17" x14ac:dyDescent="0.3">
      <c r="L4154" s="25"/>
      <c r="Q4154" s="17"/>
    </row>
    <row r="4155" spans="12:17" x14ac:dyDescent="0.3">
      <c r="L4155" s="25"/>
      <c r="Q4155" s="17"/>
    </row>
    <row r="4156" spans="12:17" x14ac:dyDescent="0.3">
      <c r="L4156" s="25"/>
      <c r="Q4156" s="17"/>
    </row>
    <row r="4157" spans="12:17" x14ac:dyDescent="0.3">
      <c r="L4157" s="25"/>
      <c r="Q4157" s="17"/>
    </row>
    <row r="4158" spans="12:17" x14ac:dyDescent="0.3">
      <c r="L4158" s="25"/>
      <c r="Q4158" s="17"/>
    </row>
    <row r="4159" spans="12:17" x14ac:dyDescent="0.3">
      <c r="L4159" s="25"/>
      <c r="Q4159" s="17"/>
    </row>
    <row r="4160" spans="12:17" x14ac:dyDescent="0.3">
      <c r="L4160" s="25"/>
      <c r="Q4160" s="17"/>
    </row>
    <row r="4161" spans="12:17" x14ac:dyDescent="0.3">
      <c r="L4161" s="25"/>
      <c r="Q4161" s="17"/>
    </row>
    <row r="4162" spans="12:17" x14ac:dyDescent="0.3">
      <c r="L4162" s="25"/>
      <c r="Q4162" s="17"/>
    </row>
    <row r="4163" spans="12:17" x14ac:dyDescent="0.3">
      <c r="L4163" s="25"/>
      <c r="Q4163" s="17"/>
    </row>
    <row r="4164" spans="12:17" x14ac:dyDescent="0.3">
      <c r="L4164" s="25"/>
      <c r="Q4164" s="17"/>
    </row>
    <row r="4165" spans="12:17" x14ac:dyDescent="0.3">
      <c r="L4165" s="25"/>
      <c r="Q4165" s="17"/>
    </row>
    <row r="4166" spans="12:17" x14ac:dyDescent="0.3">
      <c r="L4166" s="25"/>
      <c r="Q4166" s="17"/>
    </row>
    <row r="4167" spans="12:17" x14ac:dyDescent="0.3">
      <c r="L4167" s="25"/>
      <c r="Q4167" s="17"/>
    </row>
    <row r="4168" spans="12:17" x14ac:dyDescent="0.3">
      <c r="L4168" s="25"/>
      <c r="Q4168" s="17"/>
    </row>
    <row r="4169" spans="12:17" x14ac:dyDescent="0.3">
      <c r="L4169" s="25"/>
      <c r="Q4169" s="17"/>
    </row>
    <row r="4170" spans="12:17" x14ac:dyDescent="0.3">
      <c r="L4170" s="25"/>
      <c r="Q4170" s="17"/>
    </row>
    <row r="4171" spans="12:17" x14ac:dyDescent="0.3">
      <c r="L4171" s="25"/>
      <c r="Q4171" s="17"/>
    </row>
    <row r="4172" spans="12:17" x14ac:dyDescent="0.3">
      <c r="L4172" s="25"/>
      <c r="Q4172" s="17"/>
    </row>
    <row r="4173" spans="12:17" x14ac:dyDescent="0.3">
      <c r="L4173" s="25"/>
      <c r="Q4173" s="17"/>
    </row>
    <row r="4174" spans="12:17" x14ac:dyDescent="0.3">
      <c r="L4174" s="25"/>
      <c r="Q4174" s="17"/>
    </row>
    <row r="4175" spans="12:17" x14ac:dyDescent="0.3">
      <c r="L4175" s="25"/>
      <c r="Q4175" s="17"/>
    </row>
    <row r="4176" spans="12:17" x14ac:dyDescent="0.3">
      <c r="L4176" s="25"/>
      <c r="Q4176" s="17"/>
    </row>
    <row r="4177" spans="12:17" x14ac:dyDescent="0.3">
      <c r="L4177" s="25"/>
      <c r="Q4177" s="17"/>
    </row>
    <row r="4178" spans="12:17" x14ac:dyDescent="0.3">
      <c r="L4178" s="25"/>
      <c r="Q4178" s="17"/>
    </row>
    <row r="4179" spans="12:17" x14ac:dyDescent="0.3">
      <c r="L4179" s="25"/>
      <c r="Q4179" s="17"/>
    </row>
    <row r="4180" spans="12:17" x14ac:dyDescent="0.3">
      <c r="L4180" s="25"/>
      <c r="Q4180" s="17"/>
    </row>
    <row r="4181" spans="12:17" x14ac:dyDescent="0.3">
      <c r="L4181" s="25"/>
      <c r="Q4181" s="17"/>
    </row>
    <row r="4182" spans="12:17" x14ac:dyDescent="0.3">
      <c r="L4182" s="25"/>
      <c r="Q4182" s="17"/>
    </row>
    <row r="4183" spans="12:17" x14ac:dyDescent="0.3">
      <c r="L4183" s="25"/>
      <c r="Q4183" s="17"/>
    </row>
    <row r="4184" spans="12:17" x14ac:dyDescent="0.3">
      <c r="L4184" s="25"/>
      <c r="Q4184" s="17"/>
    </row>
    <row r="4185" spans="12:17" x14ac:dyDescent="0.3">
      <c r="L4185" s="25"/>
      <c r="Q4185" s="17"/>
    </row>
    <row r="4186" spans="12:17" x14ac:dyDescent="0.3">
      <c r="L4186" s="25"/>
      <c r="Q4186" s="17"/>
    </row>
    <row r="4187" spans="12:17" x14ac:dyDescent="0.3">
      <c r="L4187" s="25"/>
      <c r="Q4187" s="17"/>
    </row>
    <row r="4188" spans="12:17" x14ac:dyDescent="0.3">
      <c r="L4188" s="25"/>
      <c r="Q4188" s="17"/>
    </row>
    <row r="4189" spans="12:17" x14ac:dyDescent="0.3">
      <c r="L4189" s="25"/>
      <c r="Q4189" s="17"/>
    </row>
    <row r="4190" spans="12:17" x14ac:dyDescent="0.3">
      <c r="L4190" s="25"/>
      <c r="Q4190" s="17"/>
    </row>
    <row r="4191" spans="12:17" x14ac:dyDescent="0.3">
      <c r="L4191" s="25"/>
      <c r="Q4191" s="17"/>
    </row>
    <row r="4192" spans="12:17" x14ac:dyDescent="0.3">
      <c r="L4192" s="25"/>
      <c r="Q4192" s="17"/>
    </row>
    <row r="4193" spans="12:17" x14ac:dyDescent="0.3">
      <c r="L4193" s="25"/>
      <c r="Q4193" s="17"/>
    </row>
    <row r="4194" spans="12:17" x14ac:dyDescent="0.3">
      <c r="L4194" s="25"/>
      <c r="Q4194" s="17"/>
    </row>
    <row r="4195" spans="12:17" x14ac:dyDescent="0.3">
      <c r="L4195" s="25"/>
      <c r="Q4195" s="17"/>
    </row>
    <row r="4196" spans="12:17" x14ac:dyDescent="0.3">
      <c r="L4196" s="25"/>
      <c r="Q4196" s="17"/>
    </row>
    <row r="4197" spans="12:17" x14ac:dyDescent="0.3">
      <c r="L4197" s="25"/>
      <c r="Q4197" s="17"/>
    </row>
    <row r="4198" spans="12:17" x14ac:dyDescent="0.3">
      <c r="L4198" s="25"/>
      <c r="Q4198" s="17"/>
    </row>
    <row r="4199" spans="12:17" x14ac:dyDescent="0.3">
      <c r="L4199" s="25"/>
      <c r="Q4199" s="17"/>
    </row>
    <row r="4200" spans="12:17" x14ac:dyDescent="0.3">
      <c r="L4200" s="25"/>
      <c r="Q4200" s="17"/>
    </row>
    <row r="4201" spans="12:17" x14ac:dyDescent="0.3">
      <c r="L4201" s="25"/>
      <c r="Q4201" s="17"/>
    </row>
    <row r="4202" spans="12:17" x14ac:dyDescent="0.3">
      <c r="L4202" s="25"/>
      <c r="Q4202" s="17"/>
    </row>
    <row r="4203" spans="12:17" x14ac:dyDescent="0.3">
      <c r="L4203" s="25"/>
      <c r="Q4203" s="17"/>
    </row>
    <row r="4204" spans="12:17" x14ac:dyDescent="0.3">
      <c r="L4204" s="25"/>
      <c r="Q4204" s="17"/>
    </row>
    <row r="4205" spans="12:17" x14ac:dyDescent="0.3">
      <c r="L4205" s="25"/>
      <c r="Q4205" s="17"/>
    </row>
    <row r="4206" spans="12:17" x14ac:dyDescent="0.3">
      <c r="L4206" s="25"/>
      <c r="Q4206" s="17"/>
    </row>
    <row r="4207" spans="12:17" x14ac:dyDescent="0.3">
      <c r="L4207" s="25"/>
      <c r="Q4207" s="17"/>
    </row>
    <row r="4208" spans="12:17" x14ac:dyDescent="0.3">
      <c r="L4208" s="25"/>
      <c r="Q4208" s="17"/>
    </row>
    <row r="4209" spans="12:17" x14ac:dyDescent="0.3">
      <c r="L4209" s="25"/>
      <c r="Q4209" s="17"/>
    </row>
    <row r="4210" spans="12:17" x14ac:dyDescent="0.3">
      <c r="L4210" s="25"/>
      <c r="Q4210" s="17"/>
    </row>
    <row r="4211" spans="12:17" x14ac:dyDescent="0.3">
      <c r="L4211" s="25"/>
      <c r="Q4211" s="17"/>
    </row>
    <row r="4212" spans="12:17" x14ac:dyDescent="0.3">
      <c r="L4212" s="25"/>
      <c r="Q4212" s="17"/>
    </row>
    <row r="4213" spans="12:17" x14ac:dyDescent="0.3">
      <c r="L4213" s="25"/>
      <c r="Q4213" s="17"/>
    </row>
    <row r="4214" spans="12:17" x14ac:dyDescent="0.3">
      <c r="L4214" s="25"/>
      <c r="Q4214" s="17"/>
    </row>
    <row r="4215" spans="12:17" x14ac:dyDescent="0.3">
      <c r="L4215" s="25"/>
      <c r="Q4215" s="17"/>
    </row>
    <row r="4216" spans="12:17" x14ac:dyDescent="0.3">
      <c r="L4216" s="25"/>
      <c r="Q4216" s="17"/>
    </row>
    <row r="4217" spans="12:17" x14ac:dyDescent="0.3">
      <c r="L4217" s="25"/>
      <c r="Q4217" s="17"/>
    </row>
    <row r="4218" spans="12:17" x14ac:dyDescent="0.3">
      <c r="L4218" s="25"/>
      <c r="Q4218" s="17"/>
    </row>
    <row r="4219" spans="12:17" x14ac:dyDescent="0.3">
      <c r="L4219" s="25"/>
      <c r="Q4219" s="17"/>
    </row>
    <row r="4220" spans="12:17" x14ac:dyDescent="0.3">
      <c r="L4220" s="25"/>
      <c r="Q4220" s="17"/>
    </row>
    <row r="4221" spans="12:17" x14ac:dyDescent="0.3">
      <c r="L4221" s="25"/>
      <c r="Q4221" s="17"/>
    </row>
    <row r="4222" spans="12:17" x14ac:dyDescent="0.3">
      <c r="L4222" s="25"/>
      <c r="Q4222" s="17"/>
    </row>
    <row r="4223" spans="12:17" x14ac:dyDescent="0.3">
      <c r="L4223" s="25"/>
      <c r="Q4223" s="17"/>
    </row>
    <row r="4224" spans="12:17" x14ac:dyDescent="0.3">
      <c r="L4224" s="25"/>
      <c r="Q4224" s="17"/>
    </row>
    <row r="4225" spans="12:17" x14ac:dyDescent="0.3">
      <c r="L4225" s="25"/>
      <c r="Q4225" s="17"/>
    </row>
    <row r="4226" spans="12:17" x14ac:dyDescent="0.3">
      <c r="L4226" s="25"/>
      <c r="Q4226" s="17"/>
    </row>
    <row r="4227" spans="12:17" x14ac:dyDescent="0.3">
      <c r="L4227" s="25"/>
      <c r="Q4227" s="17"/>
    </row>
    <row r="4228" spans="12:17" x14ac:dyDescent="0.3">
      <c r="L4228" s="25"/>
      <c r="Q4228" s="17"/>
    </row>
    <row r="4229" spans="12:17" x14ac:dyDescent="0.3">
      <c r="L4229" s="25"/>
      <c r="Q4229" s="17"/>
    </row>
    <row r="4230" spans="12:17" x14ac:dyDescent="0.3">
      <c r="L4230" s="25"/>
      <c r="Q4230" s="17"/>
    </row>
    <row r="4231" spans="12:17" x14ac:dyDescent="0.3">
      <c r="L4231" s="25"/>
      <c r="Q4231" s="17"/>
    </row>
    <row r="4232" spans="12:17" x14ac:dyDescent="0.3">
      <c r="L4232" s="25"/>
      <c r="Q4232" s="17"/>
    </row>
    <row r="4233" spans="12:17" x14ac:dyDescent="0.3">
      <c r="L4233" s="25"/>
      <c r="Q4233" s="17"/>
    </row>
    <row r="4234" spans="12:17" x14ac:dyDescent="0.3">
      <c r="L4234" s="25"/>
      <c r="Q4234" s="17"/>
    </row>
    <row r="4235" spans="12:17" x14ac:dyDescent="0.3">
      <c r="L4235" s="25"/>
      <c r="Q4235" s="17"/>
    </row>
    <row r="4236" spans="12:17" x14ac:dyDescent="0.3">
      <c r="L4236" s="25"/>
      <c r="Q4236" s="17"/>
    </row>
    <row r="4237" spans="12:17" x14ac:dyDescent="0.3">
      <c r="L4237" s="25"/>
      <c r="Q4237" s="17"/>
    </row>
    <row r="4238" spans="12:17" x14ac:dyDescent="0.3">
      <c r="L4238" s="25"/>
      <c r="Q4238" s="17"/>
    </row>
    <row r="4239" spans="12:17" x14ac:dyDescent="0.3">
      <c r="L4239" s="25"/>
      <c r="Q4239" s="17"/>
    </row>
    <row r="4240" spans="12:17" x14ac:dyDescent="0.3">
      <c r="L4240" s="25"/>
      <c r="Q4240" s="17"/>
    </row>
    <row r="4241" spans="12:17" x14ac:dyDescent="0.3">
      <c r="L4241" s="25"/>
      <c r="Q4241" s="17"/>
    </row>
    <row r="4242" spans="12:17" x14ac:dyDescent="0.3">
      <c r="L4242" s="25"/>
      <c r="Q4242" s="17"/>
    </row>
    <row r="4243" spans="12:17" x14ac:dyDescent="0.3">
      <c r="L4243" s="25"/>
      <c r="Q4243" s="17"/>
    </row>
    <row r="4244" spans="12:17" x14ac:dyDescent="0.3">
      <c r="L4244" s="25"/>
      <c r="Q4244" s="17"/>
    </row>
    <row r="4245" spans="12:17" x14ac:dyDescent="0.3">
      <c r="L4245" s="25"/>
      <c r="Q4245" s="17"/>
    </row>
    <row r="4246" spans="12:17" x14ac:dyDescent="0.3">
      <c r="L4246" s="25"/>
      <c r="Q4246" s="17"/>
    </row>
    <row r="4247" spans="12:17" x14ac:dyDescent="0.3">
      <c r="L4247" s="25"/>
      <c r="Q4247" s="17"/>
    </row>
    <row r="4248" spans="12:17" x14ac:dyDescent="0.3">
      <c r="L4248" s="25"/>
      <c r="Q4248" s="17"/>
    </row>
    <row r="4249" spans="12:17" x14ac:dyDescent="0.3">
      <c r="L4249" s="25"/>
      <c r="Q4249" s="17"/>
    </row>
    <row r="4250" spans="12:17" x14ac:dyDescent="0.3">
      <c r="L4250" s="25"/>
      <c r="Q4250" s="17"/>
    </row>
    <row r="4251" spans="12:17" x14ac:dyDescent="0.3">
      <c r="L4251" s="25"/>
      <c r="Q4251" s="17"/>
    </row>
    <row r="4252" spans="12:17" x14ac:dyDescent="0.3">
      <c r="L4252" s="25"/>
      <c r="Q4252" s="17"/>
    </row>
    <row r="4253" spans="12:17" x14ac:dyDescent="0.3">
      <c r="L4253" s="25"/>
      <c r="Q4253" s="17"/>
    </row>
    <row r="4254" spans="12:17" x14ac:dyDescent="0.3">
      <c r="L4254" s="25"/>
      <c r="Q4254" s="17"/>
    </row>
    <row r="4255" spans="12:17" x14ac:dyDescent="0.3">
      <c r="L4255" s="25"/>
      <c r="Q4255" s="17"/>
    </row>
    <row r="4256" spans="12:17" x14ac:dyDescent="0.3">
      <c r="L4256" s="25"/>
      <c r="Q4256" s="17"/>
    </row>
    <row r="4257" spans="12:17" x14ac:dyDescent="0.3">
      <c r="L4257" s="25"/>
      <c r="Q4257" s="17"/>
    </row>
    <row r="4258" spans="12:17" x14ac:dyDescent="0.3">
      <c r="L4258" s="25"/>
      <c r="Q4258" s="17"/>
    </row>
    <row r="4259" spans="12:17" x14ac:dyDescent="0.3">
      <c r="L4259" s="25"/>
      <c r="Q4259" s="17"/>
    </row>
    <row r="4260" spans="12:17" x14ac:dyDescent="0.3">
      <c r="L4260" s="25"/>
      <c r="Q4260" s="17"/>
    </row>
    <row r="4261" spans="12:17" x14ac:dyDescent="0.3">
      <c r="L4261" s="25"/>
      <c r="Q4261" s="17"/>
    </row>
    <row r="4262" spans="12:17" x14ac:dyDescent="0.3">
      <c r="L4262" s="25"/>
      <c r="Q4262" s="17"/>
    </row>
    <row r="4263" spans="12:17" x14ac:dyDescent="0.3">
      <c r="L4263" s="25"/>
      <c r="Q4263" s="17"/>
    </row>
    <row r="4264" spans="12:17" x14ac:dyDescent="0.3">
      <c r="L4264" s="25"/>
      <c r="Q4264" s="17"/>
    </row>
    <row r="4265" spans="12:17" x14ac:dyDescent="0.3">
      <c r="L4265" s="25"/>
      <c r="Q4265" s="17"/>
    </row>
    <row r="4266" spans="12:17" x14ac:dyDescent="0.3">
      <c r="L4266" s="25"/>
      <c r="Q4266" s="17"/>
    </row>
    <row r="4267" spans="12:17" x14ac:dyDescent="0.3">
      <c r="L4267" s="25"/>
      <c r="Q4267" s="17"/>
    </row>
    <row r="4268" spans="12:17" x14ac:dyDescent="0.3">
      <c r="L4268" s="25"/>
      <c r="Q4268" s="17"/>
    </row>
    <row r="4269" spans="12:17" x14ac:dyDescent="0.3">
      <c r="L4269" s="25"/>
      <c r="Q4269" s="17"/>
    </row>
    <row r="4270" spans="12:17" x14ac:dyDescent="0.3">
      <c r="L4270" s="25"/>
      <c r="Q4270" s="17"/>
    </row>
    <row r="4271" spans="12:17" x14ac:dyDescent="0.3">
      <c r="L4271" s="25"/>
      <c r="Q4271" s="17"/>
    </row>
    <row r="4272" spans="12:17" x14ac:dyDescent="0.3">
      <c r="L4272" s="25"/>
      <c r="Q4272" s="17"/>
    </row>
    <row r="4273" spans="12:17" x14ac:dyDescent="0.3">
      <c r="L4273" s="25"/>
      <c r="Q4273" s="17"/>
    </row>
    <row r="4274" spans="12:17" x14ac:dyDescent="0.3">
      <c r="L4274" s="25"/>
      <c r="Q4274" s="17"/>
    </row>
    <row r="4275" spans="12:17" x14ac:dyDescent="0.3">
      <c r="L4275" s="25"/>
      <c r="Q4275" s="17"/>
    </row>
    <row r="4276" spans="12:17" x14ac:dyDescent="0.3">
      <c r="L4276" s="25"/>
      <c r="Q4276" s="17"/>
    </row>
    <row r="4277" spans="12:17" x14ac:dyDescent="0.3">
      <c r="L4277" s="25"/>
      <c r="Q4277" s="17"/>
    </row>
    <row r="4278" spans="12:17" x14ac:dyDescent="0.3">
      <c r="L4278" s="25"/>
      <c r="Q4278" s="17"/>
    </row>
    <row r="4279" spans="12:17" x14ac:dyDescent="0.3">
      <c r="L4279" s="25"/>
      <c r="Q4279" s="17"/>
    </row>
    <row r="4280" spans="12:17" x14ac:dyDescent="0.3">
      <c r="L4280" s="25"/>
      <c r="Q4280" s="17"/>
    </row>
    <row r="4281" spans="12:17" x14ac:dyDescent="0.3">
      <c r="L4281" s="25"/>
      <c r="Q4281" s="17"/>
    </row>
    <row r="4282" spans="12:17" x14ac:dyDescent="0.3">
      <c r="L4282" s="25"/>
      <c r="Q4282" s="17"/>
    </row>
    <row r="4283" spans="12:17" x14ac:dyDescent="0.3">
      <c r="L4283" s="25"/>
      <c r="Q4283" s="17"/>
    </row>
    <row r="4284" spans="12:17" x14ac:dyDescent="0.3">
      <c r="L4284" s="25"/>
      <c r="Q4284" s="17"/>
    </row>
    <row r="4285" spans="12:17" x14ac:dyDescent="0.3">
      <c r="L4285" s="25"/>
      <c r="Q4285" s="17"/>
    </row>
    <row r="4286" spans="12:17" x14ac:dyDescent="0.3">
      <c r="L4286" s="25"/>
      <c r="Q4286" s="17"/>
    </row>
    <row r="4287" spans="12:17" x14ac:dyDescent="0.3">
      <c r="L4287" s="25"/>
      <c r="Q4287" s="17"/>
    </row>
    <row r="4288" spans="12:17" x14ac:dyDescent="0.3">
      <c r="L4288" s="25"/>
      <c r="Q4288" s="17"/>
    </row>
    <row r="4289" spans="12:17" x14ac:dyDescent="0.3">
      <c r="L4289" s="25"/>
      <c r="Q4289" s="17"/>
    </row>
    <row r="4290" spans="12:17" x14ac:dyDescent="0.3">
      <c r="L4290" s="25"/>
      <c r="Q4290" s="17"/>
    </row>
    <row r="4291" spans="12:17" x14ac:dyDescent="0.3">
      <c r="L4291" s="25"/>
      <c r="Q4291" s="17"/>
    </row>
    <row r="4292" spans="12:17" x14ac:dyDescent="0.3">
      <c r="L4292" s="25"/>
      <c r="Q4292" s="17"/>
    </row>
    <row r="4293" spans="12:17" x14ac:dyDescent="0.3">
      <c r="L4293" s="25"/>
      <c r="Q4293" s="17"/>
    </row>
    <row r="4294" spans="12:17" x14ac:dyDescent="0.3">
      <c r="L4294" s="25"/>
      <c r="Q4294" s="17"/>
    </row>
    <row r="4295" spans="12:17" x14ac:dyDescent="0.3">
      <c r="L4295" s="25"/>
      <c r="Q4295" s="17"/>
    </row>
    <row r="4296" spans="12:17" x14ac:dyDescent="0.3">
      <c r="L4296" s="25"/>
      <c r="Q4296" s="17"/>
    </row>
    <row r="4297" spans="12:17" x14ac:dyDescent="0.3">
      <c r="L4297" s="25"/>
      <c r="Q4297" s="17"/>
    </row>
    <row r="4298" spans="12:17" x14ac:dyDescent="0.3">
      <c r="L4298" s="25"/>
      <c r="Q4298" s="17"/>
    </row>
    <row r="4299" spans="12:17" x14ac:dyDescent="0.3">
      <c r="L4299" s="25"/>
      <c r="Q4299" s="17"/>
    </row>
    <row r="4300" spans="12:17" x14ac:dyDescent="0.3">
      <c r="L4300" s="25"/>
      <c r="Q4300" s="17"/>
    </row>
    <row r="4301" spans="12:17" x14ac:dyDescent="0.3">
      <c r="L4301" s="25"/>
      <c r="Q4301" s="17"/>
    </row>
    <row r="4302" spans="12:17" x14ac:dyDescent="0.3">
      <c r="L4302" s="25"/>
      <c r="Q4302" s="17"/>
    </row>
    <row r="4303" spans="12:17" x14ac:dyDescent="0.3">
      <c r="L4303" s="25"/>
      <c r="Q4303" s="17"/>
    </row>
    <row r="4304" spans="12:17" x14ac:dyDescent="0.3">
      <c r="L4304" s="25"/>
      <c r="Q4304" s="17"/>
    </row>
    <row r="4305" spans="12:17" x14ac:dyDescent="0.3">
      <c r="L4305" s="25"/>
      <c r="Q4305" s="17"/>
    </row>
    <row r="4306" spans="12:17" x14ac:dyDescent="0.3">
      <c r="L4306" s="25"/>
      <c r="Q4306" s="17"/>
    </row>
    <row r="4307" spans="12:17" x14ac:dyDescent="0.3">
      <c r="L4307" s="25"/>
      <c r="Q4307" s="17"/>
    </row>
    <row r="4308" spans="12:17" x14ac:dyDescent="0.3">
      <c r="L4308" s="25"/>
      <c r="Q4308" s="17"/>
    </row>
    <row r="4309" spans="12:17" x14ac:dyDescent="0.3">
      <c r="L4309" s="25"/>
      <c r="Q4309" s="17"/>
    </row>
    <row r="4310" spans="12:17" x14ac:dyDescent="0.3">
      <c r="L4310" s="25"/>
      <c r="Q4310" s="17"/>
    </row>
    <row r="4311" spans="12:17" x14ac:dyDescent="0.3">
      <c r="L4311" s="25"/>
      <c r="Q4311" s="17"/>
    </row>
    <row r="4312" spans="12:17" x14ac:dyDescent="0.3">
      <c r="L4312" s="25"/>
      <c r="Q4312" s="17"/>
    </row>
    <row r="4313" spans="12:17" x14ac:dyDescent="0.3">
      <c r="L4313" s="25"/>
      <c r="Q4313" s="17"/>
    </row>
    <row r="4314" spans="12:17" x14ac:dyDescent="0.3">
      <c r="L4314" s="25"/>
      <c r="Q4314" s="17"/>
    </row>
    <row r="4315" spans="12:17" x14ac:dyDescent="0.3">
      <c r="L4315" s="25"/>
      <c r="Q4315" s="17"/>
    </row>
    <row r="4316" spans="12:17" x14ac:dyDescent="0.3">
      <c r="L4316" s="25"/>
      <c r="Q4316" s="17"/>
    </row>
    <row r="4317" spans="12:17" x14ac:dyDescent="0.3">
      <c r="L4317" s="25"/>
      <c r="Q4317" s="17"/>
    </row>
    <row r="4318" spans="12:17" x14ac:dyDescent="0.3">
      <c r="L4318" s="25"/>
      <c r="Q4318" s="17"/>
    </row>
    <row r="4319" spans="12:17" x14ac:dyDescent="0.3">
      <c r="L4319" s="25"/>
      <c r="Q4319" s="17"/>
    </row>
    <row r="4320" spans="12:17" x14ac:dyDescent="0.3">
      <c r="L4320" s="25"/>
      <c r="Q4320" s="17"/>
    </row>
    <row r="4321" spans="12:17" x14ac:dyDescent="0.3">
      <c r="L4321" s="25"/>
      <c r="Q4321" s="17"/>
    </row>
    <row r="4322" spans="12:17" x14ac:dyDescent="0.3">
      <c r="L4322" s="25"/>
      <c r="Q4322" s="17"/>
    </row>
    <row r="4323" spans="12:17" x14ac:dyDescent="0.3">
      <c r="L4323" s="25"/>
      <c r="Q4323" s="17"/>
    </row>
    <row r="4324" spans="12:17" x14ac:dyDescent="0.3">
      <c r="L4324" s="25"/>
      <c r="Q4324" s="17"/>
    </row>
    <row r="4325" spans="12:17" x14ac:dyDescent="0.3">
      <c r="L4325" s="25"/>
      <c r="Q4325" s="17"/>
    </row>
    <row r="4326" spans="12:17" x14ac:dyDescent="0.3">
      <c r="L4326" s="25"/>
      <c r="Q4326" s="17"/>
    </row>
    <row r="4327" spans="12:17" x14ac:dyDescent="0.3">
      <c r="L4327" s="25"/>
      <c r="Q4327" s="17"/>
    </row>
    <row r="4328" spans="12:17" x14ac:dyDescent="0.3">
      <c r="L4328" s="25"/>
      <c r="Q4328" s="17"/>
    </row>
    <row r="4329" spans="12:17" x14ac:dyDescent="0.3">
      <c r="L4329" s="25"/>
      <c r="Q4329" s="17"/>
    </row>
    <row r="4330" spans="12:17" x14ac:dyDescent="0.3">
      <c r="L4330" s="25"/>
      <c r="Q4330" s="17"/>
    </row>
    <row r="4331" spans="12:17" x14ac:dyDescent="0.3">
      <c r="L4331" s="25"/>
      <c r="Q4331" s="17"/>
    </row>
    <row r="4332" spans="12:17" x14ac:dyDescent="0.3">
      <c r="L4332" s="25"/>
      <c r="Q4332" s="17"/>
    </row>
    <row r="4333" spans="12:17" x14ac:dyDescent="0.3">
      <c r="L4333" s="25"/>
      <c r="Q4333" s="17"/>
    </row>
    <row r="4334" spans="12:17" x14ac:dyDescent="0.3">
      <c r="L4334" s="25"/>
      <c r="Q4334" s="17"/>
    </row>
    <row r="4335" spans="12:17" x14ac:dyDescent="0.3">
      <c r="L4335" s="25"/>
      <c r="Q4335" s="17"/>
    </row>
    <row r="4336" spans="12:17" x14ac:dyDescent="0.3">
      <c r="L4336" s="25"/>
      <c r="Q4336" s="17"/>
    </row>
    <row r="4337" spans="12:17" x14ac:dyDescent="0.3">
      <c r="L4337" s="25"/>
      <c r="Q4337" s="17"/>
    </row>
    <row r="4338" spans="12:17" x14ac:dyDescent="0.3">
      <c r="L4338" s="25"/>
      <c r="Q4338" s="17"/>
    </row>
    <row r="4339" spans="12:17" x14ac:dyDescent="0.3">
      <c r="L4339" s="25"/>
      <c r="Q4339" s="17"/>
    </row>
    <row r="4340" spans="12:17" x14ac:dyDescent="0.3">
      <c r="L4340" s="25"/>
      <c r="Q4340" s="17"/>
    </row>
    <row r="4341" spans="12:17" x14ac:dyDescent="0.3">
      <c r="L4341" s="25"/>
      <c r="Q4341" s="17"/>
    </row>
    <row r="4342" spans="12:17" x14ac:dyDescent="0.3">
      <c r="L4342" s="25"/>
      <c r="Q4342" s="17"/>
    </row>
    <row r="4343" spans="12:17" x14ac:dyDescent="0.3">
      <c r="L4343" s="25"/>
      <c r="Q4343" s="17"/>
    </row>
    <row r="4344" spans="12:17" x14ac:dyDescent="0.3">
      <c r="L4344" s="25"/>
      <c r="Q4344" s="17"/>
    </row>
    <row r="4345" spans="12:17" x14ac:dyDescent="0.3">
      <c r="L4345" s="25"/>
      <c r="Q4345" s="17"/>
    </row>
    <row r="4346" spans="12:17" x14ac:dyDescent="0.3">
      <c r="L4346" s="25"/>
      <c r="Q4346" s="17"/>
    </row>
    <row r="4347" spans="12:17" x14ac:dyDescent="0.3">
      <c r="L4347" s="25"/>
      <c r="Q4347" s="17"/>
    </row>
    <row r="4348" spans="12:17" x14ac:dyDescent="0.3">
      <c r="L4348" s="25"/>
      <c r="Q4348" s="17"/>
    </row>
    <row r="4349" spans="12:17" x14ac:dyDescent="0.3">
      <c r="L4349" s="25"/>
      <c r="Q4349" s="17"/>
    </row>
    <row r="4350" spans="12:17" x14ac:dyDescent="0.3">
      <c r="L4350" s="25"/>
      <c r="Q4350" s="17"/>
    </row>
    <row r="4351" spans="12:17" x14ac:dyDescent="0.3">
      <c r="L4351" s="25"/>
      <c r="Q4351" s="17"/>
    </row>
    <row r="4352" spans="12:17" x14ac:dyDescent="0.3">
      <c r="L4352" s="25"/>
      <c r="Q4352" s="17"/>
    </row>
    <row r="4353" spans="12:17" x14ac:dyDescent="0.3">
      <c r="L4353" s="25"/>
      <c r="Q4353" s="17"/>
    </row>
    <row r="4354" spans="12:17" x14ac:dyDescent="0.3">
      <c r="L4354" s="25"/>
      <c r="Q4354" s="17"/>
    </row>
    <row r="4355" spans="12:17" x14ac:dyDescent="0.3">
      <c r="L4355" s="25"/>
      <c r="Q4355" s="17"/>
    </row>
    <row r="4356" spans="12:17" x14ac:dyDescent="0.3">
      <c r="L4356" s="25"/>
      <c r="Q4356" s="17"/>
    </row>
    <row r="4357" spans="12:17" x14ac:dyDescent="0.3">
      <c r="L4357" s="25"/>
      <c r="Q4357" s="17"/>
    </row>
    <row r="4358" spans="12:17" x14ac:dyDescent="0.3">
      <c r="L4358" s="25"/>
      <c r="Q4358" s="17"/>
    </row>
    <row r="4359" spans="12:17" x14ac:dyDescent="0.3">
      <c r="L4359" s="25"/>
      <c r="Q4359" s="17"/>
    </row>
    <row r="4360" spans="12:17" x14ac:dyDescent="0.3">
      <c r="L4360" s="25"/>
      <c r="Q4360" s="17"/>
    </row>
    <row r="4361" spans="12:17" x14ac:dyDescent="0.3">
      <c r="L4361" s="25"/>
      <c r="Q4361" s="17"/>
    </row>
    <row r="4362" spans="12:17" x14ac:dyDescent="0.3">
      <c r="L4362" s="25"/>
      <c r="Q4362" s="17"/>
    </row>
    <row r="4363" spans="12:17" x14ac:dyDescent="0.3">
      <c r="L4363" s="25"/>
      <c r="Q4363" s="17"/>
    </row>
    <row r="4364" spans="12:17" x14ac:dyDescent="0.3">
      <c r="L4364" s="25"/>
      <c r="Q4364" s="17"/>
    </row>
    <row r="4365" spans="12:17" x14ac:dyDescent="0.3">
      <c r="L4365" s="25"/>
      <c r="Q4365" s="17"/>
    </row>
    <row r="4366" spans="12:17" x14ac:dyDescent="0.3">
      <c r="L4366" s="25"/>
      <c r="Q4366" s="17"/>
    </row>
    <row r="4367" spans="12:17" x14ac:dyDescent="0.3">
      <c r="L4367" s="25"/>
      <c r="Q4367" s="17"/>
    </row>
    <row r="4368" spans="12:17" x14ac:dyDescent="0.3">
      <c r="L4368" s="25"/>
      <c r="Q4368" s="17"/>
    </row>
    <row r="4369" spans="12:17" x14ac:dyDescent="0.3">
      <c r="L4369" s="25"/>
      <c r="Q4369" s="17"/>
    </row>
    <row r="4370" spans="12:17" x14ac:dyDescent="0.3">
      <c r="L4370" s="25"/>
      <c r="Q4370" s="17"/>
    </row>
    <row r="4371" spans="12:17" x14ac:dyDescent="0.3">
      <c r="L4371" s="25"/>
      <c r="Q4371" s="17"/>
    </row>
    <row r="4372" spans="12:17" x14ac:dyDescent="0.3">
      <c r="L4372" s="25"/>
      <c r="Q4372" s="17"/>
    </row>
    <row r="4373" spans="12:17" x14ac:dyDescent="0.3">
      <c r="L4373" s="25"/>
      <c r="Q4373" s="17"/>
    </row>
    <row r="4374" spans="12:17" x14ac:dyDescent="0.3">
      <c r="L4374" s="25"/>
      <c r="Q4374" s="17"/>
    </row>
    <row r="4375" spans="12:17" x14ac:dyDescent="0.3">
      <c r="L4375" s="25"/>
      <c r="Q4375" s="17"/>
    </row>
    <row r="4376" spans="12:17" x14ac:dyDescent="0.3">
      <c r="L4376" s="25"/>
      <c r="Q4376" s="17"/>
    </row>
    <row r="4377" spans="12:17" x14ac:dyDescent="0.3">
      <c r="L4377" s="25"/>
      <c r="Q4377" s="17"/>
    </row>
    <row r="4378" spans="12:17" x14ac:dyDescent="0.3">
      <c r="L4378" s="25"/>
      <c r="Q4378" s="17"/>
    </row>
    <row r="4379" spans="12:17" x14ac:dyDescent="0.3">
      <c r="L4379" s="25"/>
      <c r="Q4379" s="17"/>
    </row>
    <row r="4380" spans="12:17" x14ac:dyDescent="0.3">
      <c r="L4380" s="25"/>
      <c r="Q4380" s="17"/>
    </row>
    <row r="4381" spans="12:17" x14ac:dyDescent="0.3">
      <c r="L4381" s="25"/>
      <c r="Q4381" s="17"/>
    </row>
    <row r="4382" spans="12:17" x14ac:dyDescent="0.3">
      <c r="L4382" s="25"/>
      <c r="Q4382" s="17"/>
    </row>
    <row r="4383" spans="12:17" x14ac:dyDescent="0.3">
      <c r="L4383" s="25"/>
      <c r="Q4383" s="17"/>
    </row>
    <row r="4384" spans="12:17" x14ac:dyDescent="0.3">
      <c r="L4384" s="25"/>
      <c r="Q4384" s="17"/>
    </row>
    <row r="4385" spans="12:17" x14ac:dyDescent="0.3">
      <c r="L4385" s="25"/>
      <c r="Q4385" s="17"/>
    </row>
    <row r="4386" spans="12:17" x14ac:dyDescent="0.3">
      <c r="L4386" s="25"/>
      <c r="Q4386" s="17"/>
    </row>
    <row r="4387" spans="12:17" x14ac:dyDescent="0.3">
      <c r="L4387" s="25"/>
      <c r="Q4387" s="17"/>
    </row>
    <row r="4388" spans="12:17" x14ac:dyDescent="0.3">
      <c r="L4388" s="25"/>
      <c r="Q4388" s="17"/>
    </row>
    <row r="4389" spans="12:17" x14ac:dyDescent="0.3">
      <c r="L4389" s="25"/>
      <c r="Q4389" s="17"/>
    </row>
    <row r="4390" spans="12:17" x14ac:dyDescent="0.3">
      <c r="L4390" s="25"/>
      <c r="Q4390" s="17"/>
    </row>
    <row r="4391" spans="12:17" x14ac:dyDescent="0.3">
      <c r="L4391" s="25"/>
      <c r="Q4391" s="17"/>
    </row>
    <row r="4392" spans="12:17" x14ac:dyDescent="0.3">
      <c r="L4392" s="25"/>
      <c r="Q4392" s="17"/>
    </row>
    <row r="4393" spans="12:17" x14ac:dyDescent="0.3">
      <c r="L4393" s="25"/>
      <c r="Q4393" s="17"/>
    </row>
    <row r="4394" spans="12:17" x14ac:dyDescent="0.3">
      <c r="L4394" s="25"/>
      <c r="Q4394" s="17"/>
    </row>
    <row r="4395" spans="12:17" x14ac:dyDescent="0.3">
      <c r="L4395" s="25"/>
      <c r="Q4395" s="17"/>
    </row>
    <row r="4396" spans="12:17" x14ac:dyDescent="0.3">
      <c r="L4396" s="25"/>
      <c r="Q4396" s="17"/>
    </row>
    <row r="4397" spans="12:17" x14ac:dyDescent="0.3">
      <c r="L4397" s="25"/>
      <c r="Q4397" s="17"/>
    </row>
    <row r="4398" spans="12:17" x14ac:dyDescent="0.3">
      <c r="L4398" s="25"/>
      <c r="Q4398" s="17"/>
    </row>
    <row r="4399" spans="12:17" x14ac:dyDescent="0.3">
      <c r="L4399" s="25"/>
      <c r="Q4399" s="17"/>
    </row>
    <row r="4400" spans="12:17" x14ac:dyDescent="0.3">
      <c r="L4400" s="25"/>
      <c r="Q4400" s="17"/>
    </row>
    <row r="4401" spans="12:17" x14ac:dyDescent="0.3">
      <c r="L4401" s="25"/>
      <c r="Q4401" s="17"/>
    </row>
    <row r="4402" spans="12:17" x14ac:dyDescent="0.3">
      <c r="L4402" s="25"/>
      <c r="Q4402" s="17"/>
    </row>
    <row r="4403" spans="12:17" x14ac:dyDescent="0.3">
      <c r="L4403" s="25"/>
      <c r="Q4403" s="17"/>
    </row>
    <row r="4404" spans="12:17" x14ac:dyDescent="0.3">
      <c r="L4404" s="25"/>
      <c r="Q4404" s="17"/>
    </row>
    <row r="4405" spans="12:17" x14ac:dyDescent="0.3">
      <c r="L4405" s="25"/>
      <c r="Q4405" s="17"/>
    </row>
    <row r="4406" spans="12:17" x14ac:dyDescent="0.3">
      <c r="L4406" s="25"/>
      <c r="Q4406" s="17"/>
    </row>
    <row r="4407" spans="12:17" x14ac:dyDescent="0.3">
      <c r="L4407" s="25"/>
      <c r="Q4407" s="17"/>
    </row>
    <row r="4408" spans="12:17" x14ac:dyDescent="0.3">
      <c r="L4408" s="25"/>
      <c r="Q4408" s="17"/>
    </row>
    <row r="4409" spans="12:17" x14ac:dyDescent="0.3">
      <c r="L4409" s="25"/>
      <c r="Q4409" s="17"/>
    </row>
    <row r="4410" spans="12:17" x14ac:dyDescent="0.3">
      <c r="L4410" s="25"/>
      <c r="Q4410" s="17"/>
    </row>
    <row r="4411" spans="12:17" x14ac:dyDescent="0.3">
      <c r="L4411" s="25"/>
      <c r="Q4411" s="17"/>
    </row>
    <row r="4412" spans="12:17" x14ac:dyDescent="0.3">
      <c r="L4412" s="25"/>
      <c r="Q4412" s="17"/>
    </row>
    <row r="4413" spans="12:17" x14ac:dyDescent="0.3">
      <c r="L4413" s="25"/>
      <c r="Q4413" s="17"/>
    </row>
    <row r="4414" spans="12:17" x14ac:dyDescent="0.3">
      <c r="L4414" s="25"/>
      <c r="Q4414" s="17"/>
    </row>
    <row r="4415" spans="12:17" x14ac:dyDescent="0.3">
      <c r="L4415" s="25"/>
      <c r="Q4415" s="17"/>
    </row>
    <row r="4416" spans="12:17" x14ac:dyDescent="0.3">
      <c r="L4416" s="25"/>
      <c r="Q4416" s="17"/>
    </row>
    <row r="4417" spans="12:17" x14ac:dyDescent="0.3">
      <c r="L4417" s="25"/>
      <c r="Q4417" s="17"/>
    </row>
    <row r="4418" spans="12:17" x14ac:dyDescent="0.3">
      <c r="L4418" s="25"/>
      <c r="Q4418" s="17"/>
    </row>
    <row r="4419" spans="12:17" x14ac:dyDescent="0.3">
      <c r="L4419" s="25"/>
      <c r="Q4419" s="17"/>
    </row>
    <row r="4420" spans="12:17" x14ac:dyDescent="0.3">
      <c r="L4420" s="25"/>
      <c r="Q4420" s="17"/>
    </row>
    <row r="4421" spans="12:17" x14ac:dyDescent="0.3">
      <c r="L4421" s="25"/>
      <c r="Q4421" s="17"/>
    </row>
    <row r="4422" spans="12:17" x14ac:dyDescent="0.3">
      <c r="L4422" s="25"/>
      <c r="Q4422" s="17"/>
    </row>
    <row r="4423" spans="12:17" x14ac:dyDescent="0.3">
      <c r="L4423" s="25"/>
      <c r="Q4423" s="17"/>
    </row>
    <row r="4424" spans="12:17" x14ac:dyDescent="0.3">
      <c r="L4424" s="25"/>
      <c r="Q4424" s="17"/>
    </row>
    <row r="4425" spans="12:17" x14ac:dyDescent="0.3">
      <c r="L4425" s="25"/>
      <c r="Q4425" s="17"/>
    </row>
    <row r="4426" spans="12:17" x14ac:dyDescent="0.3">
      <c r="L4426" s="25"/>
      <c r="Q4426" s="17"/>
    </row>
    <row r="4427" spans="12:17" x14ac:dyDescent="0.3">
      <c r="L4427" s="25"/>
      <c r="Q4427" s="17"/>
    </row>
    <row r="4428" spans="12:17" x14ac:dyDescent="0.3">
      <c r="L4428" s="25"/>
      <c r="Q4428" s="17"/>
    </row>
    <row r="4429" spans="12:17" x14ac:dyDescent="0.3">
      <c r="L4429" s="25"/>
      <c r="Q4429" s="17"/>
    </row>
    <row r="4430" spans="12:17" x14ac:dyDescent="0.3">
      <c r="L4430" s="25"/>
      <c r="Q4430" s="17"/>
    </row>
    <row r="4431" spans="12:17" x14ac:dyDescent="0.3">
      <c r="L4431" s="25"/>
      <c r="Q4431" s="17"/>
    </row>
    <row r="4432" spans="12:17" x14ac:dyDescent="0.3">
      <c r="L4432" s="25"/>
      <c r="Q4432" s="17"/>
    </row>
    <row r="4433" spans="12:17" x14ac:dyDescent="0.3">
      <c r="L4433" s="25"/>
      <c r="Q4433" s="17"/>
    </row>
    <row r="4434" spans="12:17" x14ac:dyDescent="0.3">
      <c r="L4434" s="25"/>
      <c r="Q4434" s="17"/>
    </row>
    <row r="4435" spans="12:17" x14ac:dyDescent="0.3">
      <c r="L4435" s="25"/>
      <c r="Q4435" s="17"/>
    </row>
    <row r="4436" spans="12:17" x14ac:dyDescent="0.3">
      <c r="L4436" s="25"/>
      <c r="Q4436" s="17"/>
    </row>
    <row r="4437" spans="12:17" x14ac:dyDescent="0.3">
      <c r="L4437" s="25"/>
      <c r="Q4437" s="17"/>
    </row>
    <row r="4438" spans="12:17" x14ac:dyDescent="0.3">
      <c r="L4438" s="25"/>
      <c r="Q4438" s="17"/>
    </row>
    <row r="4439" spans="12:17" x14ac:dyDescent="0.3">
      <c r="L4439" s="25"/>
      <c r="Q4439" s="17"/>
    </row>
    <row r="4440" spans="12:17" x14ac:dyDescent="0.3">
      <c r="L4440" s="25"/>
      <c r="Q4440" s="17"/>
    </row>
    <row r="4441" spans="12:17" x14ac:dyDescent="0.3">
      <c r="L4441" s="25"/>
      <c r="Q4441" s="17"/>
    </row>
    <row r="4442" spans="12:17" x14ac:dyDescent="0.3">
      <c r="L4442" s="25"/>
      <c r="Q4442" s="17"/>
    </row>
    <row r="4443" spans="12:17" x14ac:dyDescent="0.3">
      <c r="L4443" s="25"/>
      <c r="Q4443" s="17"/>
    </row>
    <row r="4444" spans="12:17" x14ac:dyDescent="0.3">
      <c r="L4444" s="25"/>
      <c r="Q4444" s="17"/>
    </row>
    <row r="4445" spans="12:17" x14ac:dyDescent="0.3">
      <c r="L4445" s="25"/>
      <c r="Q4445" s="17"/>
    </row>
    <row r="4446" spans="12:17" x14ac:dyDescent="0.3">
      <c r="L4446" s="25"/>
      <c r="Q4446" s="17"/>
    </row>
    <row r="4447" spans="12:17" x14ac:dyDescent="0.3">
      <c r="L4447" s="25"/>
      <c r="Q4447" s="17"/>
    </row>
    <row r="4448" spans="12:17" x14ac:dyDescent="0.3">
      <c r="L4448" s="25"/>
      <c r="Q4448" s="17"/>
    </row>
    <row r="4449" spans="12:17" x14ac:dyDescent="0.3">
      <c r="L4449" s="25"/>
      <c r="Q4449" s="17"/>
    </row>
    <row r="4450" spans="12:17" x14ac:dyDescent="0.3">
      <c r="L4450" s="25"/>
      <c r="Q4450" s="17"/>
    </row>
    <row r="4451" spans="12:17" x14ac:dyDescent="0.3">
      <c r="L4451" s="25"/>
      <c r="Q4451" s="17"/>
    </row>
    <row r="4452" spans="12:17" x14ac:dyDescent="0.3">
      <c r="L4452" s="25"/>
      <c r="Q4452" s="17"/>
    </row>
    <row r="4453" spans="12:17" x14ac:dyDescent="0.3">
      <c r="L4453" s="25"/>
      <c r="Q4453" s="17"/>
    </row>
    <row r="4454" spans="12:17" x14ac:dyDescent="0.3">
      <c r="L4454" s="25"/>
      <c r="Q4454" s="17"/>
    </row>
    <row r="4455" spans="12:17" x14ac:dyDescent="0.3">
      <c r="L4455" s="25"/>
      <c r="Q4455" s="17"/>
    </row>
    <row r="4456" spans="12:17" x14ac:dyDescent="0.3">
      <c r="L4456" s="25"/>
      <c r="Q4456" s="17"/>
    </row>
    <row r="4457" spans="12:17" x14ac:dyDescent="0.3">
      <c r="L4457" s="25"/>
      <c r="Q4457" s="17"/>
    </row>
    <row r="4458" spans="12:17" x14ac:dyDescent="0.3">
      <c r="L4458" s="25"/>
      <c r="Q4458" s="17"/>
    </row>
    <row r="4459" spans="12:17" x14ac:dyDescent="0.3">
      <c r="L4459" s="25"/>
      <c r="Q4459" s="17"/>
    </row>
    <row r="4460" spans="12:17" x14ac:dyDescent="0.3">
      <c r="L4460" s="25"/>
      <c r="Q4460" s="17"/>
    </row>
    <row r="4461" spans="12:17" x14ac:dyDescent="0.3">
      <c r="L4461" s="25"/>
      <c r="Q4461" s="17"/>
    </row>
    <row r="4462" spans="12:17" x14ac:dyDescent="0.3">
      <c r="L4462" s="25"/>
      <c r="Q4462" s="17"/>
    </row>
    <row r="4463" spans="12:17" x14ac:dyDescent="0.3">
      <c r="L4463" s="25"/>
      <c r="Q4463" s="17"/>
    </row>
    <row r="4464" spans="12:17" x14ac:dyDescent="0.3">
      <c r="L4464" s="25"/>
      <c r="Q4464" s="17"/>
    </row>
    <row r="4465" spans="12:17" x14ac:dyDescent="0.3">
      <c r="L4465" s="25"/>
      <c r="Q4465" s="17"/>
    </row>
    <row r="4466" spans="12:17" x14ac:dyDescent="0.3">
      <c r="L4466" s="25"/>
      <c r="Q4466" s="17"/>
    </row>
    <row r="4467" spans="12:17" x14ac:dyDescent="0.3">
      <c r="L4467" s="25"/>
      <c r="Q4467" s="17"/>
    </row>
    <row r="4468" spans="12:17" x14ac:dyDescent="0.3">
      <c r="L4468" s="25"/>
      <c r="Q4468" s="17"/>
    </row>
    <row r="4469" spans="12:17" x14ac:dyDescent="0.3">
      <c r="L4469" s="25"/>
      <c r="Q4469" s="17"/>
    </row>
    <row r="4470" spans="12:17" x14ac:dyDescent="0.3">
      <c r="L4470" s="25"/>
      <c r="Q4470" s="17"/>
    </row>
    <row r="4471" spans="12:17" x14ac:dyDescent="0.3">
      <c r="L4471" s="25"/>
      <c r="Q4471" s="17"/>
    </row>
    <row r="4472" spans="12:17" x14ac:dyDescent="0.3">
      <c r="L4472" s="25"/>
      <c r="Q4472" s="17"/>
    </row>
    <row r="4473" spans="12:17" x14ac:dyDescent="0.3">
      <c r="L4473" s="25"/>
      <c r="Q4473" s="17"/>
    </row>
    <row r="4474" spans="12:17" x14ac:dyDescent="0.3">
      <c r="L4474" s="25"/>
      <c r="Q4474" s="17"/>
    </row>
    <row r="4475" spans="12:17" x14ac:dyDescent="0.3">
      <c r="L4475" s="25"/>
      <c r="Q4475" s="17"/>
    </row>
    <row r="4476" spans="12:17" x14ac:dyDescent="0.3">
      <c r="L4476" s="25"/>
      <c r="Q4476" s="17"/>
    </row>
    <row r="4477" spans="12:17" x14ac:dyDescent="0.3">
      <c r="L4477" s="25"/>
      <c r="Q4477" s="17"/>
    </row>
    <row r="4478" spans="12:17" x14ac:dyDescent="0.3">
      <c r="L4478" s="25"/>
      <c r="Q4478" s="17"/>
    </row>
    <row r="4479" spans="12:17" x14ac:dyDescent="0.3">
      <c r="L4479" s="25"/>
      <c r="Q4479" s="17"/>
    </row>
    <row r="4480" spans="12:17" x14ac:dyDescent="0.3">
      <c r="L4480" s="25"/>
      <c r="Q4480" s="17"/>
    </row>
    <row r="4481" spans="12:17" x14ac:dyDescent="0.3">
      <c r="L4481" s="25"/>
      <c r="Q4481" s="17"/>
    </row>
    <row r="4482" spans="12:17" x14ac:dyDescent="0.3">
      <c r="L4482" s="25"/>
      <c r="Q4482" s="17"/>
    </row>
    <row r="4483" spans="12:17" x14ac:dyDescent="0.3">
      <c r="L4483" s="25"/>
      <c r="Q4483" s="17"/>
    </row>
    <row r="4484" spans="12:17" x14ac:dyDescent="0.3">
      <c r="L4484" s="25"/>
      <c r="Q4484" s="17"/>
    </row>
    <row r="4485" spans="12:17" x14ac:dyDescent="0.3">
      <c r="L4485" s="25"/>
      <c r="Q4485" s="17"/>
    </row>
    <row r="4486" spans="12:17" x14ac:dyDescent="0.3">
      <c r="L4486" s="25"/>
      <c r="Q4486" s="17"/>
    </row>
    <row r="4487" spans="12:17" x14ac:dyDescent="0.3">
      <c r="L4487" s="25"/>
      <c r="Q4487" s="17"/>
    </row>
    <row r="4488" spans="12:17" x14ac:dyDescent="0.3">
      <c r="L4488" s="25"/>
      <c r="Q4488" s="17"/>
    </row>
    <row r="4489" spans="12:17" x14ac:dyDescent="0.3">
      <c r="L4489" s="25"/>
      <c r="Q4489" s="17"/>
    </row>
    <row r="4490" spans="12:17" x14ac:dyDescent="0.3">
      <c r="L4490" s="25"/>
      <c r="Q4490" s="17"/>
    </row>
    <row r="4491" spans="12:17" x14ac:dyDescent="0.3">
      <c r="L4491" s="25"/>
      <c r="Q4491" s="17"/>
    </row>
    <row r="4492" spans="12:17" x14ac:dyDescent="0.3">
      <c r="L4492" s="25"/>
      <c r="Q4492" s="17"/>
    </row>
    <row r="4493" spans="12:17" x14ac:dyDescent="0.3">
      <c r="L4493" s="25"/>
      <c r="Q4493" s="17"/>
    </row>
    <row r="4494" spans="12:17" x14ac:dyDescent="0.3">
      <c r="L4494" s="25"/>
      <c r="Q4494" s="17"/>
    </row>
    <row r="4495" spans="12:17" x14ac:dyDescent="0.3">
      <c r="L4495" s="25"/>
      <c r="Q4495" s="17"/>
    </row>
    <row r="4496" spans="12:17" x14ac:dyDescent="0.3">
      <c r="L4496" s="25"/>
      <c r="Q4496" s="17"/>
    </row>
    <row r="4497" spans="12:17" x14ac:dyDescent="0.3">
      <c r="L4497" s="25"/>
      <c r="Q4497" s="17"/>
    </row>
    <row r="4498" spans="12:17" x14ac:dyDescent="0.3">
      <c r="L4498" s="25"/>
      <c r="Q4498" s="17"/>
    </row>
    <row r="4499" spans="12:17" x14ac:dyDescent="0.3">
      <c r="L4499" s="25"/>
      <c r="Q4499" s="17"/>
    </row>
    <row r="4500" spans="12:17" x14ac:dyDescent="0.3">
      <c r="L4500" s="25"/>
      <c r="Q4500" s="17"/>
    </row>
    <row r="4501" spans="12:17" x14ac:dyDescent="0.3">
      <c r="L4501" s="25"/>
      <c r="Q4501" s="17"/>
    </row>
    <row r="4502" spans="12:17" x14ac:dyDescent="0.3">
      <c r="L4502" s="25"/>
      <c r="Q4502" s="17"/>
    </row>
    <row r="4503" spans="12:17" x14ac:dyDescent="0.3">
      <c r="L4503" s="25"/>
      <c r="Q4503" s="17"/>
    </row>
    <row r="4504" spans="12:17" x14ac:dyDescent="0.3">
      <c r="L4504" s="25"/>
      <c r="Q4504" s="17"/>
    </row>
    <row r="4505" spans="12:17" x14ac:dyDescent="0.3">
      <c r="L4505" s="25"/>
      <c r="Q4505" s="17"/>
    </row>
    <row r="4506" spans="12:17" x14ac:dyDescent="0.3">
      <c r="L4506" s="25"/>
      <c r="Q4506" s="17"/>
    </row>
    <row r="4507" spans="12:17" x14ac:dyDescent="0.3">
      <c r="L4507" s="25"/>
      <c r="Q4507" s="17"/>
    </row>
    <row r="4508" spans="12:17" x14ac:dyDescent="0.3">
      <c r="L4508" s="25"/>
      <c r="Q4508" s="17"/>
    </row>
    <row r="4509" spans="12:17" x14ac:dyDescent="0.3">
      <c r="L4509" s="25"/>
      <c r="Q4509" s="17"/>
    </row>
    <row r="4510" spans="12:17" x14ac:dyDescent="0.3">
      <c r="L4510" s="25"/>
      <c r="Q4510" s="17"/>
    </row>
    <row r="4511" spans="12:17" x14ac:dyDescent="0.3">
      <c r="L4511" s="25"/>
      <c r="Q4511" s="17"/>
    </row>
    <row r="4512" spans="12:17" x14ac:dyDescent="0.3">
      <c r="L4512" s="25"/>
      <c r="Q4512" s="17"/>
    </row>
    <row r="4513" spans="12:17" x14ac:dyDescent="0.3">
      <c r="L4513" s="25"/>
      <c r="Q4513" s="17"/>
    </row>
    <row r="4514" spans="12:17" x14ac:dyDescent="0.3">
      <c r="L4514" s="25"/>
      <c r="Q4514" s="17"/>
    </row>
    <row r="4515" spans="12:17" x14ac:dyDescent="0.3">
      <c r="L4515" s="25"/>
      <c r="Q4515" s="17"/>
    </row>
    <row r="4516" spans="12:17" x14ac:dyDescent="0.3">
      <c r="L4516" s="25"/>
      <c r="Q4516" s="17"/>
    </row>
    <row r="4517" spans="12:17" x14ac:dyDescent="0.3">
      <c r="L4517" s="25"/>
      <c r="Q4517" s="17"/>
    </row>
    <row r="4518" spans="12:17" x14ac:dyDescent="0.3">
      <c r="L4518" s="25"/>
      <c r="Q4518" s="17"/>
    </row>
    <row r="4519" spans="12:17" x14ac:dyDescent="0.3">
      <c r="L4519" s="25"/>
      <c r="Q4519" s="17"/>
    </row>
    <row r="4520" spans="12:17" x14ac:dyDescent="0.3">
      <c r="L4520" s="25"/>
      <c r="Q4520" s="17"/>
    </row>
    <row r="4521" spans="12:17" x14ac:dyDescent="0.3">
      <c r="L4521" s="25"/>
      <c r="Q4521" s="17"/>
    </row>
    <row r="4522" spans="12:17" x14ac:dyDescent="0.3">
      <c r="L4522" s="25"/>
      <c r="Q4522" s="17"/>
    </row>
    <row r="4523" spans="12:17" x14ac:dyDescent="0.3">
      <c r="L4523" s="25"/>
      <c r="Q4523" s="17"/>
    </row>
    <row r="4524" spans="12:17" x14ac:dyDescent="0.3">
      <c r="L4524" s="25"/>
      <c r="Q4524" s="17"/>
    </row>
    <row r="4525" spans="12:17" x14ac:dyDescent="0.3">
      <c r="L4525" s="25"/>
      <c r="Q4525" s="17"/>
    </row>
    <row r="4526" spans="12:17" x14ac:dyDescent="0.3">
      <c r="L4526" s="25"/>
      <c r="Q4526" s="17"/>
    </row>
    <row r="4527" spans="12:17" x14ac:dyDescent="0.3">
      <c r="L4527" s="25"/>
      <c r="Q4527" s="17"/>
    </row>
    <row r="4528" spans="12:17" x14ac:dyDescent="0.3">
      <c r="L4528" s="25"/>
      <c r="Q4528" s="17"/>
    </row>
    <row r="4529" spans="12:17" x14ac:dyDescent="0.3">
      <c r="L4529" s="25"/>
      <c r="Q4529" s="17"/>
    </row>
    <row r="4530" spans="12:17" x14ac:dyDescent="0.3">
      <c r="L4530" s="25"/>
      <c r="Q4530" s="17"/>
    </row>
    <row r="4531" spans="12:17" x14ac:dyDescent="0.3">
      <c r="L4531" s="25"/>
      <c r="Q4531" s="17"/>
    </row>
    <row r="4532" spans="12:17" x14ac:dyDescent="0.3">
      <c r="L4532" s="25"/>
      <c r="Q4532" s="17"/>
    </row>
    <row r="4533" spans="12:17" x14ac:dyDescent="0.3">
      <c r="L4533" s="25"/>
      <c r="Q4533" s="17"/>
    </row>
    <row r="4534" spans="12:17" x14ac:dyDescent="0.3">
      <c r="L4534" s="25"/>
      <c r="Q4534" s="17"/>
    </row>
    <row r="4535" spans="12:17" x14ac:dyDescent="0.3">
      <c r="L4535" s="25"/>
      <c r="Q4535" s="17"/>
    </row>
    <row r="4536" spans="12:17" x14ac:dyDescent="0.3">
      <c r="L4536" s="25"/>
      <c r="Q4536" s="17"/>
    </row>
    <row r="4537" spans="12:17" x14ac:dyDescent="0.3">
      <c r="L4537" s="25"/>
      <c r="Q4537" s="17"/>
    </row>
    <row r="4538" spans="12:17" x14ac:dyDescent="0.3">
      <c r="L4538" s="25"/>
      <c r="Q4538" s="17"/>
    </row>
    <row r="4539" spans="12:17" x14ac:dyDescent="0.3">
      <c r="L4539" s="25"/>
      <c r="Q4539" s="17"/>
    </row>
    <row r="4540" spans="12:17" x14ac:dyDescent="0.3">
      <c r="L4540" s="25"/>
      <c r="Q4540" s="17"/>
    </row>
    <row r="4541" spans="12:17" x14ac:dyDescent="0.3">
      <c r="L4541" s="25"/>
      <c r="Q4541" s="17"/>
    </row>
    <row r="4542" spans="12:17" x14ac:dyDescent="0.3">
      <c r="L4542" s="25"/>
      <c r="Q4542" s="17"/>
    </row>
    <row r="4543" spans="12:17" x14ac:dyDescent="0.3">
      <c r="L4543" s="25"/>
      <c r="Q4543" s="17"/>
    </row>
    <row r="4544" spans="12:17" x14ac:dyDescent="0.3">
      <c r="L4544" s="25"/>
      <c r="Q4544" s="17"/>
    </row>
    <row r="4545" spans="12:17" x14ac:dyDescent="0.3">
      <c r="L4545" s="25"/>
      <c r="Q4545" s="17"/>
    </row>
    <row r="4546" spans="12:17" x14ac:dyDescent="0.3">
      <c r="L4546" s="25"/>
      <c r="Q4546" s="17"/>
    </row>
    <row r="4547" spans="12:17" x14ac:dyDescent="0.3">
      <c r="L4547" s="25"/>
      <c r="Q4547" s="17"/>
    </row>
    <row r="4548" spans="12:17" x14ac:dyDescent="0.3">
      <c r="L4548" s="25"/>
      <c r="Q4548" s="17"/>
    </row>
    <row r="4549" spans="12:17" x14ac:dyDescent="0.3">
      <c r="L4549" s="25"/>
      <c r="Q4549" s="17"/>
    </row>
    <row r="4550" spans="12:17" x14ac:dyDescent="0.3">
      <c r="L4550" s="25"/>
      <c r="Q4550" s="17"/>
    </row>
    <row r="4551" spans="12:17" x14ac:dyDescent="0.3">
      <c r="L4551" s="25"/>
      <c r="Q4551" s="17"/>
    </row>
    <row r="4552" spans="12:17" x14ac:dyDescent="0.3">
      <c r="L4552" s="25"/>
      <c r="Q4552" s="17"/>
    </row>
    <row r="4553" spans="12:17" x14ac:dyDescent="0.3">
      <c r="L4553" s="25"/>
      <c r="Q4553" s="17"/>
    </row>
    <row r="4554" spans="12:17" x14ac:dyDescent="0.3">
      <c r="L4554" s="25"/>
      <c r="Q4554" s="17"/>
    </row>
    <row r="4555" spans="12:17" x14ac:dyDescent="0.3">
      <c r="L4555" s="25"/>
      <c r="Q4555" s="17"/>
    </row>
    <row r="4556" spans="12:17" x14ac:dyDescent="0.3">
      <c r="L4556" s="25"/>
      <c r="Q4556" s="17"/>
    </row>
    <row r="4557" spans="12:17" x14ac:dyDescent="0.3">
      <c r="L4557" s="25"/>
      <c r="Q4557" s="17"/>
    </row>
    <row r="4558" spans="12:17" x14ac:dyDescent="0.3">
      <c r="L4558" s="25"/>
      <c r="Q4558" s="17"/>
    </row>
    <row r="4559" spans="12:17" x14ac:dyDescent="0.3">
      <c r="L4559" s="25"/>
      <c r="Q4559" s="17"/>
    </row>
    <row r="4560" spans="12:17" x14ac:dyDescent="0.3">
      <c r="L4560" s="25"/>
      <c r="Q4560" s="17"/>
    </row>
    <row r="4561" spans="12:17" x14ac:dyDescent="0.3">
      <c r="L4561" s="25"/>
      <c r="Q4561" s="17"/>
    </row>
    <row r="4562" spans="12:17" x14ac:dyDescent="0.3">
      <c r="L4562" s="25"/>
      <c r="Q4562" s="17"/>
    </row>
    <row r="4563" spans="12:17" x14ac:dyDescent="0.3">
      <c r="L4563" s="25"/>
      <c r="Q4563" s="17"/>
    </row>
    <row r="4564" spans="12:17" x14ac:dyDescent="0.3">
      <c r="L4564" s="25"/>
      <c r="Q4564" s="17"/>
    </row>
    <row r="4565" spans="12:17" x14ac:dyDescent="0.3">
      <c r="L4565" s="25"/>
      <c r="Q4565" s="17"/>
    </row>
    <row r="4566" spans="12:17" x14ac:dyDescent="0.3">
      <c r="L4566" s="25"/>
      <c r="Q4566" s="17"/>
    </row>
    <row r="4567" spans="12:17" x14ac:dyDescent="0.3">
      <c r="L4567" s="25"/>
      <c r="Q4567" s="17"/>
    </row>
    <row r="4568" spans="12:17" x14ac:dyDescent="0.3">
      <c r="L4568" s="25"/>
      <c r="Q4568" s="17"/>
    </row>
    <row r="4569" spans="12:17" x14ac:dyDescent="0.3">
      <c r="L4569" s="25"/>
      <c r="Q4569" s="17"/>
    </row>
    <row r="4570" spans="12:17" x14ac:dyDescent="0.3">
      <c r="L4570" s="25"/>
      <c r="Q4570" s="17"/>
    </row>
    <row r="4571" spans="12:17" x14ac:dyDescent="0.3">
      <c r="L4571" s="25"/>
      <c r="Q4571" s="17"/>
    </row>
    <row r="4572" spans="12:17" x14ac:dyDescent="0.3">
      <c r="L4572" s="25"/>
      <c r="Q4572" s="17"/>
    </row>
    <row r="4573" spans="12:17" x14ac:dyDescent="0.3">
      <c r="L4573" s="25"/>
      <c r="Q4573" s="17"/>
    </row>
    <row r="4574" spans="12:17" x14ac:dyDescent="0.3">
      <c r="L4574" s="25"/>
      <c r="Q4574" s="17"/>
    </row>
    <row r="4575" spans="12:17" x14ac:dyDescent="0.3">
      <c r="L4575" s="25"/>
      <c r="Q4575" s="17"/>
    </row>
    <row r="4576" spans="12:17" x14ac:dyDescent="0.3">
      <c r="L4576" s="25"/>
      <c r="Q4576" s="17"/>
    </row>
    <row r="4577" spans="12:17" x14ac:dyDescent="0.3">
      <c r="L4577" s="25"/>
      <c r="Q4577" s="17"/>
    </row>
    <row r="4578" spans="12:17" x14ac:dyDescent="0.3">
      <c r="L4578" s="25"/>
      <c r="Q4578" s="17"/>
    </row>
    <row r="4579" spans="12:17" x14ac:dyDescent="0.3">
      <c r="L4579" s="25"/>
      <c r="Q4579" s="17"/>
    </row>
    <row r="4580" spans="12:17" x14ac:dyDescent="0.3">
      <c r="L4580" s="25"/>
      <c r="Q4580" s="17"/>
    </row>
    <row r="4581" spans="12:17" x14ac:dyDescent="0.3">
      <c r="L4581" s="25"/>
      <c r="Q4581" s="17"/>
    </row>
    <row r="4582" spans="12:17" x14ac:dyDescent="0.3">
      <c r="L4582" s="25"/>
      <c r="Q4582" s="17"/>
    </row>
    <row r="4583" spans="12:17" x14ac:dyDescent="0.3">
      <c r="L4583" s="25"/>
      <c r="Q4583" s="17"/>
    </row>
    <row r="4584" spans="12:17" x14ac:dyDescent="0.3">
      <c r="L4584" s="25"/>
      <c r="Q4584" s="17"/>
    </row>
    <row r="4585" spans="12:17" x14ac:dyDescent="0.3">
      <c r="L4585" s="25"/>
      <c r="Q4585" s="17"/>
    </row>
    <row r="4586" spans="12:17" x14ac:dyDescent="0.3">
      <c r="L4586" s="25"/>
      <c r="Q4586" s="17"/>
    </row>
    <row r="4587" spans="12:17" x14ac:dyDescent="0.3">
      <c r="L4587" s="25"/>
      <c r="Q4587" s="17"/>
    </row>
    <row r="4588" spans="12:17" x14ac:dyDescent="0.3">
      <c r="L4588" s="25"/>
      <c r="Q4588" s="17"/>
    </row>
    <row r="4589" spans="12:17" x14ac:dyDescent="0.3">
      <c r="L4589" s="25"/>
      <c r="Q4589" s="17"/>
    </row>
    <row r="4590" spans="12:17" x14ac:dyDescent="0.3">
      <c r="L4590" s="25"/>
      <c r="Q4590" s="17"/>
    </row>
    <row r="4591" spans="12:17" x14ac:dyDescent="0.3">
      <c r="L4591" s="25"/>
      <c r="Q4591" s="17"/>
    </row>
    <row r="4592" spans="12:17" x14ac:dyDescent="0.3">
      <c r="L4592" s="25"/>
      <c r="Q4592" s="17"/>
    </row>
    <row r="4593" spans="12:17" x14ac:dyDescent="0.3">
      <c r="L4593" s="25"/>
      <c r="Q4593" s="17"/>
    </row>
    <row r="4594" spans="12:17" x14ac:dyDescent="0.3">
      <c r="L4594" s="25"/>
      <c r="Q4594" s="17"/>
    </row>
    <row r="4595" spans="12:17" x14ac:dyDescent="0.3">
      <c r="L4595" s="25"/>
      <c r="Q4595" s="17"/>
    </row>
    <row r="4596" spans="12:17" x14ac:dyDescent="0.3">
      <c r="L4596" s="25"/>
      <c r="Q4596" s="17"/>
    </row>
    <row r="4597" spans="12:17" x14ac:dyDescent="0.3">
      <c r="L4597" s="25"/>
      <c r="Q4597" s="17"/>
    </row>
    <row r="4598" spans="12:17" x14ac:dyDescent="0.3">
      <c r="L4598" s="25"/>
      <c r="Q4598" s="17"/>
    </row>
    <row r="4599" spans="12:17" x14ac:dyDescent="0.3">
      <c r="L4599" s="25"/>
      <c r="Q4599" s="17"/>
    </row>
    <row r="4600" spans="12:17" x14ac:dyDescent="0.3">
      <c r="L4600" s="25"/>
      <c r="Q4600" s="17"/>
    </row>
    <row r="4601" spans="12:17" x14ac:dyDescent="0.3">
      <c r="L4601" s="25"/>
      <c r="Q4601" s="17"/>
    </row>
    <row r="4602" spans="12:17" x14ac:dyDescent="0.3">
      <c r="L4602" s="25"/>
      <c r="Q4602" s="17"/>
    </row>
    <row r="4603" spans="12:17" x14ac:dyDescent="0.3">
      <c r="L4603" s="25"/>
      <c r="Q4603" s="17"/>
    </row>
    <row r="4604" spans="12:17" x14ac:dyDescent="0.3">
      <c r="L4604" s="25"/>
      <c r="Q4604" s="17"/>
    </row>
    <row r="4605" spans="12:17" x14ac:dyDescent="0.3">
      <c r="L4605" s="25"/>
      <c r="Q4605" s="17"/>
    </row>
    <row r="4606" spans="12:17" x14ac:dyDescent="0.3">
      <c r="L4606" s="25"/>
      <c r="Q4606" s="17"/>
    </row>
    <row r="4607" spans="12:17" x14ac:dyDescent="0.3">
      <c r="L4607" s="25"/>
      <c r="Q4607" s="17"/>
    </row>
    <row r="4608" spans="12:17" x14ac:dyDescent="0.3">
      <c r="L4608" s="25"/>
      <c r="Q4608" s="17"/>
    </row>
    <row r="4609" spans="12:17" x14ac:dyDescent="0.3">
      <c r="L4609" s="25"/>
      <c r="Q4609" s="17"/>
    </row>
    <row r="4610" spans="12:17" x14ac:dyDescent="0.3">
      <c r="L4610" s="25"/>
      <c r="Q4610" s="17"/>
    </row>
    <row r="4611" spans="12:17" x14ac:dyDescent="0.3">
      <c r="L4611" s="25"/>
      <c r="Q4611" s="17"/>
    </row>
    <row r="4612" spans="12:17" x14ac:dyDescent="0.3">
      <c r="L4612" s="25"/>
      <c r="Q4612" s="17"/>
    </row>
    <row r="4613" spans="12:17" x14ac:dyDescent="0.3">
      <c r="L4613" s="25"/>
      <c r="Q4613" s="17"/>
    </row>
    <row r="4614" spans="12:17" x14ac:dyDescent="0.3">
      <c r="L4614" s="25"/>
      <c r="Q4614" s="17"/>
    </row>
    <row r="4615" spans="12:17" x14ac:dyDescent="0.3">
      <c r="L4615" s="25"/>
      <c r="Q4615" s="17"/>
    </row>
    <row r="4616" spans="12:17" x14ac:dyDescent="0.3">
      <c r="L4616" s="25"/>
      <c r="Q4616" s="17"/>
    </row>
    <row r="4617" spans="12:17" x14ac:dyDescent="0.3">
      <c r="L4617" s="25"/>
      <c r="Q4617" s="17"/>
    </row>
    <row r="4618" spans="12:17" x14ac:dyDescent="0.3">
      <c r="L4618" s="25"/>
      <c r="Q4618" s="17"/>
    </row>
    <row r="4619" spans="12:17" x14ac:dyDescent="0.3">
      <c r="L4619" s="25"/>
      <c r="Q4619" s="17"/>
    </row>
    <row r="4620" spans="12:17" x14ac:dyDescent="0.3">
      <c r="L4620" s="25"/>
      <c r="Q4620" s="17"/>
    </row>
    <row r="4621" spans="12:17" x14ac:dyDescent="0.3">
      <c r="L4621" s="25"/>
      <c r="Q4621" s="17"/>
    </row>
    <row r="4622" spans="12:17" x14ac:dyDescent="0.3">
      <c r="L4622" s="25"/>
      <c r="Q4622" s="17"/>
    </row>
    <row r="4623" spans="12:17" x14ac:dyDescent="0.3">
      <c r="L4623" s="25"/>
      <c r="Q4623" s="17"/>
    </row>
    <row r="4624" spans="12:17" x14ac:dyDescent="0.3">
      <c r="L4624" s="25"/>
      <c r="Q4624" s="17"/>
    </row>
    <row r="4625" spans="12:17" x14ac:dyDescent="0.3">
      <c r="L4625" s="25"/>
      <c r="Q4625" s="17"/>
    </row>
    <row r="4626" spans="12:17" x14ac:dyDescent="0.3">
      <c r="L4626" s="25"/>
      <c r="Q4626" s="17"/>
    </row>
    <row r="4627" spans="12:17" x14ac:dyDescent="0.3">
      <c r="L4627" s="25"/>
      <c r="Q4627" s="17"/>
    </row>
    <row r="4628" spans="12:17" x14ac:dyDescent="0.3">
      <c r="L4628" s="25"/>
      <c r="Q4628" s="17"/>
    </row>
    <row r="4629" spans="12:17" x14ac:dyDescent="0.3">
      <c r="L4629" s="25"/>
      <c r="Q4629" s="17"/>
    </row>
    <row r="4630" spans="12:17" x14ac:dyDescent="0.3">
      <c r="L4630" s="25"/>
      <c r="Q4630" s="17"/>
    </row>
    <row r="4631" spans="12:17" x14ac:dyDescent="0.3">
      <c r="L4631" s="25"/>
      <c r="Q4631" s="17"/>
    </row>
    <row r="4632" spans="12:17" x14ac:dyDescent="0.3">
      <c r="L4632" s="25"/>
      <c r="Q4632" s="17"/>
    </row>
    <row r="4633" spans="12:17" x14ac:dyDescent="0.3">
      <c r="L4633" s="25"/>
      <c r="Q4633" s="17"/>
    </row>
    <row r="4634" spans="12:17" x14ac:dyDescent="0.3">
      <c r="L4634" s="25"/>
      <c r="Q4634" s="17"/>
    </row>
    <row r="4635" spans="12:17" x14ac:dyDescent="0.3">
      <c r="L4635" s="25"/>
      <c r="Q4635" s="17"/>
    </row>
    <row r="4636" spans="12:17" x14ac:dyDescent="0.3">
      <c r="L4636" s="25"/>
      <c r="Q4636" s="17"/>
    </row>
    <row r="4637" spans="12:17" x14ac:dyDescent="0.3">
      <c r="L4637" s="25"/>
      <c r="Q4637" s="17"/>
    </row>
    <row r="4638" spans="12:17" x14ac:dyDescent="0.3">
      <c r="L4638" s="25"/>
      <c r="Q4638" s="17"/>
    </row>
    <row r="4639" spans="12:17" x14ac:dyDescent="0.3">
      <c r="L4639" s="25"/>
      <c r="Q4639" s="17"/>
    </row>
    <row r="4640" spans="12:17" x14ac:dyDescent="0.3">
      <c r="L4640" s="25"/>
      <c r="Q4640" s="17"/>
    </row>
    <row r="4641" spans="12:17" x14ac:dyDescent="0.3">
      <c r="L4641" s="25"/>
      <c r="Q4641" s="17"/>
    </row>
    <row r="4642" spans="12:17" x14ac:dyDescent="0.3">
      <c r="L4642" s="25"/>
      <c r="Q4642" s="17"/>
    </row>
    <row r="4643" spans="12:17" x14ac:dyDescent="0.3">
      <c r="L4643" s="25"/>
      <c r="Q4643" s="17"/>
    </row>
    <row r="4644" spans="12:17" x14ac:dyDescent="0.3">
      <c r="L4644" s="25"/>
      <c r="Q4644" s="17"/>
    </row>
    <row r="4645" spans="12:17" x14ac:dyDescent="0.3">
      <c r="L4645" s="25"/>
      <c r="Q4645" s="17"/>
    </row>
    <row r="4646" spans="12:17" x14ac:dyDescent="0.3">
      <c r="L4646" s="25"/>
      <c r="Q4646" s="17"/>
    </row>
    <row r="4647" spans="12:17" x14ac:dyDescent="0.3">
      <c r="L4647" s="25"/>
      <c r="Q4647" s="17"/>
    </row>
    <row r="4648" spans="12:17" x14ac:dyDescent="0.3">
      <c r="L4648" s="25"/>
      <c r="Q4648" s="17"/>
    </row>
    <row r="4649" spans="12:17" x14ac:dyDescent="0.3">
      <c r="L4649" s="25"/>
      <c r="Q4649" s="17"/>
    </row>
    <row r="4650" spans="12:17" x14ac:dyDescent="0.3">
      <c r="L4650" s="25"/>
      <c r="Q4650" s="17"/>
    </row>
    <row r="4651" spans="12:17" x14ac:dyDescent="0.3">
      <c r="L4651" s="25"/>
      <c r="Q4651" s="17"/>
    </row>
    <row r="4652" spans="12:17" x14ac:dyDescent="0.3">
      <c r="L4652" s="25"/>
      <c r="Q4652" s="17"/>
    </row>
    <row r="4653" spans="12:17" x14ac:dyDescent="0.3">
      <c r="L4653" s="25"/>
      <c r="Q4653" s="17"/>
    </row>
    <row r="4654" spans="12:17" x14ac:dyDescent="0.3">
      <c r="L4654" s="25"/>
      <c r="Q4654" s="17"/>
    </row>
    <row r="4655" spans="12:17" x14ac:dyDescent="0.3">
      <c r="L4655" s="25"/>
      <c r="Q4655" s="17"/>
    </row>
    <row r="4656" spans="12:17" x14ac:dyDescent="0.3">
      <c r="L4656" s="25"/>
      <c r="Q4656" s="17"/>
    </row>
    <row r="4657" spans="12:17" x14ac:dyDescent="0.3">
      <c r="L4657" s="25"/>
      <c r="Q4657" s="17"/>
    </row>
    <row r="4658" spans="12:17" x14ac:dyDescent="0.3">
      <c r="L4658" s="25"/>
      <c r="Q4658" s="17"/>
    </row>
    <row r="4659" spans="12:17" x14ac:dyDescent="0.3">
      <c r="L4659" s="25"/>
      <c r="Q4659" s="17"/>
    </row>
    <row r="4660" spans="12:17" x14ac:dyDescent="0.3">
      <c r="L4660" s="25"/>
      <c r="Q4660" s="17"/>
    </row>
    <row r="4661" spans="12:17" x14ac:dyDescent="0.3">
      <c r="L4661" s="25"/>
      <c r="Q4661" s="17"/>
    </row>
    <row r="4662" spans="12:17" x14ac:dyDescent="0.3">
      <c r="L4662" s="25"/>
      <c r="Q4662" s="17"/>
    </row>
    <row r="4663" spans="12:17" x14ac:dyDescent="0.3">
      <c r="L4663" s="25"/>
      <c r="Q4663" s="17"/>
    </row>
    <row r="4664" spans="12:17" x14ac:dyDescent="0.3">
      <c r="L4664" s="25"/>
      <c r="Q4664" s="17"/>
    </row>
    <row r="4665" spans="12:17" x14ac:dyDescent="0.3">
      <c r="L4665" s="25"/>
      <c r="Q4665" s="17"/>
    </row>
    <row r="4666" spans="12:17" x14ac:dyDescent="0.3">
      <c r="L4666" s="25"/>
      <c r="Q4666" s="17"/>
    </row>
    <row r="4667" spans="12:17" x14ac:dyDescent="0.3">
      <c r="L4667" s="25"/>
      <c r="Q4667" s="17"/>
    </row>
    <row r="4668" spans="12:17" x14ac:dyDescent="0.3">
      <c r="L4668" s="25"/>
      <c r="Q4668" s="17"/>
    </row>
    <row r="4669" spans="12:17" x14ac:dyDescent="0.3">
      <c r="L4669" s="25"/>
      <c r="Q4669" s="17"/>
    </row>
    <row r="4670" spans="12:17" x14ac:dyDescent="0.3">
      <c r="L4670" s="25"/>
      <c r="Q4670" s="17"/>
    </row>
    <row r="4671" spans="12:17" x14ac:dyDescent="0.3">
      <c r="L4671" s="25"/>
      <c r="Q4671" s="17"/>
    </row>
    <row r="4672" spans="12:17" x14ac:dyDescent="0.3">
      <c r="L4672" s="25"/>
      <c r="Q4672" s="17"/>
    </row>
    <row r="4673" spans="12:17" x14ac:dyDescent="0.3">
      <c r="L4673" s="25"/>
      <c r="Q4673" s="17"/>
    </row>
    <row r="4674" spans="12:17" x14ac:dyDescent="0.3">
      <c r="L4674" s="25"/>
      <c r="Q4674" s="17"/>
    </row>
    <row r="4675" spans="12:17" x14ac:dyDescent="0.3">
      <c r="L4675" s="25"/>
      <c r="Q4675" s="17"/>
    </row>
    <row r="4676" spans="12:17" x14ac:dyDescent="0.3">
      <c r="L4676" s="25"/>
      <c r="Q4676" s="17"/>
    </row>
    <row r="4677" spans="12:17" x14ac:dyDescent="0.3">
      <c r="L4677" s="25"/>
      <c r="Q4677" s="17"/>
    </row>
    <row r="4678" spans="12:17" x14ac:dyDescent="0.3">
      <c r="L4678" s="25"/>
      <c r="Q4678" s="17"/>
    </row>
    <row r="4679" spans="12:17" x14ac:dyDescent="0.3">
      <c r="L4679" s="25"/>
      <c r="Q4679" s="17"/>
    </row>
    <row r="4680" spans="12:17" x14ac:dyDescent="0.3">
      <c r="L4680" s="25"/>
      <c r="Q4680" s="17"/>
    </row>
    <row r="4681" spans="12:17" x14ac:dyDescent="0.3">
      <c r="L4681" s="25"/>
      <c r="Q4681" s="17"/>
    </row>
    <row r="4682" spans="12:17" x14ac:dyDescent="0.3">
      <c r="L4682" s="25"/>
      <c r="Q4682" s="17"/>
    </row>
    <row r="4683" spans="12:17" x14ac:dyDescent="0.3">
      <c r="L4683" s="25"/>
      <c r="Q4683" s="17"/>
    </row>
    <row r="4684" spans="12:17" x14ac:dyDescent="0.3">
      <c r="L4684" s="25"/>
      <c r="Q4684" s="17"/>
    </row>
    <row r="4685" spans="12:17" x14ac:dyDescent="0.3">
      <c r="L4685" s="25"/>
      <c r="Q4685" s="17"/>
    </row>
    <row r="4686" spans="12:17" x14ac:dyDescent="0.3">
      <c r="L4686" s="25"/>
      <c r="Q4686" s="17"/>
    </row>
    <row r="4687" spans="12:17" x14ac:dyDescent="0.3">
      <c r="L4687" s="25"/>
      <c r="Q4687" s="17"/>
    </row>
    <row r="4688" spans="12:17" x14ac:dyDescent="0.3">
      <c r="L4688" s="25"/>
      <c r="Q4688" s="17"/>
    </row>
    <row r="4689" spans="12:17" x14ac:dyDescent="0.3">
      <c r="L4689" s="25"/>
      <c r="Q4689" s="17"/>
    </row>
    <row r="4690" spans="12:17" x14ac:dyDescent="0.3">
      <c r="L4690" s="25"/>
      <c r="Q4690" s="17"/>
    </row>
    <row r="4691" spans="12:17" x14ac:dyDescent="0.3">
      <c r="L4691" s="25"/>
      <c r="Q4691" s="17"/>
    </row>
    <row r="4692" spans="12:17" x14ac:dyDescent="0.3">
      <c r="L4692" s="25"/>
      <c r="Q4692" s="17"/>
    </row>
    <row r="4693" spans="12:17" x14ac:dyDescent="0.3">
      <c r="L4693" s="25"/>
      <c r="Q4693" s="17"/>
    </row>
    <row r="4694" spans="12:17" x14ac:dyDescent="0.3">
      <c r="L4694" s="25"/>
      <c r="Q4694" s="17"/>
    </row>
    <row r="4695" spans="12:17" x14ac:dyDescent="0.3">
      <c r="L4695" s="25"/>
      <c r="Q4695" s="17"/>
    </row>
    <row r="4696" spans="12:17" x14ac:dyDescent="0.3">
      <c r="L4696" s="25"/>
      <c r="Q4696" s="17"/>
    </row>
    <row r="4697" spans="12:17" x14ac:dyDescent="0.3">
      <c r="L4697" s="25"/>
      <c r="Q4697" s="17"/>
    </row>
    <row r="4698" spans="12:17" x14ac:dyDescent="0.3">
      <c r="L4698" s="25"/>
      <c r="Q4698" s="17"/>
    </row>
    <row r="4699" spans="12:17" x14ac:dyDescent="0.3">
      <c r="L4699" s="25"/>
      <c r="Q4699" s="17"/>
    </row>
    <row r="4700" spans="12:17" x14ac:dyDescent="0.3">
      <c r="L4700" s="25"/>
      <c r="Q4700" s="17"/>
    </row>
    <row r="4701" spans="12:17" x14ac:dyDescent="0.3">
      <c r="L4701" s="25"/>
      <c r="Q4701" s="17"/>
    </row>
    <row r="4702" spans="12:17" x14ac:dyDescent="0.3">
      <c r="L4702" s="25"/>
      <c r="Q4702" s="17"/>
    </row>
    <row r="4703" spans="12:17" x14ac:dyDescent="0.3">
      <c r="L4703" s="25"/>
      <c r="Q4703" s="17"/>
    </row>
    <row r="4704" spans="12:17" x14ac:dyDescent="0.3">
      <c r="L4704" s="25"/>
      <c r="Q4704" s="17"/>
    </row>
    <row r="4705" spans="12:17" x14ac:dyDescent="0.3">
      <c r="L4705" s="25"/>
      <c r="Q4705" s="17"/>
    </row>
    <row r="4706" spans="12:17" x14ac:dyDescent="0.3">
      <c r="L4706" s="25"/>
      <c r="Q4706" s="17"/>
    </row>
    <row r="4707" spans="12:17" x14ac:dyDescent="0.3">
      <c r="L4707" s="25"/>
      <c r="Q4707" s="17"/>
    </row>
    <row r="4708" spans="12:17" x14ac:dyDescent="0.3">
      <c r="L4708" s="25"/>
      <c r="Q4708" s="17"/>
    </row>
    <row r="4709" spans="12:17" x14ac:dyDescent="0.3">
      <c r="L4709" s="25"/>
      <c r="Q4709" s="17"/>
    </row>
    <row r="4710" spans="12:17" x14ac:dyDescent="0.3">
      <c r="L4710" s="25"/>
      <c r="Q4710" s="17"/>
    </row>
    <row r="4711" spans="12:17" x14ac:dyDescent="0.3">
      <c r="L4711" s="25"/>
      <c r="Q4711" s="17"/>
    </row>
    <row r="4712" spans="12:17" x14ac:dyDescent="0.3">
      <c r="L4712" s="25"/>
      <c r="Q4712" s="17"/>
    </row>
    <row r="4713" spans="12:17" x14ac:dyDescent="0.3">
      <c r="L4713" s="25"/>
      <c r="Q4713" s="17"/>
    </row>
    <row r="4714" spans="12:17" x14ac:dyDescent="0.3">
      <c r="L4714" s="25"/>
      <c r="Q4714" s="17"/>
    </row>
    <row r="4715" spans="12:17" x14ac:dyDescent="0.3">
      <c r="L4715" s="25"/>
      <c r="Q4715" s="17"/>
    </row>
    <row r="4716" spans="12:17" x14ac:dyDescent="0.3">
      <c r="L4716" s="25"/>
      <c r="Q4716" s="17"/>
    </row>
    <row r="4717" spans="12:17" x14ac:dyDescent="0.3">
      <c r="L4717" s="25"/>
      <c r="Q4717" s="17"/>
    </row>
    <row r="4718" spans="12:17" x14ac:dyDescent="0.3">
      <c r="L4718" s="25"/>
      <c r="Q4718" s="17"/>
    </row>
    <row r="4719" spans="12:17" x14ac:dyDescent="0.3">
      <c r="L4719" s="25"/>
      <c r="Q4719" s="17"/>
    </row>
    <row r="4720" spans="12:17" x14ac:dyDescent="0.3">
      <c r="L4720" s="25"/>
      <c r="Q4720" s="17"/>
    </row>
    <row r="4721" spans="12:17" x14ac:dyDescent="0.3">
      <c r="L4721" s="25"/>
      <c r="Q4721" s="17"/>
    </row>
    <row r="4722" spans="12:17" x14ac:dyDescent="0.3">
      <c r="L4722" s="25"/>
      <c r="Q4722" s="17"/>
    </row>
    <row r="4723" spans="12:17" x14ac:dyDescent="0.3">
      <c r="L4723" s="25"/>
      <c r="Q4723" s="17"/>
    </row>
    <row r="4724" spans="12:17" x14ac:dyDescent="0.3">
      <c r="L4724" s="25"/>
      <c r="Q4724" s="17"/>
    </row>
    <row r="4725" spans="12:17" x14ac:dyDescent="0.3">
      <c r="L4725" s="25"/>
      <c r="Q4725" s="17"/>
    </row>
    <row r="4726" spans="12:17" x14ac:dyDescent="0.3">
      <c r="L4726" s="25"/>
      <c r="Q4726" s="17"/>
    </row>
    <row r="4727" spans="12:17" x14ac:dyDescent="0.3">
      <c r="L4727" s="25"/>
      <c r="Q4727" s="17"/>
    </row>
    <row r="4728" spans="12:17" x14ac:dyDescent="0.3">
      <c r="L4728" s="25"/>
      <c r="Q4728" s="17"/>
    </row>
    <row r="4729" spans="12:17" x14ac:dyDescent="0.3">
      <c r="L4729" s="25"/>
      <c r="Q4729" s="17"/>
    </row>
    <row r="4730" spans="12:17" x14ac:dyDescent="0.3">
      <c r="L4730" s="25"/>
      <c r="Q4730" s="17"/>
    </row>
    <row r="4731" spans="12:17" x14ac:dyDescent="0.3">
      <c r="L4731" s="25"/>
      <c r="Q4731" s="17"/>
    </row>
    <row r="4732" spans="12:17" x14ac:dyDescent="0.3">
      <c r="L4732" s="25"/>
      <c r="Q4732" s="17"/>
    </row>
    <row r="4733" spans="12:17" x14ac:dyDescent="0.3">
      <c r="L4733" s="25"/>
      <c r="Q4733" s="17"/>
    </row>
    <row r="4734" spans="12:17" x14ac:dyDescent="0.3">
      <c r="L4734" s="25"/>
      <c r="Q4734" s="17"/>
    </row>
    <row r="4735" spans="12:17" x14ac:dyDescent="0.3">
      <c r="L4735" s="25"/>
      <c r="Q4735" s="17"/>
    </row>
    <row r="4736" spans="12:17" x14ac:dyDescent="0.3">
      <c r="L4736" s="25"/>
      <c r="Q4736" s="17"/>
    </row>
    <row r="4737" spans="12:17" x14ac:dyDescent="0.3">
      <c r="L4737" s="25"/>
      <c r="Q4737" s="17"/>
    </row>
    <row r="4738" spans="12:17" x14ac:dyDescent="0.3">
      <c r="L4738" s="25"/>
      <c r="Q4738" s="17"/>
    </row>
    <row r="4739" spans="12:17" x14ac:dyDescent="0.3">
      <c r="L4739" s="25"/>
      <c r="Q4739" s="17"/>
    </row>
    <row r="4740" spans="12:17" x14ac:dyDescent="0.3">
      <c r="L4740" s="25"/>
      <c r="Q4740" s="17"/>
    </row>
    <row r="4741" spans="12:17" x14ac:dyDescent="0.3">
      <c r="L4741" s="25"/>
      <c r="Q4741" s="17"/>
    </row>
    <row r="4742" spans="12:17" x14ac:dyDescent="0.3">
      <c r="L4742" s="25"/>
      <c r="Q4742" s="17"/>
    </row>
    <row r="4743" spans="12:17" x14ac:dyDescent="0.3">
      <c r="L4743" s="25"/>
      <c r="Q4743" s="17"/>
    </row>
    <row r="4744" spans="12:17" x14ac:dyDescent="0.3">
      <c r="L4744" s="25"/>
      <c r="Q4744" s="17"/>
    </row>
    <row r="4745" spans="12:17" x14ac:dyDescent="0.3">
      <c r="L4745" s="25"/>
      <c r="Q4745" s="17"/>
    </row>
    <row r="4746" spans="12:17" x14ac:dyDescent="0.3">
      <c r="L4746" s="25"/>
      <c r="Q4746" s="17"/>
    </row>
    <row r="4747" spans="12:17" x14ac:dyDescent="0.3">
      <c r="L4747" s="25"/>
      <c r="Q4747" s="17"/>
    </row>
    <row r="4748" spans="12:17" x14ac:dyDescent="0.3">
      <c r="L4748" s="25"/>
      <c r="Q4748" s="17"/>
    </row>
    <row r="4749" spans="12:17" x14ac:dyDescent="0.3">
      <c r="L4749" s="25"/>
      <c r="Q4749" s="17"/>
    </row>
    <row r="4750" spans="12:17" x14ac:dyDescent="0.3">
      <c r="L4750" s="25"/>
      <c r="Q4750" s="17"/>
    </row>
    <row r="4751" spans="12:17" x14ac:dyDescent="0.3">
      <c r="L4751" s="25"/>
      <c r="Q4751" s="17"/>
    </row>
    <row r="4752" spans="12:17" x14ac:dyDescent="0.3">
      <c r="L4752" s="25"/>
      <c r="Q4752" s="17"/>
    </row>
    <row r="4753" spans="12:17" x14ac:dyDescent="0.3">
      <c r="L4753" s="25"/>
      <c r="Q4753" s="17"/>
    </row>
    <row r="4754" spans="12:17" x14ac:dyDescent="0.3">
      <c r="L4754" s="25"/>
      <c r="Q4754" s="17"/>
    </row>
    <row r="4755" spans="12:17" x14ac:dyDescent="0.3">
      <c r="L4755" s="25"/>
      <c r="Q4755" s="17"/>
    </row>
    <row r="4756" spans="12:17" x14ac:dyDescent="0.3">
      <c r="L4756" s="25"/>
      <c r="Q4756" s="17"/>
    </row>
    <row r="4757" spans="12:17" x14ac:dyDescent="0.3">
      <c r="L4757" s="25"/>
      <c r="Q4757" s="17"/>
    </row>
    <row r="4758" spans="12:17" x14ac:dyDescent="0.3">
      <c r="L4758" s="25"/>
      <c r="Q4758" s="17"/>
    </row>
    <row r="4759" spans="12:17" x14ac:dyDescent="0.3">
      <c r="L4759" s="25"/>
      <c r="Q4759" s="17"/>
    </row>
    <row r="4760" spans="12:17" x14ac:dyDescent="0.3">
      <c r="L4760" s="25"/>
      <c r="Q4760" s="17"/>
    </row>
    <row r="4761" spans="12:17" x14ac:dyDescent="0.3">
      <c r="L4761" s="25"/>
      <c r="Q4761" s="17"/>
    </row>
    <row r="4762" spans="12:17" x14ac:dyDescent="0.3">
      <c r="L4762" s="25"/>
      <c r="Q4762" s="17"/>
    </row>
    <row r="4763" spans="12:17" x14ac:dyDescent="0.3">
      <c r="L4763" s="25"/>
      <c r="Q4763" s="17"/>
    </row>
    <row r="4764" spans="12:17" x14ac:dyDescent="0.3">
      <c r="L4764" s="25"/>
      <c r="Q4764" s="17"/>
    </row>
    <row r="4765" spans="12:17" x14ac:dyDescent="0.3">
      <c r="L4765" s="25"/>
      <c r="Q4765" s="17"/>
    </row>
    <row r="4766" spans="12:17" x14ac:dyDescent="0.3">
      <c r="L4766" s="25"/>
      <c r="Q4766" s="17"/>
    </row>
    <row r="4767" spans="12:17" x14ac:dyDescent="0.3">
      <c r="L4767" s="25"/>
      <c r="Q4767" s="17"/>
    </row>
    <row r="4768" spans="12:17" x14ac:dyDescent="0.3">
      <c r="L4768" s="25"/>
      <c r="Q4768" s="17"/>
    </row>
    <row r="4769" spans="12:17" x14ac:dyDescent="0.3">
      <c r="L4769" s="25"/>
      <c r="Q4769" s="17"/>
    </row>
    <row r="4770" spans="12:17" x14ac:dyDescent="0.3">
      <c r="L4770" s="25"/>
      <c r="Q4770" s="17"/>
    </row>
    <row r="4771" spans="12:17" x14ac:dyDescent="0.3">
      <c r="L4771" s="25"/>
      <c r="Q4771" s="17"/>
    </row>
    <row r="4772" spans="12:17" x14ac:dyDescent="0.3">
      <c r="L4772" s="25"/>
      <c r="Q4772" s="17"/>
    </row>
    <row r="4773" spans="12:17" x14ac:dyDescent="0.3">
      <c r="L4773" s="25"/>
      <c r="Q4773" s="17"/>
    </row>
    <row r="4774" spans="12:17" x14ac:dyDescent="0.3">
      <c r="L4774" s="25"/>
      <c r="Q4774" s="17"/>
    </row>
    <row r="4775" spans="12:17" x14ac:dyDescent="0.3">
      <c r="L4775" s="25"/>
      <c r="Q4775" s="17"/>
    </row>
    <row r="4776" spans="12:17" x14ac:dyDescent="0.3">
      <c r="L4776" s="25"/>
      <c r="Q4776" s="17"/>
    </row>
    <row r="4777" spans="12:17" x14ac:dyDescent="0.3">
      <c r="L4777" s="25"/>
      <c r="Q4777" s="17"/>
    </row>
    <row r="4778" spans="12:17" x14ac:dyDescent="0.3">
      <c r="L4778" s="25"/>
      <c r="Q4778" s="17"/>
    </row>
    <row r="4779" spans="12:17" x14ac:dyDescent="0.3">
      <c r="L4779" s="25"/>
      <c r="Q4779" s="17"/>
    </row>
    <row r="4780" spans="12:17" x14ac:dyDescent="0.3">
      <c r="L4780" s="25"/>
      <c r="Q4780" s="17"/>
    </row>
    <row r="4781" spans="12:17" x14ac:dyDescent="0.3">
      <c r="L4781" s="25"/>
      <c r="Q4781" s="17"/>
    </row>
    <row r="4782" spans="12:17" x14ac:dyDescent="0.3">
      <c r="L4782" s="25"/>
      <c r="Q4782" s="17"/>
    </row>
    <row r="4783" spans="12:17" x14ac:dyDescent="0.3">
      <c r="L4783" s="25"/>
      <c r="Q4783" s="17"/>
    </row>
    <row r="4784" spans="12:17" x14ac:dyDescent="0.3">
      <c r="L4784" s="25"/>
      <c r="Q4784" s="17"/>
    </row>
    <row r="4785" spans="12:17" x14ac:dyDescent="0.3">
      <c r="L4785" s="25"/>
      <c r="Q4785" s="17"/>
    </row>
    <row r="4786" spans="12:17" x14ac:dyDescent="0.3">
      <c r="L4786" s="25"/>
      <c r="Q4786" s="17"/>
    </row>
    <row r="4787" spans="12:17" x14ac:dyDescent="0.3">
      <c r="L4787" s="25"/>
      <c r="Q4787" s="17"/>
    </row>
    <row r="4788" spans="12:17" x14ac:dyDescent="0.3">
      <c r="L4788" s="25"/>
      <c r="Q4788" s="17"/>
    </row>
    <row r="4789" spans="12:17" x14ac:dyDescent="0.3">
      <c r="L4789" s="25"/>
      <c r="Q4789" s="17"/>
    </row>
    <row r="4790" spans="12:17" x14ac:dyDescent="0.3">
      <c r="L4790" s="25"/>
      <c r="Q4790" s="17"/>
    </row>
    <row r="4791" spans="12:17" x14ac:dyDescent="0.3">
      <c r="L4791" s="25"/>
      <c r="Q4791" s="17"/>
    </row>
    <row r="4792" spans="12:17" x14ac:dyDescent="0.3">
      <c r="L4792" s="25"/>
      <c r="Q4792" s="17"/>
    </row>
    <row r="4793" spans="12:17" x14ac:dyDescent="0.3">
      <c r="L4793" s="25"/>
      <c r="Q4793" s="17"/>
    </row>
    <row r="4794" spans="12:17" x14ac:dyDescent="0.3">
      <c r="L4794" s="25"/>
      <c r="Q4794" s="17"/>
    </row>
    <row r="4795" spans="12:17" x14ac:dyDescent="0.3">
      <c r="L4795" s="25"/>
      <c r="Q4795" s="17"/>
    </row>
    <row r="4796" spans="12:17" x14ac:dyDescent="0.3">
      <c r="L4796" s="25"/>
      <c r="Q4796" s="17"/>
    </row>
    <row r="4797" spans="12:17" x14ac:dyDescent="0.3">
      <c r="L4797" s="25"/>
      <c r="Q4797" s="17"/>
    </row>
    <row r="4798" spans="12:17" x14ac:dyDescent="0.3">
      <c r="L4798" s="25"/>
      <c r="Q4798" s="17"/>
    </row>
    <row r="4799" spans="12:17" x14ac:dyDescent="0.3">
      <c r="L4799" s="25"/>
      <c r="Q4799" s="17"/>
    </row>
    <row r="4800" spans="12:17" x14ac:dyDescent="0.3">
      <c r="L4800" s="25"/>
      <c r="Q4800" s="17"/>
    </row>
    <row r="4801" spans="12:17" x14ac:dyDescent="0.3">
      <c r="L4801" s="25"/>
      <c r="Q4801" s="17"/>
    </row>
    <row r="4802" spans="12:17" x14ac:dyDescent="0.3">
      <c r="L4802" s="25"/>
      <c r="Q4802" s="17"/>
    </row>
    <row r="4803" spans="12:17" x14ac:dyDescent="0.3">
      <c r="L4803" s="25"/>
      <c r="Q4803" s="17"/>
    </row>
    <row r="4804" spans="12:17" x14ac:dyDescent="0.3">
      <c r="L4804" s="25"/>
      <c r="Q4804" s="17"/>
    </row>
    <row r="4805" spans="12:17" x14ac:dyDescent="0.3">
      <c r="L4805" s="25"/>
      <c r="Q4805" s="17"/>
    </row>
    <row r="4806" spans="12:17" x14ac:dyDescent="0.3">
      <c r="L4806" s="25"/>
      <c r="Q4806" s="17"/>
    </row>
    <row r="4807" spans="12:17" x14ac:dyDescent="0.3">
      <c r="L4807" s="25"/>
      <c r="Q4807" s="17"/>
    </row>
    <row r="4808" spans="12:17" x14ac:dyDescent="0.3">
      <c r="L4808" s="25"/>
      <c r="Q4808" s="17"/>
    </row>
    <row r="4809" spans="12:17" x14ac:dyDescent="0.3">
      <c r="L4809" s="25"/>
      <c r="Q4809" s="17"/>
    </row>
    <row r="4810" spans="12:17" x14ac:dyDescent="0.3">
      <c r="L4810" s="25"/>
      <c r="Q4810" s="17"/>
    </row>
    <row r="4811" spans="12:17" x14ac:dyDescent="0.3">
      <c r="L4811" s="25"/>
      <c r="Q4811" s="17"/>
    </row>
    <row r="4812" spans="12:17" x14ac:dyDescent="0.3">
      <c r="L4812" s="25"/>
      <c r="Q4812" s="17"/>
    </row>
    <row r="4813" spans="12:17" x14ac:dyDescent="0.3">
      <c r="L4813" s="25"/>
      <c r="Q4813" s="17"/>
    </row>
    <row r="4814" spans="12:17" x14ac:dyDescent="0.3">
      <c r="L4814" s="25"/>
      <c r="Q4814" s="17"/>
    </row>
    <row r="4815" spans="12:17" x14ac:dyDescent="0.3">
      <c r="L4815" s="25"/>
      <c r="Q4815" s="17"/>
    </row>
    <row r="4816" spans="12:17" x14ac:dyDescent="0.3">
      <c r="L4816" s="25"/>
      <c r="Q4816" s="17"/>
    </row>
    <row r="4817" spans="12:17" x14ac:dyDescent="0.3">
      <c r="L4817" s="25"/>
      <c r="Q4817" s="17"/>
    </row>
    <row r="4818" spans="12:17" x14ac:dyDescent="0.3">
      <c r="L4818" s="25"/>
      <c r="Q4818" s="17"/>
    </row>
    <row r="4819" spans="12:17" x14ac:dyDescent="0.3">
      <c r="L4819" s="25"/>
      <c r="Q4819" s="17"/>
    </row>
    <row r="4820" spans="12:17" x14ac:dyDescent="0.3">
      <c r="L4820" s="25"/>
      <c r="Q4820" s="17"/>
    </row>
    <row r="4821" spans="12:17" x14ac:dyDescent="0.3">
      <c r="L4821" s="25"/>
      <c r="Q4821" s="17"/>
    </row>
    <row r="4822" spans="12:17" x14ac:dyDescent="0.3">
      <c r="L4822" s="25"/>
      <c r="Q4822" s="17"/>
    </row>
    <row r="4823" spans="12:17" x14ac:dyDescent="0.3">
      <c r="L4823" s="25"/>
      <c r="Q4823" s="17"/>
    </row>
    <row r="4824" spans="12:17" x14ac:dyDescent="0.3">
      <c r="L4824" s="25"/>
      <c r="Q4824" s="17"/>
    </row>
    <row r="4825" spans="12:17" x14ac:dyDescent="0.3">
      <c r="L4825" s="25"/>
      <c r="Q4825" s="17"/>
    </row>
    <row r="4826" spans="12:17" x14ac:dyDescent="0.3">
      <c r="L4826" s="25"/>
      <c r="Q4826" s="17"/>
    </row>
    <row r="4827" spans="12:17" x14ac:dyDescent="0.3">
      <c r="L4827" s="25"/>
      <c r="Q4827" s="17"/>
    </row>
    <row r="4828" spans="12:17" x14ac:dyDescent="0.3">
      <c r="L4828" s="25"/>
      <c r="Q4828" s="17"/>
    </row>
    <row r="4829" spans="12:17" x14ac:dyDescent="0.3">
      <c r="L4829" s="25"/>
      <c r="Q4829" s="17"/>
    </row>
    <row r="4830" spans="12:17" x14ac:dyDescent="0.3">
      <c r="L4830" s="25"/>
      <c r="Q4830" s="17"/>
    </row>
    <row r="4831" spans="12:17" x14ac:dyDescent="0.3">
      <c r="L4831" s="25"/>
      <c r="Q4831" s="17"/>
    </row>
    <row r="4832" spans="12:17" x14ac:dyDescent="0.3">
      <c r="L4832" s="25"/>
      <c r="Q4832" s="17"/>
    </row>
    <row r="4833" spans="12:17" x14ac:dyDescent="0.3">
      <c r="L4833" s="25"/>
      <c r="Q4833" s="17"/>
    </row>
    <row r="4834" spans="12:17" x14ac:dyDescent="0.3">
      <c r="L4834" s="25"/>
      <c r="Q4834" s="17"/>
    </row>
    <row r="4835" spans="12:17" x14ac:dyDescent="0.3">
      <c r="L4835" s="25"/>
      <c r="Q4835" s="17"/>
    </row>
    <row r="4836" spans="12:17" x14ac:dyDescent="0.3">
      <c r="L4836" s="25"/>
      <c r="Q4836" s="17"/>
    </row>
    <row r="4837" spans="12:17" x14ac:dyDescent="0.3">
      <c r="L4837" s="25"/>
      <c r="Q4837" s="17"/>
    </row>
    <row r="4838" spans="12:17" x14ac:dyDescent="0.3">
      <c r="L4838" s="25"/>
      <c r="Q4838" s="17"/>
    </row>
    <row r="4839" spans="12:17" x14ac:dyDescent="0.3">
      <c r="L4839" s="25"/>
      <c r="Q4839" s="17"/>
    </row>
    <row r="4840" spans="12:17" x14ac:dyDescent="0.3">
      <c r="L4840" s="25"/>
      <c r="Q4840" s="17"/>
    </row>
    <row r="4841" spans="12:17" x14ac:dyDescent="0.3">
      <c r="L4841" s="25"/>
      <c r="Q4841" s="17"/>
    </row>
    <row r="4842" spans="12:17" x14ac:dyDescent="0.3">
      <c r="L4842" s="25"/>
      <c r="Q4842" s="17"/>
    </row>
    <row r="4843" spans="12:17" x14ac:dyDescent="0.3">
      <c r="L4843" s="25"/>
      <c r="Q4843" s="17"/>
    </row>
    <row r="4844" spans="12:17" x14ac:dyDescent="0.3">
      <c r="L4844" s="25"/>
      <c r="Q4844" s="17"/>
    </row>
    <row r="4845" spans="12:17" x14ac:dyDescent="0.3">
      <c r="L4845" s="25"/>
      <c r="Q4845" s="17"/>
    </row>
    <row r="4846" spans="12:17" x14ac:dyDescent="0.3">
      <c r="L4846" s="25"/>
      <c r="Q4846" s="17"/>
    </row>
    <row r="4847" spans="12:17" x14ac:dyDescent="0.3">
      <c r="L4847" s="25"/>
      <c r="Q4847" s="17"/>
    </row>
    <row r="4848" spans="12:17" x14ac:dyDescent="0.3">
      <c r="L4848" s="25"/>
      <c r="Q4848" s="17"/>
    </row>
    <row r="4849" spans="12:17" x14ac:dyDescent="0.3">
      <c r="L4849" s="25"/>
      <c r="Q4849" s="17"/>
    </row>
    <row r="4850" spans="12:17" x14ac:dyDescent="0.3">
      <c r="L4850" s="25"/>
      <c r="Q4850" s="17"/>
    </row>
    <row r="4851" spans="12:17" x14ac:dyDescent="0.3">
      <c r="L4851" s="25"/>
      <c r="Q4851" s="17"/>
    </row>
    <row r="4852" spans="12:17" x14ac:dyDescent="0.3">
      <c r="L4852" s="25"/>
      <c r="Q4852" s="17"/>
    </row>
    <row r="4853" spans="12:17" x14ac:dyDescent="0.3">
      <c r="L4853" s="25"/>
      <c r="Q4853" s="17"/>
    </row>
    <row r="4854" spans="12:17" x14ac:dyDescent="0.3">
      <c r="L4854" s="25"/>
      <c r="Q4854" s="17"/>
    </row>
    <row r="4855" spans="12:17" x14ac:dyDescent="0.3">
      <c r="L4855" s="25"/>
      <c r="Q4855" s="17"/>
    </row>
    <row r="4856" spans="12:17" x14ac:dyDescent="0.3">
      <c r="L4856" s="25"/>
      <c r="Q4856" s="17"/>
    </row>
    <row r="4857" spans="12:17" x14ac:dyDescent="0.3">
      <c r="L4857" s="25"/>
      <c r="Q4857" s="17"/>
    </row>
    <row r="4858" spans="12:17" x14ac:dyDescent="0.3">
      <c r="L4858" s="25"/>
      <c r="Q4858" s="17"/>
    </row>
    <row r="4859" spans="12:17" x14ac:dyDescent="0.3">
      <c r="L4859" s="25"/>
      <c r="Q4859" s="17"/>
    </row>
    <row r="4860" spans="12:17" x14ac:dyDescent="0.3">
      <c r="L4860" s="25"/>
      <c r="Q4860" s="17"/>
    </row>
    <row r="4861" spans="12:17" x14ac:dyDescent="0.3">
      <c r="L4861" s="25"/>
      <c r="Q4861" s="17"/>
    </row>
    <row r="4862" spans="12:17" x14ac:dyDescent="0.3">
      <c r="L4862" s="25"/>
      <c r="Q4862" s="17"/>
    </row>
    <row r="4863" spans="12:17" x14ac:dyDescent="0.3">
      <c r="L4863" s="25"/>
      <c r="Q4863" s="17"/>
    </row>
    <row r="4864" spans="12:17" x14ac:dyDescent="0.3">
      <c r="L4864" s="25"/>
      <c r="Q4864" s="17"/>
    </row>
    <row r="4865" spans="12:17" x14ac:dyDescent="0.3">
      <c r="L4865" s="25"/>
      <c r="Q4865" s="17"/>
    </row>
    <row r="4866" spans="12:17" x14ac:dyDescent="0.3">
      <c r="L4866" s="25"/>
      <c r="Q4866" s="17"/>
    </row>
    <row r="4867" spans="12:17" x14ac:dyDescent="0.3">
      <c r="L4867" s="25"/>
      <c r="Q4867" s="17"/>
    </row>
    <row r="4868" spans="12:17" x14ac:dyDescent="0.3">
      <c r="L4868" s="25"/>
      <c r="Q4868" s="17"/>
    </row>
    <row r="4869" spans="12:17" x14ac:dyDescent="0.3">
      <c r="L4869" s="25"/>
      <c r="Q4869" s="17"/>
    </row>
    <row r="4870" spans="12:17" x14ac:dyDescent="0.3">
      <c r="L4870" s="25"/>
      <c r="Q4870" s="17"/>
    </row>
    <row r="4871" spans="12:17" x14ac:dyDescent="0.3">
      <c r="L4871" s="25"/>
      <c r="Q4871" s="17"/>
    </row>
    <row r="4872" spans="12:17" x14ac:dyDescent="0.3">
      <c r="L4872" s="25"/>
      <c r="Q4872" s="17"/>
    </row>
    <row r="4873" spans="12:17" x14ac:dyDescent="0.3">
      <c r="L4873" s="25"/>
      <c r="Q4873" s="17"/>
    </row>
    <row r="4874" spans="12:17" x14ac:dyDescent="0.3">
      <c r="L4874" s="25"/>
      <c r="Q4874" s="17"/>
    </row>
    <row r="4875" spans="12:17" x14ac:dyDescent="0.3">
      <c r="L4875" s="25"/>
      <c r="Q4875" s="17"/>
    </row>
    <row r="4876" spans="12:17" x14ac:dyDescent="0.3">
      <c r="L4876" s="25"/>
      <c r="Q4876" s="17"/>
    </row>
    <row r="4877" spans="12:17" x14ac:dyDescent="0.3">
      <c r="L4877" s="25"/>
      <c r="Q4877" s="17"/>
    </row>
    <row r="4878" spans="12:17" x14ac:dyDescent="0.3">
      <c r="L4878" s="25"/>
      <c r="Q4878" s="17"/>
    </row>
    <row r="4879" spans="12:17" x14ac:dyDescent="0.3">
      <c r="L4879" s="25"/>
      <c r="Q4879" s="17"/>
    </row>
    <row r="4880" spans="12:17" x14ac:dyDescent="0.3">
      <c r="L4880" s="25"/>
      <c r="Q4880" s="17"/>
    </row>
    <row r="4881" spans="12:17" x14ac:dyDescent="0.3">
      <c r="L4881" s="25"/>
      <c r="Q4881" s="17"/>
    </row>
    <row r="4882" spans="12:17" x14ac:dyDescent="0.3">
      <c r="L4882" s="25"/>
      <c r="Q4882" s="17"/>
    </row>
    <row r="4883" spans="12:17" x14ac:dyDescent="0.3">
      <c r="L4883" s="25"/>
      <c r="Q4883" s="17"/>
    </row>
    <row r="4884" spans="12:17" x14ac:dyDescent="0.3">
      <c r="L4884" s="25"/>
      <c r="Q4884" s="17"/>
    </row>
    <row r="4885" spans="12:17" x14ac:dyDescent="0.3">
      <c r="L4885" s="25"/>
      <c r="Q4885" s="17"/>
    </row>
    <row r="4886" spans="12:17" x14ac:dyDescent="0.3">
      <c r="L4886" s="25"/>
      <c r="Q4886" s="17"/>
    </row>
    <row r="4887" spans="12:17" x14ac:dyDescent="0.3">
      <c r="L4887" s="25"/>
      <c r="Q4887" s="17"/>
    </row>
    <row r="4888" spans="12:17" x14ac:dyDescent="0.3">
      <c r="L4888" s="25"/>
      <c r="Q4888" s="17"/>
    </row>
    <row r="4889" spans="12:17" x14ac:dyDescent="0.3">
      <c r="L4889" s="25"/>
      <c r="Q4889" s="17"/>
    </row>
    <row r="4890" spans="12:17" x14ac:dyDescent="0.3">
      <c r="L4890" s="25"/>
      <c r="Q4890" s="17"/>
    </row>
    <row r="4891" spans="12:17" x14ac:dyDescent="0.3">
      <c r="L4891" s="25"/>
      <c r="Q4891" s="17"/>
    </row>
    <row r="4892" spans="12:17" x14ac:dyDescent="0.3">
      <c r="L4892" s="25"/>
      <c r="Q4892" s="17"/>
    </row>
    <row r="4893" spans="12:17" x14ac:dyDescent="0.3">
      <c r="L4893" s="25"/>
      <c r="Q4893" s="17"/>
    </row>
    <row r="4894" spans="12:17" x14ac:dyDescent="0.3">
      <c r="L4894" s="25"/>
      <c r="Q4894" s="17"/>
    </row>
    <row r="4895" spans="12:17" x14ac:dyDescent="0.3">
      <c r="L4895" s="25"/>
      <c r="Q4895" s="17"/>
    </row>
    <row r="4896" spans="12:17" x14ac:dyDescent="0.3">
      <c r="L4896" s="25"/>
      <c r="Q4896" s="17"/>
    </row>
    <row r="4897" spans="12:17" x14ac:dyDescent="0.3">
      <c r="L4897" s="25"/>
      <c r="Q4897" s="17"/>
    </row>
    <row r="4898" spans="12:17" x14ac:dyDescent="0.3">
      <c r="L4898" s="25"/>
      <c r="Q4898" s="17"/>
    </row>
    <row r="4899" spans="12:17" x14ac:dyDescent="0.3">
      <c r="L4899" s="25"/>
      <c r="Q4899" s="17"/>
    </row>
    <row r="4900" spans="12:17" x14ac:dyDescent="0.3">
      <c r="L4900" s="25"/>
      <c r="Q4900" s="17"/>
    </row>
    <row r="4901" spans="12:17" x14ac:dyDescent="0.3">
      <c r="L4901" s="25"/>
      <c r="Q4901" s="17"/>
    </row>
    <row r="4902" spans="12:17" x14ac:dyDescent="0.3">
      <c r="L4902" s="25"/>
      <c r="Q4902" s="17"/>
    </row>
    <row r="4903" spans="12:17" x14ac:dyDescent="0.3">
      <c r="L4903" s="25"/>
      <c r="Q4903" s="17"/>
    </row>
    <row r="4904" spans="12:17" x14ac:dyDescent="0.3">
      <c r="L4904" s="25"/>
      <c r="Q4904" s="17"/>
    </row>
    <row r="4905" spans="12:17" x14ac:dyDescent="0.3">
      <c r="L4905" s="25"/>
      <c r="Q4905" s="17"/>
    </row>
    <row r="4906" spans="12:17" x14ac:dyDescent="0.3">
      <c r="L4906" s="25"/>
      <c r="Q4906" s="17"/>
    </row>
    <row r="4907" spans="12:17" x14ac:dyDescent="0.3">
      <c r="L4907" s="25"/>
      <c r="Q4907" s="17"/>
    </row>
    <row r="4908" spans="12:17" x14ac:dyDescent="0.3">
      <c r="L4908" s="25"/>
      <c r="Q4908" s="17"/>
    </row>
    <row r="4909" spans="12:17" x14ac:dyDescent="0.3">
      <c r="L4909" s="25"/>
      <c r="Q4909" s="17"/>
    </row>
    <row r="4910" spans="12:17" x14ac:dyDescent="0.3">
      <c r="L4910" s="25"/>
      <c r="Q4910" s="17"/>
    </row>
    <row r="4911" spans="12:17" x14ac:dyDescent="0.3">
      <c r="L4911" s="25"/>
      <c r="Q4911" s="17"/>
    </row>
    <row r="4912" spans="12:17" x14ac:dyDescent="0.3">
      <c r="L4912" s="25"/>
      <c r="Q4912" s="17"/>
    </row>
    <row r="4913" spans="12:17" x14ac:dyDescent="0.3">
      <c r="L4913" s="25"/>
      <c r="Q4913" s="17"/>
    </row>
    <row r="4914" spans="12:17" x14ac:dyDescent="0.3">
      <c r="L4914" s="25"/>
      <c r="Q4914" s="17"/>
    </row>
    <row r="4915" spans="12:17" x14ac:dyDescent="0.3">
      <c r="L4915" s="25"/>
      <c r="Q4915" s="17"/>
    </row>
    <row r="4916" spans="12:17" x14ac:dyDescent="0.3">
      <c r="L4916" s="25"/>
      <c r="Q4916" s="17"/>
    </row>
    <row r="4917" spans="12:17" x14ac:dyDescent="0.3">
      <c r="L4917" s="25"/>
      <c r="Q4917" s="17"/>
    </row>
    <row r="4918" spans="12:17" x14ac:dyDescent="0.3">
      <c r="L4918" s="25"/>
      <c r="Q4918" s="17"/>
    </row>
    <row r="4919" spans="12:17" x14ac:dyDescent="0.3">
      <c r="L4919" s="25"/>
      <c r="Q4919" s="17"/>
    </row>
    <row r="4920" spans="12:17" x14ac:dyDescent="0.3">
      <c r="L4920" s="25"/>
      <c r="Q4920" s="17"/>
    </row>
    <row r="4921" spans="12:17" x14ac:dyDescent="0.3">
      <c r="L4921" s="25"/>
      <c r="Q4921" s="17"/>
    </row>
    <row r="4922" spans="12:17" x14ac:dyDescent="0.3">
      <c r="L4922" s="25"/>
      <c r="Q4922" s="17"/>
    </row>
    <row r="4923" spans="12:17" x14ac:dyDescent="0.3">
      <c r="L4923" s="25"/>
      <c r="Q4923" s="17"/>
    </row>
    <row r="4924" spans="12:17" x14ac:dyDescent="0.3">
      <c r="L4924" s="25"/>
      <c r="Q4924" s="17"/>
    </row>
    <row r="4925" spans="12:17" x14ac:dyDescent="0.3">
      <c r="L4925" s="25"/>
      <c r="Q4925" s="17"/>
    </row>
    <row r="4926" spans="12:17" x14ac:dyDescent="0.3">
      <c r="L4926" s="25"/>
      <c r="Q4926" s="17"/>
    </row>
    <row r="4927" spans="12:17" x14ac:dyDescent="0.3">
      <c r="L4927" s="25"/>
      <c r="Q4927" s="17"/>
    </row>
    <row r="4928" spans="12:17" x14ac:dyDescent="0.3">
      <c r="L4928" s="25"/>
      <c r="Q4928" s="17"/>
    </row>
    <row r="4929" spans="12:17" x14ac:dyDescent="0.3">
      <c r="L4929" s="25"/>
      <c r="Q4929" s="17"/>
    </row>
    <row r="4930" spans="12:17" x14ac:dyDescent="0.3">
      <c r="L4930" s="25"/>
      <c r="Q4930" s="17"/>
    </row>
    <row r="4931" spans="12:17" x14ac:dyDescent="0.3">
      <c r="L4931" s="25"/>
      <c r="Q4931" s="17"/>
    </row>
    <row r="4932" spans="12:17" x14ac:dyDescent="0.3">
      <c r="L4932" s="25"/>
      <c r="Q4932" s="17"/>
    </row>
    <row r="4933" spans="12:17" x14ac:dyDescent="0.3">
      <c r="L4933" s="25"/>
      <c r="Q4933" s="17"/>
    </row>
    <row r="4934" spans="12:17" x14ac:dyDescent="0.3">
      <c r="L4934" s="25"/>
      <c r="Q4934" s="17"/>
    </row>
    <row r="4935" spans="12:17" x14ac:dyDescent="0.3">
      <c r="L4935" s="25"/>
      <c r="Q4935" s="17"/>
    </row>
    <row r="4936" spans="12:17" x14ac:dyDescent="0.3">
      <c r="L4936" s="25"/>
      <c r="Q4936" s="17"/>
    </row>
    <row r="4937" spans="12:17" x14ac:dyDescent="0.3">
      <c r="L4937" s="25"/>
      <c r="Q4937" s="17"/>
    </row>
    <row r="4938" spans="12:17" x14ac:dyDescent="0.3">
      <c r="L4938" s="25"/>
      <c r="Q4938" s="17"/>
    </row>
    <row r="4939" spans="12:17" x14ac:dyDescent="0.3">
      <c r="L4939" s="25"/>
      <c r="Q4939" s="17"/>
    </row>
    <row r="4940" spans="12:17" x14ac:dyDescent="0.3">
      <c r="L4940" s="25"/>
      <c r="Q4940" s="17"/>
    </row>
    <row r="4941" spans="12:17" x14ac:dyDescent="0.3">
      <c r="L4941" s="25"/>
      <c r="Q4941" s="17"/>
    </row>
    <row r="4942" spans="12:17" x14ac:dyDescent="0.3">
      <c r="L4942" s="25"/>
      <c r="Q4942" s="17"/>
    </row>
    <row r="4943" spans="12:17" x14ac:dyDescent="0.3">
      <c r="L4943" s="25"/>
      <c r="Q4943" s="17"/>
    </row>
    <row r="4944" spans="12:17" x14ac:dyDescent="0.3">
      <c r="L4944" s="25"/>
      <c r="Q4944" s="17"/>
    </row>
    <row r="4945" spans="12:17" x14ac:dyDescent="0.3">
      <c r="L4945" s="25"/>
      <c r="Q4945" s="17"/>
    </row>
    <row r="4946" spans="12:17" x14ac:dyDescent="0.3">
      <c r="L4946" s="25"/>
      <c r="Q4946" s="17"/>
    </row>
    <row r="4947" spans="12:17" x14ac:dyDescent="0.3">
      <c r="L4947" s="25"/>
      <c r="Q4947" s="17"/>
    </row>
    <row r="4948" spans="12:17" x14ac:dyDescent="0.3">
      <c r="L4948" s="25"/>
      <c r="Q4948" s="17"/>
    </row>
    <row r="4949" spans="12:17" x14ac:dyDescent="0.3">
      <c r="L4949" s="25"/>
      <c r="Q4949" s="17"/>
    </row>
    <row r="4950" spans="12:17" x14ac:dyDescent="0.3">
      <c r="L4950" s="25"/>
      <c r="Q4950" s="17"/>
    </row>
    <row r="4951" spans="12:17" x14ac:dyDescent="0.3">
      <c r="L4951" s="25"/>
      <c r="Q4951" s="17"/>
    </row>
    <row r="4952" spans="12:17" x14ac:dyDescent="0.3">
      <c r="L4952" s="25"/>
      <c r="Q4952" s="17"/>
    </row>
    <row r="4953" spans="12:17" x14ac:dyDescent="0.3">
      <c r="L4953" s="25"/>
      <c r="Q4953" s="17"/>
    </row>
    <row r="4954" spans="12:17" x14ac:dyDescent="0.3">
      <c r="L4954" s="25"/>
      <c r="Q4954" s="17"/>
    </row>
    <row r="4955" spans="12:17" x14ac:dyDescent="0.3">
      <c r="L4955" s="25"/>
      <c r="Q4955" s="17"/>
    </row>
    <row r="4956" spans="12:17" x14ac:dyDescent="0.3">
      <c r="L4956" s="25"/>
      <c r="Q4956" s="17"/>
    </row>
    <row r="4957" spans="12:17" x14ac:dyDescent="0.3">
      <c r="L4957" s="25"/>
      <c r="Q4957" s="17"/>
    </row>
    <row r="4958" spans="12:17" x14ac:dyDescent="0.3">
      <c r="L4958" s="25"/>
      <c r="Q4958" s="17"/>
    </row>
    <row r="4959" spans="12:17" x14ac:dyDescent="0.3">
      <c r="L4959" s="25"/>
      <c r="Q4959" s="17"/>
    </row>
    <row r="4960" spans="12:17" x14ac:dyDescent="0.3">
      <c r="L4960" s="25"/>
      <c r="Q4960" s="17"/>
    </row>
    <row r="4961" spans="12:17" x14ac:dyDescent="0.3">
      <c r="L4961" s="25"/>
      <c r="Q4961" s="17"/>
    </row>
    <row r="4962" spans="12:17" x14ac:dyDescent="0.3">
      <c r="L4962" s="25"/>
      <c r="Q4962" s="17"/>
    </row>
    <row r="4963" spans="12:17" x14ac:dyDescent="0.3">
      <c r="L4963" s="25"/>
      <c r="Q4963" s="17"/>
    </row>
    <row r="4964" spans="12:17" x14ac:dyDescent="0.3">
      <c r="L4964" s="25"/>
      <c r="Q4964" s="17"/>
    </row>
    <row r="4965" spans="12:17" x14ac:dyDescent="0.3">
      <c r="L4965" s="25"/>
      <c r="Q4965" s="17"/>
    </row>
    <row r="4966" spans="12:17" x14ac:dyDescent="0.3">
      <c r="L4966" s="25"/>
      <c r="Q4966" s="17"/>
    </row>
    <row r="4967" spans="12:17" x14ac:dyDescent="0.3">
      <c r="L4967" s="25"/>
      <c r="Q4967" s="17"/>
    </row>
    <row r="4968" spans="12:17" x14ac:dyDescent="0.3">
      <c r="L4968" s="25"/>
      <c r="Q4968" s="17"/>
    </row>
    <row r="4969" spans="12:17" x14ac:dyDescent="0.3">
      <c r="L4969" s="25"/>
      <c r="Q4969" s="17"/>
    </row>
    <row r="4970" spans="12:17" x14ac:dyDescent="0.3">
      <c r="L4970" s="25"/>
      <c r="Q4970" s="17"/>
    </row>
    <row r="4971" spans="12:17" x14ac:dyDescent="0.3">
      <c r="L4971" s="25"/>
      <c r="Q4971" s="17"/>
    </row>
    <row r="4972" spans="12:17" x14ac:dyDescent="0.3">
      <c r="L4972" s="25"/>
      <c r="Q4972" s="17"/>
    </row>
    <row r="4973" spans="12:17" x14ac:dyDescent="0.3">
      <c r="L4973" s="25"/>
      <c r="Q4973" s="17"/>
    </row>
    <row r="4974" spans="12:17" x14ac:dyDescent="0.3">
      <c r="L4974" s="25"/>
      <c r="Q4974" s="17"/>
    </row>
    <row r="4975" spans="12:17" x14ac:dyDescent="0.3">
      <c r="L4975" s="25"/>
      <c r="Q4975" s="17"/>
    </row>
    <row r="4976" spans="12:17" x14ac:dyDescent="0.3">
      <c r="L4976" s="25"/>
      <c r="Q4976" s="17"/>
    </row>
    <row r="4977" spans="12:17" x14ac:dyDescent="0.3">
      <c r="L4977" s="25"/>
      <c r="Q4977" s="17"/>
    </row>
    <row r="4978" spans="12:17" x14ac:dyDescent="0.3">
      <c r="L4978" s="25"/>
      <c r="Q4978" s="17"/>
    </row>
    <row r="4979" spans="12:17" x14ac:dyDescent="0.3">
      <c r="L4979" s="25"/>
      <c r="Q4979" s="17"/>
    </row>
    <row r="4980" spans="12:17" x14ac:dyDescent="0.3">
      <c r="L4980" s="25"/>
      <c r="Q4980" s="17"/>
    </row>
    <row r="4981" spans="12:17" x14ac:dyDescent="0.3">
      <c r="L4981" s="25"/>
      <c r="Q4981" s="17"/>
    </row>
    <row r="4982" spans="12:17" x14ac:dyDescent="0.3">
      <c r="L4982" s="25"/>
      <c r="Q4982" s="17"/>
    </row>
    <row r="4983" spans="12:17" x14ac:dyDescent="0.3">
      <c r="L4983" s="25"/>
      <c r="Q4983" s="17"/>
    </row>
    <row r="4984" spans="12:17" x14ac:dyDescent="0.3">
      <c r="L4984" s="25"/>
      <c r="Q4984" s="17"/>
    </row>
    <row r="4985" spans="12:17" x14ac:dyDescent="0.3">
      <c r="L4985" s="25"/>
      <c r="Q4985" s="17"/>
    </row>
    <row r="4986" spans="12:17" x14ac:dyDescent="0.3">
      <c r="L4986" s="25"/>
      <c r="Q4986" s="17"/>
    </row>
    <row r="4987" spans="12:17" x14ac:dyDescent="0.3">
      <c r="L4987" s="25"/>
      <c r="Q4987" s="17"/>
    </row>
    <row r="4988" spans="12:17" x14ac:dyDescent="0.3">
      <c r="L4988" s="25"/>
      <c r="Q4988" s="17"/>
    </row>
    <row r="4989" spans="12:17" x14ac:dyDescent="0.3">
      <c r="L4989" s="25"/>
      <c r="Q4989" s="17"/>
    </row>
    <row r="4990" spans="12:17" x14ac:dyDescent="0.3">
      <c r="L4990" s="25"/>
      <c r="Q4990" s="17"/>
    </row>
    <row r="4991" spans="12:17" x14ac:dyDescent="0.3">
      <c r="L4991" s="25"/>
      <c r="Q4991" s="17"/>
    </row>
    <row r="4992" spans="12:17" x14ac:dyDescent="0.3">
      <c r="L4992" s="25"/>
      <c r="Q4992" s="17"/>
    </row>
    <row r="4993" spans="12:17" x14ac:dyDescent="0.3">
      <c r="L4993" s="25"/>
      <c r="Q4993" s="17"/>
    </row>
    <row r="4994" spans="12:17" x14ac:dyDescent="0.3">
      <c r="L4994" s="25"/>
      <c r="Q4994" s="17"/>
    </row>
    <row r="4995" spans="12:17" x14ac:dyDescent="0.3">
      <c r="L4995" s="25"/>
      <c r="Q4995" s="17"/>
    </row>
    <row r="4996" spans="12:17" x14ac:dyDescent="0.3">
      <c r="L4996" s="25"/>
      <c r="Q4996" s="17"/>
    </row>
    <row r="4997" spans="12:17" x14ac:dyDescent="0.3">
      <c r="L4997" s="25"/>
      <c r="Q4997" s="17"/>
    </row>
    <row r="4998" spans="12:17" x14ac:dyDescent="0.3">
      <c r="L4998" s="25"/>
      <c r="Q4998" s="17"/>
    </row>
    <row r="4999" spans="12:17" x14ac:dyDescent="0.3">
      <c r="L4999" s="25"/>
      <c r="Q4999" s="17"/>
    </row>
    <row r="5000" spans="12:17" x14ac:dyDescent="0.3">
      <c r="L5000" s="25"/>
      <c r="Q5000" s="17"/>
    </row>
    <row r="5001" spans="12:17" x14ac:dyDescent="0.3">
      <c r="L5001" s="25"/>
      <c r="Q5001" s="17"/>
    </row>
    <row r="5002" spans="12:17" x14ac:dyDescent="0.3">
      <c r="L5002" s="25"/>
      <c r="Q5002" s="17"/>
    </row>
    <row r="5003" spans="12:17" x14ac:dyDescent="0.3">
      <c r="L5003" s="25"/>
      <c r="Q5003" s="17"/>
    </row>
    <row r="5004" spans="12:17" x14ac:dyDescent="0.3">
      <c r="L5004" s="25"/>
      <c r="Q5004" s="17"/>
    </row>
    <row r="5005" spans="12:17" x14ac:dyDescent="0.3">
      <c r="L5005" s="25"/>
      <c r="Q5005" s="17"/>
    </row>
    <row r="5006" spans="12:17" x14ac:dyDescent="0.3">
      <c r="L5006" s="25"/>
      <c r="Q5006" s="17"/>
    </row>
    <row r="5007" spans="12:17" x14ac:dyDescent="0.3">
      <c r="L5007" s="25"/>
      <c r="Q5007" s="17"/>
    </row>
    <row r="5008" spans="12:17" x14ac:dyDescent="0.3">
      <c r="L5008" s="25"/>
      <c r="Q5008" s="17"/>
    </row>
    <row r="5009" spans="12:17" x14ac:dyDescent="0.3">
      <c r="L5009" s="25"/>
      <c r="Q5009" s="17"/>
    </row>
    <row r="5010" spans="12:17" x14ac:dyDescent="0.3">
      <c r="L5010" s="25"/>
      <c r="Q5010" s="17"/>
    </row>
    <row r="5011" spans="12:17" x14ac:dyDescent="0.3">
      <c r="L5011" s="25"/>
      <c r="Q5011" s="17"/>
    </row>
    <row r="5012" spans="12:17" x14ac:dyDescent="0.3">
      <c r="L5012" s="25"/>
      <c r="Q5012" s="17"/>
    </row>
    <row r="5013" spans="12:17" x14ac:dyDescent="0.3">
      <c r="L5013" s="25"/>
      <c r="Q5013" s="17"/>
    </row>
    <row r="5014" spans="12:17" x14ac:dyDescent="0.3">
      <c r="L5014" s="25"/>
      <c r="Q5014" s="17"/>
    </row>
    <row r="5015" spans="12:17" x14ac:dyDescent="0.3">
      <c r="L5015" s="25"/>
      <c r="Q5015" s="17"/>
    </row>
    <row r="5016" spans="12:17" x14ac:dyDescent="0.3">
      <c r="L5016" s="25"/>
      <c r="Q5016" s="17"/>
    </row>
    <row r="5017" spans="12:17" x14ac:dyDescent="0.3">
      <c r="L5017" s="25"/>
      <c r="Q5017" s="17"/>
    </row>
    <row r="5018" spans="12:17" x14ac:dyDescent="0.3">
      <c r="L5018" s="25"/>
      <c r="Q5018" s="17"/>
    </row>
    <row r="5019" spans="12:17" x14ac:dyDescent="0.3">
      <c r="L5019" s="25"/>
      <c r="Q5019" s="17"/>
    </row>
    <row r="5020" spans="12:17" x14ac:dyDescent="0.3">
      <c r="L5020" s="25"/>
      <c r="Q5020" s="17"/>
    </row>
    <row r="5021" spans="12:17" x14ac:dyDescent="0.3">
      <c r="L5021" s="25"/>
      <c r="Q5021" s="17"/>
    </row>
    <row r="5022" spans="12:17" x14ac:dyDescent="0.3">
      <c r="L5022" s="25"/>
      <c r="Q5022" s="17"/>
    </row>
    <row r="5023" spans="12:17" x14ac:dyDescent="0.3">
      <c r="L5023" s="25"/>
      <c r="Q5023" s="17"/>
    </row>
    <row r="5024" spans="12:17" x14ac:dyDescent="0.3">
      <c r="L5024" s="25"/>
      <c r="Q5024" s="17"/>
    </row>
    <row r="5025" spans="12:17" x14ac:dyDescent="0.3">
      <c r="L5025" s="25"/>
      <c r="Q5025" s="17"/>
    </row>
    <row r="5026" spans="12:17" x14ac:dyDescent="0.3">
      <c r="L5026" s="25"/>
      <c r="Q5026" s="17"/>
    </row>
    <row r="5027" spans="12:17" x14ac:dyDescent="0.3">
      <c r="L5027" s="25"/>
      <c r="Q5027" s="17"/>
    </row>
    <row r="5028" spans="12:17" x14ac:dyDescent="0.3">
      <c r="L5028" s="25"/>
      <c r="Q5028" s="17"/>
    </row>
    <row r="5029" spans="12:17" x14ac:dyDescent="0.3">
      <c r="L5029" s="25"/>
      <c r="Q5029" s="17"/>
    </row>
    <row r="5030" spans="12:17" x14ac:dyDescent="0.3">
      <c r="L5030" s="25"/>
      <c r="Q5030" s="17"/>
    </row>
    <row r="5031" spans="12:17" x14ac:dyDescent="0.3">
      <c r="L5031" s="25"/>
      <c r="Q5031" s="17"/>
    </row>
    <row r="5032" spans="12:17" x14ac:dyDescent="0.3">
      <c r="L5032" s="25"/>
      <c r="Q5032" s="17"/>
    </row>
    <row r="5033" spans="12:17" x14ac:dyDescent="0.3">
      <c r="L5033" s="25"/>
      <c r="Q5033" s="17"/>
    </row>
    <row r="5034" spans="12:17" x14ac:dyDescent="0.3">
      <c r="L5034" s="25"/>
      <c r="Q5034" s="17"/>
    </row>
    <row r="5035" spans="12:17" x14ac:dyDescent="0.3">
      <c r="L5035" s="25"/>
      <c r="Q5035" s="17"/>
    </row>
    <row r="5036" spans="12:17" x14ac:dyDescent="0.3">
      <c r="L5036" s="25"/>
      <c r="Q5036" s="17"/>
    </row>
    <row r="5037" spans="12:17" x14ac:dyDescent="0.3">
      <c r="L5037" s="25"/>
      <c r="Q5037" s="17"/>
    </row>
    <row r="5038" spans="12:17" x14ac:dyDescent="0.3">
      <c r="L5038" s="25"/>
      <c r="Q5038" s="17"/>
    </row>
    <row r="5039" spans="12:17" x14ac:dyDescent="0.3">
      <c r="L5039" s="25"/>
      <c r="Q5039" s="17"/>
    </row>
    <row r="5040" spans="12:17" x14ac:dyDescent="0.3">
      <c r="L5040" s="25"/>
      <c r="Q5040" s="17"/>
    </row>
    <row r="5041" spans="12:17" x14ac:dyDescent="0.3">
      <c r="L5041" s="25"/>
      <c r="Q5041" s="17"/>
    </row>
    <row r="5042" spans="12:17" x14ac:dyDescent="0.3">
      <c r="L5042" s="25"/>
      <c r="Q5042" s="17"/>
    </row>
    <row r="5043" spans="12:17" x14ac:dyDescent="0.3">
      <c r="L5043" s="25"/>
      <c r="Q5043" s="17"/>
    </row>
    <row r="5044" spans="12:17" x14ac:dyDescent="0.3">
      <c r="L5044" s="25"/>
      <c r="Q5044" s="17"/>
    </row>
    <row r="5045" spans="12:17" x14ac:dyDescent="0.3">
      <c r="L5045" s="25"/>
      <c r="Q5045" s="17"/>
    </row>
    <row r="5046" spans="12:17" x14ac:dyDescent="0.3">
      <c r="L5046" s="25"/>
      <c r="Q5046" s="17"/>
    </row>
    <row r="5047" spans="12:17" x14ac:dyDescent="0.3">
      <c r="L5047" s="25"/>
      <c r="Q5047" s="17"/>
    </row>
    <row r="5048" spans="12:17" x14ac:dyDescent="0.3">
      <c r="L5048" s="25"/>
      <c r="Q5048" s="17"/>
    </row>
    <row r="5049" spans="12:17" x14ac:dyDescent="0.3">
      <c r="L5049" s="25"/>
      <c r="Q5049" s="17"/>
    </row>
    <row r="5050" spans="12:17" x14ac:dyDescent="0.3">
      <c r="L5050" s="25"/>
      <c r="Q5050" s="17"/>
    </row>
    <row r="5051" spans="12:17" x14ac:dyDescent="0.3">
      <c r="L5051" s="25"/>
      <c r="Q5051" s="17"/>
    </row>
    <row r="5052" spans="12:17" x14ac:dyDescent="0.3">
      <c r="L5052" s="25"/>
      <c r="Q5052" s="17"/>
    </row>
    <row r="5053" spans="12:17" x14ac:dyDescent="0.3">
      <c r="L5053" s="25"/>
      <c r="Q5053" s="17"/>
    </row>
    <row r="5054" spans="12:17" x14ac:dyDescent="0.3">
      <c r="L5054" s="25"/>
      <c r="Q5054" s="17"/>
    </row>
    <row r="5055" spans="12:17" x14ac:dyDescent="0.3">
      <c r="L5055" s="25"/>
      <c r="Q5055" s="17"/>
    </row>
    <row r="5056" spans="12:17" x14ac:dyDescent="0.3">
      <c r="L5056" s="25"/>
      <c r="Q5056" s="17"/>
    </row>
    <row r="5057" spans="12:17" x14ac:dyDescent="0.3">
      <c r="L5057" s="25"/>
      <c r="Q5057" s="17"/>
    </row>
    <row r="5058" spans="12:17" x14ac:dyDescent="0.3">
      <c r="L5058" s="25"/>
      <c r="Q5058" s="17"/>
    </row>
    <row r="5059" spans="12:17" x14ac:dyDescent="0.3">
      <c r="L5059" s="25"/>
      <c r="Q5059" s="17"/>
    </row>
    <row r="5060" spans="12:17" x14ac:dyDescent="0.3">
      <c r="L5060" s="25"/>
      <c r="Q5060" s="17"/>
    </row>
    <row r="5061" spans="12:17" x14ac:dyDescent="0.3">
      <c r="L5061" s="25"/>
      <c r="Q5061" s="17"/>
    </row>
    <row r="5062" spans="12:17" x14ac:dyDescent="0.3">
      <c r="L5062" s="25"/>
      <c r="Q5062" s="17"/>
    </row>
    <row r="5063" spans="12:17" x14ac:dyDescent="0.3">
      <c r="L5063" s="25"/>
      <c r="Q5063" s="17"/>
    </row>
    <row r="5064" spans="12:17" x14ac:dyDescent="0.3">
      <c r="L5064" s="25"/>
      <c r="Q5064" s="17"/>
    </row>
    <row r="5065" spans="12:17" x14ac:dyDescent="0.3">
      <c r="L5065" s="25"/>
      <c r="Q5065" s="17"/>
    </row>
    <row r="5066" spans="12:17" x14ac:dyDescent="0.3">
      <c r="L5066" s="25"/>
      <c r="Q5066" s="17"/>
    </row>
    <row r="5067" spans="12:17" x14ac:dyDescent="0.3">
      <c r="L5067" s="25"/>
      <c r="Q5067" s="17"/>
    </row>
    <row r="5068" spans="12:17" x14ac:dyDescent="0.3">
      <c r="L5068" s="25"/>
      <c r="Q5068" s="17"/>
    </row>
    <row r="5069" spans="12:17" x14ac:dyDescent="0.3">
      <c r="L5069" s="25"/>
      <c r="Q5069" s="17"/>
    </row>
    <row r="5070" spans="12:17" x14ac:dyDescent="0.3">
      <c r="L5070" s="25"/>
      <c r="Q5070" s="17"/>
    </row>
    <row r="5071" spans="12:17" x14ac:dyDescent="0.3">
      <c r="L5071" s="25"/>
      <c r="Q5071" s="17"/>
    </row>
    <row r="5072" spans="12:17" x14ac:dyDescent="0.3">
      <c r="L5072" s="25"/>
      <c r="Q5072" s="17"/>
    </row>
    <row r="5073" spans="12:17" x14ac:dyDescent="0.3">
      <c r="L5073" s="25"/>
      <c r="Q5073" s="17"/>
    </row>
    <row r="5074" spans="12:17" x14ac:dyDescent="0.3">
      <c r="L5074" s="25"/>
      <c r="Q5074" s="17"/>
    </row>
    <row r="5075" spans="12:17" x14ac:dyDescent="0.3">
      <c r="L5075" s="25"/>
      <c r="Q5075" s="17"/>
    </row>
    <row r="5076" spans="12:17" x14ac:dyDescent="0.3">
      <c r="L5076" s="25"/>
      <c r="Q5076" s="17"/>
    </row>
    <row r="5077" spans="12:17" x14ac:dyDescent="0.3">
      <c r="L5077" s="25"/>
      <c r="Q5077" s="17"/>
    </row>
    <row r="5078" spans="12:17" x14ac:dyDescent="0.3">
      <c r="L5078" s="25"/>
      <c r="Q5078" s="17"/>
    </row>
    <row r="5079" spans="12:17" x14ac:dyDescent="0.3">
      <c r="L5079" s="25"/>
      <c r="Q5079" s="17"/>
    </row>
    <row r="5080" spans="12:17" x14ac:dyDescent="0.3">
      <c r="L5080" s="25"/>
      <c r="Q5080" s="17"/>
    </row>
    <row r="5081" spans="12:17" x14ac:dyDescent="0.3">
      <c r="L5081" s="25"/>
      <c r="Q5081" s="17"/>
    </row>
    <row r="5082" spans="12:17" x14ac:dyDescent="0.3">
      <c r="L5082" s="25"/>
      <c r="Q5082" s="17"/>
    </row>
    <row r="5083" spans="12:17" x14ac:dyDescent="0.3">
      <c r="L5083" s="25"/>
      <c r="Q5083" s="17"/>
    </row>
    <row r="5084" spans="12:17" x14ac:dyDescent="0.3">
      <c r="L5084" s="25"/>
      <c r="Q5084" s="17"/>
    </row>
    <row r="5085" spans="12:17" x14ac:dyDescent="0.3">
      <c r="L5085" s="25"/>
      <c r="Q5085" s="17"/>
    </row>
    <row r="5086" spans="12:17" x14ac:dyDescent="0.3">
      <c r="L5086" s="25"/>
      <c r="Q5086" s="17"/>
    </row>
    <row r="5087" spans="12:17" x14ac:dyDescent="0.3">
      <c r="L5087" s="25"/>
      <c r="Q5087" s="17"/>
    </row>
    <row r="5088" spans="12:17" x14ac:dyDescent="0.3">
      <c r="L5088" s="25"/>
      <c r="Q5088" s="17"/>
    </row>
    <row r="5089" spans="12:17" x14ac:dyDescent="0.3">
      <c r="L5089" s="25"/>
      <c r="Q5089" s="17"/>
    </row>
    <row r="5090" spans="12:17" x14ac:dyDescent="0.3">
      <c r="L5090" s="25"/>
      <c r="Q5090" s="17"/>
    </row>
    <row r="5091" spans="12:17" x14ac:dyDescent="0.3">
      <c r="L5091" s="25"/>
      <c r="Q5091" s="17"/>
    </row>
    <row r="5092" spans="12:17" x14ac:dyDescent="0.3">
      <c r="L5092" s="25"/>
      <c r="Q5092" s="17"/>
    </row>
    <row r="5093" spans="12:17" x14ac:dyDescent="0.3">
      <c r="L5093" s="25"/>
      <c r="Q5093" s="17"/>
    </row>
    <row r="5094" spans="12:17" x14ac:dyDescent="0.3">
      <c r="L5094" s="25"/>
      <c r="Q5094" s="17"/>
    </row>
    <row r="5095" spans="12:17" x14ac:dyDescent="0.3">
      <c r="L5095" s="25"/>
      <c r="Q5095" s="17"/>
    </row>
    <row r="5096" spans="12:17" x14ac:dyDescent="0.3">
      <c r="L5096" s="25"/>
      <c r="Q5096" s="17"/>
    </row>
    <row r="5097" spans="12:17" x14ac:dyDescent="0.3">
      <c r="L5097" s="25"/>
      <c r="Q5097" s="17"/>
    </row>
    <row r="5098" spans="12:17" x14ac:dyDescent="0.3">
      <c r="L5098" s="25"/>
      <c r="Q5098" s="17"/>
    </row>
    <row r="5099" spans="12:17" x14ac:dyDescent="0.3">
      <c r="L5099" s="25"/>
      <c r="Q5099" s="17"/>
    </row>
    <row r="5100" spans="12:17" x14ac:dyDescent="0.3">
      <c r="L5100" s="25"/>
      <c r="Q5100" s="17"/>
    </row>
    <row r="5101" spans="12:17" x14ac:dyDescent="0.3">
      <c r="L5101" s="25"/>
      <c r="Q5101" s="17"/>
    </row>
    <row r="5102" spans="12:17" x14ac:dyDescent="0.3">
      <c r="L5102" s="25"/>
      <c r="Q5102" s="17"/>
    </row>
    <row r="5103" spans="12:17" x14ac:dyDescent="0.3">
      <c r="L5103" s="25"/>
      <c r="Q5103" s="17"/>
    </row>
    <row r="5104" spans="12:17" x14ac:dyDescent="0.3">
      <c r="L5104" s="25"/>
      <c r="Q5104" s="17"/>
    </row>
    <row r="5105" spans="12:17" x14ac:dyDescent="0.3">
      <c r="L5105" s="25"/>
      <c r="Q5105" s="17"/>
    </row>
    <row r="5106" spans="12:17" x14ac:dyDescent="0.3">
      <c r="L5106" s="25"/>
      <c r="Q5106" s="17"/>
    </row>
    <row r="5107" spans="12:17" x14ac:dyDescent="0.3">
      <c r="L5107" s="25"/>
      <c r="Q5107" s="17"/>
    </row>
    <row r="5108" spans="12:17" x14ac:dyDescent="0.3">
      <c r="L5108" s="25"/>
      <c r="Q5108" s="17"/>
    </row>
    <row r="5109" spans="12:17" x14ac:dyDescent="0.3">
      <c r="L5109" s="25"/>
      <c r="Q5109" s="17"/>
    </row>
    <row r="5110" spans="12:17" x14ac:dyDescent="0.3">
      <c r="L5110" s="25"/>
      <c r="Q5110" s="17"/>
    </row>
    <row r="5111" spans="12:17" x14ac:dyDescent="0.3">
      <c r="L5111" s="25"/>
      <c r="Q5111" s="17"/>
    </row>
    <row r="5112" spans="12:17" x14ac:dyDescent="0.3">
      <c r="L5112" s="25"/>
      <c r="Q5112" s="17"/>
    </row>
    <row r="5113" spans="12:17" x14ac:dyDescent="0.3">
      <c r="L5113" s="25"/>
      <c r="Q5113" s="17"/>
    </row>
    <row r="5114" spans="12:17" x14ac:dyDescent="0.3">
      <c r="L5114" s="25"/>
      <c r="Q5114" s="17"/>
    </row>
    <row r="5115" spans="12:17" x14ac:dyDescent="0.3">
      <c r="L5115" s="25"/>
      <c r="Q5115" s="17"/>
    </row>
    <row r="5116" spans="12:17" x14ac:dyDescent="0.3">
      <c r="L5116" s="25"/>
      <c r="Q5116" s="17"/>
    </row>
    <row r="5117" spans="12:17" x14ac:dyDescent="0.3">
      <c r="L5117" s="25"/>
      <c r="Q5117" s="17"/>
    </row>
    <row r="5118" spans="12:17" x14ac:dyDescent="0.3">
      <c r="L5118" s="25"/>
      <c r="Q5118" s="17"/>
    </row>
    <row r="5119" spans="12:17" x14ac:dyDescent="0.3">
      <c r="L5119" s="25"/>
      <c r="Q5119" s="17"/>
    </row>
    <row r="5120" spans="12:17" x14ac:dyDescent="0.3">
      <c r="L5120" s="25"/>
      <c r="Q5120" s="17"/>
    </row>
    <row r="5121" spans="12:17" x14ac:dyDescent="0.3">
      <c r="L5121" s="25"/>
      <c r="Q5121" s="17"/>
    </row>
    <row r="5122" spans="12:17" x14ac:dyDescent="0.3">
      <c r="L5122" s="25"/>
      <c r="Q5122" s="17"/>
    </row>
    <row r="5123" spans="12:17" x14ac:dyDescent="0.3">
      <c r="L5123" s="25"/>
      <c r="Q5123" s="17"/>
    </row>
    <row r="5124" spans="12:17" x14ac:dyDescent="0.3">
      <c r="L5124" s="25"/>
      <c r="Q5124" s="17"/>
    </row>
    <row r="5125" spans="12:17" x14ac:dyDescent="0.3">
      <c r="L5125" s="25"/>
      <c r="Q5125" s="17"/>
    </row>
    <row r="5126" spans="12:17" x14ac:dyDescent="0.3">
      <c r="L5126" s="25"/>
      <c r="Q5126" s="17"/>
    </row>
    <row r="5127" spans="12:17" x14ac:dyDescent="0.3">
      <c r="L5127" s="25"/>
      <c r="Q5127" s="17"/>
    </row>
    <row r="5128" spans="12:17" x14ac:dyDescent="0.3">
      <c r="L5128" s="25"/>
      <c r="Q5128" s="17"/>
    </row>
    <row r="5129" spans="12:17" x14ac:dyDescent="0.3">
      <c r="L5129" s="25"/>
      <c r="Q5129" s="17"/>
    </row>
    <row r="5130" spans="12:17" x14ac:dyDescent="0.3">
      <c r="L5130" s="25"/>
      <c r="Q5130" s="17"/>
    </row>
    <row r="5131" spans="12:17" x14ac:dyDescent="0.3">
      <c r="L5131" s="25"/>
      <c r="Q5131" s="17"/>
    </row>
    <row r="5132" spans="12:17" x14ac:dyDescent="0.3">
      <c r="L5132" s="25"/>
      <c r="Q5132" s="17"/>
    </row>
    <row r="5133" spans="12:17" x14ac:dyDescent="0.3">
      <c r="L5133" s="25"/>
      <c r="Q5133" s="17"/>
    </row>
    <row r="5134" spans="12:17" x14ac:dyDescent="0.3">
      <c r="L5134" s="25"/>
      <c r="Q5134" s="17"/>
    </row>
    <row r="5135" spans="12:17" x14ac:dyDescent="0.3">
      <c r="L5135" s="25"/>
      <c r="Q5135" s="17"/>
    </row>
    <row r="5136" spans="12:17" x14ac:dyDescent="0.3">
      <c r="L5136" s="25"/>
      <c r="Q5136" s="17"/>
    </row>
    <row r="5137" spans="12:17" x14ac:dyDescent="0.3">
      <c r="L5137" s="25"/>
      <c r="Q5137" s="17"/>
    </row>
    <row r="5138" spans="12:17" x14ac:dyDescent="0.3">
      <c r="L5138" s="25"/>
      <c r="Q5138" s="17"/>
    </row>
    <row r="5139" spans="12:17" x14ac:dyDescent="0.3">
      <c r="L5139" s="25"/>
      <c r="Q5139" s="17"/>
    </row>
    <row r="5140" spans="12:17" x14ac:dyDescent="0.3">
      <c r="L5140" s="25"/>
      <c r="Q5140" s="17"/>
    </row>
    <row r="5141" spans="12:17" x14ac:dyDescent="0.3">
      <c r="L5141" s="25"/>
      <c r="Q5141" s="17"/>
    </row>
    <row r="5142" spans="12:17" x14ac:dyDescent="0.3">
      <c r="L5142" s="25"/>
      <c r="Q5142" s="17"/>
    </row>
    <row r="5143" spans="12:17" x14ac:dyDescent="0.3">
      <c r="L5143" s="25"/>
      <c r="Q5143" s="17"/>
    </row>
    <row r="5144" spans="12:17" x14ac:dyDescent="0.3">
      <c r="L5144" s="25"/>
      <c r="Q5144" s="17"/>
    </row>
    <row r="5145" spans="12:17" x14ac:dyDescent="0.3">
      <c r="L5145" s="25"/>
      <c r="Q5145" s="17"/>
    </row>
    <row r="5146" spans="12:17" x14ac:dyDescent="0.3">
      <c r="L5146" s="25"/>
      <c r="Q5146" s="17"/>
    </row>
    <row r="5147" spans="12:17" x14ac:dyDescent="0.3">
      <c r="L5147" s="25"/>
      <c r="Q5147" s="17"/>
    </row>
    <row r="5148" spans="12:17" x14ac:dyDescent="0.3">
      <c r="L5148" s="25"/>
      <c r="Q5148" s="17"/>
    </row>
    <row r="5149" spans="12:17" x14ac:dyDescent="0.3">
      <c r="L5149" s="25"/>
      <c r="Q5149" s="17"/>
    </row>
    <row r="5150" spans="12:17" x14ac:dyDescent="0.3">
      <c r="L5150" s="25"/>
      <c r="Q5150" s="17"/>
    </row>
    <row r="5151" spans="12:17" x14ac:dyDescent="0.3">
      <c r="L5151" s="25"/>
      <c r="Q5151" s="17"/>
    </row>
    <row r="5152" spans="12:17" x14ac:dyDescent="0.3">
      <c r="L5152" s="25"/>
      <c r="Q5152" s="17"/>
    </row>
    <row r="5153" spans="12:17" x14ac:dyDescent="0.3">
      <c r="L5153" s="25"/>
      <c r="Q5153" s="17"/>
    </row>
    <row r="5154" spans="12:17" x14ac:dyDescent="0.3">
      <c r="L5154" s="25"/>
      <c r="Q5154" s="17"/>
    </row>
    <row r="5155" spans="12:17" x14ac:dyDescent="0.3">
      <c r="L5155" s="25"/>
      <c r="Q5155" s="17"/>
    </row>
    <row r="5156" spans="12:17" x14ac:dyDescent="0.3">
      <c r="L5156" s="25"/>
      <c r="Q5156" s="17"/>
    </row>
    <row r="5157" spans="12:17" x14ac:dyDescent="0.3">
      <c r="L5157" s="25"/>
      <c r="Q5157" s="17"/>
    </row>
    <row r="5158" spans="12:17" x14ac:dyDescent="0.3">
      <c r="L5158" s="25"/>
      <c r="Q5158" s="17"/>
    </row>
    <row r="5159" spans="12:17" x14ac:dyDescent="0.3">
      <c r="L5159" s="25"/>
      <c r="Q5159" s="17"/>
    </row>
    <row r="5160" spans="12:17" x14ac:dyDescent="0.3">
      <c r="L5160" s="25"/>
      <c r="Q5160" s="17"/>
    </row>
    <row r="5161" spans="12:17" x14ac:dyDescent="0.3">
      <c r="L5161" s="25"/>
      <c r="Q5161" s="17"/>
    </row>
    <row r="5162" spans="12:17" x14ac:dyDescent="0.3">
      <c r="L5162" s="25"/>
      <c r="Q5162" s="17"/>
    </row>
    <row r="5163" spans="12:17" x14ac:dyDescent="0.3">
      <c r="L5163" s="25"/>
      <c r="Q5163" s="17"/>
    </row>
    <row r="5164" spans="12:17" x14ac:dyDescent="0.3">
      <c r="L5164" s="25"/>
      <c r="Q5164" s="17"/>
    </row>
    <row r="5165" spans="12:17" x14ac:dyDescent="0.3">
      <c r="L5165" s="25"/>
      <c r="Q5165" s="17"/>
    </row>
    <row r="5166" spans="12:17" x14ac:dyDescent="0.3">
      <c r="L5166" s="25"/>
      <c r="Q5166" s="17"/>
    </row>
    <row r="5167" spans="12:17" x14ac:dyDescent="0.3">
      <c r="L5167" s="25"/>
      <c r="Q5167" s="17"/>
    </row>
    <row r="5168" spans="12:17" x14ac:dyDescent="0.3">
      <c r="L5168" s="25"/>
      <c r="Q5168" s="17"/>
    </row>
    <row r="5169" spans="12:17" x14ac:dyDescent="0.3">
      <c r="L5169" s="25"/>
      <c r="Q5169" s="17"/>
    </row>
    <row r="5170" spans="12:17" x14ac:dyDescent="0.3">
      <c r="L5170" s="25"/>
      <c r="Q5170" s="17"/>
    </row>
    <row r="5171" spans="12:17" x14ac:dyDescent="0.3">
      <c r="L5171" s="25"/>
      <c r="Q5171" s="17"/>
    </row>
    <row r="5172" spans="12:17" x14ac:dyDescent="0.3">
      <c r="L5172" s="25"/>
      <c r="Q5172" s="17"/>
    </row>
    <row r="5173" spans="12:17" x14ac:dyDescent="0.3">
      <c r="L5173" s="25"/>
      <c r="Q5173" s="17"/>
    </row>
    <row r="5174" spans="12:17" x14ac:dyDescent="0.3">
      <c r="L5174" s="25"/>
      <c r="Q5174" s="17"/>
    </row>
    <row r="5175" spans="12:17" x14ac:dyDescent="0.3">
      <c r="L5175" s="25"/>
      <c r="Q5175" s="17"/>
    </row>
    <row r="5176" spans="12:17" x14ac:dyDescent="0.3">
      <c r="L5176" s="25"/>
      <c r="Q5176" s="17"/>
    </row>
    <row r="5177" spans="12:17" x14ac:dyDescent="0.3">
      <c r="L5177" s="25"/>
      <c r="Q5177" s="17"/>
    </row>
    <row r="5178" spans="12:17" x14ac:dyDescent="0.3">
      <c r="L5178" s="25"/>
      <c r="Q5178" s="17"/>
    </row>
    <row r="5179" spans="12:17" x14ac:dyDescent="0.3">
      <c r="L5179" s="25"/>
      <c r="Q5179" s="17"/>
    </row>
    <row r="5180" spans="12:17" x14ac:dyDescent="0.3">
      <c r="L5180" s="25"/>
      <c r="Q5180" s="17"/>
    </row>
    <row r="5181" spans="12:17" x14ac:dyDescent="0.3">
      <c r="L5181" s="25"/>
      <c r="Q5181" s="17"/>
    </row>
    <row r="5182" spans="12:17" x14ac:dyDescent="0.3">
      <c r="L5182" s="25"/>
      <c r="Q5182" s="17"/>
    </row>
    <row r="5183" spans="12:17" x14ac:dyDescent="0.3">
      <c r="L5183" s="25"/>
      <c r="Q5183" s="17"/>
    </row>
    <row r="5184" spans="12:17" x14ac:dyDescent="0.3">
      <c r="L5184" s="25"/>
      <c r="Q5184" s="17"/>
    </row>
    <row r="5185" spans="12:17" x14ac:dyDescent="0.3">
      <c r="L5185" s="25"/>
      <c r="Q5185" s="17"/>
    </row>
    <row r="5186" spans="12:17" x14ac:dyDescent="0.3">
      <c r="L5186" s="25"/>
      <c r="Q5186" s="17"/>
    </row>
    <row r="5187" spans="12:17" x14ac:dyDescent="0.3">
      <c r="L5187" s="25"/>
      <c r="Q5187" s="17"/>
    </row>
    <row r="5188" spans="12:17" x14ac:dyDescent="0.3">
      <c r="L5188" s="25"/>
      <c r="Q5188" s="17"/>
    </row>
    <row r="5189" spans="12:17" x14ac:dyDescent="0.3">
      <c r="L5189" s="25"/>
      <c r="Q5189" s="17"/>
    </row>
    <row r="5190" spans="12:17" x14ac:dyDescent="0.3">
      <c r="L5190" s="25"/>
      <c r="Q5190" s="17"/>
    </row>
    <row r="5191" spans="12:17" x14ac:dyDescent="0.3">
      <c r="L5191" s="25"/>
      <c r="Q5191" s="17"/>
    </row>
    <row r="5192" spans="12:17" x14ac:dyDescent="0.3">
      <c r="L5192" s="25"/>
      <c r="Q5192" s="17"/>
    </row>
    <row r="5193" spans="12:17" x14ac:dyDescent="0.3">
      <c r="L5193" s="25"/>
      <c r="Q5193" s="17"/>
    </row>
    <row r="5194" spans="12:17" x14ac:dyDescent="0.3">
      <c r="L5194" s="25"/>
      <c r="Q5194" s="17"/>
    </row>
    <row r="5195" spans="12:17" x14ac:dyDescent="0.3">
      <c r="L5195" s="25"/>
      <c r="Q5195" s="17"/>
    </row>
    <row r="5196" spans="12:17" x14ac:dyDescent="0.3">
      <c r="L5196" s="25"/>
      <c r="Q5196" s="17"/>
    </row>
    <row r="5197" spans="12:17" x14ac:dyDescent="0.3">
      <c r="L5197" s="25"/>
      <c r="Q5197" s="17"/>
    </row>
    <row r="5198" spans="12:17" x14ac:dyDescent="0.3">
      <c r="L5198" s="25"/>
      <c r="Q5198" s="17"/>
    </row>
    <row r="5199" spans="12:17" x14ac:dyDescent="0.3">
      <c r="L5199" s="25"/>
      <c r="Q5199" s="17"/>
    </row>
    <row r="5200" spans="12:17" x14ac:dyDescent="0.3">
      <c r="L5200" s="25"/>
      <c r="Q5200" s="17"/>
    </row>
    <row r="5201" spans="12:17" x14ac:dyDescent="0.3">
      <c r="L5201" s="25"/>
      <c r="Q5201" s="17"/>
    </row>
    <row r="5202" spans="12:17" x14ac:dyDescent="0.3">
      <c r="L5202" s="25"/>
      <c r="Q5202" s="17"/>
    </row>
    <row r="5203" spans="12:17" x14ac:dyDescent="0.3">
      <c r="L5203" s="25"/>
      <c r="Q5203" s="17"/>
    </row>
    <row r="5204" spans="12:17" x14ac:dyDescent="0.3">
      <c r="L5204" s="25"/>
      <c r="Q5204" s="17"/>
    </row>
    <row r="5205" spans="12:17" x14ac:dyDescent="0.3">
      <c r="L5205" s="25"/>
      <c r="Q5205" s="17"/>
    </row>
    <row r="5206" spans="12:17" x14ac:dyDescent="0.3">
      <c r="L5206" s="25"/>
      <c r="Q5206" s="17"/>
    </row>
    <row r="5207" spans="12:17" x14ac:dyDescent="0.3">
      <c r="L5207" s="25"/>
      <c r="Q5207" s="17"/>
    </row>
    <row r="5208" spans="12:17" x14ac:dyDescent="0.3">
      <c r="L5208" s="25"/>
      <c r="Q5208" s="17"/>
    </row>
    <row r="5209" spans="12:17" x14ac:dyDescent="0.3">
      <c r="L5209" s="25"/>
      <c r="Q5209" s="17"/>
    </row>
    <row r="5210" spans="12:17" x14ac:dyDescent="0.3">
      <c r="L5210" s="25"/>
      <c r="Q5210" s="17"/>
    </row>
    <row r="5211" spans="12:17" x14ac:dyDescent="0.3">
      <c r="L5211" s="25"/>
      <c r="Q5211" s="17"/>
    </row>
    <row r="5212" spans="12:17" x14ac:dyDescent="0.3">
      <c r="L5212" s="25"/>
      <c r="Q5212" s="17"/>
    </row>
    <row r="5213" spans="12:17" x14ac:dyDescent="0.3">
      <c r="L5213" s="25"/>
      <c r="Q5213" s="17"/>
    </row>
    <row r="5214" spans="12:17" x14ac:dyDescent="0.3">
      <c r="L5214" s="25"/>
      <c r="Q5214" s="17"/>
    </row>
    <row r="5215" spans="12:17" x14ac:dyDescent="0.3">
      <c r="L5215" s="25"/>
      <c r="Q5215" s="17"/>
    </row>
    <row r="5216" spans="12:17" x14ac:dyDescent="0.3">
      <c r="L5216" s="25"/>
      <c r="Q5216" s="17"/>
    </row>
    <row r="5217" spans="12:17" x14ac:dyDescent="0.3">
      <c r="L5217" s="25"/>
      <c r="Q5217" s="17"/>
    </row>
    <row r="5218" spans="12:17" x14ac:dyDescent="0.3">
      <c r="L5218" s="25"/>
      <c r="Q5218" s="17"/>
    </row>
    <row r="5219" spans="12:17" x14ac:dyDescent="0.3">
      <c r="L5219" s="25"/>
      <c r="Q5219" s="17"/>
    </row>
    <row r="5220" spans="12:17" x14ac:dyDescent="0.3">
      <c r="L5220" s="25"/>
      <c r="Q5220" s="17"/>
    </row>
    <row r="5221" spans="12:17" x14ac:dyDescent="0.3">
      <c r="L5221" s="25"/>
      <c r="Q5221" s="17"/>
    </row>
    <row r="5222" spans="12:17" x14ac:dyDescent="0.3">
      <c r="L5222" s="25"/>
      <c r="Q5222" s="17"/>
    </row>
    <row r="5223" spans="12:17" x14ac:dyDescent="0.3">
      <c r="L5223" s="25"/>
      <c r="Q5223" s="17"/>
    </row>
    <row r="5224" spans="12:17" x14ac:dyDescent="0.3">
      <c r="L5224" s="25"/>
      <c r="Q5224" s="17"/>
    </row>
    <row r="5225" spans="12:17" x14ac:dyDescent="0.3">
      <c r="L5225" s="25"/>
      <c r="Q5225" s="17"/>
    </row>
    <row r="5226" spans="12:17" x14ac:dyDescent="0.3">
      <c r="L5226" s="25"/>
      <c r="Q5226" s="17"/>
    </row>
    <row r="5227" spans="12:17" x14ac:dyDescent="0.3">
      <c r="L5227" s="25"/>
      <c r="Q5227" s="17"/>
    </row>
    <row r="5228" spans="12:17" x14ac:dyDescent="0.3">
      <c r="L5228" s="25"/>
      <c r="Q5228" s="17"/>
    </row>
    <row r="5229" spans="12:17" x14ac:dyDescent="0.3">
      <c r="L5229" s="25"/>
      <c r="Q5229" s="17"/>
    </row>
    <row r="5230" spans="12:17" x14ac:dyDescent="0.3">
      <c r="L5230" s="25"/>
      <c r="Q5230" s="17"/>
    </row>
    <row r="5231" spans="12:17" x14ac:dyDescent="0.3">
      <c r="L5231" s="25"/>
      <c r="Q5231" s="17"/>
    </row>
    <row r="5232" spans="12:17" x14ac:dyDescent="0.3">
      <c r="L5232" s="25"/>
      <c r="Q5232" s="17"/>
    </row>
    <row r="5233" spans="12:17" x14ac:dyDescent="0.3">
      <c r="L5233" s="25"/>
      <c r="Q5233" s="17"/>
    </row>
    <row r="5234" spans="12:17" x14ac:dyDescent="0.3">
      <c r="L5234" s="25"/>
      <c r="Q5234" s="17"/>
    </row>
    <row r="5235" spans="12:17" x14ac:dyDescent="0.3">
      <c r="L5235" s="25"/>
      <c r="Q5235" s="17"/>
    </row>
    <row r="5236" spans="12:17" x14ac:dyDescent="0.3">
      <c r="L5236" s="25"/>
      <c r="Q5236" s="17"/>
    </row>
    <row r="5237" spans="12:17" x14ac:dyDescent="0.3">
      <c r="L5237" s="25"/>
      <c r="Q5237" s="17"/>
    </row>
    <row r="5238" spans="12:17" x14ac:dyDescent="0.3">
      <c r="L5238" s="25"/>
      <c r="Q5238" s="17"/>
    </row>
    <row r="5239" spans="12:17" x14ac:dyDescent="0.3">
      <c r="L5239" s="25"/>
      <c r="Q5239" s="17"/>
    </row>
    <row r="5240" spans="12:17" x14ac:dyDescent="0.3">
      <c r="L5240" s="25"/>
      <c r="Q5240" s="17"/>
    </row>
    <row r="5241" spans="12:17" x14ac:dyDescent="0.3">
      <c r="L5241" s="25"/>
      <c r="Q5241" s="17"/>
    </row>
    <row r="5242" spans="12:17" x14ac:dyDescent="0.3">
      <c r="L5242" s="25"/>
      <c r="Q5242" s="17"/>
    </row>
    <row r="5243" spans="12:17" x14ac:dyDescent="0.3">
      <c r="L5243" s="25"/>
      <c r="Q5243" s="17"/>
    </row>
    <row r="5244" spans="12:17" x14ac:dyDescent="0.3">
      <c r="L5244" s="25"/>
      <c r="Q5244" s="17"/>
    </row>
    <row r="5245" spans="12:17" x14ac:dyDescent="0.3">
      <c r="L5245" s="25"/>
      <c r="Q5245" s="17"/>
    </row>
    <row r="5246" spans="12:17" x14ac:dyDescent="0.3">
      <c r="L5246" s="25"/>
      <c r="Q5246" s="17"/>
    </row>
    <row r="5247" spans="12:17" x14ac:dyDescent="0.3">
      <c r="L5247" s="25"/>
      <c r="Q5247" s="17"/>
    </row>
    <row r="5248" spans="12:17" x14ac:dyDescent="0.3">
      <c r="L5248" s="25"/>
      <c r="Q5248" s="17"/>
    </row>
    <row r="5249" spans="12:17" x14ac:dyDescent="0.3">
      <c r="L5249" s="25"/>
      <c r="Q5249" s="17"/>
    </row>
    <row r="5250" spans="12:17" x14ac:dyDescent="0.3">
      <c r="L5250" s="25"/>
      <c r="Q5250" s="17"/>
    </row>
    <row r="5251" spans="12:17" x14ac:dyDescent="0.3">
      <c r="L5251" s="25"/>
      <c r="Q5251" s="17"/>
    </row>
    <row r="5252" spans="12:17" x14ac:dyDescent="0.3">
      <c r="L5252" s="25"/>
      <c r="Q5252" s="17"/>
    </row>
    <row r="5253" spans="12:17" x14ac:dyDescent="0.3">
      <c r="L5253" s="25"/>
      <c r="Q5253" s="17"/>
    </row>
    <row r="5254" spans="12:17" x14ac:dyDescent="0.3">
      <c r="L5254" s="25"/>
      <c r="Q5254" s="17"/>
    </row>
    <row r="5255" spans="12:17" x14ac:dyDescent="0.3">
      <c r="L5255" s="25"/>
      <c r="Q5255" s="17"/>
    </row>
    <row r="5256" spans="12:17" x14ac:dyDescent="0.3">
      <c r="L5256" s="25"/>
      <c r="Q5256" s="17"/>
    </row>
    <row r="5257" spans="12:17" x14ac:dyDescent="0.3">
      <c r="L5257" s="25"/>
      <c r="Q5257" s="17"/>
    </row>
    <row r="5258" spans="12:17" x14ac:dyDescent="0.3">
      <c r="L5258" s="25"/>
      <c r="Q5258" s="17"/>
    </row>
    <row r="5259" spans="12:17" x14ac:dyDescent="0.3">
      <c r="L5259" s="25"/>
      <c r="Q5259" s="17"/>
    </row>
    <row r="5260" spans="12:17" x14ac:dyDescent="0.3">
      <c r="L5260" s="25"/>
      <c r="Q5260" s="17"/>
    </row>
    <row r="5261" spans="12:17" x14ac:dyDescent="0.3">
      <c r="L5261" s="25"/>
      <c r="Q5261" s="17"/>
    </row>
    <row r="5262" spans="12:17" x14ac:dyDescent="0.3">
      <c r="L5262" s="25"/>
      <c r="Q5262" s="17"/>
    </row>
    <row r="5263" spans="12:17" x14ac:dyDescent="0.3">
      <c r="L5263" s="25"/>
      <c r="Q5263" s="17"/>
    </row>
    <row r="5264" spans="12:17" x14ac:dyDescent="0.3">
      <c r="L5264" s="25"/>
      <c r="Q5264" s="17"/>
    </row>
    <row r="5265" spans="12:17" x14ac:dyDescent="0.3">
      <c r="L5265" s="25"/>
      <c r="Q5265" s="17"/>
    </row>
    <row r="5266" spans="12:17" x14ac:dyDescent="0.3">
      <c r="L5266" s="25"/>
      <c r="Q5266" s="17"/>
    </row>
    <row r="5267" spans="12:17" x14ac:dyDescent="0.3">
      <c r="L5267" s="25"/>
      <c r="Q5267" s="17"/>
    </row>
    <row r="5268" spans="12:17" x14ac:dyDescent="0.3">
      <c r="L5268" s="25"/>
      <c r="Q5268" s="17"/>
    </row>
    <row r="5269" spans="12:17" x14ac:dyDescent="0.3">
      <c r="L5269" s="25"/>
      <c r="Q5269" s="17"/>
    </row>
    <row r="5270" spans="12:17" x14ac:dyDescent="0.3">
      <c r="L5270" s="25"/>
      <c r="Q5270" s="17"/>
    </row>
    <row r="5271" spans="12:17" x14ac:dyDescent="0.3">
      <c r="L5271" s="25"/>
      <c r="Q5271" s="17"/>
    </row>
    <row r="5272" spans="12:17" x14ac:dyDescent="0.3">
      <c r="L5272" s="25"/>
      <c r="Q5272" s="17"/>
    </row>
    <row r="5273" spans="12:17" x14ac:dyDescent="0.3">
      <c r="L5273" s="25"/>
      <c r="Q5273" s="17"/>
    </row>
    <row r="5274" spans="12:17" x14ac:dyDescent="0.3">
      <c r="L5274" s="25"/>
      <c r="Q5274" s="17"/>
    </row>
    <row r="5275" spans="12:17" x14ac:dyDescent="0.3">
      <c r="L5275" s="25"/>
      <c r="Q5275" s="17"/>
    </row>
    <row r="5276" spans="12:17" x14ac:dyDescent="0.3">
      <c r="L5276" s="25"/>
      <c r="Q5276" s="17"/>
    </row>
    <row r="5277" spans="12:17" x14ac:dyDescent="0.3">
      <c r="L5277" s="25"/>
      <c r="Q5277" s="17"/>
    </row>
    <row r="5278" spans="12:17" x14ac:dyDescent="0.3">
      <c r="L5278" s="25"/>
      <c r="Q5278" s="17"/>
    </row>
    <row r="5279" spans="12:17" x14ac:dyDescent="0.3">
      <c r="L5279" s="25"/>
      <c r="Q5279" s="17"/>
    </row>
    <row r="5280" spans="12:17" x14ac:dyDescent="0.3">
      <c r="L5280" s="25"/>
      <c r="Q5280" s="17"/>
    </row>
    <row r="5281" spans="12:17" x14ac:dyDescent="0.3">
      <c r="L5281" s="25"/>
      <c r="Q5281" s="17"/>
    </row>
    <row r="5282" spans="12:17" x14ac:dyDescent="0.3">
      <c r="L5282" s="25"/>
      <c r="Q5282" s="17"/>
    </row>
    <row r="5283" spans="12:17" x14ac:dyDescent="0.3">
      <c r="L5283" s="25"/>
      <c r="Q5283" s="17"/>
    </row>
    <row r="5284" spans="12:17" x14ac:dyDescent="0.3">
      <c r="L5284" s="25"/>
      <c r="Q5284" s="17"/>
    </row>
    <row r="5285" spans="12:17" x14ac:dyDescent="0.3">
      <c r="L5285" s="25"/>
      <c r="Q5285" s="17"/>
    </row>
    <row r="5286" spans="12:17" x14ac:dyDescent="0.3">
      <c r="L5286" s="25"/>
      <c r="Q5286" s="17"/>
    </row>
    <row r="5287" spans="12:17" x14ac:dyDescent="0.3">
      <c r="L5287" s="25"/>
      <c r="Q5287" s="17"/>
    </row>
    <row r="5288" spans="12:17" x14ac:dyDescent="0.3">
      <c r="L5288" s="25"/>
      <c r="Q5288" s="17"/>
    </row>
    <row r="5289" spans="12:17" x14ac:dyDescent="0.3">
      <c r="L5289" s="25"/>
      <c r="Q5289" s="17"/>
    </row>
    <row r="5290" spans="12:17" x14ac:dyDescent="0.3">
      <c r="L5290" s="25"/>
      <c r="Q5290" s="17"/>
    </row>
    <row r="5291" spans="12:17" x14ac:dyDescent="0.3">
      <c r="L5291" s="25"/>
      <c r="Q5291" s="17"/>
    </row>
    <row r="5292" spans="12:17" x14ac:dyDescent="0.3">
      <c r="L5292" s="25"/>
      <c r="Q5292" s="17"/>
    </row>
    <row r="5293" spans="12:17" x14ac:dyDescent="0.3">
      <c r="L5293" s="25"/>
      <c r="Q5293" s="17"/>
    </row>
    <row r="5294" spans="12:17" x14ac:dyDescent="0.3">
      <c r="L5294" s="25"/>
      <c r="Q5294" s="17"/>
    </row>
    <row r="5295" spans="12:17" x14ac:dyDescent="0.3">
      <c r="L5295" s="25"/>
      <c r="Q5295" s="17"/>
    </row>
    <row r="5296" spans="12:17" x14ac:dyDescent="0.3">
      <c r="L5296" s="25"/>
      <c r="Q5296" s="17"/>
    </row>
    <row r="5297" spans="12:17" x14ac:dyDescent="0.3">
      <c r="L5297" s="25"/>
      <c r="Q5297" s="17"/>
    </row>
    <row r="5298" spans="12:17" x14ac:dyDescent="0.3">
      <c r="L5298" s="25"/>
      <c r="Q5298" s="17"/>
    </row>
    <row r="5299" spans="12:17" x14ac:dyDescent="0.3">
      <c r="L5299" s="25"/>
      <c r="Q5299" s="17"/>
    </row>
    <row r="5300" spans="12:17" x14ac:dyDescent="0.3">
      <c r="L5300" s="25"/>
      <c r="Q5300" s="17"/>
    </row>
    <row r="5301" spans="12:17" x14ac:dyDescent="0.3">
      <c r="L5301" s="25"/>
      <c r="Q5301" s="17"/>
    </row>
    <row r="5302" spans="12:17" x14ac:dyDescent="0.3">
      <c r="L5302" s="25"/>
      <c r="Q5302" s="17"/>
    </row>
    <row r="5303" spans="12:17" x14ac:dyDescent="0.3">
      <c r="L5303" s="25"/>
      <c r="Q5303" s="17"/>
    </row>
    <row r="5304" spans="12:17" x14ac:dyDescent="0.3">
      <c r="L5304" s="25"/>
      <c r="Q5304" s="17"/>
    </row>
    <row r="5305" spans="12:17" x14ac:dyDescent="0.3">
      <c r="L5305" s="25"/>
      <c r="Q5305" s="17"/>
    </row>
    <row r="5306" spans="12:17" x14ac:dyDescent="0.3">
      <c r="L5306" s="25"/>
      <c r="Q5306" s="17"/>
    </row>
    <row r="5307" spans="12:17" x14ac:dyDescent="0.3">
      <c r="L5307" s="25"/>
      <c r="Q5307" s="17"/>
    </row>
    <row r="5308" spans="12:17" x14ac:dyDescent="0.3">
      <c r="L5308" s="25"/>
      <c r="Q5308" s="17"/>
    </row>
    <row r="5309" spans="12:17" x14ac:dyDescent="0.3">
      <c r="L5309" s="25"/>
      <c r="Q5309" s="17"/>
    </row>
    <row r="5310" spans="12:17" x14ac:dyDescent="0.3">
      <c r="L5310" s="25"/>
      <c r="Q5310" s="17"/>
    </row>
    <row r="5311" spans="12:17" x14ac:dyDescent="0.3">
      <c r="L5311" s="25"/>
      <c r="Q5311" s="17"/>
    </row>
    <row r="5312" spans="12:17" x14ac:dyDescent="0.3">
      <c r="L5312" s="25"/>
      <c r="Q5312" s="17"/>
    </row>
    <row r="5313" spans="12:17" x14ac:dyDescent="0.3">
      <c r="L5313" s="25"/>
      <c r="Q5313" s="17"/>
    </row>
    <row r="5314" spans="12:17" x14ac:dyDescent="0.3">
      <c r="L5314" s="25"/>
      <c r="Q5314" s="17"/>
    </row>
    <row r="5315" spans="12:17" x14ac:dyDescent="0.3">
      <c r="L5315" s="25"/>
      <c r="Q5315" s="17"/>
    </row>
    <row r="5316" spans="12:17" x14ac:dyDescent="0.3">
      <c r="L5316" s="25"/>
      <c r="Q5316" s="17"/>
    </row>
    <row r="5317" spans="12:17" x14ac:dyDescent="0.3">
      <c r="L5317" s="25"/>
      <c r="Q5317" s="17"/>
    </row>
    <row r="5318" spans="12:17" x14ac:dyDescent="0.3">
      <c r="L5318" s="25"/>
      <c r="Q5318" s="17"/>
    </row>
    <row r="5319" spans="12:17" x14ac:dyDescent="0.3">
      <c r="L5319" s="25"/>
      <c r="Q5319" s="17"/>
    </row>
    <row r="5320" spans="12:17" x14ac:dyDescent="0.3">
      <c r="L5320" s="25"/>
      <c r="Q5320" s="17"/>
    </row>
    <row r="5321" spans="12:17" x14ac:dyDescent="0.3">
      <c r="L5321" s="25"/>
      <c r="Q5321" s="17"/>
    </row>
    <row r="5322" spans="12:17" x14ac:dyDescent="0.3">
      <c r="L5322" s="25"/>
      <c r="Q5322" s="17"/>
    </row>
    <row r="5323" spans="12:17" x14ac:dyDescent="0.3">
      <c r="L5323" s="25"/>
      <c r="Q5323" s="17"/>
    </row>
    <row r="5324" spans="12:17" x14ac:dyDescent="0.3">
      <c r="L5324" s="25"/>
      <c r="Q5324" s="17"/>
    </row>
    <row r="5325" spans="12:17" x14ac:dyDescent="0.3">
      <c r="L5325" s="25"/>
      <c r="Q5325" s="17"/>
    </row>
    <row r="5326" spans="12:17" x14ac:dyDescent="0.3">
      <c r="L5326" s="25"/>
      <c r="Q5326" s="17"/>
    </row>
    <row r="5327" spans="12:17" x14ac:dyDescent="0.3">
      <c r="L5327" s="25"/>
      <c r="Q5327" s="17"/>
    </row>
    <row r="5328" spans="12:17" x14ac:dyDescent="0.3">
      <c r="L5328" s="25"/>
      <c r="Q5328" s="17"/>
    </row>
    <row r="5329" spans="12:17" x14ac:dyDescent="0.3">
      <c r="L5329" s="25"/>
      <c r="Q5329" s="17"/>
    </row>
    <row r="5330" spans="12:17" x14ac:dyDescent="0.3">
      <c r="L5330" s="25"/>
      <c r="Q5330" s="17"/>
    </row>
    <row r="5331" spans="12:17" x14ac:dyDescent="0.3">
      <c r="L5331" s="25"/>
      <c r="Q5331" s="17"/>
    </row>
    <row r="5332" spans="12:17" x14ac:dyDescent="0.3">
      <c r="L5332" s="25"/>
      <c r="Q5332" s="17"/>
    </row>
    <row r="5333" spans="12:17" x14ac:dyDescent="0.3">
      <c r="L5333" s="25"/>
      <c r="Q5333" s="17"/>
    </row>
    <row r="5334" spans="12:17" x14ac:dyDescent="0.3">
      <c r="L5334" s="25"/>
      <c r="Q5334" s="17"/>
    </row>
    <row r="5335" spans="12:17" x14ac:dyDescent="0.3">
      <c r="L5335" s="25"/>
      <c r="Q5335" s="17"/>
    </row>
    <row r="5336" spans="12:17" x14ac:dyDescent="0.3">
      <c r="L5336" s="25"/>
      <c r="Q5336" s="17"/>
    </row>
    <row r="5337" spans="12:17" x14ac:dyDescent="0.3">
      <c r="L5337" s="25"/>
      <c r="Q5337" s="17"/>
    </row>
    <row r="5338" spans="12:17" x14ac:dyDescent="0.3">
      <c r="L5338" s="25"/>
      <c r="Q5338" s="17"/>
    </row>
    <row r="5339" spans="12:17" x14ac:dyDescent="0.3">
      <c r="L5339" s="25"/>
      <c r="Q5339" s="17"/>
    </row>
    <row r="5340" spans="12:17" x14ac:dyDescent="0.3">
      <c r="L5340" s="25"/>
      <c r="Q5340" s="17"/>
    </row>
    <row r="5341" spans="12:17" x14ac:dyDescent="0.3">
      <c r="L5341" s="25"/>
      <c r="Q5341" s="17"/>
    </row>
    <row r="5342" spans="12:17" x14ac:dyDescent="0.3">
      <c r="L5342" s="25"/>
      <c r="Q5342" s="17"/>
    </row>
    <row r="5343" spans="12:17" x14ac:dyDescent="0.3">
      <c r="L5343" s="25"/>
      <c r="Q5343" s="17"/>
    </row>
    <row r="5344" spans="12:17" x14ac:dyDescent="0.3">
      <c r="L5344" s="25"/>
      <c r="Q5344" s="17"/>
    </row>
    <row r="5345" spans="12:17" x14ac:dyDescent="0.3">
      <c r="L5345" s="25"/>
      <c r="Q5345" s="17"/>
    </row>
    <row r="5346" spans="12:17" x14ac:dyDescent="0.3">
      <c r="L5346" s="25"/>
      <c r="Q5346" s="17"/>
    </row>
    <row r="5347" spans="12:17" x14ac:dyDescent="0.3">
      <c r="L5347" s="25"/>
      <c r="Q5347" s="17"/>
    </row>
    <row r="5348" spans="12:17" x14ac:dyDescent="0.3">
      <c r="L5348" s="25"/>
      <c r="Q5348" s="17"/>
    </row>
    <row r="5349" spans="12:17" x14ac:dyDescent="0.3">
      <c r="L5349" s="25"/>
      <c r="Q5349" s="17"/>
    </row>
    <row r="5350" spans="12:17" x14ac:dyDescent="0.3">
      <c r="L5350" s="25"/>
      <c r="Q5350" s="17"/>
    </row>
    <row r="5351" spans="12:17" x14ac:dyDescent="0.3">
      <c r="L5351" s="25"/>
      <c r="Q5351" s="17"/>
    </row>
    <row r="5352" spans="12:17" x14ac:dyDescent="0.3">
      <c r="L5352" s="25"/>
      <c r="Q5352" s="17"/>
    </row>
    <row r="5353" spans="12:17" x14ac:dyDescent="0.3">
      <c r="L5353" s="25"/>
      <c r="Q5353" s="17"/>
    </row>
    <row r="5354" spans="12:17" x14ac:dyDescent="0.3">
      <c r="L5354" s="25"/>
      <c r="Q5354" s="17"/>
    </row>
    <row r="5355" spans="12:17" x14ac:dyDescent="0.3">
      <c r="L5355" s="25"/>
      <c r="Q5355" s="17"/>
    </row>
    <row r="5356" spans="12:17" x14ac:dyDescent="0.3">
      <c r="L5356" s="25"/>
      <c r="Q5356" s="17"/>
    </row>
    <row r="5357" spans="12:17" x14ac:dyDescent="0.3">
      <c r="L5357" s="25"/>
      <c r="Q5357" s="17"/>
    </row>
    <row r="5358" spans="12:17" x14ac:dyDescent="0.3">
      <c r="L5358" s="25"/>
      <c r="Q5358" s="17"/>
    </row>
    <row r="5359" spans="12:17" x14ac:dyDescent="0.3">
      <c r="L5359" s="25"/>
      <c r="Q5359" s="17"/>
    </row>
    <row r="5360" spans="12:17" x14ac:dyDescent="0.3">
      <c r="L5360" s="25"/>
      <c r="Q5360" s="17"/>
    </row>
    <row r="5361" spans="12:17" x14ac:dyDescent="0.3">
      <c r="L5361" s="25"/>
      <c r="Q5361" s="17"/>
    </row>
    <row r="5362" spans="12:17" x14ac:dyDescent="0.3">
      <c r="L5362" s="25"/>
      <c r="Q5362" s="17"/>
    </row>
    <row r="5363" spans="12:17" x14ac:dyDescent="0.3">
      <c r="L5363" s="25"/>
      <c r="Q5363" s="17"/>
    </row>
    <row r="5364" spans="12:17" x14ac:dyDescent="0.3">
      <c r="L5364" s="25"/>
      <c r="Q5364" s="17"/>
    </row>
    <row r="5365" spans="12:17" x14ac:dyDescent="0.3">
      <c r="L5365" s="25"/>
      <c r="Q5365" s="17"/>
    </row>
    <row r="5366" spans="12:17" x14ac:dyDescent="0.3">
      <c r="L5366" s="25"/>
      <c r="Q5366" s="17"/>
    </row>
    <row r="5367" spans="12:17" x14ac:dyDescent="0.3">
      <c r="L5367" s="25"/>
      <c r="Q5367" s="17"/>
    </row>
    <row r="5368" spans="12:17" x14ac:dyDescent="0.3">
      <c r="L5368" s="25"/>
      <c r="Q5368" s="17"/>
    </row>
    <row r="5369" spans="12:17" x14ac:dyDescent="0.3">
      <c r="L5369" s="25"/>
      <c r="Q5369" s="17"/>
    </row>
    <row r="5370" spans="12:17" x14ac:dyDescent="0.3">
      <c r="L5370" s="25"/>
      <c r="Q5370" s="17"/>
    </row>
    <row r="5371" spans="12:17" x14ac:dyDescent="0.3">
      <c r="L5371" s="25"/>
      <c r="Q5371" s="17"/>
    </row>
    <row r="5372" spans="12:17" x14ac:dyDescent="0.3">
      <c r="L5372" s="25"/>
      <c r="Q5372" s="17"/>
    </row>
    <row r="5373" spans="12:17" x14ac:dyDescent="0.3">
      <c r="L5373" s="25"/>
      <c r="Q5373" s="17"/>
    </row>
    <row r="5374" spans="12:17" x14ac:dyDescent="0.3">
      <c r="L5374" s="25"/>
      <c r="Q5374" s="17"/>
    </row>
    <row r="5375" spans="12:17" x14ac:dyDescent="0.3">
      <c r="L5375" s="25"/>
      <c r="Q5375" s="17"/>
    </row>
    <row r="5376" spans="12:17" x14ac:dyDescent="0.3">
      <c r="L5376" s="25"/>
      <c r="Q5376" s="17"/>
    </row>
    <row r="5377" spans="12:17" x14ac:dyDescent="0.3">
      <c r="L5377" s="25"/>
      <c r="Q5377" s="17"/>
    </row>
    <row r="5378" spans="12:17" x14ac:dyDescent="0.3">
      <c r="L5378" s="25"/>
      <c r="Q5378" s="17"/>
    </row>
    <row r="5379" spans="12:17" x14ac:dyDescent="0.3">
      <c r="L5379" s="25"/>
      <c r="Q5379" s="17"/>
    </row>
    <row r="5380" spans="12:17" x14ac:dyDescent="0.3">
      <c r="L5380" s="25"/>
      <c r="Q5380" s="17"/>
    </row>
    <row r="5381" spans="12:17" x14ac:dyDescent="0.3">
      <c r="L5381" s="25"/>
      <c r="Q5381" s="17"/>
    </row>
    <row r="5382" spans="12:17" x14ac:dyDescent="0.3">
      <c r="L5382" s="25"/>
      <c r="Q5382" s="17"/>
    </row>
    <row r="5383" spans="12:17" x14ac:dyDescent="0.3">
      <c r="L5383" s="25"/>
      <c r="Q5383" s="17"/>
    </row>
    <row r="5384" spans="12:17" x14ac:dyDescent="0.3">
      <c r="L5384" s="25"/>
      <c r="Q5384" s="17"/>
    </row>
    <row r="5385" spans="12:17" x14ac:dyDescent="0.3">
      <c r="L5385" s="25"/>
      <c r="Q5385" s="17"/>
    </row>
    <row r="5386" spans="12:17" x14ac:dyDescent="0.3">
      <c r="L5386" s="25"/>
      <c r="Q5386" s="17"/>
    </row>
    <row r="5387" spans="12:17" x14ac:dyDescent="0.3">
      <c r="L5387" s="25"/>
      <c r="Q5387" s="17"/>
    </row>
    <row r="5388" spans="12:17" x14ac:dyDescent="0.3">
      <c r="L5388" s="25"/>
      <c r="Q5388" s="17"/>
    </row>
    <row r="5389" spans="12:17" x14ac:dyDescent="0.3">
      <c r="L5389" s="25"/>
      <c r="Q5389" s="17"/>
    </row>
    <row r="5390" spans="12:17" x14ac:dyDescent="0.3">
      <c r="L5390" s="25"/>
      <c r="Q5390" s="17"/>
    </row>
    <row r="5391" spans="12:17" x14ac:dyDescent="0.3">
      <c r="L5391" s="25"/>
      <c r="Q5391" s="17"/>
    </row>
    <row r="5392" spans="12:17" x14ac:dyDescent="0.3">
      <c r="L5392" s="25"/>
      <c r="Q5392" s="17"/>
    </row>
    <row r="5393" spans="12:17" x14ac:dyDescent="0.3">
      <c r="L5393" s="25"/>
      <c r="Q5393" s="17"/>
    </row>
    <row r="5394" spans="12:17" x14ac:dyDescent="0.3">
      <c r="L5394" s="25"/>
      <c r="Q5394" s="17"/>
    </row>
    <row r="5395" spans="12:17" x14ac:dyDescent="0.3">
      <c r="L5395" s="25"/>
      <c r="Q5395" s="17"/>
    </row>
    <row r="5396" spans="12:17" x14ac:dyDescent="0.3">
      <c r="L5396" s="25"/>
      <c r="Q5396" s="17"/>
    </row>
    <row r="5397" spans="12:17" x14ac:dyDescent="0.3">
      <c r="L5397" s="25"/>
      <c r="Q5397" s="17"/>
    </row>
    <row r="5398" spans="12:17" x14ac:dyDescent="0.3">
      <c r="L5398" s="25"/>
      <c r="Q5398" s="17"/>
    </row>
    <row r="5399" spans="12:17" x14ac:dyDescent="0.3">
      <c r="L5399" s="25"/>
      <c r="Q5399" s="17"/>
    </row>
    <row r="5400" spans="12:17" x14ac:dyDescent="0.3">
      <c r="L5400" s="25"/>
      <c r="Q5400" s="17"/>
    </row>
    <row r="5401" spans="12:17" x14ac:dyDescent="0.3">
      <c r="L5401" s="25"/>
      <c r="Q5401" s="17"/>
    </row>
    <row r="5402" spans="12:17" x14ac:dyDescent="0.3">
      <c r="L5402" s="25"/>
      <c r="Q5402" s="17"/>
    </row>
    <row r="5403" spans="12:17" x14ac:dyDescent="0.3">
      <c r="L5403" s="25"/>
      <c r="Q5403" s="17"/>
    </row>
    <row r="5404" spans="12:17" x14ac:dyDescent="0.3">
      <c r="L5404" s="25"/>
      <c r="Q5404" s="17"/>
    </row>
    <row r="5405" spans="12:17" x14ac:dyDescent="0.3">
      <c r="L5405" s="25"/>
      <c r="Q5405" s="17"/>
    </row>
    <row r="5406" spans="12:17" x14ac:dyDescent="0.3">
      <c r="L5406" s="25"/>
      <c r="Q5406" s="17"/>
    </row>
    <row r="5407" spans="12:17" x14ac:dyDescent="0.3">
      <c r="L5407" s="25"/>
      <c r="Q5407" s="17"/>
    </row>
    <row r="5408" spans="12:17" x14ac:dyDescent="0.3">
      <c r="L5408" s="25"/>
      <c r="Q5408" s="17"/>
    </row>
    <row r="5409" spans="12:17" x14ac:dyDescent="0.3">
      <c r="L5409" s="25"/>
      <c r="Q5409" s="17"/>
    </row>
    <row r="5410" spans="12:17" x14ac:dyDescent="0.3">
      <c r="L5410" s="25"/>
      <c r="Q5410" s="17"/>
    </row>
    <row r="5411" spans="12:17" x14ac:dyDescent="0.3">
      <c r="L5411" s="25"/>
      <c r="Q5411" s="17"/>
    </row>
    <row r="5412" spans="12:17" x14ac:dyDescent="0.3">
      <c r="L5412" s="25"/>
      <c r="Q5412" s="17"/>
    </row>
    <row r="5413" spans="12:17" x14ac:dyDescent="0.3">
      <c r="L5413" s="25"/>
      <c r="Q5413" s="17"/>
    </row>
    <row r="5414" spans="12:17" x14ac:dyDescent="0.3">
      <c r="L5414" s="25"/>
      <c r="Q5414" s="17"/>
    </row>
    <row r="5415" spans="12:17" x14ac:dyDescent="0.3">
      <c r="L5415" s="25"/>
      <c r="Q5415" s="17"/>
    </row>
    <row r="5416" spans="12:17" x14ac:dyDescent="0.3">
      <c r="L5416" s="25"/>
      <c r="Q5416" s="17"/>
    </row>
    <row r="5417" spans="12:17" x14ac:dyDescent="0.3">
      <c r="L5417" s="25"/>
      <c r="Q5417" s="17"/>
    </row>
    <row r="5418" spans="12:17" x14ac:dyDescent="0.3">
      <c r="L5418" s="25"/>
      <c r="Q5418" s="17"/>
    </row>
    <row r="5419" spans="12:17" x14ac:dyDescent="0.3">
      <c r="L5419" s="25"/>
      <c r="Q5419" s="17"/>
    </row>
    <row r="5420" spans="12:17" x14ac:dyDescent="0.3">
      <c r="L5420" s="25"/>
      <c r="Q5420" s="17"/>
    </row>
    <row r="5421" spans="12:17" x14ac:dyDescent="0.3">
      <c r="L5421" s="25"/>
      <c r="Q5421" s="17"/>
    </row>
    <row r="5422" spans="12:17" x14ac:dyDescent="0.3">
      <c r="L5422" s="25"/>
      <c r="Q5422" s="17"/>
    </row>
    <row r="5423" spans="12:17" x14ac:dyDescent="0.3">
      <c r="L5423" s="25"/>
      <c r="Q5423" s="17"/>
    </row>
    <row r="5424" spans="12:17" x14ac:dyDescent="0.3">
      <c r="L5424" s="25"/>
      <c r="Q5424" s="17"/>
    </row>
    <row r="5425" spans="12:17" x14ac:dyDescent="0.3">
      <c r="L5425" s="25"/>
      <c r="Q5425" s="17"/>
    </row>
    <row r="5426" spans="12:17" x14ac:dyDescent="0.3">
      <c r="L5426" s="25"/>
      <c r="Q5426" s="17"/>
    </row>
    <row r="5427" spans="12:17" x14ac:dyDescent="0.3">
      <c r="L5427" s="25"/>
      <c r="Q5427" s="17"/>
    </row>
    <row r="5428" spans="12:17" x14ac:dyDescent="0.3">
      <c r="L5428" s="25"/>
      <c r="Q5428" s="17"/>
    </row>
    <row r="5429" spans="12:17" x14ac:dyDescent="0.3">
      <c r="L5429" s="25"/>
      <c r="Q5429" s="17"/>
    </row>
    <row r="5430" spans="12:17" x14ac:dyDescent="0.3">
      <c r="L5430" s="25"/>
      <c r="Q5430" s="17"/>
    </row>
    <row r="5431" spans="12:17" x14ac:dyDescent="0.3">
      <c r="L5431" s="25"/>
      <c r="Q5431" s="17"/>
    </row>
    <row r="5432" spans="12:17" x14ac:dyDescent="0.3">
      <c r="L5432" s="25"/>
      <c r="Q5432" s="17"/>
    </row>
    <row r="5433" spans="12:17" x14ac:dyDescent="0.3">
      <c r="L5433" s="25"/>
      <c r="Q5433" s="17"/>
    </row>
    <row r="5434" spans="12:17" x14ac:dyDescent="0.3">
      <c r="L5434" s="25"/>
      <c r="Q5434" s="17"/>
    </row>
    <row r="5435" spans="12:17" x14ac:dyDescent="0.3">
      <c r="L5435" s="25"/>
      <c r="Q5435" s="17"/>
    </row>
    <row r="5436" spans="12:17" x14ac:dyDescent="0.3">
      <c r="L5436" s="25"/>
      <c r="Q5436" s="17"/>
    </row>
    <row r="5437" spans="12:17" x14ac:dyDescent="0.3">
      <c r="L5437" s="25"/>
      <c r="Q5437" s="17"/>
    </row>
    <row r="5438" spans="12:17" x14ac:dyDescent="0.3">
      <c r="L5438" s="25"/>
      <c r="Q5438" s="17"/>
    </row>
    <row r="5439" spans="12:17" x14ac:dyDescent="0.3">
      <c r="L5439" s="25"/>
      <c r="Q5439" s="17"/>
    </row>
    <row r="5440" spans="12:17" x14ac:dyDescent="0.3">
      <c r="L5440" s="25"/>
      <c r="Q5440" s="17"/>
    </row>
    <row r="5441" spans="12:17" x14ac:dyDescent="0.3">
      <c r="L5441" s="25"/>
      <c r="Q5441" s="17"/>
    </row>
    <row r="5442" spans="12:17" x14ac:dyDescent="0.3">
      <c r="L5442" s="25"/>
      <c r="Q5442" s="17"/>
    </row>
    <row r="5443" spans="12:17" x14ac:dyDescent="0.3">
      <c r="L5443" s="25"/>
      <c r="Q5443" s="17"/>
    </row>
    <row r="5444" spans="12:17" x14ac:dyDescent="0.3">
      <c r="L5444" s="25"/>
      <c r="Q5444" s="17"/>
    </row>
    <row r="5445" spans="12:17" x14ac:dyDescent="0.3">
      <c r="L5445" s="25"/>
      <c r="Q5445" s="17"/>
    </row>
    <row r="5446" spans="12:17" x14ac:dyDescent="0.3">
      <c r="L5446" s="25"/>
      <c r="Q5446" s="17"/>
    </row>
    <row r="5447" spans="12:17" x14ac:dyDescent="0.3">
      <c r="L5447" s="25"/>
      <c r="Q5447" s="17"/>
    </row>
    <row r="5448" spans="12:17" x14ac:dyDescent="0.3">
      <c r="L5448" s="25"/>
      <c r="Q5448" s="17"/>
    </row>
    <row r="5449" spans="12:17" x14ac:dyDescent="0.3">
      <c r="L5449" s="25"/>
      <c r="Q5449" s="17"/>
    </row>
    <row r="5450" spans="12:17" x14ac:dyDescent="0.3">
      <c r="L5450" s="25"/>
      <c r="Q5450" s="17"/>
    </row>
    <row r="5451" spans="12:17" x14ac:dyDescent="0.3">
      <c r="L5451" s="25"/>
      <c r="Q5451" s="17"/>
    </row>
    <row r="5452" spans="12:17" x14ac:dyDescent="0.3">
      <c r="L5452" s="25"/>
      <c r="Q5452" s="17"/>
    </row>
    <row r="5453" spans="12:17" x14ac:dyDescent="0.3">
      <c r="L5453" s="25"/>
      <c r="Q5453" s="17"/>
    </row>
    <row r="5454" spans="12:17" x14ac:dyDescent="0.3">
      <c r="L5454" s="25"/>
      <c r="Q5454" s="17"/>
    </row>
    <row r="5455" spans="12:17" x14ac:dyDescent="0.3">
      <c r="L5455" s="25"/>
      <c r="Q5455" s="17"/>
    </row>
    <row r="5456" spans="12:17" x14ac:dyDescent="0.3">
      <c r="L5456" s="25"/>
      <c r="Q5456" s="17"/>
    </row>
    <row r="5457" spans="12:17" x14ac:dyDescent="0.3">
      <c r="L5457" s="25"/>
      <c r="Q5457" s="17"/>
    </row>
    <row r="5458" spans="12:17" x14ac:dyDescent="0.3">
      <c r="L5458" s="25"/>
      <c r="Q5458" s="17"/>
    </row>
    <row r="5459" spans="12:17" x14ac:dyDescent="0.3">
      <c r="L5459" s="25"/>
      <c r="Q5459" s="17"/>
    </row>
    <row r="5460" spans="12:17" x14ac:dyDescent="0.3">
      <c r="L5460" s="25"/>
      <c r="Q5460" s="17"/>
    </row>
    <row r="5461" spans="12:17" x14ac:dyDescent="0.3">
      <c r="L5461" s="25"/>
      <c r="Q5461" s="17"/>
    </row>
    <row r="5462" spans="12:17" x14ac:dyDescent="0.3">
      <c r="L5462" s="25"/>
      <c r="Q5462" s="17"/>
    </row>
    <row r="5463" spans="12:17" x14ac:dyDescent="0.3">
      <c r="L5463" s="25"/>
      <c r="Q5463" s="17"/>
    </row>
    <row r="5464" spans="12:17" x14ac:dyDescent="0.3">
      <c r="L5464" s="25"/>
      <c r="Q5464" s="17"/>
    </row>
    <row r="5465" spans="12:17" x14ac:dyDescent="0.3">
      <c r="L5465" s="25"/>
      <c r="Q5465" s="17"/>
    </row>
    <row r="5466" spans="12:17" x14ac:dyDescent="0.3">
      <c r="L5466" s="25"/>
      <c r="Q5466" s="17"/>
    </row>
    <row r="5467" spans="12:17" x14ac:dyDescent="0.3">
      <c r="L5467" s="25"/>
      <c r="Q5467" s="17"/>
    </row>
    <row r="5468" spans="12:17" x14ac:dyDescent="0.3">
      <c r="L5468" s="25"/>
      <c r="Q5468" s="17"/>
    </row>
    <row r="5469" spans="12:17" x14ac:dyDescent="0.3">
      <c r="L5469" s="25"/>
      <c r="Q5469" s="17"/>
    </row>
    <row r="5470" spans="12:17" x14ac:dyDescent="0.3">
      <c r="L5470" s="25"/>
      <c r="Q5470" s="17"/>
    </row>
    <row r="5471" spans="12:17" x14ac:dyDescent="0.3">
      <c r="L5471" s="25"/>
      <c r="Q5471" s="17"/>
    </row>
    <row r="5472" spans="12:17" x14ac:dyDescent="0.3">
      <c r="L5472" s="25"/>
      <c r="Q5472" s="17"/>
    </row>
    <row r="5473" spans="12:17" x14ac:dyDescent="0.3">
      <c r="L5473" s="25"/>
      <c r="Q5473" s="17"/>
    </row>
    <row r="5474" spans="12:17" x14ac:dyDescent="0.3">
      <c r="L5474" s="25"/>
      <c r="Q5474" s="17"/>
    </row>
    <row r="5475" spans="12:17" x14ac:dyDescent="0.3">
      <c r="L5475" s="25"/>
      <c r="Q5475" s="17"/>
    </row>
    <row r="5476" spans="12:17" x14ac:dyDescent="0.3">
      <c r="L5476" s="25"/>
      <c r="Q5476" s="17"/>
    </row>
    <row r="5477" spans="12:17" x14ac:dyDescent="0.3">
      <c r="L5477" s="25"/>
      <c r="Q5477" s="17"/>
    </row>
    <row r="5478" spans="12:17" x14ac:dyDescent="0.3">
      <c r="L5478" s="25"/>
      <c r="Q5478" s="17"/>
    </row>
    <row r="5479" spans="12:17" x14ac:dyDescent="0.3">
      <c r="L5479" s="25"/>
      <c r="Q5479" s="17"/>
    </row>
    <row r="5480" spans="12:17" x14ac:dyDescent="0.3">
      <c r="L5480" s="25"/>
      <c r="Q5480" s="17"/>
    </row>
    <row r="5481" spans="12:17" x14ac:dyDescent="0.3">
      <c r="L5481" s="25"/>
      <c r="Q5481" s="17"/>
    </row>
    <row r="5482" spans="12:17" x14ac:dyDescent="0.3">
      <c r="L5482" s="25"/>
      <c r="Q5482" s="17"/>
    </row>
    <row r="5483" spans="12:17" x14ac:dyDescent="0.3">
      <c r="L5483" s="25"/>
      <c r="Q5483" s="17"/>
    </row>
    <row r="5484" spans="12:17" x14ac:dyDescent="0.3">
      <c r="L5484" s="25"/>
      <c r="Q5484" s="17"/>
    </row>
    <row r="5485" spans="12:17" x14ac:dyDescent="0.3">
      <c r="L5485" s="25"/>
      <c r="Q5485" s="17"/>
    </row>
    <row r="5486" spans="12:17" x14ac:dyDescent="0.3">
      <c r="L5486" s="25"/>
      <c r="Q5486" s="17"/>
    </row>
    <row r="5487" spans="12:17" x14ac:dyDescent="0.3">
      <c r="L5487" s="25"/>
      <c r="Q5487" s="17"/>
    </row>
    <row r="5488" spans="12:17" x14ac:dyDescent="0.3">
      <c r="L5488" s="25"/>
      <c r="Q5488" s="17"/>
    </row>
    <row r="5489" spans="12:17" x14ac:dyDescent="0.3">
      <c r="L5489" s="25"/>
      <c r="Q5489" s="17"/>
    </row>
    <row r="5490" spans="12:17" x14ac:dyDescent="0.3">
      <c r="L5490" s="25"/>
      <c r="Q5490" s="17"/>
    </row>
    <row r="5491" spans="12:17" x14ac:dyDescent="0.3">
      <c r="L5491" s="25"/>
      <c r="Q5491" s="17"/>
    </row>
    <row r="5492" spans="12:17" x14ac:dyDescent="0.3">
      <c r="L5492" s="25"/>
      <c r="Q5492" s="17"/>
    </row>
    <row r="5493" spans="12:17" x14ac:dyDescent="0.3">
      <c r="L5493" s="25"/>
      <c r="Q5493" s="17"/>
    </row>
    <row r="5494" spans="12:17" x14ac:dyDescent="0.3">
      <c r="L5494" s="25"/>
      <c r="Q5494" s="17"/>
    </row>
    <row r="5495" spans="12:17" x14ac:dyDescent="0.3">
      <c r="L5495" s="25"/>
      <c r="Q5495" s="17"/>
    </row>
    <row r="5496" spans="12:17" x14ac:dyDescent="0.3">
      <c r="L5496" s="25"/>
      <c r="Q5496" s="17"/>
    </row>
    <row r="5497" spans="12:17" x14ac:dyDescent="0.3">
      <c r="L5497" s="25"/>
      <c r="Q5497" s="17"/>
    </row>
    <row r="5498" spans="12:17" x14ac:dyDescent="0.3">
      <c r="L5498" s="25"/>
      <c r="Q5498" s="17"/>
    </row>
    <row r="5499" spans="12:17" x14ac:dyDescent="0.3">
      <c r="L5499" s="25"/>
      <c r="Q5499" s="17"/>
    </row>
    <row r="5500" spans="12:17" x14ac:dyDescent="0.3">
      <c r="L5500" s="25"/>
      <c r="Q5500" s="17"/>
    </row>
    <row r="5501" spans="12:17" x14ac:dyDescent="0.3">
      <c r="L5501" s="25"/>
      <c r="Q5501" s="17"/>
    </row>
    <row r="5502" spans="12:17" x14ac:dyDescent="0.3">
      <c r="L5502" s="25"/>
      <c r="Q5502" s="17"/>
    </row>
    <row r="5503" spans="12:17" x14ac:dyDescent="0.3">
      <c r="L5503" s="25"/>
      <c r="Q5503" s="17"/>
    </row>
    <row r="5504" spans="12:17" x14ac:dyDescent="0.3">
      <c r="L5504" s="25"/>
      <c r="Q5504" s="17"/>
    </row>
    <row r="5505" spans="12:17" x14ac:dyDescent="0.3">
      <c r="L5505" s="25"/>
      <c r="Q5505" s="17"/>
    </row>
    <row r="5506" spans="12:17" x14ac:dyDescent="0.3">
      <c r="L5506" s="25"/>
      <c r="Q5506" s="17"/>
    </row>
    <row r="5507" spans="12:17" x14ac:dyDescent="0.3">
      <c r="L5507" s="25"/>
      <c r="Q5507" s="17"/>
    </row>
    <row r="5508" spans="12:17" x14ac:dyDescent="0.3">
      <c r="L5508" s="25"/>
      <c r="Q5508" s="17"/>
    </row>
    <row r="5509" spans="12:17" x14ac:dyDescent="0.3">
      <c r="L5509" s="25"/>
      <c r="Q5509" s="17"/>
    </row>
    <row r="5510" spans="12:17" x14ac:dyDescent="0.3">
      <c r="L5510" s="25"/>
      <c r="Q5510" s="17"/>
    </row>
    <row r="5511" spans="12:17" x14ac:dyDescent="0.3">
      <c r="L5511" s="25"/>
      <c r="Q5511" s="17"/>
    </row>
    <row r="5512" spans="12:17" x14ac:dyDescent="0.3">
      <c r="L5512" s="25"/>
      <c r="Q5512" s="17"/>
    </row>
    <row r="5513" spans="12:17" x14ac:dyDescent="0.3">
      <c r="L5513" s="25"/>
      <c r="Q5513" s="17"/>
    </row>
    <row r="5514" spans="12:17" x14ac:dyDescent="0.3">
      <c r="L5514" s="25"/>
      <c r="Q5514" s="17"/>
    </row>
    <row r="5515" spans="12:17" x14ac:dyDescent="0.3">
      <c r="L5515" s="25"/>
      <c r="Q5515" s="17"/>
    </row>
    <row r="5516" spans="12:17" x14ac:dyDescent="0.3">
      <c r="L5516" s="25"/>
      <c r="Q5516" s="17"/>
    </row>
    <row r="5517" spans="12:17" x14ac:dyDescent="0.3">
      <c r="L5517" s="25"/>
      <c r="Q5517" s="17"/>
    </row>
    <row r="5518" spans="12:17" x14ac:dyDescent="0.3">
      <c r="L5518" s="25"/>
      <c r="Q5518" s="17"/>
    </row>
    <row r="5519" spans="12:17" x14ac:dyDescent="0.3">
      <c r="L5519" s="25"/>
      <c r="Q5519" s="17"/>
    </row>
    <row r="5520" spans="12:17" x14ac:dyDescent="0.3">
      <c r="L5520" s="25"/>
      <c r="Q5520" s="17"/>
    </row>
    <row r="5521" spans="12:17" x14ac:dyDescent="0.3">
      <c r="L5521" s="25"/>
      <c r="Q5521" s="17"/>
    </row>
    <row r="5522" spans="12:17" x14ac:dyDescent="0.3">
      <c r="L5522" s="25"/>
      <c r="Q5522" s="17"/>
    </row>
    <row r="5523" spans="12:17" x14ac:dyDescent="0.3">
      <c r="L5523" s="25"/>
      <c r="Q5523" s="17"/>
    </row>
    <row r="5524" spans="12:17" x14ac:dyDescent="0.3">
      <c r="L5524" s="25"/>
      <c r="Q5524" s="17"/>
    </row>
    <row r="5525" spans="12:17" x14ac:dyDescent="0.3">
      <c r="L5525" s="25"/>
      <c r="Q5525" s="17"/>
    </row>
    <row r="5526" spans="12:17" x14ac:dyDescent="0.3">
      <c r="L5526" s="25"/>
      <c r="Q5526" s="17"/>
    </row>
    <row r="5527" spans="12:17" x14ac:dyDescent="0.3">
      <c r="L5527" s="25"/>
      <c r="Q5527" s="17"/>
    </row>
    <row r="5528" spans="12:17" x14ac:dyDescent="0.3">
      <c r="L5528" s="25"/>
      <c r="Q5528" s="17"/>
    </row>
    <row r="5529" spans="12:17" x14ac:dyDescent="0.3">
      <c r="L5529" s="25"/>
      <c r="Q5529" s="17"/>
    </row>
    <row r="5530" spans="12:17" x14ac:dyDescent="0.3">
      <c r="L5530" s="25"/>
      <c r="Q5530" s="17"/>
    </row>
    <row r="5531" spans="12:17" x14ac:dyDescent="0.3">
      <c r="L5531" s="25"/>
      <c r="Q5531" s="17"/>
    </row>
    <row r="5532" spans="12:17" x14ac:dyDescent="0.3">
      <c r="L5532" s="25"/>
      <c r="Q5532" s="17"/>
    </row>
    <row r="5533" spans="12:17" x14ac:dyDescent="0.3">
      <c r="L5533" s="25"/>
      <c r="Q5533" s="17"/>
    </row>
    <row r="5534" spans="12:17" x14ac:dyDescent="0.3">
      <c r="L5534" s="25"/>
      <c r="Q5534" s="17"/>
    </row>
    <row r="5535" spans="12:17" x14ac:dyDescent="0.3">
      <c r="L5535" s="25"/>
      <c r="Q5535" s="17"/>
    </row>
    <row r="5536" spans="12:17" x14ac:dyDescent="0.3">
      <c r="L5536" s="25"/>
      <c r="Q5536" s="17"/>
    </row>
    <row r="5537" spans="12:17" x14ac:dyDescent="0.3">
      <c r="L5537" s="25"/>
      <c r="Q5537" s="17"/>
    </row>
    <row r="5538" spans="12:17" x14ac:dyDescent="0.3">
      <c r="L5538" s="25"/>
      <c r="Q5538" s="17"/>
    </row>
    <row r="5539" spans="12:17" x14ac:dyDescent="0.3">
      <c r="L5539" s="25"/>
      <c r="Q5539" s="17"/>
    </row>
    <row r="5540" spans="12:17" x14ac:dyDescent="0.3">
      <c r="L5540" s="25"/>
      <c r="Q5540" s="17"/>
    </row>
    <row r="5541" spans="12:17" x14ac:dyDescent="0.3">
      <c r="L5541" s="25"/>
      <c r="Q5541" s="17"/>
    </row>
    <row r="5542" spans="12:17" x14ac:dyDescent="0.3">
      <c r="L5542" s="25"/>
      <c r="Q5542" s="17"/>
    </row>
    <row r="5543" spans="12:17" x14ac:dyDescent="0.3">
      <c r="L5543" s="25"/>
      <c r="Q5543" s="17"/>
    </row>
    <row r="5544" spans="12:17" x14ac:dyDescent="0.3">
      <c r="L5544" s="25"/>
      <c r="Q5544" s="17"/>
    </row>
    <row r="5545" spans="12:17" x14ac:dyDescent="0.3">
      <c r="L5545" s="25"/>
      <c r="Q5545" s="17"/>
    </row>
    <row r="5546" spans="12:17" x14ac:dyDescent="0.3">
      <c r="L5546" s="25"/>
      <c r="Q5546" s="17"/>
    </row>
    <row r="5547" spans="12:17" x14ac:dyDescent="0.3">
      <c r="L5547" s="25"/>
      <c r="Q5547" s="17"/>
    </row>
    <row r="5548" spans="12:17" x14ac:dyDescent="0.3">
      <c r="L5548" s="25"/>
      <c r="Q5548" s="17"/>
    </row>
    <row r="5549" spans="12:17" x14ac:dyDescent="0.3">
      <c r="L5549" s="25"/>
      <c r="Q5549" s="17"/>
    </row>
    <row r="5550" spans="12:17" x14ac:dyDescent="0.3">
      <c r="L5550" s="25"/>
      <c r="Q5550" s="17"/>
    </row>
    <row r="5551" spans="12:17" x14ac:dyDescent="0.3">
      <c r="L5551" s="25"/>
      <c r="Q5551" s="17"/>
    </row>
    <row r="5552" spans="12:17" x14ac:dyDescent="0.3">
      <c r="L5552" s="25"/>
      <c r="Q5552" s="17"/>
    </row>
    <row r="5553" spans="12:17" x14ac:dyDescent="0.3">
      <c r="L5553" s="25"/>
      <c r="Q5553" s="17"/>
    </row>
    <row r="5554" spans="12:17" x14ac:dyDescent="0.3">
      <c r="L5554" s="25"/>
      <c r="Q5554" s="17"/>
    </row>
    <row r="5555" spans="12:17" x14ac:dyDescent="0.3">
      <c r="L5555" s="25"/>
      <c r="Q5555" s="17"/>
    </row>
    <row r="5556" spans="12:17" x14ac:dyDescent="0.3">
      <c r="L5556" s="25"/>
      <c r="Q5556" s="17"/>
    </row>
    <row r="5557" spans="12:17" x14ac:dyDescent="0.3">
      <c r="L5557" s="25"/>
      <c r="Q5557" s="17"/>
    </row>
    <row r="5558" spans="12:17" x14ac:dyDescent="0.3">
      <c r="L5558" s="25"/>
      <c r="Q5558" s="17"/>
    </row>
    <row r="5559" spans="12:17" x14ac:dyDescent="0.3">
      <c r="L5559" s="25"/>
      <c r="Q5559" s="17"/>
    </row>
    <row r="5560" spans="12:17" x14ac:dyDescent="0.3">
      <c r="L5560" s="25"/>
      <c r="Q5560" s="17"/>
    </row>
    <row r="5561" spans="12:17" x14ac:dyDescent="0.3">
      <c r="L5561" s="25"/>
      <c r="Q5561" s="17"/>
    </row>
    <row r="5562" spans="12:17" x14ac:dyDescent="0.3">
      <c r="L5562" s="25"/>
      <c r="Q5562" s="17"/>
    </row>
    <row r="5563" spans="12:17" x14ac:dyDescent="0.3">
      <c r="L5563" s="25"/>
      <c r="Q5563" s="17"/>
    </row>
    <row r="5564" spans="12:17" x14ac:dyDescent="0.3">
      <c r="L5564" s="25"/>
      <c r="Q5564" s="17"/>
    </row>
    <row r="5565" spans="12:17" x14ac:dyDescent="0.3">
      <c r="L5565" s="25"/>
      <c r="Q5565" s="17"/>
    </row>
    <row r="5566" spans="12:17" x14ac:dyDescent="0.3">
      <c r="L5566" s="25"/>
      <c r="Q5566" s="17"/>
    </row>
    <row r="5567" spans="12:17" x14ac:dyDescent="0.3">
      <c r="L5567" s="25"/>
      <c r="Q5567" s="17"/>
    </row>
    <row r="5568" spans="12:17" x14ac:dyDescent="0.3">
      <c r="L5568" s="25"/>
      <c r="Q5568" s="17"/>
    </row>
    <row r="5569" spans="12:17" x14ac:dyDescent="0.3">
      <c r="L5569" s="25"/>
      <c r="Q5569" s="17"/>
    </row>
    <row r="5570" spans="12:17" x14ac:dyDescent="0.3">
      <c r="L5570" s="25"/>
      <c r="Q5570" s="17"/>
    </row>
    <row r="5571" spans="12:17" x14ac:dyDescent="0.3">
      <c r="L5571" s="25"/>
      <c r="Q5571" s="17"/>
    </row>
    <row r="5572" spans="12:17" x14ac:dyDescent="0.3">
      <c r="L5572" s="25"/>
      <c r="Q5572" s="17"/>
    </row>
    <row r="5573" spans="12:17" x14ac:dyDescent="0.3">
      <c r="L5573" s="25"/>
      <c r="Q5573" s="17"/>
    </row>
    <row r="5574" spans="12:17" x14ac:dyDescent="0.3">
      <c r="L5574" s="25"/>
      <c r="Q5574" s="17"/>
    </row>
    <row r="5575" spans="12:17" x14ac:dyDescent="0.3">
      <c r="L5575" s="25"/>
      <c r="Q5575" s="17"/>
    </row>
    <row r="5576" spans="12:17" x14ac:dyDescent="0.3">
      <c r="L5576" s="25"/>
      <c r="Q5576" s="17"/>
    </row>
    <row r="5577" spans="12:17" x14ac:dyDescent="0.3">
      <c r="L5577" s="25"/>
      <c r="Q5577" s="17"/>
    </row>
    <row r="5578" spans="12:17" x14ac:dyDescent="0.3">
      <c r="L5578" s="25"/>
      <c r="Q5578" s="17"/>
    </row>
    <row r="5579" spans="12:17" x14ac:dyDescent="0.3">
      <c r="L5579" s="25"/>
      <c r="Q5579" s="17"/>
    </row>
    <row r="5580" spans="12:17" x14ac:dyDescent="0.3">
      <c r="L5580" s="25"/>
      <c r="Q5580" s="17"/>
    </row>
    <row r="5581" spans="12:17" x14ac:dyDescent="0.3">
      <c r="L5581" s="25"/>
      <c r="Q5581" s="17"/>
    </row>
    <row r="5582" spans="12:17" x14ac:dyDescent="0.3">
      <c r="L5582" s="25"/>
      <c r="Q5582" s="17"/>
    </row>
    <row r="5583" spans="12:17" x14ac:dyDescent="0.3">
      <c r="L5583" s="25"/>
      <c r="Q5583" s="17"/>
    </row>
    <row r="5584" spans="12:17" x14ac:dyDescent="0.3">
      <c r="L5584" s="25"/>
      <c r="Q5584" s="17"/>
    </row>
    <row r="5585" spans="12:17" x14ac:dyDescent="0.3">
      <c r="L5585" s="25"/>
      <c r="Q5585" s="17"/>
    </row>
    <row r="5586" spans="12:17" x14ac:dyDescent="0.3">
      <c r="L5586" s="25"/>
      <c r="Q5586" s="17"/>
    </row>
    <row r="5587" spans="12:17" x14ac:dyDescent="0.3">
      <c r="L5587" s="25"/>
      <c r="Q5587" s="17"/>
    </row>
    <row r="5588" spans="12:17" x14ac:dyDescent="0.3">
      <c r="L5588" s="25"/>
      <c r="Q5588" s="17"/>
    </row>
    <row r="5589" spans="12:17" x14ac:dyDescent="0.3">
      <c r="L5589" s="25"/>
      <c r="Q5589" s="17"/>
    </row>
    <row r="5590" spans="12:17" x14ac:dyDescent="0.3">
      <c r="L5590" s="25"/>
      <c r="Q5590" s="17"/>
    </row>
    <row r="5591" spans="12:17" x14ac:dyDescent="0.3">
      <c r="L5591" s="25"/>
      <c r="Q5591" s="17"/>
    </row>
    <row r="5592" spans="12:17" x14ac:dyDescent="0.3">
      <c r="L5592" s="25"/>
      <c r="Q5592" s="17"/>
    </row>
    <row r="5593" spans="12:17" x14ac:dyDescent="0.3">
      <c r="L5593" s="25"/>
      <c r="Q5593" s="17"/>
    </row>
    <row r="5594" spans="12:17" x14ac:dyDescent="0.3">
      <c r="L5594" s="25"/>
      <c r="Q5594" s="17"/>
    </row>
    <row r="5595" spans="12:17" x14ac:dyDescent="0.3">
      <c r="L5595" s="25"/>
      <c r="Q5595" s="17"/>
    </row>
    <row r="5596" spans="12:17" x14ac:dyDescent="0.3">
      <c r="L5596" s="25"/>
      <c r="Q5596" s="17"/>
    </row>
    <row r="5597" spans="12:17" x14ac:dyDescent="0.3">
      <c r="L5597" s="25"/>
      <c r="Q5597" s="17"/>
    </row>
    <row r="5598" spans="12:17" x14ac:dyDescent="0.3">
      <c r="L5598" s="25"/>
      <c r="Q5598" s="17"/>
    </row>
    <row r="5599" spans="12:17" x14ac:dyDescent="0.3">
      <c r="L5599" s="25"/>
      <c r="Q5599" s="17"/>
    </row>
    <row r="5600" spans="12:17" x14ac:dyDescent="0.3">
      <c r="L5600" s="25"/>
      <c r="Q5600" s="17"/>
    </row>
    <row r="5601" spans="12:17" x14ac:dyDescent="0.3">
      <c r="L5601" s="25"/>
      <c r="Q5601" s="17"/>
    </row>
    <row r="5602" spans="12:17" x14ac:dyDescent="0.3">
      <c r="L5602" s="25"/>
      <c r="Q5602" s="17"/>
    </row>
    <row r="5603" spans="12:17" x14ac:dyDescent="0.3">
      <c r="L5603" s="25"/>
      <c r="Q5603" s="17"/>
    </row>
    <row r="5604" spans="12:17" x14ac:dyDescent="0.3">
      <c r="L5604" s="25"/>
      <c r="Q5604" s="17"/>
    </row>
    <row r="5605" spans="12:17" x14ac:dyDescent="0.3">
      <c r="L5605" s="25"/>
      <c r="Q5605" s="17"/>
    </row>
    <row r="5606" spans="12:17" x14ac:dyDescent="0.3">
      <c r="L5606" s="25"/>
      <c r="Q5606" s="17"/>
    </row>
    <row r="5607" spans="12:17" x14ac:dyDescent="0.3">
      <c r="L5607" s="25"/>
      <c r="Q5607" s="17"/>
    </row>
    <row r="5608" spans="12:17" x14ac:dyDescent="0.3">
      <c r="L5608" s="25"/>
      <c r="Q5608" s="17"/>
    </row>
    <row r="5609" spans="12:17" x14ac:dyDescent="0.3">
      <c r="L5609" s="25"/>
      <c r="Q5609" s="17"/>
    </row>
    <row r="5610" spans="12:17" x14ac:dyDescent="0.3">
      <c r="L5610" s="25"/>
      <c r="Q5610" s="17"/>
    </row>
    <row r="5611" spans="12:17" x14ac:dyDescent="0.3">
      <c r="L5611" s="25"/>
      <c r="Q5611" s="17"/>
    </row>
    <row r="5612" spans="12:17" x14ac:dyDescent="0.3">
      <c r="L5612" s="25"/>
      <c r="Q5612" s="17"/>
    </row>
    <row r="5613" spans="12:17" x14ac:dyDescent="0.3">
      <c r="L5613" s="25"/>
      <c r="Q5613" s="17"/>
    </row>
    <row r="5614" spans="12:17" x14ac:dyDescent="0.3">
      <c r="L5614" s="25"/>
      <c r="Q5614" s="17"/>
    </row>
    <row r="5615" spans="12:17" x14ac:dyDescent="0.3">
      <c r="L5615" s="25"/>
      <c r="Q5615" s="17"/>
    </row>
    <row r="5616" spans="12:17" x14ac:dyDescent="0.3">
      <c r="L5616" s="25"/>
      <c r="Q5616" s="17"/>
    </row>
    <row r="5617" spans="12:17" x14ac:dyDescent="0.3">
      <c r="L5617" s="25"/>
      <c r="Q5617" s="17"/>
    </row>
    <row r="5618" spans="12:17" x14ac:dyDescent="0.3">
      <c r="L5618" s="25"/>
      <c r="Q5618" s="17"/>
    </row>
    <row r="5619" spans="12:17" x14ac:dyDescent="0.3">
      <c r="L5619" s="25"/>
      <c r="Q5619" s="17"/>
    </row>
    <row r="5620" spans="12:17" x14ac:dyDescent="0.3">
      <c r="L5620" s="25"/>
      <c r="Q5620" s="17"/>
    </row>
    <row r="5621" spans="12:17" x14ac:dyDescent="0.3">
      <c r="L5621" s="25"/>
      <c r="Q5621" s="17"/>
    </row>
    <row r="5622" spans="12:17" x14ac:dyDescent="0.3">
      <c r="L5622" s="25"/>
      <c r="Q5622" s="17"/>
    </row>
    <row r="5623" spans="12:17" x14ac:dyDescent="0.3">
      <c r="L5623" s="25"/>
      <c r="Q5623" s="17"/>
    </row>
    <row r="5624" spans="12:17" x14ac:dyDescent="0.3">
      <c r="L5624" s="25"/>
      <c r="Q5624" s="17"/>
    </row>
    <row r="5625" spans="12:17" x14ac:dyDescent="0.3">
      <c r="L5625" s="25"/>
      <c r="Q5625" s="17"/>
    </row>
    <row r="5626" spans="12:17" x14ac:dyDescent="0.3">
      <c r="L5626" s="25"/>
      <c r="Q5626" s="17"/>
    </row>
    <row r="5627" spans="12:17" x14ac:dyDescent="0.3">
      <c r="L5627" s="25"/>
      <c r="Q5627" s="17"/>
    </row>
    <row r="5628" spans="12:17" x14ac:dyDescent="0.3">
      <c r="L5628" s="25"/>
      <c r="Q5628" s="17"/>
    </row>
    <row r="5629" spans="12:17" x14ac:dyDescent="0.3">
      <c r="L5629" s="25"/>
      <c r="Q5629" s="17"/>
    </row>
    <row r="5630" spans="12:17" x14ac:dyDescent="0.3">
      <c r="L5630" s="25"/>
      <c r="Q5630" s="17"/>
    </row>
    <row r="5631" spans="12:17" x14ac:dyDescent="0.3">
      <c r="L5631" s="25"/>
      <c r="Q5631" s="17"/>
    </row>
    <row r="5632" spans="12:17" x14ac:dyDescent="0.3">
      <c r="L5632" s="25"/>
      <c r="Q5632" s="17"/>
    </row>
    <row r="5633" spans="12:17" x14ac:dyDescent="0.3">
      <c r="L5633" s="25"/>
      <c r="Q5633" s="17"/>
    </row>
    <row r="5634" spans="12:17" x14ac:dyDescent="0.3">
      <c r="L5634" s="25"/>
      <c r="Q5634" s="17"/>
    </row>
    <row r="5635" spans="12:17" x14ac:dyDescent="0.3">
      <c r="L5635" s="25"/>
      <c r="Q5635" s="17"/>
    </row>
    <row r="5636" spans="12:17" x14ac:dyDescent="0.3">
      <c r="L5636" s="25"/>
      <c r="Q5636" s="17"/>
    </row>
    <row r="5637" spans="12:17" x14ac:dyDescent="0.3">
      <c r="L5637" s="25"/>
      <c r="Q5637" s="17"/>
    </row>
    <row r="5638" spans="12:17" x14ac:dyDescent="0.3">
      <c r="L5638" s="25"/>
      <c r="Q5638" s="17"/>
    </row>
    <row r="5639" spans="12:17" x14ac:dyDescent="0.3">
      <c r="L5639" s="25"/>
      <c r="Q5639" s="17"/>
    </row>
    <row r="5640" spans="12:17" x14ac:dyDescent="0.3">
      <c r="L5640" s="25"/>
      <c r="Q5640" s="17"/>
    </row>
    <row r="5641" spans="12:17" x14ac:dyDescent="0.3">
      <c r="L5641" s="25"/>
      <c r="Q5641" s="17"/>
    </row>
    <row r="5642" spans="12:17" x14ac:dyDescent="0.3">
      <c r="L5642" s="25"/>
      <c r="Q5642" s="17"/>
    </row>
    <row r="5643" spans="12:17" x14ac:dyDescent="0.3">
      <c r="L5643" s="25"/>
      <c r="Q5643" s="17"/>
    </row>
    <row r="5644" spans="12:17" x14ac:dyDescent="0.3">
      <c r="L5644" s="25"/>
      <c r="Q5644" s="17"/>
    </row>
    <row r="5645" spans="12:17" x14ac:dyDescent="0.3">
      <c r="L5645" s="25"/>
      <c r="Q5645" s="17"/>
    </row>
    <row r="5646" spans="12:17" x14ac:dyDescent="0.3">
      <c r="L5646" s="25"/>
      <c r="Q5646" s="17"/>
    </row>
    <row r="5647" spans="12:17" x14ac:dyDescent="0.3">
      <c r="L5647" s="25"/>
      <c r="Q5647" s="17"/>
    </row>
    <row r="5648" spans="12:17" x14ac:dyDescent="0.3">
      <c r="L5648" s="25"/>
      <c r="Q5648" s="17"/>
    </row>
    <row r="5649" spans="12:17" x14ac:dyDescent="0.3">
      <c r="L5649" s="25"/>
      <c r="Q5649" s="17"/>
    </row>
    <row r="5650" spans="12:17" x14ac:dyDescent="0.3">
      <c r="L5650" s="25"/>
      <c r="Q5650" s="17"/>
    </row>
    <row r="5651" spans="12:17" x14ac:dyDescent="0.3">
      <c r="L5651" s="25"/>
      <c r="Q5651" s="17"/>
    </row>
    <row r="5652" spans="12:17" x14ac:dyDescent="0.3">
      <c r="L5652" s="25"/>
      <c r="Q5652" s="17"/>
    </row>
    <row r="5653" spans="12:17" x14ac:dyDescent="0.3">
      <c r="L5653" s="25"/>
      <c r="Q5653" s="17"/>
    </row>
    <row r="5654" spans="12:17" x14ac:dyDescent="0.3">
      <c r="L5654" s="25"/>
      <c r="Q5654" s="17"/>
    </row>
    <row r="5655" spans="12:17" x14ac:dyDescent="0.3">
      <c r="L5655" s="25"/>
      <c r="Q5655" s="17"/>
    </row>
    <row r="5656" spans="12:17" x14ac:dyDescent="0.3">
      <c r="L5656" s="25"/>
      <c r="Q5656" s="17"/>
    </row>
    <row r="5657" spans="12:17" x14ac:dyDescent="0.3">
      <c r="L5657" s="25"/>
      <c r="Q5657" s="17"/>
    </row>
    <row r="5658" spans="12:17" x14ac:dyDescent="0.3">
      <c r="L5658" s="25"/>
      <c r="Q5658" s="17"/>
    </row>
    <row r="5659" spans="12:17" x14ac:dyDescent="0.3">
      <c r="L5659" s="25"/>
      <c r="Q5659" s="17"/>
    </row>
    <row r="5660" spans="12:17" x14ac:dyDescent="0.3">
      <c r="L5660" s="25"/>
      <c r="Q5660" s="17"/>
    </row>
    <row r="5661" spans="12:17" x14ac:dyDescent="0.3">
      <c r="L5661" s="25"/>
      <c r="Q5661" s="17"/>
    </row>
    <row r="5662" spans="12:17" x14ac:dyDescent="0.3">
      <c r="L5662" s="25"/>
      <c r="Q5662" s="17"/>
    </row>
    <row r="5663" spans="12:17" x14ac:dyDescent="0.3">
      <c r="L5663" s="25"/>
      <c r="Q5663" s="17"/>
    </row>
    <row r="5664" spans="12:17" x14ac:dyDescent="0.3">
      <c r="L5664" s="25"/>
      <c r="Q5664" s="17"/>
    </row>
    <row r="5665" spans="12:17" x14ac:dyDescent="0.3">
      <c r="L5665" s="25"/>
      <c r="Q5665" s="17"/>
    </row>
    <row r="5666" spans="12:17" x14ac:dyDescent="0.3">
      <c r="L5666" s="25"/>
      <c r="Q5666" s="17"/>
    </row>
    <row r="5667" spans="12:17" x14ac:dyDescent="0.3">
      <c r="L5667" s="25"/>
      <c r="Q5667" s="17"/>
    </row>
    <row r="5668" spans="12:17" x14ac:dyDescent="0.3">
      <c r="L5668" s="25"/>
      <c r="Q5668" s="17"/>
    </row>
    <row r="5669" spans="12:17" x14ac:dyDescent="0.3">
      <c r="L5669" s="25"/>
      <c r="Q5669" s="17"/>
    </row>
    <row r="5670" spans="12:17" x14ac:dyDescent="0.3">
      <c r="L5670" s="25"/>
      <c r="Q5670" s="17"/>
    </row>
    <row r="5671" spans="12:17" x14ac:dyDescent="0.3">
      <c r="L5671" s="25"/>
      <c r="Q5671" s="17"/>
    </row>
    <row r="5672" spans="12:17" x14ac:dyDescent="0.3">
      <c r="L5672" s="25"/>
      <c r="Q5672" s="17"/>
    </row>
    <row r="5673" spans="12:17" x14ac:dyDescent="0.3">
      <c r="L5673" s="25"/>
      <c r="Q5673" s="17"/>
    </row>
    <row r="5674" spans="12:17" x14ac:dyDescent="0.3">
      <c r="L5674" s="25"/>
      <c r="Q5674" s="17"/>
    </row>
    <row r="5675" spans="12:17" x14ac:dyDescent="0.3">
      <c r="L5675" s="25"/>
      <c r="Q5675" s="17"/>
    </row>
    <row r="5676" spans="12:17" x14ac:dyDescent="0.3">
      <c r="L5676" s="25"/>
      <c r="Q5676" s="17"/>
    </row>
    <row r="5677" spans="12:17" x14ac:dyDescent="0.3">
      <c r="L5677" s="25"/>
      <c r="Q5677" s="17"/>
    </row>
    <row r="5678" spans="12:17" x14ac:dyDescent="0.3">
      <c r="L5678" s="25"/>
      <c r="Q5678" s="17"/>
    </row>
    <row r="5679" spans="12:17" x14ac:dyDescent="0.3">
      <c r="L5679" s="25"/>
      <c r="Q5679" s="17"/>
    </row>
    <row r="5680" spans="12:17" x14ac:dyDescent="0.3">
      <c r="L5680" s="25"/>
      <c r="Q5680" s="17"/>
    </row>
    <row r="5681" spans="12:17" x14ac:dyDescent="0.3">
      <c r="L5681" s="25"/>
      <c r="Q5681" s="17"/>
    </row>
    <row r="5682" spans="12:17" x14ac:dyDescent="0.3">
      <c r="L5682" s="25"/>
      <c r="Q5682" s="17"/>
    </row>
    <row r="5683" spans="12:17" x14ac:dyDescent="0.3">
      <c r="L5683" s="25"/>
      <c r="Q5683" s="17"/>
    </row>
    <row r="5684" spans="12:17" x14ac:dyDescent="0.3">
      <c r="L5684" s="25"/>
      <c r="Q5684" s="17"/>
    </row>
    <row r="5685" spans="12:17" x14ac:dyDescent="0.3">
      <c r="L5685" s="25"/>
      <c r="Q5685" s="17"/>
    </row>
    <row r="5686" spans="12:17" x14ac:dyDescent="0.3">
      <c r="L5686" s="25"/>
      <c r="Q5686" s="17"/>
    </row>
    <row r="5687" spans="12:17" x14ac:dyDescent="0.3">
      <c r="L5687" s="25"/>
      <c r="Q5687" s="17"/>
    </row>
    <row r="5688" spans="12:17" x14ac:dyDescent="0.3">
      <c r="L5688" s="25"/>
      <c r="Q5688" s="17"/>
    </row>
    <row r="5689" spans="12:17" x14ac:dyDescent="0.3">
      <c r="L5689" s="25"/>
      <c r="Q5689" s="17"/>
    </row>
    <row r="5690" spans="12:17" x14ac:dyDescent="0.3">
      <c r="L5690" s="25"/>
      <c r="Q5690" s="17"/>
    </row>
    <row r="5691" spans="12:17" x14ac:dyDescent="0.3">
      <c r="L5691" s="25"/>
      <c r="Q5691" s="17"/>
    </row>
    <row r="5692" spans="12:17" x14ac:dyDescent="0.3">
      <c r="L5692" s="25"/>
      <c r="Q5692" s="17"/>
    </row>
    <row r="5693" spans="12:17" x14ac:dyDescent="0.3">
      <c r="L5693" s="25"/>
      <c r="Q5693" s="17"/>
    </row>
    <row r="5694" spans="12:17" x14ac:dyDescent="0.3">
      <c r="L5694" s="25"/>
      <c r="Q5694" s="17"/>
    </row>
    <row r="5695" spans="12:17" x14ac:dyDescent="0.3">
      <c r="L5695" s="25"/>
      <c r="Q5695" s="17"/>
    </row>
    <row r="5696" spans="12:17" x14ac:dyDescent="0.3">
      <c r="L5696" s="25"/>
      <c r="Q5696" s="17"/>
    </row>
    <row r="5697" spans="12:17" x14ac:dyDescent="0.3">
      <c r="L5697" s="25"/>
      <c r="Q5697" s="17"/>
    </row>
    <row r="5698" spans="12:17" x14ac:dyDescent="0.3">
      <c r="L5698" s="25"/>
      <c r="Q5698" s="17"/>
    </row>
    <row r="5699" spans="12:17" x14ac:dyDescent="0.3">
      <c r="L5699" s="25"/>
      <c r="Q5699" s="17"/>
    </row>
    <row r="5700" spans="12:17" x14ac:dyDescent="0.3">
      <c r="L5700" s="25"/>
      <c r="Q5700" s="17"/>
    </row>
    <row r="5701" spans="12:17" x14ac:dyDescent="0.3">
      <c r="L5701" s="25"/>
      <c r="Q5701" s="17"/>
    </row>
    <row r="5702" spans="12:17" x14ac:dyDescent="0.3">
      <c r="L5702" s="25"/>
      <c r="Q5702" s="17"/>
    </row>
    <row r="5703" spans="12:17" x14ac:dyDescent="0.3">
      <c r="L5703" s="25"/>
      <c r="Q5703" s="17"/>
    </row>
    <row r="5704" spans="12:17" x14ac:dyDescent="0.3">
      <c r="L5704" s="25"/>
      <c r="Q5704" s="17"/>
    </row>
    <row r="5705" spans="12:17" x14ac:dyDescent="0.3">
      <c r="L5705" s="25"/>
      <c r="Q5705" s="17"/>
    </row>
    <row r="5706" spans="12:17" x14ac:dyDescent="0.3">
      <c r="L5706" s="25"/>
      <c r="Q5706" s="17"/>
    </row>
    <row r="5707" spans="12:17" x14ac:dyDescent="0.3">
      <c r="L5707" s="25"/>
      <c r="Q5707" s="17"/>
    </row>
    <row r="5708" spans="12:17" x14ac:dyDescent="0.3">
      <c r="L5708" s="25"/>
      <c r="Q5708" s="17"/>
    </row>
    <row r="5709" spans="12:17" x14ac:dyDescent="0.3">
      <c r="L5709" s="25"/>
      <c r="Q5709" s="17"/>
    </row>
    <row r="5710" spans="12:17" x14ac:dyDescent="0.3">
      <c r="L5710" s="25"/>
      <c r="Q5710" s="17"/>
    </row>
    <row r="5711" spans="12:17" x14ac:dyDescent="0.3">
      <c r="L5711" s="25"/>
      <c r="Q5711" s="17"/>
    </row>
    <row r="5712" spans="12:17" x14ac:dyDescent="0.3">
      <c r="L5712" s="25"/>
      <c r="Q5712" s="17"/>
    </row>
    <row r="5713" spans="12:17" x14ac:dyDescent="0.3">
      <c r="L5713" s="25"/>
      <c r="Q5713" s="17"/>
    </row>
    <row r="5714" spans="12:17" x14ac:dyDescent="0.3">
      <c r="L5714" s="25"/>
      <c r="Q5714" s="17"/>
    </row>
    <row r="5715" spans="12:17" x14ac:dyDescent="0.3">
      <c r="L5715" s="25"/>
      <c r="Q5715" s="17"/>
    </row>
    <row r="5716" spans="12:17" x14ac:dyDescent="0.3">
      <c r="L5716" s="25"/>
      <c r="Q5716" s="17"/>
    </row>
    <row r="5717" spans="12:17" x14ac:dyDescent="0.3">
      <c r="L5717" s="25"/>
      <c r="Q5717" s="17"/>
    </row>
    <row r="5718" spans="12:17" x14ac:dyDescent="0.3">
      <c r="L5718" s="25"/>
      <c r="Q5718" s="17"/>
    </row>
    <row r="5719" spans="12:17" x14ac:dyDescent="0.3">
      <c r="L5719" s="25"/>
      <c r="Q5719" s="17"/>
    </row>
    <row r="5720" spans="12:17" x14ac:dyDescent="0.3">
      <c r="L5720" s="25"/>
      <c r="Q5720" s="17"/>
    </row>
    <row r="5721" spans="12:17" x14ac:dyDescent="0.3">
      <c r="L5721" s="25"/>
      <c r="Q5721" s="17"/>
    </row>
    <row r="5722" spans="12:17" x14ac:dyDescent="0.3">
      <c r="L5722" s="25"/>
      <c r="Q5722" s="17"/>
    </row>
    <row r="5723" spans="12:17" x14ac:dyDescent="0.3">
      <c r="L5723" s="25"/>
      <c r="Q5723" s="17"/>
    </row>
    <row r="5724" spans="12:17" x14ac:dyDescent="0.3">
      <c r="L5724" s="25"/>
      <c r="Q5724" s="17"/>
    </row>
    <row r="5725" spans="12:17" x14ac:dyDescent="0.3">
      <c r="L5725" s="25"/>
      <c r="Q5725" s="17"/>
    </row>
    <row r="5726" spans="12:17" x14ac:dyDescent="0.3">
      <c r="L5726" s="25"/>
      <c r="Q5726" s="17"/>
    </row>
    <row r="5727" spans="12:17" x14ac:dyDescent="0.3">
      <c r="L5727" s="25"/>
      <c r="Q5727" s="17"/>
    </row>
    <row r="5728" spans="12:17" x14ac:dyDescent="0.3">
      <c r="L5728" s="25"/>
      <c r="Q5728" s="17"/>
    </row>
    <row r="5729" spans="12:17" x14ac:dyDescent="0.3">
      <c r="L5729" s="25"/>
      <c r="Q5729" s="17"/>
    </row>
    <row r="5730" spans="12:17" x14ac:dyDescent="0.3">
      <c r="L5730" s="25"/>
      <c r="Q5730" s="17"/>
    </row>
    <row r="5731" spans="12:17" x14ac:dyDescent="0.3">
      <c r="L5731" s="25"/>
      <c r="Q5731" s="17"/>
    </row>
    <row r="5732" spans="12:17" x14ac:dyDescent="0.3">
      <c r="L5732" s="25"/>
      <c r="Q5732" s="17"/>
    </row>
    <row r="5733" spans="12:17" x14ac:dyDescent="0.3">
      <c r="L5733" s="25"/>
      <c r="Q5733" s="17"/>
    </row>
    <row r="5734" spans="12:17" x14ac:dyDescent="0.3">
      <c r="L5734" s="25"/>
      <c r="Q5734" s="17"/>
    </row>
    <row r="5735" spans="12:17" x14ac:dyDescent="0.3">
      <c r="L5735" s="25"/>
      <c r="Q5735" s="17"/>
    </row>
    <row r="5736" spans="12:17" x14ac:dyDescent="0.3">
      <c r="L5736" s="25"/>
      <c r="Q5736" s="17"/>
    </row>
    <row r="5737" spans="12:17" x14ac:dyDescent="0.3">
      <c r="L5737" s="25"/>
      <c r="Q5737" s="17"/>
    </row>
    <row r="5738" spans="12:17" x14ac:dyDescent="0.3">
      <c r="L5738" s="25"/>
      <c r="Q5738" s="17"/>
    </row>
    <row r="5739" spans="12:17" x14ac:dyDescent="0.3">
      <c r="L5739" s="25"/>
      <c r="Q5739" s="17"/>
    </row>
    <row r="5740" spans="12:17" x14ac:dyDescent="0.3">
      <c r="L5740" s="25"/>
      <c r="Q5740" s="17"/>
    </row>
    <row r="5741" spans="12:17" x14ac:dyDescent="0.3">
      <c r="L5741" s="25"/>
      <c r="Q5741" s="17"/>
    </row>
    <row r="5742" spans="12:17" x14ac:dyDescent="0.3">
      <c r="L5742" s="25"/>
      <c r="Q5742" s="17"/>
    </row>
    <row r="5743" spans="12:17" x14ac:dyDescent="0.3">
      <c r="L5743" s="25"/>
      <c r="Q5743" s="17"/>
    </row>
    <row r="5744" spans="12:17" x14ac:dyDescent="0.3">
      <c r="L5744" s="25"/>
      <c r="Q5744" s="17"/>
    </row>
    <row r="5745" spans="12:17" x14ac:dyDescent="0.3">
      <c r="L5745" s="25"/>
      <c r="Q5745" s="17"/>
    </row>
    <row r="5746" spans="12:17" x14ac:dyDescent="0.3">
      <c r="L5746" s="25"/>
      <c r="Q5746" s="17"/>
    </row>
    <row r="5747" spans="12:17" x14ac:dyDescent="0.3">
      <c r="L5747" s="25"/>
      <c r="Q5747" s="17"/>
    </row>
    <row r="5748" spans="12:17" x14ac:dyDescent="0.3">
      <c r="L5748" s="25"/>
      <c r="Q5748" s="17"/>
    </row>
    <row r="5749" spans="12:17" x14ac:dyDescent="0.3">
      <c r="L5749" s="25"/>
      <c r="Q5749" s="17"/>
    </row>
    <row r="5750" spans="12:17" x14ac:dyDescent="0.3">
      <c r="L5750" s="25"/>
      <c r="Q5750" s="17"/>
    </row>
    <row r="5751" spans="12:17" x14ac:dyDescent="0.3">
      <c r="L5751" s="25"/>
      <c r="Q5751" s="17"/>
    </row>
    <row r="5752" spans="12:17" x14ac:dyDescent="0.3">
      <c r="L5752" s="25"/>
      <c r="Q5752" s="17"/>
    </row>
    <row r="5753" spans="12:17" x14ac:dyDescent="0.3">
      <c r="L5753" s="25"/>
      <c r="Q5753" s="17"/>
    </row>
    <row r="5754" spans="12:17" x14ac:dyDescent="0.3">
      <c r="L5754" s="25"/>
      <c r="Q5754" s="17"/>
    </row>
    <row r="5755" spans="12:17" x14ac:dyDescent="0.3">
      <c r="L5755" s="25"/>
      <c r="Q5755" s="17"/>
    </row>
    <row r="5756" spans="12:17" x14ac:dyDescent="0.3">
      <c r="L5756" s="25"/>
      <c r="Q5756" s="17"/>
    </row>
    <row r="5757" spans="12:17" x14ac:dyDescent="0.3">
      <c r="L5757" s="25"/>
      <c r="Q5757" s="17"/>
    </row>
    <row r="5758" spans="12:17" x14ac:dyDescent="0.3">
      <c r="L5758" s="25"/>
      <c r="Q5758" s="17"/>
    </row>
    <row r="5759" spans="12:17" x14ac:dyDescent="0.3">
      <c r="L5759" s="25"/>
      <c r="Q5759" s="17"/>
    </row>
    <row r="5760" spans="12:17" x14ac:dyDescent="0.3">
      <c r="L5760" s="25"/>
      <c r="Q5760" s="17"/>
    </row>
    <row r="5761" spans="12:17" x14ac:dyDescent="0.3">
      <c r="L5761" s="25"/>
      <c r="Q5761" s="17"/>
    </row>
    <row r="5762" spans="12:17" x14ac:dyDescent="0.3">
      <c r="L5762" s="25"/>
      <c r="Q5762" s="17"/>
    </row>
    <row r="5763" spans="12:17" x14ac:dyDescent="0.3">
      <c r="L5763" s="25"/>
      <c r="Q5763" s="17"/>
    </row>
    <row r="5764" spans="12:17" x14ac:dyDescent="0.3">
      <c r="L5764" s="25"/>
      <c r="Q5764" s="17"/>
    </row>
    <row r="5765" spans="12:17" x14ac:dyDescent="0.3">
      <c r="L5765" s="25"/>
      <c r="Q5765" s="17"/>
    </row>
    <row r="5766" spans="12:17" x14ac:dyDescent="0.3">
      <c r="L5766" s="25"/>
      <c r="Q5766" s="17"/>
    </row>
    <row r="5767" spans="12:17" x14ac:dyDescent="0.3">
      <c r="L5767" s="25"/>
      <c r="Q5767" s="17"/>
    </row>
    <row r="5768" spans="12:17" x14ac:dyDescent="0.3">
      <c r="L5768" s="25"/>
      <c r="Q5768" s="17"/>
    </row>
    <row r="5769" spans="12:17" x14ac:dyDescent="0.3">
      <c r="L5769" s="25"/>
      <c r="Q5769" s="17"/>
    </row>
    <row r="5770" spans="12:17" x14ac:dyDescent="0.3">
      <c r="L5770" s="25"/>
      <c r="Q5770" s="17"/>
    </row>
    <row r="5771" spans="12:17" x14ac:dyDescent="0.3">
      <c r="L5771" s="25"/>
      <c r="Q5771" s="17"/>
    </row>
    <row r="5772" spans="12:17" x14ac:dyDescent="0.3">
      <c r="L5772" s="25"/>
      <c r="Q5772" s="17"/>
    </row>
    <row r="5773" spans="12:17" x14ac:dyDescent="0.3">
      <c r="L5773" s="25"/>
      <c r="Q5773" s="17"/>
    </row>
    <row r="5774" spans="12:17" x14ac:dyDescent="0.3">
      <c r="L5774" s="25"/>
      <c r="Q5774" s="17"/>
    </row>
    <row r="5775" spans="12:17" x14ac:dyDescent="0.3">
      <c r="L5775" s="25"/>
      <c r="Q5775" s="17"/>
    </row>
    <row r="5776" spans="12:17" x14ac:dyDescent="0.3">
      <c r="L5776" s="25"/>
      <c r="Q5776" s="17"/>
    </row>
    <row r="5777" spans="12:17" x14ac:dyDescent="0.3">
      <c r="L5777" s="25"/>
      <c r="Q5777" s="17"/>
    </row>
    <row r="5778" spans="12:17" x14ac:dyDescent="0.3">
      <c r="L5778" s="25"/>
      <c r="Q5778" s="17"/>
    </row>
    <row r="5779" spans="12:17" x14ac:dyDescent="0.3">
      <c r="L5779" s="25"/>
      <c r="Q5779" s="17"/>
    </row>
    <row r="5780" spans="12:17" x14ac:dyDescent="0.3">
      <c r="L5780" s="25"/>
      <c r="Q5780" s="17"/>
    </row>
    <row r="5781" spans="12:17" x14ac:dyDescent="0.3">
      <c r="L5781" s="25"/>
      <c r="Q5781" s="17"/>
    </row>
    <row r="5782" spans="12:17" x14ac:dyDescent="0.3">
      <c r="L5782" s="25"/>
      <c r="Q5782" s="17"/>
    </row>
    <row r="5783" spans="12:17" x14ac:dyDescent="0.3">
      <c r="L5783" s="25"/>
      <c r="Q5783" s="17"/>
    </row>
    <row r="5784" spans="12:17" x14ac:dyDescent="0.3">
      <c r="L5784" s="25"/>
      <c r="Q5784" s="17"/>
    </row>
    <row r="5785" spans="12:17" x14ac:dyDescent="0.3">
      <c r="L5785" s="25"/>
      <c r="Q5785" s="17"/>
    </row>
    <row r="5786" spans="12:17" x14ac:dyDescent="0.3">
      <c r="L5786" s="25"/>
      <c r="Q5786" s="17"/>
    </row>
    <row r="5787" spans="12:17" x14ac:dyDescent="0.3">
      <c r="L5787" s="25"/>
      <c r="Q5787" s="17"/>
    </row>
    <row r="5788" spans="12:17" x14ac:dyDescent="0.3">
      <c r="L5788" s="25"/>
      <c r="Q5788" s="17"/>
    </row>
    <row r="5789" spans="12:17" x14ac:dyDescent="0.3">
      <c r="L5789" s="25"/>
      <c r="Q5789" s="17"/>
    </row>
    <row r="5790" spans="12:17" x14ac:dyDescent="0.3">
      <c r="L5790" s="25"/>
      <c r="Q5790" s="17"/>
    </row>
    <row r="5791" spans="12:17" x14ac:dyDescent="0.3">
      <c r="L5791" s="25"/>
      <c r="Q5791" s="17"/>
    </row>
    <row r="5792" spans="12:17" x14ac:dyDescent="0.3">
      <c r="L5792" s="25"/>
      <c r="Q5792" s="17"/>
    </row>
    <row r="5793" spans="12:17" x14ac:dyDescent="0.3">
      <c r="L5793" s="25"/>
      <c r="Q5793" s="17"/>
    </row>
    <row r="5794" spans="12:17" x14ac:dyDescent="0.3">
      <c r="L5794" s="25"/>
      <c r="Q5794" s="17"/>
    </row>
    <row r="5795" spans="12:17" x14ac:dyDescent="0.3">
      <c r="L5795" s="25"/>
      <c r="Q5795" s="17"/>
    </row>
    <row r="5796" spans="12:17" x14ac:dyDescent="0.3">
      <c r="L5796" s="25"/>
      <c r="Q5796" s="17"/>
    </row>
    <row r="5797" spans="12:17" x14ac:dyDescent="0.3">
      <c r="L5797" s="25"/>
      <c r="Q5797" s="17"/>
    </row>
    <row r="5798" spans="12:17" x14ac:dyDescent="0.3">
      <c r="L5798" s="25"/>
      <c r="Q5798" s="17"/>
    </row>
    <row r="5799" spans="12:17" x14ac:dyDescent="0.3">
      <c r="L5799" s="25"/>
      <c r="Q5799" s="17"/>
    </row>
    <row r="5800" spans="12:17" x14ac:dyDescent="0.3">
      <c r="L5800" s="25"/>
      <c r="Q5800" s="17"/>
    </row>
    <row r="5801" spans="12:17" x14ac:dyDescent="0.3">
      <c r="L5801" s="25"/>
      <c r="Q5801" s="17"/>
    </row>
    <row r="5802" spans="12:17" x14ac:dyDescent="0.3">
      <c r="L5802" s="25"/>
      <c r="Q5802" s="17"/>
    </row>
    <row r="5803" spans="12:17" x14ac:dyDescent="0.3">
      <c r="L5803" s="25"/>
      <c r="Q5803" s="17"/>
    </row>
    <row r="5804" spans="12:17" x14ac:dyDescent="0.3">
      <c r="L5804" s="25"/>
      <c r="Q5804" s="17"/>
    </row>
    <row r="5805" spans="12:17" x14ac:dyDescent="0.3">
      <c r="L5805" s="25"/>
      <c r="Q5805" s="17"/>
    </row>
    <row r="5806" spans="12:17" x14ac:dyDescent="0.3">
      <c r="L5806" s="25"/>
      <c r="Q5806" s="17"/>
    </row>
    <row r="5807" spans="12:17" x14ac:dyDescent="0.3">
      <c r="L5807" s="25"/>
      <c r="Q5807" s="17"/>
    </row>
    <row r="5808" spans="12:17" x14ac:dyDescent="0.3">
      <c r="L5808" s="25"/>
      <c r="Q5808" s="17"/>
    </row>
    <row r="5809" spans="12:17" x14ac:dyDescent="0.3">
      <c r="L5809" s="25"/>
      <c r="Q5809" s="17"/>
    </row>
    <row r="5810" spans="12:17" x14ac:dyDescent="0.3">
      <c r="L5810" s="25"/>
      <c r="Q5810" s="17"/>
    </row>
    <row r="5811" spans="12:17" x14ac:dyDescent="0.3">
      <c r="L5811" s="25"/>
      <c r="Q5811" s="17"/>
    </row>
    <row r="5812" spans="12:17" x14ac:dyDescent="0.3">
      <c r="L5812" s="25"/>
      <c r="Q5812" s="17"/>
    </row>
    <row r="5813" spans="12:17" x14ac:dyDescent="0.3">
      <c r="L5813" s="25"/>
      <c r="Q5813" s="17"/>
    </row>
    <row r="5814" spans="12:17" x14ac:dyDescent="0.3">
      <c r="L5814" s="25"/>
      <c r="Q5814" s="17"/>
    </row>
    <row r="5815" spans="12:17" x14ac:dyDescent="0.3">
      <c r="L5815" s="25"/>
      <c r="Q5815" s="17"/>
    </row>
    <row r="5816" spans="12:17" x14ac:dyDescent="0.3">
      <c r="L5816" s="25"/>
      <c r="Q5816" s="17"/>
    </row>
    <row r="5817" spans="12:17" x14ac:dyDescent="0.3">
      <c r="L5817" s="25"/>
      <c r="Q5817" s="17"/>
    </row>
    <row r="5818" spans="12:17" x14ac:dyDescent="0.3">
      <c r="L5818" s="25"/>
      <c r="Q5818" s="17"/>
    </row>
    <row r="5819" spans="12:17" x14ac:dyDescent="0.3">
      <c r="L5819" s="25"/>
      <c r="Q5819" s="17"/>
    </row>
    <row r="5820" spans="12:17" x14ac:dyDescent="0.3">
      <c r="L5820" s="25"/>
      <c r="Q5820" s="17"/>
    </row>
    <row r="5821" spans="12:17" x14ac:dyDescent="0.3">
      <c r="L5821" s="25"/>
      <c r="Q5821" s="17"/>
    </row>
    <row r="5822" spans="12:17" x14ac:dyDescent="0.3">
      <c r="L5822" s="25"/>
      <c r="Q5822" s="17"/>
    </row>
    <row r="5823" spans="12:17" x14ac:dyDescent="0.3">
      <c r="L5823" s="25"/>
      <c r="Q5823" s="17"/>
    </row>
    <row r="5824" spans="12:17" x14ac:dyDescent="0.3">
      <c r="L5824" s="25"/>
      <c r="Q5824" s="17"/>
    </row>
    <row r="5825" spans="12:17" x14ac:dyDescent="0.3">
      <c r="L5825" s="25"/>
      <c r="Q5825" s="17"/>
    </row>
    <row r="5826" spans="12:17" x14ac:dyDescent="0.3">
      <c r="L5826" s="25"/>
      <c r="Q5826" s="17"/>
    </row>
    <row r="5827" spans="12:17" x14ac:dyDescent="0.3">
      <c r="L5827" s="25"/>
      <c r="Q5827" s="17"/>
    </row>
    <row r="5828" spans="12:17" x14ac:dyDescent="0.3">
      <c r="L5828" s="25"/>
      <c r="Q5828" s="17"/>
    </row>
    <row r="5829" spans="12:17" x14ac:dyDescent="0.3">
      <c r="L5829" s="25"/>
      <c r="Q5829" s="17"/>
    </row>
    <row r="5830" spans="12:17" x14ac:dyDescent="0.3">
      <c r="L5830" s="25"/>
      <c r="Q5830" s="17"/>
    </row>
    <row r="5831" spans="12:17" x14ac:dyDescent="0.3">
      <c r="L5831" s="25"/>
      <c r="Q5831" s="17"/>
    </row>
    <row r="5832" spans="12:17" x14ac:dyDescent="0.3">
      <c r="L5832" s="25"/>
      <c r="Q5832" s="17"/>
    </row>
    <row r="5833" spans="12:17" x14ac:dyDescent="0.3">
      <c r="L5833" s="25"/>
      <c r="Q5833" s="17"/>
    </row>
    <row r="5834" spans="12:17" x14ac:dyDescent="0.3">
      <c r="L5834" s="25"/>
      <c r="Q5834" s="17"/>
    </row>
    <row r="5835" spans="12:17" x14ac:dyDescent="0.3">
      <c r="L5835" s="25"/>
      <c r="Q5835" s="17"/>
    </row>
    <row r="5836" spans="12:17" x14ac:dyDescent="0.3">
      <c r="L5836" s="25"/>
      <c r="Q5836" s="17"/>
    </row>
    <row r="5837" spans="12:17" x14ac:dyDescent="0.3">
      <c r="L5837" s="25"/>
      <c r="Q5837" s="17"/>
    </row>
    <row r="5838" spans="12:17" x14ac:dyDescent="0.3">
      <c r="L5838" s="25"/>
      <c r="Q5838" s="17"/>
    </row>
    <row r="5839" spans="12:17" x14ac:dyDescent="0.3">
      <c r="L5839" s="25"/>
      <c r="Q5839" s="17"/>
    </row>
    <row r="5840" spans="12:17" x14ac:dyDescent="0.3">
      <c r="L5840" s="25"/>
      <c r="Q5840" s="17"/>
    </row>
    <row r="5841" spans="12:17" x14ac:dyDescent="0.3">
      <c r="L5841" s="25"/>
      <c r="Q5841" s="17"/>
    </row>
    <row r="5842" spans="12:17" x14ac:dyDescent="0.3">
      <c r="L5842" s="25"/>
      <c r="Q5842" s="17"/>
    </row>
    <row r="5843" spans="12:17" x14ac:dyDescent="0.3">
      <c r="L5843" s="25"/>
      <c r="Q5843" s="17"/>
    </row>
    <row r="5844" spans="12:17" x14ac:dyDescent="0.3">
      <c r="L5844" s="25"/>
      <c r="Q5844" s="17"/>
    </row>
    <row r="5845" spans="12:17" x14ac:dyDescent="0.3">
      <c r="L5845" s="25"/>
      <c r="Q5845" s="17"/>
    </row>
    <row r="5846" spans="12:17" x14ac:dyDescent="0.3">
      <c r="L5846" s="25"/>
      <c r="Q5846" s="17"/>
    </row>
    <row r="5847" spans="12:17" x14ac:dyDescent="0.3">
      <c r="L5847" s="25"/>
      <c r="Q5847" s="17"/>
    </row>
    <row r="5848" spans="12:17" x14ac:dyDescent="0.3">
      <c r="L5848" s="25"/>
      <c r="Q5848" s="17"/>
    </row>
    <row r="5849" spans="12:17" x14ac:dyDescent="0.3">
      <c r="L5849" s="25"/>
      <c r="Q5849" s="17"/>
    </row>
    <row r="5850" spans="12:17" x14ac:dyDescent="0.3">
      <c r="L5850" s="25"/>
      <c r="Q5850" s="17"/>
    </row>
    <row r="5851" spans="12:17" x14ac:dyDescent="0.3">
      <c r="L5851" s="25"/>
      <c r="Q5851" s="17"/>
    </row>
    <row r="5852" spans="12:17" x14ac:dyDescent="0.3">
      <c r="L5852" s="25"/>
      <c r="Q5852" s="17"/>
    </row>
    <row r="5853" spans="12:17" x14ac:dyDescent="0.3">
      <c r="L5853" s="25"/>
      <c r="Q5853" s="17"/>
    </row>
    <row r="5854" spans="12:17" x14ac:dyDescent="0.3">
      <c r="L5854" s="25"/>
      <c r="Q5854" s="17"/>
    </row>
    <row r="5855" spans="12:17" x14ac:dyDescent="0.3">
      <c r="L5855" s="25"/>
      <c r="Q5855" s="17"/>
    </row>
    <row r="5856" spans="12:17" x14ac:dyDescent="0.3">
      <c r="L5856" s="25"/>
      <c r="Q5856" s="17"/>
    </row>
    <row r="5857" spans="12:17" x14ac:dyDescent="0.3">
      <c r="L5857" s="25"/>
      <c r="Q5857" s="17"/>
    </row>
    <row r="5858" spans="12:17" x14ac:dyDescent="0.3">
      <c r="L5858" s="25"/>
      <c r="Q5858" s="17"/>
    </row>
    <row r="5859" spans="12:17" x14ac:dyDescent="0.3">
      <c r="L5859" s="25"/>
      <c r="Q5859" s="17"/>
    </row>
    <row r="5860" spans="12:17" x14ac:dyDescent="0.3">
      <c r="L5860" s="25"/>
      <c r="Q5860" s="17"/>
    </row>
    <row r="5861" spans="12:17" x14ac:dyDescent="0.3">
      <c r="L5861" s="25"/>
      <c r="Q5861" s="17"/>
    </row>
    <row r="5862" spans="12:17" x14ac:dyDescent="0.3">
      <c r="L5862" s="25"/>
      <c r="Q5862" s="17"/>
    </row>
    <row r="5863" spans="12:17" x14ac:dyDescent="0.3">
      <c r="L5863" s="25"/>
      <c r="Q5863" s="17"/>
    </row>
    <row r="5864" spans="12:17" x14ac:dyDescent="0.3">
      <c r="L5864" s="25"/>
      <c r="Q5864" s="17"/>
    </row>
    <row r="5865" spans="12:17" x14ac:dyDescent="0.3">
      <c r="L5865" s="25"/>
      <c r="Q5865" s="17"/>
    </row>
    <row r="5866" spans="12:17" x14ac:dyDescent="0.3">
      <c r="L5866" s="25"/>
      <c r="Q5866" s="17"/>
    </row>
    <row r="5867" spans="12:17" x14ac:dyDescent="0.3">
      <c r="L5867" s="25"/>
      <c r="Q5867" s="17"/>
    </row>
    <row r="5868" spans="12:17" x14ac:dyDescent="0.3">
      <c r="L5868" s="25"/>
      <c r="Q5868" s="17"/>
    </row>
    <row r="5869" spans="12:17" x14ac:dyDescent="0.3">
      <c r="L5869" s="25"/>
      <c r="Q5869" s="17"/>
    </row>
    <row r="5870" spans="12:17" x14ac:dyDescent="0.3">
      <c r="L5870" s="25"/>
      <c r="Q5870" s="17"/>
    </row>
    <row r="5871" spans="12:17" x14ac:dyDescent="0.3">
      <c r="L5871" s="25"/>
      <c r="Q5871" s="17"/>
    </row>
    <row r="5872" spans="12:17" x14ac:dyDescent="0.3">
      <c r="L5872" s="25"/>
      <c r="Q5872" s="17"/>
    </row>
    <row r="5873" spans="12:17" x14ac:dyDescent="0.3">
      <c r="L5873" s="25"/>
      <c r="Q5873" s="17"/>
    </row>
    <row r="5874" spans="12:17" x14ac:dyDescent="0.3">
      <c r="L5874" s="25"/>
      <c r="Q5874" s="17"/>
    </row>
    <row r="5875" spans="12:17" x14ac:dyDescent="0.3">
      <c r="L5875" s="25"/>
      <c r="Q5875" s="17"/>
    </row>
    <row r="5876" spans="12:17" x14ac:dyDescent="0.3">
      <c r="L5876" s="25"/>
      <c r="Q5876" s="17"/>
    </row>
    <row r="5877" spans="12:17" x14ac:dyDescent="0.3">
      <c r="L5877" s="25"/>
      <c r="Q5877" s="17"/>
    </row>
    <row r="5878" spans="12:17" x14ac:dyDescent="0.3">
      <c r="L5878" s="25"/>
      <c r="Q5878" s="17"/>
    </row>
    <row r="5879" spans="12:17" x14ac:dyDescent="0.3">
      <c r="L5879" s="25"/>
      <c r="Q5879" s="17"/>
    </row>
    <row r="5880" spans="12:17" x14ac:dyDescent="0.3">
      <c r="L5880" s="25"/>
      <c r="Q5880" s="17"/>
    </row>
    <row r="5881" spans="12:17" x14ac:dyDescent="0.3">
      <c r="L5881" s="25"/>
      <c r="Q5881" s="17"/>
    </row>
    <row r="5882" spans="12:17" x14ac:dyDescent="0.3">
      <c r="L5882" s="25"/>
      <c r="Q5882" s="17"/>
    </row>
    <row r="5883" spans="12:17" x14ac:dyDescent="0.3">
      <c r="L5883" s="25"/>
      <c r="Q5883" s="17"/>
    </row>
    <row r="5884" spans="12:17" x14ac:dyDescent="0.3">
      <c r="L5884" s="25"/>
      <c r="Q5884" s="17"/>
    </row>
    <row r="5885" spans="12:17" x14ac:dyDescent="0.3">
      <c r="L5885" s="25"/>
      <c r="Q5885" s="17"/>
    </row>
    <row r="5886" spans="12:17" x14ac:dyDescent="0.3">
      <c r="L5886" s="25"/>
      <c r="Q5886" s="17"/>
    </row>
    <row r="5887" spans="12:17" x14ac:dyDescent="0.3">
      <c r="L5887" s="25"/>
      <c r="Q5887" s="17"/>
    </row>
    <row r="5888" spans="12:17" x14ac:dyDescent="0.3">
      <c r="L5888" s="25"/>
      <c r="Q5888" s="17"/>
    </row>
    <row r="5889" spans="12:17" x14ac:dyDescent="0.3">
      <c r="L5889" s="25"/>
      <c r="Q5889" s="17"/>
    </row>
    <row r="5890" spans="12:17" x14ac:dyDescent="0.3">
      <c r="L5890" s="25"/>
      <c r="Q5890" s="17"/>
    </row>
    <row r="5891" spans="12:17" x14ac:dyDescent="0.3">
      <c r="L5891" s="25"/>
      <c r="Q5891" s="17"/>
    </row>
    <row r="5892" spans="12:17" x14ac:dyDescent="0.3">
      <c r="L5892" s="25"/>
      <c r="Q5892" s="17"/>
    </row>
    <row r="5893" spans="12:17" x14ac:dyDescent="0.3">
      <c r="L5893" s="25"/>
      <c r="Q5893" s="17"/>
    </row>
    <row r="5894" spans="12:17" x14ac:dyDescent="0.3">
      <c r="L5894" s="25"/>
      <c r="Q5894" s="17"/>
    </row>
    <row r="5895" spans="12:17" x14ac:dyDescent="0.3">
      <c r="L5895" s="25"/>
      <c r="Q5895" s="17"/>
    </row>
    <row r="5896" spans="12:17" x14ac:dyDescent="0.3">
      <c r="L5896" s="25"/>
      <c r="Q5896" s="17"/>
    </row>
    <row r="5897" spans="12:17" x14ac:dyDescent="0.3">
      <c r="L5897" s="25"/>
      <c r="Q5897" s="17"/>
    </row>
    <row r="5898" spans="12:17" x14ac:dyDescent="0.3">
      <c r="L5898" s="25"/>
      <c r="Q5898" s="17"/>
    </row>
    <row r="5899" spans="12:17" x14ac:dyDescent="0.3">
      <c r="L5899" s="25"/>
      <c r="Q5899" s="17"/>
    </row>
    <row r="5900" spans="12:17" x14ac:dyDescent="0.3">
      <c r="L5900" s="25"/>
      <c r="Q5900" s="17"/>
    </row>
    <row r="5901" spans="12:17" x14ac:dyDescent="0.3">
      <c r="L5901" s="25"/>
      <c r="Q5901" s="17"/>
    </row>
    <row r="5902" spans="12:17" x14ac:dyDescent="0.3">
      <c r="L5902" s="25"/>
      <c r="Q5902" s="17"/>
    </row>
    <row r="5903" spans="12:17" x14ac:dyDescent="0.3">
      <c r="L5903" s="25"/>
      <c r="Q5903" s="17"/>
    </row>
    <row r="5904" spans="12:17" x14ac:dyDescent="0.3">
      <c r="L5904" s="25"/>
      <c r="Q5904" s="17"/>
    </row>
    <row r="5905" spans="12:17" x14ac:dyDescent="0.3">
      <c r="L5905" s="25"/>
      <c r="Q5905" s="17"/>
    </row>
    <row r="5906" spans="12:17" x14ac:dyDescent="0.3">
      <c r="L5906" s="25"/>
      <c r="Q5906" s="17"/>
    </row>
    <row r="5907" spans="12:17" x14ac:dyDescent="0.3">
      <c r="L5907" s="25"/>
      <c r="Q5907" s="17"/>
    </row>
    <row r="5908" spans="12:17" x14ac:dyDescent="0.3">
      <c r="L5908" s="25"/>
      <c r="Q5908" s="17"/>
    </row>
    <row r="5909" spans="12:17" x14ac:dyDescent="0.3">
      <c r="L5909" s="25"/>
      <c r="Q5909" s="17"/>
    </row>
    <row r="5910" spans="12:17" x14ac:dyDescent="0.3">
      <c r="L5910" s="25"/>
      <c r="Q5910" s="17"/>
    </row>
    <row r="5911" spans="12:17" x14ac:dyDescent="0.3">
      <c r="L5911" s="25"/>
      <c r="Q5911" s="17"/>
    </row>
    <row r="5912" spans="12:17" x14ac:dyDescent="0.3">
      <c r="L5912" s="25"/>
      <c r="Q5912" s="17"/>
    </row>
    <row r="5913" spans="12:17" x14ac:dyDescent="0.3">
      <c r="L5913" s="25"/>
      <c r="Q5913" s="17"/>
    </row>
    <row r="5914" spans="12:17" x14ac:dyDescent="0.3">
      <c r="L5914" s="25"/>
      <c r="Q5914" s="17"/>
    </row>
    <row r="5915" spans="12:17" x14ac:dyDescent="0.3">
      <c r="L5915" s="25"/>
      <c r="Q5915" s="17"/>
    </row>
    <row r="5916" spans="12:17" x14ac:dyDescent="0.3">
      <c r="L5916" s="25"/>
      <c r="Q5916" s="17"/>
    </row>
    <row r="5917" spans="12:17" x14ac:dyDescent="0.3">
      <c r="L5917" s="25"/>
      <c r="Q5917" s="17"/>
    </row>
    <row r="5918" spans="12:17" x14ac:dyDescent="0.3">
      <c r="L5918" s="25"/>
      <c r="Q5918" s="17"/>
    </row>
    <row r="5919" spans="12:17" x14ac:dyDescent="0.3">
      <c r="L5919" s="25"/>
      <c r="Q5919" s="17"/>
    </row>
    <row r="5920" spans="12:17" x14ac:dyDescent="0.3">
      <c r="L5920" s="25"/>
      <c r="Q5920" s="17"/>
    </row>
    <row r="5921" spans="12:17" x14ac:dyDescent="0.3">
      <c r="L5921" s="25"/>
      <c r="Q5921" s="17"/>
    </row>
    <row r="5922" spans="12:17" x14ac:dyDescent="0.3">
      <c r="L5922" s="25"/>
      <c r="Q5922" s="17"/>
    </row>
    <row r="5923" spans="12:17" x14ac:dyDescent="0.3">
      <c r="L5923" s="25"/>
      <c r="Q5923" s="17"/>
    </row>
    <row r="5924" spans="12:17" x14ac:dyDescent="0.3">
      <c r="L5924" s="25"/>
      <c r="Q5924" s="17"/>
    </row>
    <row r="5925" spans="12:17" x14ac:dyDescent="0.3">
      <c r="L5925" s="25"/>
      <c r="Q5925" s="17"/>
    </row>
    <row r="5926" spans="12:17" x14ac:dyDescent="0.3">
      <c r="L5926" s="25"/>
      <c r="Q5926" s="17"/>
    </row>
    <row r="5927" spans="12:17" x14ac:dyDescent="0.3">
      <c r="L5927" s="25"/>
      <c r="Q5927" s="17"/>
    </row>
    <row r="5928" spans="12:17" x14ac:dyDescent="0.3">
      <c r="L5928" s="25"/>
      <c r="Q5928" s="17"/>
    </row>
    <row r="5929" spans="12:17" x14ac:dyDescent="0.3">
      <c r="L5929" s="25"/>
      <c r="Q5929" s="17"/>
    </row>
    <row r="5930" spans="12:17" x14ac:dyDescent="0.3">
      <c r="L5930" s="25"/>
      <c r="Q5930" s="17"/>
    </row>
    <row r="5931" spans="12:17" x14ac:dyDescent="0.3">
      <c r="L5931" s="25"/>
      <c r="Q5931" s="17"/>
    </row>
    <row r="5932" spans="12:17" x14ac:dyDescent="0.3">
      <c r="L5932" s="25"/>
      <c r="Q5932" s="17"/>
    </row>
    <row r="5933" spans="12:17" x14ac:dyDescent="0.3">
      <c r="L5933" s="25"/>
      <c r="Q5933" s="17"/>
    </row>
    <row r="5934" spans="12:17" x14ac:dyDescent="0.3">
      <c r="L5934" s="25"/>
      <c r="Q5934" s="17"/>
    </row>
    <row r="5935" spans="12:17" x14ac:dyDescent="0.3">
      <c r="L5935" s="25"/>
      <c r="Q5935" s="17"/>
    </row>
    <row r="5936" spans="12:17" x14ac:dyDescent="0.3">
      <c r="L5936" s="25"/>
      <c r="Q5936" s="17"/>
    </row>
    <row r="5937" spans="12:17" x14ac:dyDescent="0.3">
      <c r="L5937" s="25"/>
      <c r="Q5937" s="17"/>
    </row>
    <row r="5938" spans="12:17" x14ac:dyDescent="0.3">
      <c r="L5938" s="25"/>
      <c r="Q5938" s="17"/>
    </row>
    <row r="5939" spans="12:17" x14ac:dyDescent="0.3">
      <c r="L5939" s="25"/>
      <c r="Q5939" s="17"/>
    </row>
    <row r="5940" spans="12:17" x14ac:dyDescent="0.3">
      <c r="L5940" s="25"/>
      <c r="Q5940" s="17"/>
    </row>
    <row r="5941" spans="12:17" x14ac:dyDescent="0.3">
      <c r="L5941" s="25"/>
      <c r="Q5941" s="17"/>
    </row>
    <row r="5942" spans="12:17" x14ac:dyDescent="0.3">
      <c r="L5942" s="25"/>
      <c r="Q5942" s="17"/>
    </row>
    <row r="5943" spans="12:17" x14ac:dyDescent="0.3">
      <c r="L5943" s="25"/>
      <c r="Q5943" s="17"/>
    </row>
    <row r="5944" spans="12:17" x14ac:dyDescent="0.3">
      <c r="L5944" s="25"/>
      <c r="Q5944" s="17"/>
    </row>
    <row r="5945" spans="12:17" x14ac:dyDescent="0.3">
      <c r="L5945" s="25"/>
      <c r="Q5945" s="17"/>
    </row>
    <row r="5946" spans="12:17" x14ac:dyDescent="0.3">
      <c r="L5946" s="25"/>
      <c r="Q5946" s="17"/>
    </row>
    <row r="5947" spans="12:17" x14ac:dyDescent="0.3">
      <c r="L5947" s="25"/>
      <c r="Q5947" s="17"/>
    </row>
    <row r="5948" spans="12:17" x14ac:dyDescent="0.3">
      <c r="L5948" s="25"/>
      <c r="Q5948" s="17"/>
    </row>
    <row r="5949" spans="12:17" x14ac:dyDescent="0.3">
      <c r="L5949" s="25"/>
      <c r="Q5949" s="17"/>
    </row>
    <row r="5950" spans="12:17" x14ac:dyDescent="0.3">
      <c r="L5950" s="25"/>
      <c r="Q5950" s="17"/>
    </row>
    <row r="5951" spans="12:17" x14ac:dyDescent="0.3">
      <c r="L5951" s="25"/>
      <c r="Q5951" s="17"/>
    </row>
    <row r="5952" spans="12:17" x14ac:dyDescent="0.3">
      <c r="L5952" s="25"/>
      <c r="Q5952" s="17"/>
    </row>
    <row r="5953" spans="12:17" x14ac:dyDescent="0.3">
      <c r="L5953" s="25"/>
      <c r="Q5953" s="17"/>
    </row>
    <row r="5954" spans="12:17" x14ac:dyDescent="0.3">
      <c r="L5954" s="25"/>
      <c r="Q5954" s="17"/>
    </row>
    <row r="5955" spans="12:17" x14ac:dyDescent="0.3">
      <c r="L5955" s="25"/>
      <c r="Q5955" s="17"/>
    </row>
    <row r="5956" spans="12:17" x14ac:dyDescent="0.3">
      <c r="L5956" s="25"/>
      <c r="Q5956" s="17"/>
    </row>
    <row r="5957" spans="12:17" x14ac:dyDescent="0.3">
      <c r="L5957" s="25"/>
      <c r="Q5957" s="17"/>
    </row>
    <row r="5958" spans="12:17" x14ac:dyDescent="0.3">
      <c r="L5958" s="25"/>
      <c r="Q5958" s="17"/>
    </row>
    <row r="5959" spans="12:17" x14ac:dyDescent="0.3">
      <c r="L5959" s="25"/>
      <c r="Q5959" s="17"/>
    </row>
    <row r="5960" spans="12:17" x14ac:dyDescent="0.3">
      <c r="L5960" s="25"/>
      <c r="Q5960" s="17"/>
    </row>
    <row r="5961" spans="12:17" x14ac:dyDescent="0.3">
      <c r="L5961" s="25"/>
      <c r="Q5961" s="17"/>
    </row>
    <row r="5962" spans="12:17" x14ac:dyDescent="0.3">
      <c r="L5962" s="25"/>
      <c r="Q5962" s="17"/>
    </row>
    <row r="5963" spans="12:17" x14ac:dyDescent="0.3">
      <c r="L5963" s="25"/>
      <c r="Q5963" s="17"/>
    </row>
    <row r="5964" spans="12:17" x14ac:dyDescent="0.3">
      <c r="L5964" s="25"/>
      <c r="Q5964" s="17"/>
    </row>
    <row r="5965" spans="12:17" x14ac:dyDescent="0.3">
      <c r="L5965" s="25"/>
      <c r="Q5965" s="17"/>
    </row>
    <row r="5966" spans="12:17" x14ac:dyDescent="0.3">
      <c r="L5966" s="25"/>
      <c r="Q5966" s="17"/>
    </row>
    <row r="5967" spans="12:17" x14ac:dyDescent="0.3">
      <c r="L5967" s="25"/>
      <c r="Q5967" s="17"/>
    </row>
    <row r="5968" spans="12:17" x14ac:dyDescent="0.3">
      <c r="L5968" s="25"/>
      <c r="Q5968" s="17"/>
    </row>
    <row r="5969" spans="12:17" x14ac:dyDescent="0.3">
      <c r="L5969" s="25"/>
      <c r="Q5969" s="17"/>
    </row>
    <row r="5970" spans="12:17" x14ac:dyDescent="0.3">
      <c r="L5970" s="25"/>
      <c r="Q5970" s="17"/>
    </row>
    <row r="5971" spans="12:17" x14ac:dyDescent="0.3">
      <c r="L5971" s="25"/>
      <c r="Q5971" s="17"/>
    </row>
    <row r="5972" spans="12:17" x14ac:dyDescent="0.3">
      <c r="L5972" s="25"/>
      <c r="Q5972" s="17"/>
    </row>
    <row r="5973" spans="12:17" x14ac:dyDescent="0.3">
      <c r="L5973" s="25"/>
      <c r="Q5973" s="17"/>
    </row>
    <row r="5974" spans="12:17" x14ac:dyDescent="0.3">
      <c r="L5974" s="25"/>
      <c r="Q5974" s="17"/>
    </row>
    <row r="5975" spans="12:17" x14ac:dyDescent="0.3">
      <c r="L5975" s="25"/>
      <c r="Q5975" s="17"/>
    </row>
    <row r="5976" spans="12:17" x14ac:dyDescent="0.3">
      <c r="L5976" s="25"/>
      <c r="Q5976" s="17"/>
    </row>
    <row r="5977" spans="12:17" x14ac:dyDescent="0.3">
      <c r="L5977" s="25"/>
      <c r="Q5977" s="17"/>
    </row>
    <row r="5978" spans="12:17" x14ac:dyDescent="0.3">
      <c r="L5978" s="25"/>
      <c r="Q5978" s="17"/>
    </row>
    <row r="5979" spans="12:17" x14ac:dyDescent="0.3">
      <c r="L5979" s="25"/>
      <c r="Q5979" s="17"/>
    </row>
    <row r="5980" spans="12:17" x14ac:dyDescent="0.3">
      <c r="L5980" s="25"/>
      <c r="Q5980" s="17"/>
    </row>
    <row r="5981" spans="12:17" x14ac:dyDescent="0.3">
      <c r="L5981" s="25"/>
      <c r="Q5981" s="17"/>
    </row>
    <row r="5982" spans="12:17" x14ac:dyDescent="0.3">
      <c r="L5982" s="25"/>
      <c r="Q5982" s="17"/>
    </row>
    <row r="5983" spans="12:17" x14ac:dyDescent="0.3">
      <c r="L5983" s="25"/>
      <c r="Q5983" s="17"/>
    </row>
    <row r="5984" spans="12:17" x14ac:dyDescent="0.3">
      <c r="L5984" s="25"/>
      <c r="Q5984" s="17"/>
    </row>
    <row r="5985" spans="12:17" x14ac:dyDescent="0.3">
      <c r="L5985" s="25"/>
      <c r="Q5985" s="17"/>
    </row>
    <row r="5986" spans="12:17" x14ac:dyDescent="0.3">
      <c r="L5986" s="25"/>
      <c r="Q5986" s="17"/>
    </row>
    <row r="5987" spans="12:17" x14ac:dyDescent="0.3">
      <c r="L5987" s="25"/>
      <c r="Q5987" s="17"/>
    </row>
    <row r="5988" spans="12:17" x14ac:dyDescent="0.3">
      <c r="L5988" s="25"/>
      <c r="Q5988" s="17"/>
    </row>
    <row r="5989" spans="12:17" x14ac:dyDescent="0.3">
      <c r="L5989" s="25"/>
      <c r="Q5989" s="17"/>
    </row>
    <row r="5990" spans="12:17" x14ac:dyDescent="0.3">
      <c r="L5990" s="25"/>
      <c r="Q5990" s="17"/>
    </row>
    <row r="5991" spans="12:17" x14ac:dyDescent="0.3">
      <c r="L5991" s="25"/>
      <c r="Q5991" s="17"/>
    </row>
    <row r="5992" spans="12:17" x14ac:dyDescent="0.3">
      <c r="L5992" s="25"/>
      <c r="Q5992" s="17"/>
    </row>
    <row r="5993" spans="12:17" x14ac:dyDescent="0.3">
      <c r="L5993" s="25"/>
      <c r="Q5993" s="17"/>
    </row>
    <row r="5994" spans="12:17" x14ac:dyDescent="0.3">
      <c r="L5994" s="25"/>
      <c r="Q5994" s="17"/>
    </row>
    <row r="5995" spans="12:17" x14ac:dyDescent="0.3">
      <c r="L5995" s="25"/>
      <c r="Q5995" s="17"/>
    </row>
    <row r="5996" spans="12:17" x14ac:dyDescent="0.3">
      <c r="L5996" s="25"/>
      <c r="Q5996" s="17"/>
    </row>
    <row r="5997" spans="12:17" x14ac:dyDescent="0.3">
      <c r="L5997" s="25"/>
      <c r="Q5997" s="17"/>
    </row>
    <row r="5998" spans="12:17" x14ac:dyDescent="0.3">
      <c r="L5998" s="25"/>
      <c r="Q5998" s="17"/>
    </row>
    <row r="5999" spans="12:17" x14ac:dyDescent="0.3">
      <c r="L5999" s="25"/>
      <c r="Q5999" s="17"/>
    </row>
    <row r="6000" spans="12:17" x14ac:dyDescent="0.3">
      <c r="L6000" s="25"/>
      <c r="Q6000" s="17"/>
    </row>
    <row r="6001" spans="12:17" x14ac:dyDescent="0.3">
      <c r="L6001" s="25"/>
      <c r="Q6001" s="17"/>
    </row>
    <row r="6002" spans="12:17" x14ac:dyDescent="0.3">
      <c r="L6002" s="25"/>
      <c r="Q6002" s="17"/>
    </row>
    <row r="6003" spans="12:17" x14ac:dyDescent="0.3">
      <c r="L6003" s="25"/>
      <c r="Q6003" s="17"/>
    </row>
    <row r="6004" spans="12:17" x14ac:dyDescent="0.3">
      <c r="L6004" s="25"/>
      <c r="Q6004" s="17"/>
    </row>
    <row r="6005" spans="12:17" x14ac:dyDescent="0.3">
      <c r="L6005" s="25"/>
      <c r="Q6005" s="17"/>
    </row>
    <row r="6006" spans="12:17" x14ac:dyDescent="0.3">
      <c r="L6006" s="25"/>
      <c r="Q6006" s="17"/>
    </row>
    <row r="6007" spans="12:17" x14ac:dyDescent="0.3">
      <c r="L6007" s="25"/>
      <c r="Q6007" s="17"/>
    </row>
    <row r="6008" spans="12:17" x14ac:dyDescent="0.3">
      <c r="L6008" s="25"/>
      <c r="Q6008" s="17"/>
    </row>
    <row r="6009" spans="12:17" x14ac:dyDescent="0.3">
      <c r="L6009" s="25"/>
      <c r="Q6009" s="17"/>
    </row>
    <row r="6010" spans="12:17" x14ac:dyDescent="0.3">
      <c r="L6010" s="25"/>
      <c r="Q6010" s="17"/>
    </row>
    <row r="6011" spans="12:17" x14ac:dyDescent="0.3">
      <c r="L6011" s="25"/>
      <c r="Q6011" s="17"/>
    </row>
    <row r="6012" spans="12:17" x14ac:dyDescent="0.3">
      <c r="L6012" s="25"/>
      <c r="Q6012" s="17"/>
    </row>
    <row r="6013" spans="12:17" x14ac:dyDescent="0.3">
      <c r="L6013" s="25"/>
      <c r="Q6013" s="17"/>
    </row>
    <row r="6014" spans="12:17" x14ac:dyDescent="0.3">
      <c r="L6014" s="25"/>
      <c r="Q6014" s="17"/>
    </row>
    <row r="6015" spans="12:17" x14ac:dyDescent="0.3">
      <c r="L6015" s="25"/>
      <c r="Q6015" s="17"/>
    </row>
    <row r="6016" spans="12:17" x14ac:dyDescent="0.3">
      <c r="L6016" s="25"/>
      <c r="Q6016" s="17"/>
    </row>
    <row r="6017" spans="12:17" x14ac:dyDescent="0.3">
      <c r="L6017" s="25"/>
      <c r="Q6017" s="17"/>
    </row>
    <row r="6018" spans="12:17" x14ac:dyDescent="0.3">
      <c r="L6018" s="25"/>
      <c r="Q6018" s="17"/>
    </row>
    <row r="6019" spans="12:17" x14ac:dyDescent="0.3">
      <c r="L6019" s="25"/>
      <c r="Q6019" s="17"/>
    </row>
    <row r="6020" spans="12:17" x14ac:dyDescent="0.3">
      <c r="L6020" s="25"/>
      <c r="Q6020" s="17"/>
    </row>
    <row r="6021" spans="12:17" x14ac:dyDescent="0.3">
      <c r="L6021" s="25"/>
      <c r="Q6021" s="17"/>
    </row>
    <row r="6022" spans="12:17" x14ac:dyDescent="0.3">
      <c r="L6022" s="25"/>
      <c r="Q6022" s="17"/>
    </row>
    <row r="6023" spans="12:17" x14ac:dyDescent="0.3">
      <c r="L6023" s="25"/>
      <c r="Q6023" s="17"/>
    </row>
    <row r="6024" spans="12:17" x14ac:dyDescent="0.3">
      <c r="L6024" s="25"/>
      <c r="Q6024" s="17"/>
    </row>
    <row r="6025" spans="12:17" x14ac:dyDescent="0.3">
      <c r="L6025" s="25"/>
      <c r="Q6025" s="17"/>
    </row>
    <row r="6026" spans="12:17" x14ac:dyDescent="0.3">
      <c r="L6026" s="25"/>
      <c r="Q6026" s="17"/>
    </row>
    <row r="6027" spans="12:17" x14ac:dyDescent="0.3">
      <c r="L6027" s="25"/>
      <c r="Q6027" s="17"/>
    </row>
    <row r="6028" spans="12:17" x14ac:dyDescent="0.3">
      <c r="L6028" s="25"/>
      <c r="Q6028" s="17"/>
    </row>
    <row r="6029" spans="12:17" x14ac:dyDescent="0.3">
      <c r="L6029" s="25"/>
      <c r="Q6029" s="17"/>
    </row>
    <row r="6030" spans="12:17" x14ac:dyDescent="0.3">
      <c r="L6030" s="25"/>
      <c r="Q6030" s="17"/>
    </row>
    <row r="6031" spans="12:17" x14ac:dyDescent="0.3">
      <c r="L6031" s="25"/>
      <c r="Q6031" s="17"/>
    </row>
    <row r="6032" spans="12:17" x14ac:dyDescent="0.3">
      <c r="L6032" s="25"/>
      <c r="Q6032" s="17"/>
    </row>
    <row r="6033" spans="12:17" x14ac:dyDescent="0.3">
      <c r="L6033" s="25"/>
      <c r="Q6033" s="17"/>
    </row>
    <row r="6034" spans="12:17" x14ac:dyDescent="0.3">
      <c r="L6034" s="25"/>
      <c r="Q6034" s="17"/>
    </row>
    <row r="6035" spans="12:17" x14ac:dyDescent="0.3">
      <c r="L6035" s="25"/>
      <c r="Q6035" s="17"/>
    </row>
    <row r="6036" spans="12:17" x14ac:dyDescent="0.3">
      <c r="L6036" s="25"/>
      <c r="Q6036" s="17"/>
    </row>
    <row r="6037" spans="12:17" x14ac:dyDescent="0.3">
      <c r="L6037" s="25"/>
      <c r="Q6037" s="17"/>
    </row>
    <row r="6038" spans="12:17" x14ac:dyDescent="0.3">
      <c r="L6038" s="25"/>
      <c r="Q6038" s="17"/>
    </row>
    <row r="6039" spans="12:17" x14ac:dyDescent="0.3">
      <c r="L6039" s="25"/>
      <c r="Q6039" s="17"/>
    </row>
    <row r="6040" spans="12:17" x14ac:dyDescent="0.3">
      <c r="L6040" s="25"/>
      <c r="Q6040" s="17"/>
    </row>
    <row r="6041" spans="12:17" x14ac:dyDescent="0.3">
      <c r="L6041" s="25"/>
      <c r="Q6041" s="17"/>
    </row>
    <row r="6042" spans="12:17" x14ac:dyDescent="0.3">
      <c r="L6042" s="25"/>
      <c r="Q6042" s="17"/>
    </row>
    <row r="6043" spans="12:17" x14ac:dyDescent="0.3">
      <c r="L6043" s="25"/>
      <c r="Q6043" s="17"/>
    </row>
    <row r="6044" spans="12:17" x14ac:dyDescent="0.3">
      <c r="L6044" s="25"/>
      <c r="Q6044" s="17"/>
    </row>
    <row r="6045" spans="12:17" x14ac:dyDescent="0.3">
      <c r="L6045" s="25"/>
      <c r="Q6045" s="17"/>
    </row>
    <row r="6046" spans="12:17" x14ac:dyDescent="0.3">
      <c r="L6046" s="25"/>
      <c r="Q6046" s="17"/>
    </row>
    <row r="6047" spans="12:17" x14ac:dyDescent="0.3">
      <c r="L6047" s="25"/>
      <c r="Q6047" s="17"/>
    </row>
    <row r="6048" spans="12:17" x14ac:dyDescent="0.3">
      <c r="L6048" s="25"/>
      <c r="Q6048" s="17"/>
    </row>
    <row r="6049" spans="12:17" x14ac:dyDescent="0.3">
      <c r="L6049" s="25"/>
      <c r="Q6049" s="17"/>
    </row>
    <row r="6050" spans="12:17" x14ac:dyDescent="0.3">
      <c r="L6050" s="25"/>
      <c r="Q6050" s="17"/>
    </row>
    <row r="6051" spans="12:17" x14ac:dyDescent="0.3">
      <c r="L6051" s="25"/>
      <c r="Q6051" s="17"/>
    </row>
    <row r="6052" spans="12:17" x14ac:dyDescent="0.3">
      <c r="L6052" s="25"/>
      <c r="Q6052" s="17"/>
    </row>
    <row r="6053" spans="12:17" x14ac:dyDescent="0.3">
      <c r="L6053" s="25"/>
      <c r="Q6053" s="17"/>
    </row>
    <row r="6054" spans="12:17" x14ac:dyDescent="0.3">
      <c r="L6054" s="25"/>
      <c r="Q6054" s="17"/>
    </row>
    <row r="6055" spans="12:17" x14ac:dyDescent="0.3">
      <c r="L6055" s="25"/>
      <c r="Q6055" s="17"/>
    </row>
    <row r="6056" spans="12:17" x14ac:dyDescent="0.3">
      <c r="L6056" s="25"/>
      <c r="Q6056" s="17"/>
    </row>
    <row r="6057" spans="12:17" x14ac:dyDescent="0.3">
      <c r="L6057" s="25"/>
      <c r="Q6057" s="17"/>
    </row>
    <row r="6058" spans="12:17" x14ac:dyDescent="0.3">
      <c r="L6058" s="25"/>
      <c r="Q6058" s="17"/>
    </row>
    <row r="6059" spans="12:17" x14ac:dyDescent="0.3">
      <c r="L6059" s="25"/>
      <c r="Q6059" s="17"/>
    </row>
    <row r="6060" spans="12:17" x14ac:dyDescent="0.3">
      <c r="L6060" s="25"/>
      <c r="Q6060" s="17"/>
    </row>
    <row r="6061" spans="12:17" x14ac:dyDescent="0.3">
      <c r="L6061" s="25"/>
      <c r="Q6061" s="17"/>
    </row>
    <row r="6062" spans="12:17" x14ac:dyDescent="0.3">
      <c r="L6062" s="25"/>
      <c r="Q6062" s="17"/>
    </row>
    <row r="6063" spans="12:17" x14ac:dyDescent="0.3">
      <c r="L6063" s="25"/>
      <c r="Q6063" s="17"/>
    </row>
    <row r="6064" spans="12:17" x14ac:dyDescent="0.3">
      <c r="L6064" s="25"/>
      <c r="Q6064" s="17"/>
    </row>
    <row r="6065" spans="12:17" x14ac:dyDescent="0.3">
      <c r="L6065" s="25"/>
      <c r="Q6065" s="17"/>
    </row>
    <row r="6066" spans="12:17" x14ac:dyDescent="0.3">
      <c r="L6066" s="25"/>
      <c r="Q6066" s="17"/>
    </row>
    <row r="6067" spans="12:17" x14ac:dyDescent="0.3">
      <c r="L6067" s="25"/>
      <c r="Q6067" s="17"/>
    </row>
    <row r="6068" spans="12:17" x14ac:dyDescent="0.3">
      <c r="L6068" s="25"/>
      <c r="Q6068" s="17"/>
    </row>
    <row r="6069" spans="12:17" x14ac:dyDescent="0.3">
      <c r="L6069" s="25"/>
      <c r="Q6069" s="17"/>
    </row>
    <row r="6070" spans="12:17" x14ac:dyDescent="0.3">
      <c r="L6070" s="25"/>
      <c r="Q6070" s="17"/>
    </row>
    <row r="6071" spans="12:17" x14ac:dyDescent="0.3">
      <c r="L6071" s="25"/>
      <c r="Q6071" s="17"/>
    </row>
    <row r="6072" spans="12:17" x14ac:dyDescent="0.3">
      <c r="L6072" s="25"/>
      <c r="Q6072" s="17"/>
    </row>
    <row r="6073" spans="12:17" x14ac:dyDescent="0.3">
      <c r="L6073" s="25"/>
      <c r="Q6073" s="17"/>
    </row>
    <row r="6074" spans="12:17" x14ac:dyDescent="0.3">
      <c r="L6074" s="25"/>
      <c r="Q6074" s="17"/>
    </row>
    <row r="6075" spans="12:17" x14ac:dyDescent="0.3">
      <c r="L6075" s="25"/>
      <c r="Q6075" s="17"/>
    </row>
    <row r="6076" spans="12:17" x14ac:dyDescent="0.3">
      <c r="L6076" s="25"/>
      <c r="Q6076" s="17"/>
    </row>
    <row r="6077" spans="12:17" x14ac:dyDescent="0.3">
      <c r="L6077" s="25"/>
      <c r="Q6077" s="17"/>
    </row>
    <row r="6078" spans="12:17" x14ac:dyDescent="0.3">
      <c r="L6078" s="25"/>
      <c r="Q6078" s="17"/>
    </row>
    <row r="6079" spans="12:17" x14ac:dyDescent="0.3">
      <c r="L6079" s="25"/>
      <c r="Q6079" s="17"/>
    </row>
    <row r="6080" spans="12:17" x14ac:dyDescent="0.3">
      <c r="L6080" s="25"/>
      <c r="Q6080" s="17"/>
    </row>
    <row r="6081" spans="12:17" x14ac:dyDescent="0.3">
      <c r="L6081" s="25"/>
      <c r="Q6081" s="17"/>
    </row>
    <row r="6082" spans="12:17" x14ac:dyDescent="0.3">
      <c r="L6082" s="25"/>
      <c r="Q6082" s="17"/>
    </row>
    <row r="6083" spans="12:17" x14ac:dyDescent="0.3">
      <c r="L6083" s="25"/>
      <c r="Q6083" s="17"/>
    </row>
    <row r="6084" spans="12:17" x14ac:dyDescent="0.3">
      <c r="L6084" s="25"/>
      <c r="Q6084" s="17"/>
    </row>
    <row r="6085" spans="12:17" x14ac:dyDescent="0.3">
      <c r="L6085" s="25"/>
      <c r="Q6085" s="17"/>
    </row>
    <row r="6086" spans="12:17" x14ac:dyDescent="0.3">
      <c r="L6086" s="25"/>
      <c r="Q6086" s="17"/>
    </row>
    <row r="6087" spans="12:17" x14ac:dyDescent="0.3">
      <c r="L6087" s="25"/>
      <c r="Q6087" s="17"/>
    </row>
    <row r="6088" spans="12:17" x14ac:dyDescent="0.3">
      <c r="L6088" s="25"/>
      <c r="Q6088" s="17"/>
    </row>
    <row r="6089" spans="12:17" x14ac:dyDescent="0.3">
      <c r="L6089" s="25"/>
      <c r="Q6089" s="17"/>
    </row>
    <row r="6090" spans="12:17" x14ac:dyDescent="0.3">
      <c r="L6090" s="25"/>
      <c r="Q6090" s="17"/>
    </row>
    <row r="6091" spans="12:17" x14ac:dyDescent="0.3">
      <c r="L6091" s="25"/>
      <c r="Q6091" s="17"/>
    </row>
    <row r="6092" spans="12:17" x14ac:dyDescent="0.3">
      <c r="L6092" s="25"/>
      <c r="Q6092" s="17"/>
    </row>
    <row r="6093" spans="12:17" x14ac:dyDescent="0.3">
      <c r="L6093" s="25"/>
      <c r="Q6093" s="17"/>
    </row>
    <row r="6094" spans="12:17" x14ac:dyDescent="0.3">
      <c r="L6094" s="25"/>
      <c r="Q6094" s="17"/>
    </row>
    <row r="6095" spans="12:17" x14ac:dyDescent="0.3">
      <c r="L6095" s="25"/>
      <c r="Q6095" s="17"/>
    </row>
    <row r="6096" spans="12:17" x14ac:dyDescent="0.3">
      <c r="L6096" s="25"/>
      <c r="Q6096" s="17"/>
    </row>
    <row r="6097" spans="12:17" x14ac:dyDescent="0.3">
      <c r="L6097" s="25"/>
      <c r="Q6097" s="17"/>
    </row>
    <row r="6098" spans="12:17" x14ac:dyDescent="0.3">
      <c r="L6098" s="25"/>
      <c r="Q6098" s="17"/>
    </row>
    <row r="6099" spans="12:17" x14ac:dyDescent="0.3">
      <c r="L6099" s="25"/>
      <c r="Q6099" s="17"/>
    </row>
    <row r="6100" spans="12:17" x14ac:dyDescent="0.3">
      <c r="L6100" s="25"/>
      <c r="Q6100" s="17"/>
    </row>
    <row r="6101" spans="12:17" x14ac:dyDescent="0.3">
      <c r="L6101" s="25"/>
      <c r="Q6101" s="17"/>
    </row>
    <row r="6102" spans="12:17" x14ac:dyDescent="0.3">
      <c r="L6102" s="25"/>
      <c r="Q6102" s="17"/>
    </row>
    <row r="6103" spans="12:17" x14ac:dyDescent="0.3">
      <c r="L6103" s="25"/>
      <c r="Q6103" s="17"/>
    </row>
    <row r="6104" spans="12:17" x14ac:dyDescent="0.3">
      <c r="L6104" s="25"/>
      <c r="Q6104" s="17"/>
    </row>
    <row r="6105" spans="12:17" x14ac:dyDescent="0.3">
      <c r="L6105" s="25"/>
      <c r="Q6105" s="17"/>
    </row>
    <row r="6106" spans="12:17" x14ac:dyDescent="0.3">
      <c r="L6106" s="25"/>
      <c r="Q6106" s="17"/>
    </row>
    <row r="6107" spans="12:17" x14ac:dyDescent="0.3">
      <c r="L6107" s="25"/>
      <c r="Q6107" s="17"/>
    </row>
    <row r="6108" spans="12:17" x14ac:dyDescent="0.3">
      <c r="L6108" s="25"/>
      <c r="Q6108" s="17"/>
    </row>
    <row r="6109" spans="12:17" x14ac:dyDescent="0.3">
      <c r="L6109" s="25"/>
      <c r="Q6109" s="17"/>
    </row>
    <row r="6110" spans="12:17" x14ac:dyDescent="0.3">
      <c r="L6110" s="25"/>
      <c r="Q6110" s="17"/>
    </row>
    <row r="6111" spans="12:17" x14ac:dyDescent="0.3">
      <c r="L6111" s="25"/>
      <c r="Q6111" s="17"/>
    </row>
    <row r="6112" spans="12:17" x14ac:dyDescent="0.3">
      <c r="L6112" s="25"/>
      <c r="Q6112" s="17"/>
    </row>
    <row r="6113" spans="12:17" x14ac:dyDescent="0.3">
      <c r="L6113" s="25"/>
      <c r="Q6113" s="17"/>
    </row>
    <row r="6114" spans="12:17" x14ac:dyDescent="0.3">
      <c r="L6114" s="25"/>
      <c r="Q6114" s="17"/>
    </row>
    <row r="6115" spans="12:17" x14ac:dyDescent="0.3">
      <c r="L6115" s="25"/>
      <c r="Q6115" s="17"/>
    </row>
    <row r="6116" spans="12:17" x14ac:dyDescent="0.3">
      <c r="L6116" s="25"/>
      <c r="Q6116" s="17"/>
    </row>
    <row r="6117" spans="12:17" x14ac:dyDescent="0.3">
      <c r="L6117" s="25"/>
      <c r="Q6117" s="17"/>
    </row>
    <row r="6118" spans="12:17" x14ac:dyDescent="0.3">
      <c r="L6118" s="25"/>
      <c r="Q6118" s="17"/>
    </row>
    <row r="6119" spans="12:17" x14ac:dyDescent="0.3">
      <c r="L6119" s="25"/>
      <c r="Q6119" s="17"/>
    </row>
    <row r="6120" spans="12:17" x14ac:dyDescent="0.3">
      <c r="L6120" s="25"/>
      <c r="Q6120" s="17"/>
    </row>
    <row r="6121" spans="12:17" x14ac:dyDescent="0.3">
      <c r="L6121" s="25"/>
      <c r="Q6121" s="17"/>
    </row>
    <row r="6122" spans="12:17" x14ac:dyDescent="0.3">
      <c r="L6122" s="25"/>
      <c r="Q6122" s="17"/>
    </row>
    <row r="6123" spans="12:17" x14ac:dyDescent="0.3">
      <c r="L6123" s="25"/>
      <c r="Q6123" s="17"/>
    </row>
    <row r="6124" spans="12:17" x14ac:dyDescent="0.3">
      <c r="L6124" s="25"/>
      <c r="Q6124" s="17"/>
    </row>
    <row r="6125" spans="12:17" x14ac:dyDescent="0.3">
      <c r="L6125" s="25"/>
      <c r="Q6125" s="17"/>
    </row>
    <row r="6126" spans="12:17" x14ac:dyDescent="0.3">
      <c r="L6126" s="25"/>
      <c r="Q6126" s="17"/>
    </row>
    <row r="6127" spans="12:17" x14ac:dyDescent="0.3">
      <c r="L6127" s="25"/>
      <c r="Q6127" s="17"/>
    </row>
    <row r="6128" spans="12:17" x14ac:dyDescent="0.3">
      <c r="L6128" s="25"/>
      <c r="Q6128" s="17"/>
    </row>
    <row r="6129" spans="12:17" x14ac:dyDescent="0.3">
      <c r="L6129" s="25"/>
      <c r="Q6129" s="17"/>
    </row>
    <row r="6130" spans="12:17" x14ac:dyDescent="0.3">
      <c r="L6130" s="25"/>
      <c r="Q6130" s="17"/>
    </row>
    <row r="6131" spans="12:17" x14ac:dyDescent="0.3">
      <c r="L6131" s="25"/>
      <c r="Q6131" s="17"/>
    </row>
    <row r="6132" spans="12:17" x14ac:dyDescent="0.3">
      <c r="L6132" s="25"/>
      <c r="Q6132" s="17"/>
    </row>
    <row r="6133" spans="12:17" x14ac:dyDescent="0.3">
      <c r="L6133" s="25"/>
      <c r="Q6133" s="17"/>
    </row>
    <row r="6134" spans="12:17" x14ac:dyDescent="0.3">
      <c r="L6134" s="25"/>
      <c r="Q6134" s="17"/>
    </row>
    <row r="6135" spans="12:17" x14ac:dyDescent="0.3">
      <c r="L6135" s="25"/>
      <c r="Q6135" s="17"/>
    </row>
    <row r="6136" spans="12:17" x14ac:dyDescent="0.3">
      <c r="L6136" s="25"/>
      <c r="Q6136" s="17"/>
    </row>
    <row r="6137" spans="12:17" x14ac:dyDescent="0.3">
      <c r="L6137" s="25"/>
      <c r="Q6137" s="17"/>
    </row>
    <row r="6138" spans="12:17" x14ac:dyDescent="0.3">
      <c r="L6138" s="25"/>
      <c r="Q6138" s="17"/>
    </row>
    <row r="6139" spans="12:17" x14ac:dyDescent="0.3">
      <c r="L6139" s="25"/>
      <c r="Q6139" s="17"/>
    </row>
    <row r="6140" spans="12:17" x14ac:dyDescent="0.3">
      <c r="L6140" s="25"/>
      <c r="Q6140" s="17"/>
    </row>
    <row r="6141" spans="12:17" x14ac:dyDescent="0.3">
      <c r="L6141" s="25"/>
      <c r="Q6141" s="17"/>
    </row>
    <row r="6142" spans="12:17" x14ac:dyDescent="0.3">
      <c r="L6142" s="25"/>
      <c r="Q6142" s="17"/>
    </row>
    <row r="6143" spans="12:17" x14ac:dyDescent="0.3">
      <c r="L6143" s="25"/>
      <c r="Q6143" s="17"/>
    </row>
    <row r="6144" spans="12:17" x14ac:dyDescent="0.3">
      <c r="L6144" s="25"/>
      <c r="Q6144" s="17"/>
    </row>
    <row r="6145" spans="12:17" x14ac:dyDescent="0.3">
      <c r="L6145" s="25"/>
      <c r="Q6145" s="17"/>
    </row>
    <row r="6146" spans="12:17" x14ac:dyDescent="0.3">
      <c r="L6146" s="25"/>
      <c r="Q6146" s="17"/>
    </row>
    <row r="6147" spans="12:17" x14ac:dyDescent="0.3">
      <c r="L6147" s="25"/>
      <c r="Q6147" s="17"/>
    </row>
    <row r="6148" spans="12:17" x14ac:dyDescent="0.3">
      <c r="L6148" s="25"/>
      <c r="Q6148" s="17"/>
    </row>
    <row r="6149" spans="12:17" x14ac:dyDescent="0.3">
      <c r="L6149" s="25"/>
      <c r="Q6149" s="17"/>
    </row>
    <row r="6150" spans="12:17" x14ac:dyDescent="0.3">
      <c r="L6150" s="25"/>
      <c r="Q6150" s="17"/>
    </row>
    <row r="6151" spans="12:17" x14ac:dyDescent="0.3">
      <c r="L6151" s="25"/>
      <c r="Q6151" s="17"/>
    </row>
    <row r="6152" spans="12:17" x14ac:dyDescent="0.3">
      <c r="L6152" s="25"/>
      <c r="Q6152" s="17"/>
    </row>
    <row r="6153" spans="12:17" x14ac:dyDescent="0.3">
      <c r="L6153" s="25"/>
      <c r="Q6153" s="17"/>
    </row>
    <row r="6154" spans="12:17" x14ac:dyDescent="0.3">
      <c r="L6154" s="25"/>
      <c r="Q6154" s="17"/>
    </row>
    <row r="6155" spans="12:17" x14ac:dyDescent="0.3">
      <c r="L6155" s="25"/>
      <c r="Q6155" s="17"/>
    </row>
    <row r="6156" spans="12:17" x14ac:dyDescent="0.3">
      <c r="L6156" s="25"/>
      <c r="Q6156" s="17"/>
    </row>
    <row r="6157" spans="12:17" x14ac:dyDescent="0.3">
      <c r="L6157" s="25"/>
      <c r="Q6157" s="17"/>
    </row>
    <row r="6158" spans="12:17" x14ac:dyDescent="0.3">
      <c r="L6158" s="25"/>
      <c r="Q6158" s="17"/>
    </row>
    <row r="6159" spans="12:17" x14ac:dyDescent="0.3">
      <c r="L6159" s="25"/>
      <c r="Q6159" s="17"/>
    </row>
    <row r="6160" spans="12:17" x14ac:dyDescent="0.3">
      <c r="L6160" s="25"/>
      <c r="Q6160" s="17"/>
    </row>
    <row r="6161" spans="12:17" x14ac:dyDescent="0.3">
      <c r="L6161" s="25"/>
      <c r="Q6161" s="17"/>
    </row>
    <row r="6162" spans="12:17" x14ac:dyDescent="0.3">
      <c r="L6162" s="25"/>
      <c r="Q6162" s="17"/>
    </row>
    <row r="6163" spans="12:17" x14ac:dyDescent="0.3">
      <c r="L6163" s="25"/>
      <c r="Q6163" s="17"/>
    </row>
    <row r="6164" spans="12:17" x14ac:dyDescent="0.3">
      <c r="L6164" s="25"/>
      <c r="Q6164" s="17"/>
    </row>
    <row r="6165" spans="12:17" x14ac:dyDescent="0.3">
      <c r="L6165" s="25"/>
      <c r="Q6165" s="17"/>
    </row>
    <row r="6166" spans="12:17" x14ac:dyDescent="0.3">
      <c r="L6166" s="25"/>
      <c r="Q6166" s="17"/>
    </row>
    <row r="6167" spans="12:17" x14ac:dyDescent="0.3">
      <c r="L6167" s="25"/>
      <c r="Q6167" s="17"/>
    </row>
    <row r="6168" spans="12:17" x14ac:dyDescent="0.3">
      <c r="L6168" s="25"/>
      <c r="Q6168" s="17"/>
    </row>
    <row r="6169" spans="12:17" x14ac:dyDescent="0.3">
      <c r="L6169" s="25"/>
      <c r="Q6169" s="17"/>
    </row>
    <row r="6170" spans="12:17" x14ac:dyDescent="0.3">
      <c r="L6170" s="25"/>
      <c r="Q6170" s="17"/>
    </row>
    <row r="6171" spans="12:17" x14ac:dyDescent="0.3">
      <c r="L6171" s="25"/>
      <c r="Q6171" s="17"/>
    </row>
    <row r="6172" spans="12:17" x14ac:dyDescent="0.3">
      <c r="L6172" s="25"/>
      <c r="Q6172" s="17"/>
    </row>
    <row r="6173" spans="12:17" x14ac:dyDescent="0.3">
      <c r="L6173" s="25"/>
      <c r="Q6173" s="17"/>
    </row>
    <row r="6174" spans="12:17" x14ac:dyDescent="0.3">
      <c r="L6174" s="25"/>
      <c r="Q6174" s="17"/>
    </row>
    <row r="6175" spans="12:17" x14ac:dyDescent="0.3">
      <c r="L6175" s="25"/>
      <c r="Q6175" s="17"/>
    </row>
    <row r="6176" spans="12:17" x14ac:dyDescent="0.3">
      <c r="L6176" s="25"/>
      <c r="Q6176" s="17"/>
    </row>
    <row r="6177" spans="12:17" x14ac:dyDescent="0.3">
      <c r="L6177" s="25"/>
      <c r="Q6177" s="17"/>
    </row>
    <row r="6178" spans="12:17" x14ac:dyDescent="0.3">
      <c r="L6178" s="25"/>
      <c r="Q6178" s="17"/>
    </row>
    <row r="6179" spans="12:17" x14ac:dyDescent="0.3">
      <c r="L6179" s="25"/>
      <c r="Q6179" s="17"/>
    </row>
    <row r="6180" spans="12:17" x14ac:dyDescent="0.3">
      <c r="L6180" s="25"/>
      <c r="Q6180" s="17"/>
    </row>
    <row r="6181" spans="12:17" x14ac:dyDescent="0.3">
      <c r="L6181" s="25"/>
      <c r="Q6181" s="17"/>
    </row>
    <row r="6182" spans="12:17" x14ac:dyDescent="0.3">
      <c r="L6182" s="25"/>
      <c r="Q6182" s="17"/>
    </row>
    <row r="6183" spans="12:17" x14ac:dyDescent="0.3">
      <c r="L6183" s="25"/>
      <c r="Q6183" s="17"/>
    </row>
    <row r="6184" spans="12:17" x14ac:dyDescent="0.3">
      <c r="L6184" s="25"/>
      <c r="Q6184" s="17"/>
    </row>
    <row r="6185" spans="12:17" x14ac:dyDescent="0.3">
      <c r="L6185" s="25"/>
      <c r="Q6185" s="17"/>
    </row>
    <row r="6186" spans="12:17" x14ac:dyDescent="0.3">
      <c r="L6186" s="25"/>
      <c r="Q6186" s="17"/>
    </row>
    <row r="6187" spans="12:17" x14ac:dyDescent="0.3">
      <c r="L6187" s="25"/>
      <c r="Q6187" s="17"/>
    </row>
    <row r="6188" spans="12:17" x14ac:dyDescent="0.3">
      <c r="L6188" s="25"/>
      <c r="Q6188" s="17"/>
    </row>
    <row r="6189" spans="12:17" x14ac:dyDescent="0.3">
      <c r="L6189" s="25"/>
      <c r="Q6189" s="17"/>
    </row>
    <row r="6190" spans="12:17" x14ac:dyDescent="0.3">
      <c r="L6190" s="25"/>
      <c r="Q6190" s="17"/>
    </row>
    <row r="6191" spans="12:17" x14ac:dyDescent="0.3">
      <c r="L6191" s="25"/>
      <c r="Q6191" s="17"/>
    </row>
    <row r="6192" spans="12:17" x14ac:dyDescent="0.3">
      <c r="L6192" s="25"/>
      <c r="Q6192" s="17"/>
    </row>
    <row r="6193" spans="12:17" x14ac:dyDescent="0.3">
      <c r="L6193" s="25"/>
      <c r="Q6193" s="17"/>
    </row>
    <row r="6194" spans="12:17" x14ac:dyDescent="0.3">
      <c r="L6194" s="25"/>
      <c r="Q6194" s="17"/>
    </row>
    <row r="6195" spans="12:17" x14ac:dyDescent="0.3">
      <c r="L6195" s="25"/>
      <c r="Q6195" s="17"/>
    </row>
    <row r="6196" spans="12:17" x14ac:dyDescent="0.3">
      <c r="L6196" s="25"/>
      <c r="Q6196" s="17"/>
    </row>
    <row r="6197" spans="12:17" x14ac:dyDescent="0.3">
      <c r="L6197" s="25"/>
      <c r="Q6197" s="17"/>
    </row>
    <row r="6198" spans="12:17" x14ac:dyDescent="0.3">
      <c r="L6198" s="25"/>
      <c r="Q6198" s="17"/>
    </row>
    <row r="6199" spans="12:17" x14ac:dyDescent="0.3">
      <c r="L6199" s="25"/>
      <c r="Q6199" s="17"/>
    </row>
    <row r="6200" spans="12:17" x14ac:dyDescent="0.3">
      <c r="L6200" s="25"/>
      <c r="Q6200" s="17"/>
    </row>
    <row r="6201" spans="12:17" x14ac:dyDescent="0.3">
      <c r="L6201" s="25"/>
      <c r="Q6201" s="17"/>
    </row>
    <row r="6202" spans="12:17" x14ac:dyDescent="0.3">
      <c r="L6202" s="25"/>
      <c r="Q6202" s="17"/>
    </row>
    <row r="6203" spans="12:17" x14ac:dyDescent="0.3">
      <c r="L6203" s="25"/>
      <c r="Q6203" s="17"/>
    </row>
    <row r="6204" spans="12:17" x14ac:dyDescent="0.3">
      <c r="L6204" s="25"/>
      <c r="Q6204" s="17"/>
    </row>
    <row r="6205" spans="12:17" x14ac:dyDescent="0.3">
      <c r="L6205" s="25"/>
      <c r="Q6205" s="17"/>
    </row>
    <row r="6206" spans="12:17" x14ac:dyDescent="0.3">
      <c r="L6206" s="25"/>
      <c r="Q6206" s="17"/>
    </row>
    <row r="6207" spans="12:17" x14ac:dyDescent="0.3">
      <c r="L6207" s="25"/>
      <c r="Q6207" s="17"/>
    </row>
    <row r="6208" spans="12:17" x14ac:dyDescent="0.3">
      <c r="L6208" s="25"/>
      <c r="Q6208" s="17"/>
    </row>
    <row r="6209" spans="12:17" x14ac:dyDescent="0.3">
      <c r="L6209" s="25"/>
      <c r="Q6209" s="17"/>
    </row>
    <row r="6210" spans="12:17" x14ac:dyDescent="0.3">
      <c r="L6210" s="25"/>
      <c r="Q6210" s="17"/>
    </row>
    <row r="6211" spans="12:17" x14ac:dyDescent="0.3">
      <c r="L6211" s="25"/>
      <c r="Q6211" s="17"/>
    </row>
    <row r="6212" spans="12:17" x14ac:dyDescent="0.3">
      <c r="L6212" s="25"/>
      <c r="Q6212" s="17"/>
    </row>
    <row r="6213" spans="12:17" x14ac:dyDescent="0.3">
      <c r="L6213" s="25"/>
      <c r="Q6213" s="17"/>
    </row>
    <row r="6214" spans="12:17" x14ac:dyDescent="0.3">
      <c r="L6214" s="25"/>
      <c r="Q6214" s="17"/>
    </row>
    <row r="6215" spans="12:17" x14ac:dyDescent="0.3">
      <c r="L6215" s="25"/>
      <c r="Q6215" s="17"/>
    </row>
    <row r="6216" spans="12:17" x14ac:dyDescent="0.3">
      <c r="L6216" s="25"/>
      <c r="Q6216" s="17"/>
    </row>
    <row r="6217" spans="12:17" x14ac:dyDescent="0.3">
      <c r="L6217" s="25"/>
      <c r="Q6217" s="17"/>
    </row>
    <row r="6218" spans="12:17" x14ac:dyDescent="0.3">
      <c r="L6218" s="25"/>
      <c r="Q6218" s="17"/>
    </row>
    <row r="6219" spans="12:17" x14ac:dyDescent="0.3">
      <c r="L6219" s="25"/>
      <c r="Q6219" s="17"/>
    </row>
    <row r="6220" spans="12:17" x14ac:dyDescent="0.3">
      <c r="L6220" s="25"/>
      <c r="Q6220" s="17"/>
    </row>
    <row r="6221" spans="12:17" x14ac:dyDescent="0.3">
      <c r="L6221" s="25"/>
      <c r="Q6221" s="17"/>
    </row>
    <row r="6222" spans="12:17" x14ac:dyDescent="0.3">
      <c r="L6222" s="25"/>
      <c r="Q6222" s="17"/>
    </row>
    <row r="6223" spans="12:17" x14ac:dyDescent="0.3">
      <c r="L6223" s="25"/>
      <c r="Q6223" s="17"/>
    </row>
    <row r="6224" spans="12:17" x14ac:dyDescent="0.3">
      <c r="L6224" s="25"/>
      <c r="Q6224" s="17"/>
    </row>
    <row r="6225" spans="12:17" x14ac:dyDescent="0.3">
      <c r="L6225" s="25"/>
      <c r="Q6225" s="17"/>
    </row>
    <row r="6226" spans="12:17" x14ac:dyDescent="0.3">
      <c r="L6226" s="25"/>
      <c r="Q6226" s="17"/>
    </row>
    <row r="6227" spans="12:17" x14ac:dyDescent="0.3">
      <c r="L6227" s="25"/>
      <c r="Q6227" s="17"/>
    </row>
    <row r="6228" spans="12:17" x14ac:dyDescent="0.3">
      <c r="L6228" s="25"/>
      <c r="Q6228" s="17"/>
    </row>
    <row r="6229" spans="12:17" x14ac:dyDescent="0.3">
      <c r="L6229" s="25"/>
      <c r="Q6229" s="17"/>
    </row>
    <row r="6230" spans="12:17" x14ac:dyDescent="0.3">
      <c r="L6230" s="25"/>
      <c r="Q6230" s="17"/>
    </row>
    <row r="6231" spans="12:17" x14ac:dyDescent="0.3">
      <c r="L6231" s="25"/>
      <c r="Q6231" s="17"/>
    </row>
    <row r="6232" spans="12:17" x14ac:dyDescent="0.3">
      <c r="L6232" s="25"/>
      <c r="Q6232" s="17"/>
    </row>
    <row r="6233" spans="12:17" x14ac:dyDescent="0.3">
      <c r="L6233" s="25"/>
      <c r="Q6233" s="17"/>
    </row>
    <row r="6234" spans="12:17" x14ac:dyDescent="0.3">
      <c r="L6234" s="25"/>
      <c r="Q6234" s="17"/>
    </row>
    <row r="6235" spans="12:17" x14ac:dyDescent="0.3">
      <c r="L6235" s="25"/>
      <c r="Q6235" s="17"/>
    </row>
    <row r="6236" spans="12:17" x14ac:dyDescent="0.3">
      <c r="L6236" s="25"/>
      <c r="Q6236" s="17"/>
    </row>
    <row r="6237" spans="12:17" x14ac:dyDescent="0.3">
      <c r="L6237" s="25"/>
      <c r="Q6237" s="17"/>
    </row>
    <row r="6238" spans="12:17" x14ac:dyDescent="0.3">
      <c r="L6238" s="25"/>
      <c r="Q6238" s="17"/>
    </row>
    <row r="6239" spans="12:17" x14ac:dyDescent="0.3">
      <c r="L6239" s="25"/>
      <c r="Q6239" s="17"/>
    </row>
    <row r="6240" spans="12:17" x14ac:dyDescent="0.3">
      <c r="L6240" s="25"/>
      <c r="Q6240" s="17"/>
    </row>
    <row r="6241" spans="12:17" x14ac:dyDescent="0.3">
      <c r="L6241" s="25"/>
      <c r="Q6241" s="17"/>
    </row>
    <row r="6242" spans="12:17" x14ac:dyDescent="0.3">
      <c r="L6242" s="25"/>
      <c r="Q6242" s="17"/>
    </row>
    <row r="6243" spans="12:17" x14ac:dyDescent="0.3">
      <c r="L6243" s="25"/>
      <c r="Q6243" s="17"/>
    </row>
    <row r="6244" spans="12:17" x14ac:dyDescent="0.3">
      <c r="L6244" s="25"/>
      <c r="Q6244" s="17"/>
    </row>
    <row r="6245" spans="12:17" x14ac:dyDescent="0.3">
      <c r="L6245" s="25"/>
      <c r="Q6245" s="17"/>
    </row>
    <row r="6246" spans="12:17" x14ac:dyDescent="0.3">
      <c r="L6246" s="25"/>
      <c r="Q6246" s="17"/>
    </row>
    <row r="6247" spans="12:17" x14ac:dyDescent="0.3">
      <c r="L6247" s="25"/>
      <c r="Q6247" s="17"/>
    </row>
    <row r="6248" spans="12:17" x14ac:dyDescent="0.3">
      <c r="L6248" s="25"/>
      <c r="Q6248" s="17"/>
    </row>
    <row r="6249" spans="12:17" x14ac:dyDescent="0.3">
      <c r="L6249" s="25"/>
      <c r="Q6249" s="17"/>
    </row>
    <row r="6250" spans="12:17" x14ac:dyDescent="0.3">
      <c r="L6250" s="25"/>
      <c r="Q6250" s="17"/>
    </row>
    <row r="6251" spans="12:17" x14ac:dyDescent="0.3">
      <c r="L6251" s="25"/>
      <c r="Q6251" s="17"/>
    </row>
    <row r="6252" spans="12:17" x14ac:dyDescent="0.3">
      <c r="L6252" s="25"/>
      <c r="Q6252" s="17"/>
    </row>
    <row r="6253" spans="12:17" x14ac:dyDescent="0.3">
      <c r="L6253" s="25"/>
      <c r="Q6253" s="17"/>
    </row>
    <row r="6254" spans="12:17" x14ac:dyDescent="0.3">
      <c r="L6254" s="25"/>
      <c r="Q6254" s="17"/>
    </row>
    <row r="6255" spans="12:17" x14ac:dyDescent="0.3">
      <c r="L6255" s="25"/>
      <c r="Q6255" s="17"/>
    </row>
    <row r="6256" spans="12:17" x14ac:dyDescent="0.3">
      <c r="L6256" s="25"/>
      <c r="Q6256" s="17"/>
    </row>
    <row r="6257" spans="12:17" x14ac:dyDescent="0.3">
      <c r="L6257" s="25"/>
      <c r="Q6257" s="17"/>
    </row>
    <row r="6258" spans="12:17" x14ac:dyDescent="0.3">
      <c r="L6258" s="25"/>
      <c r="Q6258" s="17"/>
    </row>
    <row r="6259" spans="12:17" x14ac:dyDescent="0.3">
      <c r="L6259" s="25"/>
      <c r="Q6259" s="17"/>
    </row>
    <row r="6260" spans="12:17" x14ac:dyDescent="0.3">
      <c r="L6260" s="25"/>
      <c r="Q6260" s="17"/>
    </row>
    <row r="6261" spans="12:17" x14ac:dyDescent="0.3">
      <c r="L6261" s="25"/>
      <c r="Q6261" s="17"/>
    </row>
    <row r="6262" spans="12:17" x14ac:dyDescent="0.3">
      <c r="L6262" s="25"/>
      <c r="Q6262" s="17"/>
    </row>
    <row r="6263" spans="12:17" x14ac:dyDescent="0.3">
      <c r="L6263" s="25"/>
      <c r="Q6263" s="17"/>
    </row>
    <row r="6264" spans="12:17" x14ac:dyDescent="0.3">
      <c r="L6264" s="25"/>
      <c r="Q6264" s="17"/>
    </row>
    <row r="6265" spans="12:17" x14ac:dyDescent="0.3">
      <c r="L6265" s="25"/>
      <c r="Q6265" s="17"/>
    </row>
    <row r="6266" spans="12:17" x14ac:dyDescent="0.3">
      <c r="L6266" s="25"/>
      <c r="Q6266" s="17"/>
    </row>
    <row r="6267" spans="12:17" x14ac:dyDescent="0.3">
      <c r="L6267" s="25"/>
      <c r="Q6267" s="17"/>
    </row>
    <row r="6268" spans="12:17" x14ac:dyDescent="0.3">
      <c r="L6268" s="25"/>
      <c r="Q6268" s="17"/>
    </row>
    <row r="6269" spans="12:17" x14ac:dyDescent="0.3">
      <c r="L6269" s="25"/>
      <c r="Q6269" s="17"/>
    </row>
    <row r="6270" spans="12:17" x14ac:dyDescent="0.3">
      <c r="L6270" s="25"/>
      <c r="Q6270" s="17"/>
    </row>
    <row r="6271" spans="12:17" x14ac:dyDescent="0.3">
      <c r="L6271" s="25"/>
      <c r="Q6271" s="17"/>
    </row>
    <row r="6272" spans="12:17" x14ac:dyDescent="0.3">
      <c r="L6272" s="25"/>
      <c r="Q6272" s="17"/>
    </row>
    <row r="6273" spans="12:17" x14ac:dyDescent="0.3">
      <c r="L6273" s="25"/>
      <c r="Q6273" s="17"/>
    </row>
    <row r="6274" spans="12:17" x14ac:dyDescent="0.3">
      <c r="L6274" s="25"/>
      <c r="Q6274" s="17"/>
    </row>
    <row r="6275" spans="12:17" x14ac:dyDescent="0.3">
      <c r="L6275" s="25"/>
      <c r="Q6275" s="17"/>
    </row>
    <row r="6276" spans="12:17" x14ac:dyDescent="0.3">
      <c r="L6276" s="25"/>
      <c r="Q6276" s="17"/>
    </row>
    <row r="6277" spans="12:17" x14ac:dyDescent="0.3">
      <c r="L6277" s="25"/>
      <c r="Q6277" s="17"/>
    </row>
    <row r="6278" spans="12:17" x14ac:dyDescent="0.3">
      <c r="L6278" s="25"/>
      <c r="Q6278" s="17"/>
    </row>
    <row r="6279" spans="12:17" x14ac:dyDescent="0.3">
      <c r="L6279" s="25"/>
      <c r="Q6279" s="17"/>
    </row>
    <row r="6280" spans="12:17" x14ac:dyDescent="0.3">
      <c r="L6280" s="25"/>
      <c r="Q6280" s="17"/>
    </row>
    <row r="6281" spans="12:17" x14ac:dyDescent="0.3">
      <c r="L6281" s="25"/>
      <c r="Q6281" s="17"/>
    </row>
    <row r="6282" spans="12:17" x14ac:dyDescent="0.3">
      <c r="L6282" s="25"/>
      <c r="Q6282" s="17"/>
    </row>
    <row r="6283" spans="12:17" x14ac:dyDescent="0.3">
      <c r="L6283" s="25"/>
      <c r="Q6283" s="17"/>
    </row>
    <row r="6284" spans="12:17" x14ac:dyDescent="0.3">
      <c r="L6284" s="25"/>
      <c r="Q6284" s="17"/>
    </row>
    <row r="6285" spans="12:17" x14ac:dyDescent="0.3">
      <c r="L6285" s="25"/>
      <c r="Q6285" s="17"/>
    </row>
    <row r="6286" spans="12:17" x14ac:dyDescent="0.3">
      <c r="L6286" s="25"/>
      <c r="Q6286" s="17"/>
    </row>
    <row r="6287" spans="12:17" x14ac:dyDescent="0.3">
      <c r="L6287" s="25"/>
      <c r="Q6287" s="17"/>
    </row>
    <row r="6288" spans="12:17" x14ac:dyDescent="0.3">
      <c r="L6288" s="25"/>
      <c r="Q6288" s="17"/>
    </row>
    <row r="6289" spans="12:17" x14ac:dyDescent="0.3">
      <c r="L6289" s="25"/>
      <c r="Q6289" s="17"/>
    </row>
    <row r="6290" spans="12:17" x14ac:dyDescent="0.3">
      <c r="L6290" s="25"/>
      <c r="Q6290" s="17"/>
    </row>
    <row r="6291" spans="12:17" x14ac:dyDescent="0.3">
      <c r="L6291" s="25"/>
      <c r="Q6291" s="17"/>
    </row>
    <row r="6292" spans="12:17" x14ac:dyDescent="0.3">
      <c r="L6292" s="25"/>
      <c r="Q6292" s="17"/>
    </row>
    <row r="6293" spans="12:17" x14ac:dyDescent="0.3">
      <c r="L6293" s="25"/>
      <c r="Q6293" s="17"/>
    </row>
    <row r="6294" spans="12:17" x14ac:dyDescent="0.3">
      <c r="L6294" s="25"/>
      <c r="Q6294" s="17"/>
    </row>
    <row r="6295" spans="12:17" x14ac:dyDescent="0.3">
      <c r="L6295" s="25"/>
      <c r="Q6295" s="17"/>
    </row>
    <row r="6296" spans="12:17" x14ac:dyDescent="0.3">
      <c r="L6296" s="25"/>
      <c r="Q6296" s="17"/>
    </row>
    <row r="6297" spans="12:17" x14ac:dyDescent="0.3">
      <c r="L6297" s="25"/>
      <c r="Q6297" s="17"/>
    </row>
    <row r="6298" spans="12:17" x14ac:dyDescent="0.3">
      <c r="L6298" s="25"/>
      <c r="Q6298" s="17"/>
    </row>
    <row r="6299" spans="12:17" x14ac:dyDescent="0.3">
      <c r="L6299" s="25"/>
      <c r="Q6299" s="17"/>
    </row>
    <row r="6300" spans="12:17" x14ac:dyDescent="0.3">
      <c r="L6300" s="25"/>
      <c r="Q6300" s="17"/>
    </row>
    <row r="6301" spans="12:17" x14ac:dyDescent="0.3">
      <c r="L6301" s="25"/>
      <c r="Q6301" s="17"/>
    </row>
    <row r="6302" spans="12:17" x14ac:dyDescent="0.3">
      <c r="L6302" s="25"/>
      <c r="Q6302" s="17"/>
    </row>
    <row r="6303" spans="12:17" x14ac:dyDescent="0.3">
      <c r="L6303" s="25"/>
      <c r="Q6303" s="17"/>
    </row>
    <row r="6304" spans="12:17" x14ac:dyDescent="0.3">
      <c r="L6304" s="25"/>
      <c r="Q6304" s="17"/>
    </row>
    <row r="6305" spans="12:17" x14ac:dyDescent="0.3">
      <c r="L6305" s="25"/>
      <c r="Q6305" s="17"/>
    </row>
    <row r="6306" spans="12:17" x14ac:dyDescent="0.3">
      <c r="L6306" s="25"/>
      <c r="Q6306" s="17"/>
    </row>
    <row r="6307" spans="12:17" x14ac:dyDescent="0.3">
      <c r="L6307" s="25"/>
      <c r="Q6307" s="17"/>
    </row>
    <row r="6308" spans="12:17" x14ac:dyDescent="0.3">
      <c r="L6308" s="25"/>
      <c r="Q6308" s="17"/>
    </row>
    <row r="6309" spans="12:17" x14ac:dyDescent="0.3">
      <c r="L6309" s="25"/>
      <c r="Q6309" s="17"/>
    </row>
    <row r="6310" spans="12:17" x14ac:dyDescent="0.3">
      <c r="L6310" s="25"/>
      <c r="Q6310" s="17"/>
    </row>
    <row r="6311" spans="12:17" x14ac:dyDescent="0.3">
      <c r="L6311" s="25"/>
      <c r="Q6311" s="17"/>
    </row>
    <row r="6312" spans="12:17" x14ac:dyDescent="0.3">
      <c r="L6312" s="25"/>
      <c r="Q6312" s="17"/>
    </row>
    <row r="6313" spans="12:17" x14ac:dyDescent="0.3">
      <c r="L6313" s="25"/>
      <c r="Q6313" s="17"/>
    </row>
    <row r="6314" spans="12:17" x14ac:dyDescent="0.3">
      <c r="L6314" s="25"/>
      <c r="Q6314" s="17"/>
    </row>
    <row r="6315" spans="12:17" x14ac:dyDescent="0.3">
      <c r="L6315" s="25"/>
      <c r="Q6315" s="17"/>
    </row>
    <row r="6316" spans="12:17" x14ac:dyDescent="0.3">
      <c r="L6316" s="25"/>
      <c r="Q6316" s="17"/>
    </row>
    <row r="6317" spans="12:17" x14ac:dyDescent="0.3">
      <c r="L6317" s="25"/>
      <c r="Q6317" s="17"/>
    </row>
    <row r="6318" spans="12:17" x14ac:dyDescent="0.3">
      <c r="L6318" s="25"/>
      <c r="Q6318" s="17"/>
    </row>
    <row r="6319" spans="12:17" x14ac:dyDescent="0.3">
      <c r="L6319" s="25"/>
      <c r="Q6319" s="17"/>
    </row>
    <row r="6320" spans="12:17" x14ac:dyDescent="0.3">
      <c r="L6320" s="25"/>
      <c r="Q6320" s="17"/>
    </row>
    <row r="6321" spans="12:17" x14ac:dyDescent="0.3">
      <c r="L6321" s="25"/>
      <c r="Q6321" s="17"/>
    </row>
    <row r="6322" spans="12:17" x14ac:dyDescent="0.3">
      <c r="L6322" s="25"/>
      <c r="Q6322" s="17"/>
    </row>
    <row r="6323" spans="12:17" x14ac:dyDescent="0.3">
      <c r="L6323" s="25"/>
      <c r="Q6323" s="17"/>
    </row>
    <row r="6324" spans="12:17" x14ac:dyDescent="0.3">
      <c r="L6324" s="25"/>
      <c r="Q6324" s="17"/>
    </row>
    <row r="6325" spans="12:17" x14ac:dyDescent="0.3">
      <c r="L6325" s="25"/>
      <c r="Q6325" s="17"/>
    </row>
    <row r="6326" spans="12:17" x14ac:dyDescent="0.3">
      <c r="L6326" s="25"/>
      <c r="Q6326" s="17"/>
    </row>
    <row r="6327" spans="12:17" x14ac:dyDescent="0.3">
      <c r="L6327" s="25"/>
      <c r="Q6327" s="17"/>
    </row>
    <row r="6328" spans="12:17" x14ac:dyDescent="0.3">
      <c r="L6328" s="25"/>
      <c r="Q6328" s="17"/>
    </row>
    <row r="6329" spans="12:17" x14ac:dyDescent="0.3">
      <c r="L6329" s="25"/>
      <c r="Q6329" s="17"/>
    </row>
    <row r="6330" spans="12:17" x14ac:dyDescent="0.3">
      <c r="L6330" s="25"/>
      <c r="Q6330" s="17"/>
    </row>
    <row r="6331" spans="12:17" x14ac:dyDescent="0.3">
      <c r="L6331" s="25"/>
      <c r="Q6331" s="17"/>
    </row>
    <row r="6332" spans="12:17" x14ac:dyDescent="0.3">
      <c r="L6332" s="25"/>
      <c r="Q6332" s="17"/>
    </row>
    <row r="6333" spans="12:17" x14ac:dyDescent="0.3">
      <c r="L6333" s="25"/>
      <c r="Q6333" s="17"/>
    </row>
    <row r="6334" spans="12:17" x14ac:dyDescent="0.3">
      <c r="L6334" s="25"/>
      <c r="Q6334" s="17"/>
    </row>
    <row r="6335" spans="12:17" x14ac:dyDescent="0.3">
      <c r="L6335" s="25"/>
      <c r="Q6335" s="17"/>
    </row>
    <row r="6336" spans="12:17" x14ac:dyDescent="0.3">
      <c r="L6336" s="25"/>
      <c r="Q6336" s="17"/>
    </row>
    <row r="6337" spans="12:17" x14ac:dyDescent="0.3">
      <c r="L6337" s="25"/>
      <c r="Q6337" s="17"/>
    </row>
    <row r="6338" spans="12:17" x14ac:dyDescent="0.3">
      <c r="L6338" s="25"/>
      <c r="Q6338" s="17"/>
    </row>
    <row r="6339" spans="12:17" x14ac:dyDescent="0.3">
      <c r="L6339" s="25"/>
      <c r="Q6339" s="17"/>
    </row>
    <row r="6340" spans="12:17" x14ac:dyDescent="0.3">
      <c r="L6340" s="25"/>
      <c r="Q6340" s="17"/>
    </row>
    <row r="6341" spans="12:17" x14ac:dyDescent="0.3">
      <c r="L6341" s="25"/>
      <c r="Q6341" s="17"/>
    </row>
    <row r="6342" spans="12:17" x14ac:dyDescent="0.3">
      <c r="L6342" s="25"/>
      <c r="Q6342" s="17"/>
    </row>
    <row r="6343" spans="12:17" x14ac:dyDescent="0.3">
      <c r="L6343" s="25"/>
      <c r="Q6343" s="17"/>
    </row>
    <row r="6344" spans="12:17" x14ac:dyDescent="0.3">
      <c r="L6344" s="25"/>
      <c r="Q6344" s="17"/>
    </row>
    <row r="6345" spans="12:17" x14ac:dyDescent="0.3">
      <c r="L6345" s="25"/>
      <c r="Q6345" s="17"/>
    </row>
    <row r="6346" spans="12:17" x14ac:dyDescent="0.3">
      <c r="L6346" s="25"/>
      <c r="Q6346" s="17"/>
    </row>
    <row r="6347" spans="12:17" x14ac:dyDescent="0.3">
      <c r="L6347" s="25"/>
      <c r="Q6347" s="17"/>
    </row>
    <row r="6348" spans="12:17" x14ac:dyDescent="0.3">
      <c r="L6348" s="25"/>
      <c r="Q6348" s="17"/>
    </row>
    <row r="6349" spans="12:17" x14ac:dyDescent="0.3">
      <c r="L6349" s="25"/>
      <c r="Q6349" s="17"/>
    </row>
    <row r="6350" spans="12:17" x14ac:dyDescent="0.3">
      <c r="L6350" s="25"/>
      <c r="Q6350" s="17"/>
    </row>
    <row r="6351" spans="12:17" x14ac:dyDescent="0.3">
      <c r="L6351" s="25"/>
      <c r="Q6351" s="17"/>
    </row>
    <row r="6352" spans="12:17" x14ac:dyDescent="0.3">
      <c r="L6352" s="25"/>
      <c r="Q6352" s="17"/>
    </row>
    <row r="6353" spans="12:17" x14ac:dyDescent="0.3">
      <c r="L6353" s="25"/>
      <c r="Q6353" s="17"/>
    </row>
    <row r="6354" spans="12:17" x14ac:dyDescent="0.3">
      <c r="L6354" s="25"/>
      <c r="Q6354" s="17"/>
    </row>
    <row r="6355" spans="12:17" x14ac:dyDescent="0.3">
      <c r="L6355" s="25"/>
      <c r="Q6355" s="17"/>
    </row>
    <row r="6356" spans="12:17" x14ac:dyDescent="0.3">
      <c r="L6356" s="25"/>
      <c r="Q6356" s="17"/>
    </row>
    <row r="6357" spans="12:17" x14ac:dyDescent="0.3">
      <c r="L6357" s="25"/>
      <c r="Q6357" s="17"/>
    </row>
    <row r="6358" spans="12:17" x14ac:dyDescent="0.3">
      <c r="L6358" s="25"/>
      <c r="Q6358" s="17"/>
    </row>
    <row r="6359" spans="12:17" x14ac:dyDescent="0.3">
      <c r="L6359" s="25"/>
      <c r="Q6359" s="17"/>
    </row>
    <row r="6360" spans="12:17" x14ac:dyDescent="0.3">
      <c r="L6360" s="25"/>
      <c r="Q6360" s="17"/>
    </row>
    <row r="6361" spans="12:17" x14ac:dyDescent="0.3">
      <c r="L6361" s="25"/>
      <c r="Q6361" s="17"/>
    </row>
    <row r="6362" spans="12:17" x14ac:dyDescent="0.3">
      <c r="L6362" s="25"/>
      <c r="Q6362" s="17"/>
    </row>
    <row r="6363" spans="12:17" x14ac:dyDescent="0.3">
      <c r="L6363" s="25"/>
      <c r="Q6363" s="17"/>
    </row>
    <row r="6364" spans="12:17" x14ac:dyDescent="0.3">
      <c r="L6364" s="25"/>
      <c r="Q6364" s="17"/>
    </row>
    <row r="6365" spans="12:17" x14ac:dyDescent="0.3">
      <c r="L6365" s="25"/>
      <c r="Q6365" s="17"/>
    </row>
    <row r="6366" spans="12:17" x14ac:dyDescent="0.3">
      <c r="L6366" s="25"/>
      <c r="Q6366" s="17"/>
    </row>
    <row r="6367" spans="12:17" x14ac:dyDescent="0.3">
      <c r="L6367" s="25"/>
      <c r="Q6367" s="17"/>
    </row>
    <row r="6368" spans="12:17" x14ac:dyDescent="0.3">
      <c r="L6368" s="25"/>
      <c r="Q6368" s="17"/>
    </row>
    <row r="6369" spans="12:17" x14ac:dyDescent="0.3">
      <c r="L6369" s="25"/>
      <c r="Q6369" s="17"/>
    </row>
    <row r="6370" spans="12:17" x14ac:dyDescent="0.3">
      <c r="L6370" s="25"/>
      <c r="Q6370" s="17"/>
    </row>
    <row r="6371" spans="12:17" x14ac:dyDescent="0.3">
      <c r="L6371" s="25"/>
      <c r="Q6371" s="17"/>
    </row>
    <row r="6372" spans="12:17" x14ac:dyDescent="0.3">
      <c r="L6372" s="25"/>
      <c r="Q6372" s="17"/>
    </row>
    <row r="6373" spans="12:17" x14ac:dyDescent="0.3">
      <c r="L6373" s="25"/>
      <c r="Q6373" s="17"/>
    </row>
    <row r="6374" spans="12:17" x14ac:dyDescent="0.3">
      <c r="L6374" s="25"/>
      <c r="Q6374" s="17"/>
    </row>
    <row r="6375" spans="12:17" x14ac:dyDescent="0.3">
      <c r="L6375" s="25"/>
      <c r="Q6375" s="17"/>
    </row>
    <row r="6376" spans="12:17" x14ac:dyDescent="0.3">
      <c r="L6376" s="25"/>
      <c r="Q6376" s="17"/>
    </row>
    <row r="6377" spans="12:17" x14ac:dyDescent="0.3">
      <c r="L6377" s="25"/>
      <c r="Q6377" s="17"/>
    </row>
    <row r="6378" spans="12:17" x14ac:dyDescent="0.3">
      <c r="L6378" s="25"/>
      <c r="Q6378" s="17"/>
    </row>
    <row r="6379" spans="12:17" x14ac:dyDescent="0.3">
      <c r="L6379" s="25"/>
      <c r="Q6379" s="17"/>
    </row>
    <row r="6380" spans="12:17" x14ac:dyDescent="0.3">
      <c r="L6380" s="25"/>
      <c r="Q6380" s="17"/>
    </row>
    <row r="6381" spans="12:17" x14ac:dyDescent="0.3">
      <c r="L6381" s="25"/>
      <c r="Q6381" s="17"/>
    </row>
    <row r="6382" spans="12:17" x14ac:dyDescent="0.3">
      <c r="L6382" s="25"/>
      <c r="Q6382" s="17"/>
    </row>
    <row r="6383" spans="12:17" x14ac:dyDescent="0.3">
      <c r="L6383" s="25"/>
      <c r="Q6383" s="17"/>
    </row>
    <row r="6384" spans="12:17" x14ac:dyDescent="0.3">
      <c r="L6384" s="25"/>
      <c r="Q6384" s="17"/>
    </row>
    <row r="6385" spans="12:17" x14ac:dyDescent="0.3">
      <c r="L6385" s="25"/>
      <c r="Q6385" s="17"/>
    </row>
    <row r="6386" spans="12:17" x14ac:dyDescent="0.3">
      <c r="L6386" s="25"/>
      <c r="Q6386" s="17"/>
    </row>
    <row r="6387" spans="12:17" x14ac:dyDescent="0.3">
      <c r="L6387" s="25"/>
      <c r="Q6387" s="17"/>
    </row>
    <row r="6388" spans="12:17" x14ac:dyDescent="0.3">
      <c r="L6388" s="25"/>
      <c r="Q6388" s="17"/>
    </row>
    <row r="6389" spans="12:17" x14ac:dyDescent="0.3">
      <c r="L6389" s="25"/>
      <c r="Q6389" s="17"/>
    </row>
    <row r="6390" spans="12:17" x14ac:dyDescent="0.3">
      <c r="L6390" s="25"/>
      <c r="Q6390" s="17"/>
    </row>
    <row r="6391" spans="12:17" x14ac:dyDescent="0.3">
      <c r="L6391" s="25"/>
      <c r="Q6391" s="17"/>
    </row>
    <row r="6392" spans="12:17" x14ac:dyDescent="0.3">
      <c r="L6392" s="25"/>
      <c r="Q6392" s="17"/>
    </row>
    <row r="6393" spans="12:17" x14ac:dyDescent="0.3">
      <c r="L6393" s="25"/>
      <c r="Q6393" s="17"/>
    </row>
    <row r="6394" spans="12:17" x14ac:dyDescent="0.3">
      <c r="L6394" s="25"/>
      <c r="Q6394" s="17"/>
    </row>
    <row r="6395" spans="12:17" x14ac:dyDescent="0.3">
      <c r="L6395" s="25"/>
      <c r="Q6395" s="17"/>
    </row>
    <row r="6396" spans="12:17" x14ac:dyDescent="0.3">
      <c r="L6396" s="25"/>
      <c r="Q6396" s="17"/>
    </row>
    <row r="6397" spans="12:17" x14ac:dyDescent="0.3">
      <c r="L6397" s="25"/>
      <c r="Q6397" s="17"/>
    </row>
    <row r="6398" spans="12:17" x14ac:dyDescent="0.3">
      <c r="L6398" s="25"/>
      <c r="Q6398" s="17"/>
    </row>
    <row r="6399" spans="12:17" x14ac:dyDescent="0.3">
      <c r="L6399" s="25"/>
      <c r="Q6399" s="17"/>
    </row>
    <row r="6400" spans="12:17" x14ac:dyDescent="0.3">
      <c r="L6400" s="25"/>
      <c r="Q6400" s="17"/>
    </row>
    <row r="6401" spans="12:17" x14ac:dyDescent="0.3">
      <c r="L6401" s="25"/>
      <c r="Q6401" s="17"/>
    </row>
    <row r="6402" spans="12:17" x14ac:dyDescent="0.3">
      <c r="L6402" s="25"/>
      <c r="Q6402" s="17"/>
    </row>
    <row r="6403" spans="12:17" x14ac:dyDescent="0.3">
      <c r="L6403" s="25"/>
      <c r="Q6403" s="17"/>
    </row>
    <row r="6404" spans="12:17" x14ac:dyDescent="0.3">
      <c r="L6404" s="25"/>
      <c r="Q6404" s="17"/>
    </row>
    <row r="6405" spans="12:17" x14ac:dyDescent="0.3">
      <c r="L6405" s="25"/>
      <c r="Q6405" s="17"/>
    </row>
    <row r="6406" spans="12:17" x14ac:dyDescent="0.3">
      <c r="L6406" s="25"/>
      <c r="Q6406" s="17"/>
    </row>
    <row r="6407" spans="12:17" x14ac:dyDescent="0.3">
      <c r="L6407" s="25"/>
      <c r="Q6407" s="17"/>
    </row>
    <row r="6408" spans="12:17" x14ac:dyDescent="0.3">
      <c r="L6408" s="25"/>
      <c r="Q6408" s="17"/>
    </row>
    <row r="6409" spans="12:17" x14ac:dyDescent="0.3">
      <c r="L6409" s="25"/>
      <c r="Q6409" s="17"/>
    </row>
    <row r="6410" spans="12:17" x14ac:dyDescent="0.3">
      <c r="L6410" s="25"/>
      <c r="Q6410" s="17"/>
    </row>
    <row r="6411" spans="12:17" x14ac:dyDescent="0.3">
      <c r="L6411" s="25"/>
      <c r="Q6411" s="17"/>
    </row>
    <row r="6412" spans="12:17" x14ac:dyDescent="0.3">
      <c r="L6412" s="25"/>
      <c r="Q6412" s="17"/>
    </row>
    <row r="6413" spans="12:17" x14ac:dyDescent="0.3">
      <c r="L6413" s="25"/>
      <c r="Q6413" s="17"/>
    </row>
    <row r="6414" spans="12:17" x14ac:dyDescent="0.3">
      <c r="L6414" s="25"/>
      <c r="Q6414" s="17"/>
    </row>
    <row r="6415" spans="12:17" x14ac:dyDescent="0.3">
      <c r="L6415" s="25"/>
      <c r="Q6415" s="17"/>
    </row>
    <row r="6416" spans="12:17" x14ac:dyDescent="0.3">
      <c r="L6416" s="25"/>
      <c r="Q6416" s="17"/>
    </row>
    <row r="6417" spans="12:17" x14ac:dyDescent="0.3">
      <c r="L6417" s="25"/>
      <c r="Q6417" s="17"/>
    </row>
    <row r="6418" spans="12:17" x14ac:dyDescent="0.3">
      <c r="L6418" s="25"/>
      <c r="Q6418" s="17"/>
    </row>
    <row r="6419" spans="12:17" x14ac:dyDescent="0.3">
      <c r="L6419" s="25"/>
      <c r="Q6419" s="17"/>
    </row>
    <row r="6420" spans="12:17" x14ac:dyDescent="0.3">
      <c r="L6420" s="25"/>
      <c r="Q6420" s="17"/>
    </row>
    <row r="6421" spans="12:17" x14ac:dyDescent="0.3">
      <c r="L6421" s="25"/>
      <c r="Q6421" s="17"/>
    </row>
    <row r="6422" spans="12:17" x14ac:dyDescent="0.3">
      <c r="L6422" s="25"/>
      <c r="Q6422" s="17"/>
    </row>
    <row r="6423" spans="12:17" x14ac:dyDescent="0.3">
      <c r="L6423" s="25"/>
      <c r="Q6423" s="17"/>
    </row>
    <row r="6424" spans="12:17" x14ac:dyDescent="0.3">
      <c r="L6424" s="25"/>
      <c r="Q6424" s="17"/>
    </row>
    <row r="6425" spans="12:17" x14ac:dyDescent="0.3">
      <c r="L6425" s="25"/>
      <c r="Q6425" s="17"/>
    </row>
    <row r="6426" spans="12:17" x14ac:dyDescent="0.3">
      <c r="L6426" s="25"/>
      <c r="Q6426" s="17"/>
    </row>
    <row r="6427" spans="12:17" x14ac:dyDescent="0.3">
      <c r="L6427" s="25"/>
      <c r="Q6427" s="17"/>
    </row>
    <row r="6428" spans="12:17" x14ac:dyDescent="0.3">
      <c r="L6428" s="25"/>
      <c r="Q6428" s="17"/>
    </row>
    <row r="6429" spans="12:17" x14ac:dyDescent="0.3">
      <c r="L6429" s="25"/>
      <c r="Q6429" s="17"/>
    </row>
    <row r="6430" spans="12:17" x14ac:dyDescent="0.3">
      <c r="L6430" s="25"/>
      <c r="Q6430" s="17"/>
    </row>
    <row r="6431" spans="12:17" x14ac:dyDescent="0.3">
      <c r="L6431" s="25"/>
      <c r="Q6431" s="17"/>
    </row>
    <row r="6432" spans="12:17" x14ac:dyDescent="0.3">
      <c r="L6432" s="25"/>
      <c r="Q6432" s="17"/>
    </row>
    <row r="6433" spans="12:17" x14ac:dyDescent="0.3">
      <c r="L6433" s="25"/>
      <c r="Q6433" s="17"/>
    </row>
    <row r="6434" spans="12:17" x14ac:dyDescent="0.3">
      <c r="L6434" s="25"/>
      <c r="Q6434" s="17"/>
    </row>
    <row r="6435" spans="12:17" x14ac:dyDescent="0.3">
      <c r="L6435" s="25"/>
      <c r="Q6435" s="17"/>
    </row>
    <row r="6436" spans="12:17" x14ac:dyDescent="0.3">
      <c r="L6436" s="25"/>
      <c r="Q6436" s="17"/>
    </row>
    <row r="6437" spans="12:17" x14ac:dyDescent="0.3">
      <c r="L6437" s="25"/>
      <c r="Q6437" s="17"/>
    </row>
    <row r="6438" spans="12:17" x14ac:dyDescent="0.3">
      <c r="L6438" s="25"/>
      <c r="Q6438" s="17"/>
    </row>
    <row r="6439" spans="12:17" x14ac:dyDescent="0.3">
      <c r="L6439" s="25"/>
      <c r="Q6439" s="17"/>
    </row>
    <row r="6440" spans="12:17" x14ac:dyDescent="0.3">
      <c r="L6440" s="25"/>
      <c r="Q6440" s="17"/>
    </row>
    <row r="6441" spans="12:17" x14ac:dyDescent="0.3">
      <c r="L6441" s="25"/>
      <c r="Q6441" s="17"/>
    </row>
    <row r="6442" spans="12:17" x14ac:dyDescent="0.3">
      <c r="L6442" s="25"/>
      <c r="Q6442" s="17"/>
    </row>
    <row r="6443" spans="12:17" x14ac:dyDescent="0.3">
      <c r="L6443" s="25"/>
      <c r="Q6443" s="17"/>
    </row>
    <row r="6444" spans="12:17" x14ac:dyDescent="0.3">
      <c r="L6444" s="25"/>
      <c r="Q6444" s="17"/>
    </row>
    <row r="6445" spans="12:17" x14ac:dyDescent="0.3">
      <c r="L6445" s="25"/>
      <c r="Q6445" s="17"/>
    </row>
    <row r="6446" spans="12:17" x14ac:dyDescent="0.3">
      <c r="L6446" s="25"/>
      <c r="Q6446" s="17"/>
    </row>
    <row r="6447" spans="12:17" x14ac:dyDescent="0.3">
      <c r="L6447" s="25"/>
      <c r="Q6447" s="17"/>
    </row>
    <row r="6448" spans="12:17" x14ac:dyDescent="0.3">
      <c r="L6448" s="25"/>
      <c r="Q6448" s="17"/>
    </row>
    <row r="6449" spans="12:17" x14ac:dyDescent="0.3">
      <c r="L6449" s="25"/>
      <c r="Q6449" s="17"/>
    </row>
    <row r="6450" spans="12:17" x14ac:dyDescent="0.3">
      <c r="L6450" s="25"/>
      <c r="Q6450" s="17"/>
    </row>
    <row r="6451" spans="12:17" x14ac:dyDescent="0.3">
      <c r="L6451" s="25"/>
      <c r="Q6451" s="17"/>
    </row>
    <row r="6452" spans="12:17" x14ac:dyDescent="0.3">
      <c r="L6452" s="25"/>
      <c r="Q6452" s="17"/>
    </row>
    <row r="6453" spans="12:17" x14ac:dyDescent="0.3">
      <c r="L6453" s="25"/>
      <c r="Q6453" s="17"/>
    </row>
    <row r="6454" spans="12:17" x14ac:dyDescent="0.3">
      <c r="L6454" s="25"/>
      <c r="Q6454" s="17"/>
    </row>
    <row r="6455" spans="12:17" x14ac:dyDescent="0.3">
      <c r="L6455" s="25"/>
      <c r="Q6455" s="17"/>
    </row>
    <row r="6456" spans="12:17" x14ac:dyDescent="0.3">
      <c r="L6456" s="25"/>
      <c r="Q6456" s="17"/>
    </row>
    <row r="6457" spans="12:17" x14ac:dyDescent="0.3">
      <c r="L6457" s="25"/>
      <c r="Q6457" s="17"/>
    </row>
    <row r="6458" spans="12:17" x14ac:dyDescent="0.3">
      <c r="L6458" s="25"/>
      <c r="Q6458" s="17"/>
    </row>
    <row r="6459" spans="12:17" x14ac:dyDescent="0.3">
      <c r="L6459" s="25"/>
      <c r="Q6459" s="17"/>
    </row>
    <row r="6460" spans="12:17" x14ac:dyDescent="0.3">
      <c r="L6460" s="25"/>
      <c r="Q6460" s="17"/>
    </row>
    <row r="6461" spans="12:17" x14ac:dyDescent="0.3">
      <c r="L6461" s="25"/>
      <c r="Q6461" s="17"/>
    </row>
    <row r="6462" spans="12:17" x14ac:dyDescent="0.3">
      <c r="L6462" s="25"/>
      <c r="Q6462" s="17"/>
    </row>
    <row r="6463" spans="12:17" x14ac:dyDescent="0.3">
      <c r="L6463" s="25"/>
      <c r="Q6463" s="17"/>
    </row>
    <row r="6464" spans="12:17" x14ac:dyDescent="0.3">
      <c r="L6464" s="25"/>
      <c r="Q6464" s="17"/>
    </row>
    <row r="6465" spans="12:17" x14ac:dyDescent="0.3">
      <c r="L6465" s="25"/>
      <c r="Q6465" s="17"/>
    </row>
    <row r="6466" spans="12:17" x14ac:dyDescent="0.3">
      <c r="L6466" s="25"/>
      <c r="Q6466" s="17"/>
    </row>
    <row r="6467" spans="12:17" x14ac:dyDescent="0.3">
      <c r="L6467" s="25"/>
      <c r="Q6467" s="17"/>
    </row>
    <row r="6468" spans="12:17" x14ac:dyDescent="0.3">
      <c r="L6468" s="25"/>
      <c r="Q6468" s="17"/>
    </row>
    <row r="6469" spans="12:17" x14ac:dyDescent="0.3">
      <c r="L6469" s="25"/>
      <c r="Q6469" s="17"/>
    </row>
    <row r="6470" spans="12:17" x14ac:dyDescent="0.3">
      <c r="L6470" s="25"/>
      <c r="Q6470" s="17"/>
    </row>
    <row r="6471" spans="12:17" x14ac:dyDescent="0.3">
      <c r="L6471" s="25"/>
      <c r="Q6471" s="17"/>
    </row>
    <row r="6472" spans="12:17" x14ac:dyDescent="0.3">
      <c r="L6472" s="25"/>
      <c r="Q6472" s="17"/>
    </row>
    <row r="6473" spans="12:17" x14ac:dyDescent="0.3">
      <c r="L6473" s="25"/>
      <c r="Q6473" s="17"/>
    </row>
    <row r="6474" spans="12:17" x14ac:dyDescent="0.3">
      <c r="L6474" s="25"/>
      <c r="Q6474" s="17"/>
    </row>
    <row r="6475" spans="12:17" x14ac:dyDescent="0.3">
      <c r="L6475" s="25"/>
      <c r="Q6475" s="17"/>
    </row>
    <row r="6476" spans="12:17" x14ac:dyDescent="0.3">
      <c r="L6476" s="25"/>
      <c r="Q6476" s="17"/>
    </row>
    <row r="6477" spans="12:17" x14ac:dyDescent="0.3">
      <c r="L6477" s="25"/>
      <c r="Q6477" s="17"/>
    </row>
    <row r="6478" spans="12:17" x14ac:dyDescent="0.3">
      <c r="L6478" s="25"/>
      <c r="Q6478" s="17"/>
    </row>
    <row r="6479" spans="12:17" x14ac:dyDescent="0.3">
      <c r="L6479" s="25"/>
      <c r="Q6479" s="17"/>
    </row>
    <row r="6480" spans="12:17" x14ac:dyDescent="0.3">
      <c r="L6480" s="25"/>
      <c r="Q6480" s="17"/>
    </row>
    <row r="6481" spans="12:17" x14ac:dyDescent="0.3">
      <c r="L6481" s="25"/>
      <c r="Q6481" s="17"/>
    </row>
    <row r="6482" spans="12:17" x14ac:dyDescent="0.3">
      <c r="L6482" s="25"/>
      <c r="Q6482" s="17"/>
    </row>
    <row r="6483" spans="12:17" x14ac:dyDescent="0.3">
      <c r="L6483" s="25"/>
      <c r="Q6483" s="17"/>
    </row>
    <row r="6484" spans="12:17" x14ac:dyDescent="0.3">
      <c r="L6484" s="25"/>
      <c r="Q6484" s="17"/>
    </row>
    <row r="6485" spans="12:17" x14ac:dyDescent="0.3">
      <c r="L6485" s="25"/>
      <c r="Q6485" s="17"/>
    </row>
    <row r="6486" spans="12:17" x14ac:dyDescent="0.3">
      <c r="L6486" s="25"/>
      <c r="Q6486" s="17"/>
    </row>
    <row r="6487" spans="12:17" x14ac:dyDescent="0.3">
      <c r="L6487" s="25"/>
      <c r="Q6487" s="17"/>
    </row>
    <row r="6488" spans="12:17" x14ac:dyDescent="0.3">
      <c r="L6488" s="25"/>
      <c r="Q6488" s="17"/>
    </row>
    <row r="6489" spans="12:17" x14ac:dyDescent="0.3">
      <c r="L6489" s="25"/>
      <c r="Q6489" s="17"/>
    </row>
    <row r="6490" spans="12:17" x14ac:dyDescent="0.3">
      <c r="L6490" s="25"/>
      <c r="Q6490" s="17"/>
    </row>
    <row r="6491" spans="12:17" x14ac:dyDescent="0.3">
      <c r="L6491" s="25"/>
      <c r="Q6491" s="17"/>
    </row>
    <row r="6492" spans="12:17" x14ac:dyDescent="0.3">
      <c r="L6492" s="25"/>
      <c r="Q6492" s="17"/>
    </row>
    <row r="6493" spans="12:17" x14ac:dyDescent="0.3">
      <c r="L6493" s="25"/>
      <c r="Q6493" s="17"/>
    </row>
    <row r="6494" spans="12:17" x14ac:dyDescent="0.3">
      <c r="L6494" s="25"/>
      <c r="Q6494" s="17"/>
    </row>
    <row r="6495" spans="12:17" x14ac:dyDescent="0.3">
      <c r="L6495" s="25"/>
      <c r="Q6495" s="17"/>
    </row>
    <row r="6496" spans="12:17" x14ac:dyDescent="0.3">
      <c r="L6496" s="25"/>
      <c r="Q6496" s="17"/>
    </row>
    <row r="6497" spans="12:17" x14ac:dyDescent="0.3">
      <c r="L6497" s="25"/>
      <c r="Q6497" s="17"/>
    </row>
    <row r="6498" spans="12:17" x14ac:dyDescent="0.3">
      <c r="L6498" s="25"/>
      <c r="Q6498" s="17"/>
    </row>
    <row r="6499" spans="12:17" x14ac:dyDescent="0.3">
      <c r="L6499" s="25"/>
      <c r="Q6499" s="17"/>
    </row>
    <row r="6500" spans="12:17" x14ac:dyDescent="0.3">
      <c r="L6500" s="25"/>
      <c r="Q6500" s="17"/>
    </row>
    <row r="6501" spans="12:17" x14ac:dyDescent="0.3">
      <c r="L6501" s="25"/>
      <c r="Q6501" s="17"/>
    </row>
    <row r="6502" spans="12:17" x14ac:dyDescent="0.3">
      <c r="L6502" s="25"/>
      <c r="Q6502" s="17"/>
    </row>
    <row r="6503" spans="12:17" x14ac:dyDescent="0.3">
      <c r="L6503" s="25"/>
      <c r="Q6503" s="17"/>
    </row>
    <row r="6504" spans="12:17" x14ac:dyDescent="0.3">
      <c r="L6504" s="25"/>
      <c r="Q6504" s="17"/>
    </row>
    <row r="6505" spans="12:17" x14ac:dyDescent="0.3">
      <c r="L6505" s="25"/>
      <c r="Q6505" s="17"/>
    </row>
    <row r="6506" spans="12:17" x14ac:dyDescent="0.3">
      <c r="L6506" s="25"/>
      <c r="Q6506" s="17"/>
    </row>
    <row r="6507" spans="12:17" x14ac:dyDescent="0.3">
      <c r="L6507" s="25"/>
      <c r="Q6507" s="17"/>
    </row>
    <row r="6508" spans="12:17" x14ac:dyDescent="0.3">
      <c r="L6508" s="25"/>
      <c r="Q6508" s="17"/>
    </row>
    <row r="6509" spans="12:17" x14ac:dyDescent="0.3">
      <c r="L6509" s="25"/>
      <c r="Q6509" s="17"/>
    </row>
    <row r="6510" spans="12:17" x14ac:dyDescent="0.3">
      <c r="L6510" s="25"/>
      <c r="Q6510" s="17"/>
    </row>
    <row r="6511" spans="12:17" x14ac:dyDescent="0.3">
      <c r="L6511" s="25"/>
      <c r="Q6511" s="17"/>
    </row>
    <row r="6512" spans="12:17" x14ac:dyDescent="0.3">
      <c r="L6512" s="25"/>
      <c r="Q6512" s="17"/>
    </row>
    <row r="6513" spans="12:17" x14ac:dyDescent="0.3">
      <c r="L6513" s="25"/>
      <c r="Q6513" s="17"/>
    </row>
    <row r="6514" spans="12:17" x14ac:dyDescent="0.3">
      <c r="L6514" s="25"/>
      <c r="Q6514" s="17"/>
    </row>
    <row r="6515" spans="12:17" x14ac:dyDescent="0.3">
      <c r="L6515" s="25"/>
      <c r="Q6515" s="17"/>
    </row>
    <row r="6516" spans="12:17" x14ac:dyDescent="0.3">
      <c r="L6516" s="25"/>
      <c r="Q6516" s="17"/>
    </row>
    <row r="6517" spans="12:17" x14ac:dyDescent="0.3">
      <c r="L6517" s="25"/>
      <c r="Q6517" s="17"/>
    </row>
    <row r="6518" spans="12:17" x14ac:dyDescent="0.3">
      <c r="L6518" s="25"/>
      <c r="Q6518" s="17"/>
    </row>
    <row r="6519" spans="12:17" x14ac:dyDescent="0.3">
      <c r="L6519" s="25"/>
      <c r="Q6519" s="17"/>
    </row>
    <row r="6520" spans="12:17" x14ac:dyDescent="0.3">
      <c r="L6520" s="25"/>
      <c r="Q6520" s="17"/>
    </row>
    <row r="6521" spans="12:17" x14ac:dyDescent="0.3">
      <c r="L6521" s="25"/>
      <c r="Q6521" s="17"/>
    </row>
    <row r="6522" spans="12:17" x14ac:dyDescent="0.3">
      <c r="L6522" s="25"/>
      <c r="Q6522" s="17"/>
    </row>
    <row r="6523" spans="12:17" x14ac:dyDescent="0.3">
      <c r="L6523" s="25"/>
      <c r="Q6523" s="17"/>
    </row>
    <row r="6524" spans="12:17" x14ac:dyDescent="0.3">
      <c r="L6524" s="25"/>
      <c r="Q6524" s="17"/>
    </row>
    <row r="6525" spans="12:17" x14ac:dyDescent="0.3">
      <c r="L6525" s="25"/>
      <c r="Q6525" s="17"/>
    </row>
    <row r="6526" spans="12:17" x14ac:dyDescent="0.3">
      <c r="L6526" s="25"/>
      <c r="Q6526" s="17"/>
    </row>
    <row r="6527" spans="12:17" x14ac:dyDescent="0.3">
      <c r="L6527" s="25"/>
      <c r="Q6527" s="17"/>
    </row>
    <row r="6528" spans="12:17" x14ac:dyDescent="0.3">
      <c r="L6528" s="25"/>
      <c r="Q6528" s="17"/>
    </row>
    <row r="6529" spans="12:17" x14ac:dyDescent="0.3">
      <c r="L6529" s="25"/>
      <c r="Q6529" s="17"/>
    </row>
    <row r="6530" spans="12:17" x14ac:dyDescent="0.3">
      <c r="L6530" s="25"/>
      <c r="Q6530" s="17"/>
    </row>
    <row r="6531" spans="12:17" x14ac:dyDescent="0.3">
      <c r="L6531" s="25"/>
      <c r="Q6531" s="17"/>
    </row>
    <row r="6532" spans="12:17" x14ac:dyDescent="0.3">
      <c r="L6532" s="25"/>
      <c r="Q6532" s="17"/>
    </row>
    <row r="6533" spans="12:17" x14ac:dyDescent="0.3">
      <c r="L6533" s="25"/>
      <c r="Q6533" s="17"/>
    </row>
    <row r="6534" spans="12:17" x14ac:dyDescent="0.3">
      <c r="L6534" s="25"/>
      <c r="Q6534" s="17"/>
    </row>
    <row r="6535" spans="12:17" x14ac:dyDescent="0.3">
      <c r="L6535" s="25"/>
      <c r="Q6535" s="17"/>
    </row>
    <row r="6536" spans="12:17" x14ac:dyDescent="0.3">
      <c r="L6536" s="25"/>
      <c r="Q6536" s="17"/>
    </row>
    <row r="6537" spans="12:17" x14ac:dyDescent="0.3">
      <c r="L6537" s="25"/>
      <c r="Q6537" s="17"/>
    </row>
    <row r="6538" spans="12:17" x14ac:dyDescent="0.3">
      <c r="L6538" s="25"/>
      <c r="Q6538" s="17"/>
    </row>
    <row r="6539" spans="12:17" x14ac:dyDescent="0.3">
      <c r="L6539" s="25"/>
      <c r="Q6539" s="17"/>
    </row>
    <row r="6540" spans="12:17" x14ac:dyDescent="0.3">
      <c r="L6540" s="25"/>
      <c r="Q6540" s="17"/>
    </row>
    <row r="6541" spans="12:17" x14ac:dyDescent="0.3">
      <c r="L6541" s="25"/>
      <c r="Q6541" s="17"/>
    </row>
    <row r="6542" spans="12:17" x14ac:dyDescent="0.3">
      <c r="L6542" s="25"/>
      <c r="Q6542" s="17"/>
    </row>
    <row r="6543" spans="12:17" x14ac:dyDescent="0.3">
      <c r="L6543" s="25"/>
      <c r="Q6543" s="17"/>
    </row>
    <row r="6544" spans="12:17" x14ac:dyDescent="0.3">
      <c r="L6544" s="25"/>
      <c r="Q6544" s="17"/>
    </row>
    <row r="6545" spans="12:17" x14ac:dyDescent="0.3">
      <c r="L6545" s="25"/>
      <c r="Q6545" s="17"/>
    </row>
    <row r="6546" spans="12:17" x14ac:dyDescent="0.3">
      <c r="L6546" s="25"/>
      <c r="Q6546" s="17"/>
    </row>
    <row r="6547" spans="12:17" x14ac:dyDescent="0.3">
      <c r="L6547" s="25"/>
      <c r="Q6547" s="17"/>
    </row>
    <row r="6548" spans="12:17" x14ac:dyDescent="0.3">
      <c r="L6548" s="25"/>
      <c r="Q6548" s="17"/>
    </row>
    <row r="6549" spans="12:17" x14ac:dyDescent="0.3">
      <c r="L6549" s="25"/>
      <c r="Q6549" s="17"/>
    </row>
    <row r="6550" spans="12:17" x14ac:dyDescent="0.3">
      <c r="L6550" s="25"/>
      <c r="Q6550" s="17"/>
    </row>
    <row r="6551" spans="12:17" x14ac:dyDescent="0.3">
      <c r="L6551" s="25"/>
      <c r="Q6551" s="17"/>
    </row>
    <row r="6552" spans="12:17" x14ac:dyDescent="0.3">
      <c r="L6552" s="25"/>
      <c r="Q6552" s="17"/>
    </row>
    <row r="6553" spans="12:17" x14ac:dyDescent="0.3">
      <c r="L6553" s="25"/>
      <c r="Q6553" s="17"/>
    </row>
    <row r="6554" spans="12:17" x14ac:dyDescent="0.3">
      <c r="L6554" s="25"/>
      <c r="Q6554" s="17"/>
    </row>
    <row r="6555" spans="12:17" x14ac:dyDescent="0.3">
      <c r="L6555" s="25"/>
      <c r="Q6555" s="17"/>
    </row>
    <row r="6556" spans="12:17" x14ac:dyDescent="0.3">
      <c r="L6556" s="25"/>
      <c r="Q6556" s="17"/>
    </row>
    <row r="6557" spans="12:17" x14ac:dyDescent="0.3">
      <c r="L6557" s="25"/>
      <c r="Q6557" s="17"/>
    </row>
    <row r="6558" spans="12:17" x14ac:dyDescent="0.3">
      <c r="L6558" s="25"/>
      <c r="Q6558" s="17"/>
    </row>
    <row r="6559" spans="12:17" x14ac:dyDescent="0.3">
      <c r="L6559" s="25"/>
      <c r="Q6559" s="17"/>
    </row>
    <row r="6560" spans="12:17" x14ac:dyDescent="0.3">
      <c r="L6560" s="25"/>
      <c r="Q6560" s="17"/>
    </row>
    <row r="6561" spans="12:17" x14ac:dyDescent="0.3">
      <c r="L6561" s="25"/>
      <c r="Q6561" s="17"/>
    </row>
    <row r="6562" spans="12:17" x14ac:dyDescent="0.3">
      <c r="L6562" s="25"/>
      <c r="Q6562" s="17"/>
    </row>
    <row r="6563" spans="12:17" x14ac:dyDescent="0.3">
      <c r="L6563" s="25"/>
      <c r="Q6563" s="17"/>
    </row>
    <row r="6564" spans="12:17" x14ac:dyDescent="0.3">
      <c r="L6564" s="25"/>
      <c r="Q6564" s="17"/>
    </row>
    <row r="6565" spans="12:17" x14ac:dyDescent="0.3">
      <c r="L6565" s="25"/>
      <c r="Q6565" s="17"/>
    </row>
    <row r="6566" spans="12:17" x14ac:dyDescent="0.3">
      <c r="L6566" s="25"/>
      <c r="Q6566" s="17"/>
    </row>
    <row r="6567" spans="12:17" x14ac:dyDescent="0.3">
      <c r="L6567" s="25"/>
      <c r="Q6567" s="17"/>
    </row>
    <row r="6568" spans="12:17" x14ac:dyDescent="0.3">
      <c r="L6568" s="25"/>
      <c r="Q6568" s="17"/>
    </row>
    <row r="6569" spans="12:17" x14ac:dyDescent="0.3">
      <c r="L6569" s="25"/>
      <c r="Q6569" s="17"/>
    </row>
    <row r="6570" spans="12:17" x14ac:dyDescent="0.3">
      <c r="L6570" s="25"/>
      <c r="Q6570" s="17"/>
    </row>
    <row r="6571" spans="12:17" x14ac:dyDescent="0.3">
      <c r="L6571" s="25"/>
      <c r="Q6571" s="17"/>
    </row>
    <row r="6572" spans="12:17" x14ac:dyDescent="0.3">
      <c r="L6572" s="25"/>
      <c r="Q6572" s="17"/>
    </row>
    <row r="6573" spans="12:17" x14ac:dyDescent="0.3">
      <c r="L6573" s="25"/>
      <c r="Q6573" s="17"/>
    </row>
    <row r="6574" spans="12:17" x14ac:dyDescent="0.3">
      <c r="L6574" s="25"/>
      <c r="Q6574" s="17"/>
    </row>
    <row r="6575" spans="12:17" x14ac:dyDescent="0.3">
      <c r="L6575" s="25"/>
      <c r="Q6575" s="17"/>
    </row>
    <row r="6576" spans="12:17" x14ac:dyDescent="0.3">
      <c r="L6576" s="25"/>
      <c r="Q6576" s="17"/>
    </row>
    <row r="6577" spans="12:17" x14ac:dyDescent="0.3">
      <c r="L6577" s="25"/>
      <c r="Q6577" s="17"/>
    </row>
    <row r="6578" spans="12:17" x14ac:dyDescent="0.3">
      <c r="L6578" s="25"/>
      <c r="Q6578" s="17"/>
    </row>
    <row r="6579" spans="12:17" x14ac:dyDescent="0.3">
      <c r="L6579" s="25"/>
      <c r="Q6579" s="17"/>
    </row>
    <row r="6580" spans="12:17" x14ac:dyDescent="0.3">
      <c r="L6580" s="25"/>
      <c r="Q6580" s="17"/>
    </row>
    <row r="6581" spans="12:17" x14ac:dyDescent="0.3">
      <c r="L6581" s="25"/>
      <c r="Q6581" s="17"/>
    </row>
    <row r="6582" spans="12:17" x14ac:dyDescent="0.3">
      <c r="L6582" s="25"/>
      <c r="Q6582" s="17"/>
    </row>
    <row r="6583" spans="12:17" x14ac:dyDescent="0.3">
      <c r="L6583" s="25"/>
      <c r="Q6583" s="17"/>
    </row>
    <row r="6584" spans="12:17" x14ac:dyDescent="0.3">
      <c r="L6584" s="25"/>
      <c r="Q6584" s="17"/>
    </row>
    <row r="6585" spans="12:17" x14ac:dyDescent="0.3">
      <c r="L6585" s="25"/>
      <c r="Q6585" s="17"/>
    </row>
    <row r="6586" spans="12:17" x14ac:dyDescent="0.3">
      <c r="L6586" s="25"/>
      <c r="Q6586" s="17"/>
    </row>
    <row r="6587" spans="12:17" x14ac:dyDescent="0.3">
      <c r="L6587" s="25"/>
      <c r="Q6587" s="17"/>
    </row>
    <row r="6588" spans="12:17" x14ac:dyDescent="0.3">
      <c r="L6588" s="25"/>
      <c r="Q6588" s="17"/>
    </row>
    <row r="6589" spans="12:17" x14ac:dyDescent="0.3">
      <c r="L6589" s="25"/>
      <c r="Q6589" s="17"/>
    </row>
    <row r="6590" spans="12:17" x14ac:dyDescent="0.3">
      <c r="L6590" s="25"/>
      <c r="Q6590" s="17"/>
    </row>
    <row r="6591" spans="12:17" x14ac:dyDescent="0.3">
      <c r="L6591" s="25"/>
      <c r="Q6591" s="17"/>
    </row>
    <row r="6592" spans="12:17" x14ac:dyDescent="0.3">
      <c r="L6592" s="25"/>
      <c r="Q6592" s="17"/>
    </row>
    <row r="6593" spans="12:17" x14ac:dyDescent="0.3">
      <c r="L6593" s="25"/>
      <c r="Q6593" s="17"/>
    </row>
    <row r="6594" spans="12:17" x14ac:dyDescent="0.3">
      <c r="L6594" s="25"/>
      <c r="Q6594" s="17"/>
    </row>
    <row r="6595" spans="12:17" x14ac:dyDescent="0.3">
      <c r="L6595" s="25"/>
      <c r="Q6595" s="17"/>
    </row>
    <row r="6596" spans="12:17" x14ac:dyDescent="0.3">
      <c r="L6596" s="25"/>
      <c r="Q6596" s="17"/>
    </row>
    <row r="6597" spans="12:17" x14ac:dyDescent="0.3">
      <c r="L6597" s="25"/>
      <c r="Q6597" s="17"/>
    </row>
    <row r="6598" spans="12:17" x14ac:dyDescent="0.3">
      <c r="L6598" s="25"/>
      <c r="Q6598" s="17"/>
    </row>
    <row r="6599" spans="12:17" x14ac:dyDescent="0.3">
      <c r="L6599" s="25"/>
      <c r="Q6599" s="17"/>
    </row>
    <row r="6600" spans="12:17" x14ac:dyDescent="0.3">
      <c r="L6600" s="25"/>
      <c r="Q6600" s="17"/>
    </row>
    <row r="6601" spans="12:17" x14ac:dyDescent="0.3">
      <c r="L6601" s="25"/>
      <c r="Q6601" s="17"/>
    </row>
    <row r="6602" spans="12:17" x14ac:dyDescent="0.3">
      <c r="L6602" s="25"/>
      <c r="Q6602" s="17"/>
    </row>
    <row r="6603" spans="12:17" x14ac:dyDescent="0.3">
      <c r="L6603" s="25"/>
      <c r="Q6603" s="17"/>
    </row>
    <row r="6604" spans="12:17" x14ac:dyDescent="0.3">
      <c r="L6604" s="25"/>
      <c r="Q6604" s="17"/>
    </row>
    <row r="6605" spans="12:17" x14ac:dyDescent="0.3">
      <c r="L6605" s="25"/>
      <c r="Q6605" s="17"/>
    </row>
    <row r="6606" spans="12:17" x14ac:dyDescent="0.3">
      <c r="L6606" s="25"/>
      <c r="Q6606" s="17"/>
    </row>
    <row r="6607" spans="12:17" x14ac:dyDescent="0.3">
      <c r="L6607" s="25"/>
      <c r="Q6607" s="17"/>
    </row>
    <row r="6608" spans="12:17" x14ac:dyDescent="0.3">
      <c r="L6608" s="25"/>
      <c r="Q6608" s="17"/>
    </row>
    <row r="6609" spans="12:17" x14ac:dyDescent="0.3">
      <c r="L6609" s="25"/>
      <c r="Q6609" s="17"/>
    </row>
    <row r="6610" spans="12:17" x14ac:dyDescent="0.3">
      <c r="L6610" s="25"/>
      <c r="Q6610" s="17"/>
    </row>
    <row r="6611" spans="12:17" x14ac:dyDescent="0.3">
      <c r="L6611" s="25"/>
      <c r="Q6611" s="17"/>
    </row>
    <row r="6612" spans="12:17" x14ac:dyDescent="0.3">
      <c r="L6612" s="25"/>
      <c r="Q6612" s="17"/>
    </row>
    <row r="6613" spans="12:17" x14ac:dyDescent="0.3">
      <c r="L6613" s="25"/>
      <c r="Q6613" s="17"/>
    </row>
    <row r="6614" spans="12:17" x14ac:dyDescent="0.3">
      <c r="L6614" s="25"/>
      <c r="Q6614" s="17"/>
    </row>
    <row r="6615" spans="12:17" x14ac:dyDescent="0.3">
      <c r="L6615" s="25"/>
      <c r="Q6615" s="17"/>
    </row>
    <row r="6616" spans="12:17" x14ac:dyDescent="0.3">
      <c r="L6616" s="25"/>
      <c r="Q6616" s="17"/>
    </row>
    <row r="6617" spans="12:17" x14ac:dyDescent="0.3">
      <c r="L6617" s="25"/>
      <c r="Q6617" s="17"/>
    </row>
    <row r="6618" spans="12:17" x14ac:dyDescent="0.3">
      <c r="L6618" s="25"/>
      <c r="Q6618" s="17"/>
    </row>
    <row r="6619" spans="12:17" x14ac:dyDescent="0.3">
      <c r="L6619" s="25"/>
      <c r="Q6619" s="17"/>
    </row>
    <row r="6620" spans="12:17" x14ac:dyDescent="0.3">
      <c r="L6620" s="25"/>
      <c r="Q6620" s="17"/>
    </row>
    <row r="6621" spans="12:17" x14ac:dyDescent="0.3">
      <c r="L6621" s="25"/>
      <c r="Q6621" s="17"/>
    </row>
    <row r="6622" spans="12:17" x14ac:dyDescent="0.3">
      <c r="L6622" s="25"/>
      <c r="Q6622" s="17"/>
    </row>
    <row r="6623" spans="12:17" x14ac:dyDescent="0.3">
      <c r="L6623" s="25"/>
      <c r="Q6623" s="17"/>
    </row>
    <row r="6624" spans="12:17" x14ac:dyDescent="0.3">
      <c r="L6624" s="25"/>
      <c r="Q6624" s="17"/>
    </row>
    <row r="6625" spans="12:17" x14ac:dyDescent="0.3">
      <c r="L6625" s="25"/>
      <c r="Q6625" s="17"/>
    </row>
    <row r="6626" spans="12:17" x14ac:dyDescent="0.3">
      <c r="L6626" s="25"/>
      <c r="Q6626" s="17"/>
    </row>
    <row r="6627" spans="12:17" x14ac:dyDescent="0.3">
      <c r="L6627" s="25"/>
      <c r="Q6627" s="17"/>
    </row>
    <row r="6628" spans="12:17" x14ac:dyDescent="0.3">
      <c r="L6628" s="25"/>
      <c r="Q6628" s="17"/>
    </row>
    <row r="6629" spans="12:17" x14ac:dyDescent="0.3">
      <c r="L6629" s="25"/>
      <c r="Q6629" s="17"/>
    </row>
    <row r="6630" spans="12:17" x14ac:dyDescent="0.3">
      <c r="L6630" s="25"/>
      <c r="Q6630" s="17"/>
    </row>
    <row r="6631" spans="12:17" x14ac:dyDescent="0.3">
      <c r="L6631" s="25"/>
      <c r="Q6631" s="17"/>
    </row>
    <row r="6632" spans="12:17" x14ac:dyDescent="0.3">
      <c r="L6632" s="25"/>
      <c r="Q6632" s="17"/>
    </row>
    <row r="6633" spans="12:17" x14ac:dyDescent="0.3">
      <c r="L6633" s="25"/>
      <c r="Q6633" s="17"/>
    </row>
    <row r="6634" spans="12:17" x14ac:dyDescent="0.3">
      <c r="L6634" s="25"/>
      <c r="Q6634" s="17"/>
    </row>
    <row r="6635" spans="12:17" x14ac:dyDescent="0.3">
      <c r="L6635" s="25"/>
      <c r="Q6635" s="17"/>
    </row>
    <row r="6636" spans="12:17" x14ac:dyDescent="0.3">
      <c r="L6636" s="25"/>
      <c r="Q6636" s="17"/>
    </row>
    <row r="6637" spans="12:17" x14ac:dyDescent="0.3">
      <c r="L6637" s="25"/>
      <c r="Q6637" s="17"/>
    </row>
    <row r="6638" spans="12:17" x14ac:dyDescent="0.3">
      <c r="L6638" s="25"/>
      <c r="Q6638" s="17"/>
    </row>
    <row r="6639" spans="12:17" x14ac:dyDescent="0.3">
      <c r="L6639" s="25"/>
      <c r="Q6639" s="17"/>
    </row>
    <row r="6640" spans="12:17" x14ac:dyDescent="0.3">
      <c r="L6640" s="25"/>
      <c r="Q6640" s="17"/>
    </row>
    <row r="6641" spans="12:17" x14ac:dyDescent="0.3">
      <c r="L6641" s="25"/>
      <c r="Q6641" s="17"/>
    </row>
    <row r="6642" spans="12:17" x14ac:dyDescent="0.3">
      <c r="L6642" s="25"/>
      <c r="Q6642" s="17"/>
    </row>
    <row r="6643" spans="12:17" x14ac:dyDescent="0.3">
      <c r="L6643" s="25"/>
      <c r="Q6643" s="17"/>
    </row>
    <row r="6644" spans="12:17" x14ac:dyDescent="0.3">
      <c r="L6644" s="25"/>
      <c r="Q6644" s="17"/>
    </row>
    <row r="6645" spans="12:17" x14ac:dyDescent="0.3">
      <c r="L6645" s="25"/>
      <c r="Q6645" s="17"/>
    </row>
    <row r="6646" spans="12:17" x14ac:dyDescent="0.3">
      <c r="L6646" s="25"/>
      <c r="Q6646" s="17"/>
    </row>
    <row r="6647" spans="12:17" x14ac:dyDescent="0.3">
      <c r="L6647" s="25"/>
      <c r="Q6647" s="17"/>
    </row>
    <row r="6648" spans="12:17" x14ac:dyDescent="0.3">
      <c r="L6648" s="25"/>
      <c r="Q6648" s="17"/>
    </row>
    <row r="6649" spans="12:17" x14ac:dyDescent="0.3">
      <c r="L6649" s="25"/>
      <c r="Q6649" s="17"/>
    </row>
    <row r="6650" spans="12:17" x14ac:dyDescent="0.3">
      <c r="L6650" s="25"/>
      <c r="Q6650" s="17"/>
    </row>
    <row r="6651" spans="12:17" x14ac:dyDescent="0.3">
      <c r="L6651" s="25"/>
      <c r="Q6651" s="17"/>
    </row>
    <row r="6652" spans="12:17" x14ac:dyDescent="0.3">
      <c r="L6652" s="25"/>
      <c r="Q6652" s="17"/>
    </row>
    <row r="6653" spans="12:17" x14ac:dyDescent="0.3">
      <c r="L6653" s="25"/>
      <c r="Q6653" s="17"/>
    </row>
    <row r="6654" spans="12:17" x14ac:dyDescent="0.3">
      <c r="L6654" s="25"/>
      <c r="Q6654" s="17"/>
    </row>
    <row r="6655" spans="12:17" x14ac:dyDescent="0.3">
      <c r="L6655" s="25"/>
      <c r="Q6655" s="17"/>
    </row>
    <row r="6656" spans="12:17" x14ac:dyDescent="0.3">
      <c r="L6656" s="25"/>
      <c r="Q6656" s="17"/>
    </row>
    <row r="6657" spans="12:17" x14ac:dyDescent="0.3">
      <c r="L6657" s="25"/>
      <c r="Q6657" s="17"/>
    </row>
    <row r="6658" spans="12:17" x14ac:dyDescent="0.3">
      <c r="L6658" s="25"/>
      <c r="Q6658" s="17"/>
    </row>
    <row r="6659" spans="12:17" x14ac:dyDescent="0.3">
      <c r="L6659" s="25"/>
      <c r="Q6659" s="17"/>
    </row>
    <row r="6660" spans="12:17" x14ac:dyDescent="0.3">
      <c r="L6660" s="25"/>
      <c r="Q6660" s="17"/>
    </row>
    <row r="6661" spans="12:17" x14ac:dyDescent="0.3">
      <c r="L6661" s="25"/>
      <c r="Q6661" s="17"/>
    </row>
    <row r="6662" spans="12:17" x14ac:dyDescent="0.3">
      <c r="L6662" s="25"/>
      <c r="Q6662" s="17"/>
    </row>
    <row r="6663" spans="12:17" x14ac:dyDescent="0.3">
      <c r="L6663" s="25"/>
      <c r="Q6663" s="17"/>
    </row>
    <row r="6664" spans="12:17" x14ac:dyDescent="0.3">
      <c r="L6664" s="25"/>
      <c r="Q6664" s="17"/>
    </row>
    <row r="6665" spans="12:17" x14ac:dyDescent="0.3">
      <c r="L6665" s="25"/>
      <c r="Q6665" s="17"/>
    </row>
    <row r="6666" spans="12:17" x14ac:dyDescent="0.3">
      <c r="L6666" s="25"/>
      <c r="Q6666" s="17"/>
    </row>
    <row r="6667" spans="12:17" x14ac:dyDescent="0.3">
      <c r="L6667" s="25"/>
      <c r="Q6667" s="17"/>
    </row>
    <row r="6668" spans="12:17" x14ac:dyDescent="0.3">
      <c r="L6668" s="25"/>
      <c r="Q6668" s="17"/>
    </row>
    <row r="6669" spans="12:17" x14ac:dyDescent="0.3">
      <c r="L6669" s="25"/>
      <c r="Q6669" s="17"/>
    </row>
    <row r="6670" spans="12:17" x14ac:dyDescent="0.3">
      <c r="L6670" s="25"/>
      <c r="Q6670" s="17"/>
    </row>
    <row r="6671" spans="12:17" x14ac:dyDescent="0.3">
      <c r="L6671" s="25"/>
      <c r="Q6671" s="17"/>
    </row>
    <row r="6672" spans="12:17" x14ac:dyDescent="0.3">
      <c r="L6672" s="25"/>
      <c r="Q6672" s="17"/>
    </row>
    <row r="6673" spans="12:17" x14ac:dyDescent="0.3">
      <c r="L6673" s="25"/>
      <c r="Q6673" s="17"/>
    </row>
    <row r="6674" spans="12:17" x14ac:dyDescent="0.3">
      <c r="L6674" s="25"/>
      <c r="Q6674" s="17"/>
    </row>
    <row r="6675" spans="12:17" x14ac:dyDescent="0.3">
      <c r="L6675" s="25"/>
      <c r="Q6675" s="17"/>
    </row>
    <row r="6676" spans="12:17" x14ac:dyDescent="0.3">
      <c r="L6676" s="25"/>
      <c r="Q6676" s="17"/>
    </row>
    <row r="6677" spans="12:17" x14ac:dyDescent="0.3">
      <c r="L6677" s="25"/>
      <c r="Q6677" s="17"/>
    </row>
    <row r="6678" spans="12:17" x14ac:dyDescent="0.3">
      <c r="L6678" s="25"/>
      <c r="Q6678" s="17"/>
    </row>
    <row r="6679" spans="12:17" x14ac:dyDescent="0.3">
      <c r="L6679" s="25"/>
      <c r="Q6679" s="17"/>
    </row>
    <row r="6680" spans="12:17" x14ac:dyDescent="0.3">
      <c r="L6680" s="25"/>
      <c r="Q6680" s="17"/>
    </row>
    <row r="6681" spans="12:17" x14ac:dyDescent="0.3">
      <c r="L6681" s="25"/>
      <c r="Q6681" s="17"/>
    </row>
    <row r="6682" spans="12:17" x14ac:dyDescent="0.3">
      <c r="L6682" s="25"/>
      <c r="Q6682" s="17"/>
    </row>
    <row r="6683" spans="12:17" x14ac:dyDescent="0.3">
      <c r="L6683" s="25"/>
      <c r="Q6683" s="17"/>
    </row>
    <row r="6684" spans="12:17" x14ac:dyDescent="0.3">
      <c r="L6684" s="25"/>
      <c r="Q6684" s="17"/>
    </row>
    <row r="6685" spans="12:17" x14ac:dyDescent="0.3">
      <c r="L6685" s="25"/>
      <c r="Q6685" s="17"/>
    </row>
    <row r="6686" spans="12:17" x14ac:dyDescent="0.3">
      <c r="L6686" s="25"/>
      <c r="Q6686" s="17"/>
    </row>
    <row r="6687" spans="12:17" x14ac:dyDescent="0.3">
      <c r="L6687" s="25"/>
      <c r="Q6687" s="17"/>
    </row>
    <row r="6688" spans="12:17" x14ac:dyDescent="0.3">
      <c r="L6688" s="25"/>
      <c r="Q6688" s="17"/>
    </row>
    <row r="6689" spans="12:17" x14ac:dyDescent="0.3">
      <c r="L6689" s="25"/>
      <c r="Q6689" s="17"/>
    </row>
    <row r="6690" spans="12:17" x14ac:dyDescent="0.3">
      <c r="L6690" s="25"/>
      <c r="Q6690" s="17"/>
    </row>
    <row r="6691" spans="12:17" x14ac:dyDescent="0.3">
      <c r="L6691" s="25"/>
      <c r="Q6691" s="17"/>
    </row>
    <row r="6692" spans="12:17" x14ac:dyDescent="0.3">
      <c r="L6692" s="25"/>
      <c r="Q6692" s="17"/>
    </row>
    <row r="6693" spans="12:17" x14ac:dyDescent="0.3">
      <c r="L6693" s="25"/>
      <c r="Q6693" s="17"/>
    </row>
    <row r="6694" spans="12:17" x14ac:dyDescent="0.3">
      <c r="L6694" s="25"/>
      <c r="Q6694" s="17"/>
    </row>
    <row r="6695" spans="12:17" x14ac:dyDescent="0.3">
      <c r="L6695" s="25"/>
      <c r="Q6695" s="17"/>
    </row>
    <row r="6696" spans="12:17" x14ac:dyDescent="0.3">
      <c r="L6696" s="25"/>
      <c r="Q6696" s="17"/>
    </row>
    <row r="6697" spans="12:17" x14ac:dyDescent="0.3">
      <c r="L6697" s="25"/>
      <c r="Q6697" s="17"/>
    </row>
    <row r="6698" spans="12:17" x14ac:dyDescent="0.3">
      <c r="L6698" s="25"/>
      <c r="Q6698" s="17"/>
    </row>
    <row r="6699" spans="12:17" x14ac:dyDescent="0.3">
      <c r="L6699" s="25"/>
      <c r="Q6699" s="17"/>
    </row>
    <row r="6700" spans="12:17" x14ac:dyDescent="0.3">
      <c r="L6700" s="25"/>
      <c r="Q6700" s="17"/>
    </row>
    <row r="6701" spans="12:17" x14ac:dyDescent="0.3">
      <c r="L6701" s="25"/>
      <c r="Q6701" s="17"/>
    </row>
    <row r="6702" spans="12:17" x14ac:dyDescent="0.3">
      <c r="L6702" s="25"/>
      <c r="Q6702" s="17"/>
    </row>
    <row r="6703" spans="12:17" x14ac:dyDescent="0.3">
      <c r="L6703" s="25"/>
      <c r="Q6703" s="17"/>
    </row>
    <row r="6704" spans="12:17" x14ac:dyDescent="0.3">
      <c r="L6704" s="25"/>
      <c r="Q6704" s="17"/>
    </row>
    <row r="6705" spans="12:17" x14ac:dyDescent="0.3">
      <c r="L6705" s="25"/>
      <c r="Q6705" s="17"/>
    </row>
    <row r="6706" spans="12:17" x14ac:dyDescent="0.3">
      <c r="L6706" s="25"/>
      <c r="Q6706" s="17"/>
    </row>
    <row r="6707" spans="12:17" x14ac:dyDescent="0.3">
      <c r="L6707" s="25"/>
      <c r="Q6707" s="17"/>
    </row>
    <row r="6708" spans="12:17" x14ac:dyDescent="0.3">
      <c r="L6708" s="25"/>
      <c r="Q6708" s="17"/>
    </row>
    <row r="6709" spans="12:17" x14ac:dyDescent="0.3">
      <c r="L6709" s="25"/>
      <c r="Q6709" s="17"/>
    </row>
    <row r="6710" spans="12:17" x14ac:dyDescent="0.3">
      <c r="L6710" s="25"/>
      <c r="Q6710" s="17"/>
    </row>
    <row r="6711" spans="12:17" x14ac:dyDescent="0.3">
      <c r="L6711" s="25"/>
      <c r="Q6711" s="17"/>
    </row>
    <row r="6712" spans="12:17" x14ac:dyDescent="0.3">
      <c r="L6712" s="25"/>
      <c r="Q6712" s="17"/>
    </row>
    <row r="6713" spans="12:17" x14ac:dyDescent="0.3">
      <c r="L6713" s="25"/>
      <c r="Q6713" s="17"/>
    </row>
    <row r="6714" spans="12:17" x14ac:dyDescent="0.3">
      <c r="L6714" s="25"/>
      <c r="Q6714" s="17"/>
    </row>
    <row r="6715" spans="12:17" x14ac:dyDescent="0.3">
      <c r="L6715" s="25"/>
      <c r="Q6715" s="17"/>
    </row>
    <row r="6716" spans="12:17" x14ac:dyDescent="0.3">
      <c r="L6716" s="25"/>
      <c r="Q6716" s="17"/>
    </row>
    <row r="6717" spans="12:17" x14ac:dyDescent="0.3">
      <c r="L6717" s="25"/>
      <c r="Q6717" s="17"/>
    </row>
    <row r="6718" spans="12:17" x14ac:dyDescent="0.3">
      <c r="L6718" s="25"/>
      <c r="Q6718" s="17"/>
    </row>
    <row r="6719" spans="12:17" x14ac:dyDescent="0.3">
      <c r="L6719" s="25"/>
      <c r="Q6719" s="17"/>
    </row>
    <row r="6720" spans="12:17" x14ac:dyDescent="0.3">
      <c r="L6720" s="25"/>
      <c r="Q6720" s="17"/>
    </row>
    <row r="6721" spans="12:17" x14ac:dyDescent="0.3">
      <c r="L6721" s="25"/>
      <c r="Q6721" s="17"/>
    </row>
    <row r="6722" spans="12:17" x14ac:dyDescent="0.3">
      <c r="L6722" s="25"/>
      <c r="Q6722" s="17"/>
    </row>
    <row r="6723" spans="12:17" x14ac:dyDescent="0.3">
      <c r="L6723" s="25"/>
      <c r="Q6723" s="17"/>
    </row>
    <row r="6724" spans="12:17" x14ac:dyDescent="0.3">
      <c r="L6724" s="25"/>
      <c r="Q6724" s="17"/>
    </row>
    <row r="6725" spans="12:17" x14ac:dyDescent="0.3">
      <c r="L6725" s="25"/>
      <c r="Q6725" s="17"/>
    </row>
    <row r="6726" spans="12:17" x14ac:dyDescent="0.3">
      <c r="L6726" s="25"/>
      <c r="Q6726" s="17"/>
    </row>
    <row r="6727" spans="12:17" x14ac:dyDescent="0.3">
      <c r="L6727" s="25"/>
      <c r="Q6727" s="17"/>
    </row>
    <row r="6728" spans="12:17" x14ac:dyDescent="0.3">
      <c r="L6728" s="25"/>
      <c r="Q6728" s="17"/>
    </row>
    <row r="6729" spans="12:17" x14ac:dyDescent="0.3">
      <c r="L6729" s="25"/>
      <c r="Q6729" s="17"/>
    </row>
    <row r="6730" spans="12:17" x14ac:dyDescent="0.3">
      <c r="L6730" s="25"/>
      <c r="Q6730" s="17"/>
    </row>
    <row r="6731" spans="12:17" x14ac:dyDescent="0.3">
      <c r="L6731" s="25"/>
      <c r="Q6731" s="17"/>
    </row>
    <row r="6732" spans="12:17" x14ac:dyDescent="0.3">
      <c r="L6732" s="25"/>
      <c r="Q6732" s="17"/>
    </row>
    <row r="6733" spans="12:17" x14ac:dyDescent="0.3">
      <c r="L6733" s="25"/>
      <c r="Q6733" s="17"/>
    </row>
    <row r="6734" spans="12:17" x14ac:dyDescent="0.3">
      <c r="L6734" s="25"/>
      <c r="Q6734" s="17"/>
    </row>
    <row r="6735" spans="12:17" x14ac:dyDescent="0.3">
      <c r="L6735" s="25"/>
      <c r="Q6735" s="17"/>
    </row>
    <row r="6736" spans="12:17" x14ac:dyDescent="0.3">
      <c r="L6736" s="25"/>
      <c r="Q6736" s="17"/>
    </row>
    <row r="6737" spans="12:17" x14ac:dyDescent="0.3">
      <c r="L6737" s="25"/>
      <c r="Q6737" s="17"/>
    </row>
    <row r="6738" spans="12:17" x14ac:dyDescent="0.3">
      <c r="L6738" s="25"/>
      <c r="Q6738" s="17"/>
    </row>
    <row r="6739" spans="12:17" x14ac:dyDescent="0.3">
      <c r="L6739" s="25"/>
      <c r="Q6739" s="17"/>
    </row>
    <row r="6740" spans="12:17" x14ac:dyDescent="0.3">
      <c r="L6740" s="25"/>
      <c r="Q6740" s="17"/>
    </row>
    <row r="6741" spans="12:17" x14ac:dyDescent="0.3">
      <c r="L6741" s="25"/>
      <c r="Q6741" s="17"/>
    </row>
    <row r="6742" spans="12:17" x14ac:dyDescent="0.3">
      <c r="L6742" s="25"/>
      <c r="Q6742" s="17"/>
    </row>
    <row r="6743" spans="12:17" x14ac:dyDescent="0.3">
      <c r="L6743" s="25"/>
      <c r="Q6743" s="17"/>
    </row>
    <row r="6744" spans="12:17" x14ac:dyDescent="0.3">
      <c r="L6744" s="25"/>
      <c r="Q6744" s="17"/>
    </row>
    <row r="6745" spans="12:17" x14ac:dyDescent="0.3">
      <c r="L6745" s="25"/>
      <c r="Q6745" s="17"/>
    </row>
    <row r="6746" spans="12:17" x14ac:dyDescent="0.3">
      <c r="L6746" s="25"/>
      <c r="Q6746" s="17"/>
    </row>
    <row r="6747" spans="12:17" x14ac:dyDescent="0.3">
      <c r="L6747" s="25"/>
      <c r="Q6747" s="17"/>
    </row>
    <row r="6748" spans="12:17" x14ac:dyDescent="0.3">
      <c r="L6748" s="25"/>
      <c r="Q6748" s="17"/>
    </row>
    <row r="6749" spans="12:17" x14ac:dyDescent="0.3">
      <c r="L6749" s="25"/>
      <c r="Q6749" s="17"/>
    </row>
    <row r="6750" spans="12:17" x14ac:dyDescent="0.3">
      <c r="L6750" s="25"/>
      <c r="Q6750" s="17"/>
    </row>
    <row r="6751" spans="12:17" x14ac:dyDescent="0.3">
      <c r="L6751" s="25"/>
      <c r="Q6751" s="17"/>
    </row>
    <row r="6752" spans="12:17" x14ac:dyDescent="0.3">
      <c r="L6752" s="25"/>
      <c r="Q6752" s="17"/>
    </row>
    <row r="6753" spans="12:17" x14ac:dyDescent="0.3">
      <c r="L6753" s="25"/>
      <c r="Q6753" s="17"/>
    </row>
    <row r="6754" spans="12:17" x14ac:dyDescent="0.3">
      <c r="L6754" s="25"/>
      <c r="Q6754" s="17"/>
    </row>
    <row r="6755" spans="12:17" x14ac:dyDescent="0.3">
      <c r="L6755" s="25"/>
      <c r="Q6755" s="17"/>
    </row>
    <row r="6756" spans="12:17" x14ac:dyDescent="0.3">
      <c r="L6756" s="25"/>
      <c r="Q6756" s="17"/>
    </row>
    <row r="6757" spans="12:17" x14ac:dyDescent="0.3">
      <c r="L6757" s="25"/>
      <c r="Q6757" s="17"/>
    </row>
    <row r="6758" spans="12:17" x14ac:dyDescent="0.3">
      <c r="L6758" s="25"/>
      <c r="Q6758" s="17"/>
    </row>
    <row r="6759" spans="12:17" x14ac:dyDescent="0.3">
      <c r="L6759" s="25"/>
      <c r="Q6759" s="17"/>
    </row>
    <row r="6760" spans="12:17" x14ac:dyDescent="0.3">
      <c r="L6760" s="25"/>
      <c r="Q6760" s="17"/>
    </row>
    <row r="6761" spans="12:17" x14ac:dyDescent="0.3">
      <c r="L6761" s="25"/>
      <c r="Q6761" s="17"/>
    </row>
    <row r="6762" spans="12:17" x14ac:dyDescent="0.3">
      <c r="L6762" s="25"/>
      <c r="Q6762" s="17"/>
    </row>
    <row r="6763" spans="12:17" x14ac:dyDescent="0.3">
      <c r="L6763" s="25"/>
      <c r="Q6763" s="17"/>
    </row>
    <row r="6764" spans="12:17" x14ac:dyDescent="0.3">
      <c r="L6764" s="25"/>
      <c r="Q6764" s="17"/>
    </row>
    <row r="6765" spans="12:17" x14ac:dyDescent="0.3">
      <c r="L6765" s="25"/>
      <c r="Q6765" s="17"/>
    </row>
    <row r="6766" spans="12:17" x14ac:dyDescent="0.3">
      <c r="L6766" s="25"/>
      <c r="Q6766" s="17"/>
    </row>
    <row r="6767" spans="12:17" x14ac:dyDescent="0.3">
      <c r="L6767" s="25"/>
      <c r="Q6767" s="17"/>
    </row>
    <row r="6768" spans="12:17" x14ac:dyDescent="0.3">
      <c r="L6768" s="25"/>
      <c r="Q6768" s="17"/>
    </row>
    <row r="6769" spans="12:17" x14ac:dyDescent="0.3">
      <c r="L6769" s="25"/>
      <c r="Q6769" s="17"/>
    </row>
    <row r="6770" spans="12:17" x14ac:dyDescent="0.3">
      <c r="L6770" s="25"/>
      <c r="Q6770" s="17"/>
    </row>
    <row r="6771" spans="12:17" x14ac:dyDescent="0.3">
      <c r="L6771" s="25"/>
      <c r="Q6771" s="17"/>
    </row>
    <row r="6772" spans="12:17" x14ac:dyDescent="0.3">
      <c r="L6772" s="25"/>
      <c r="Q6772" s="17"/>
    </row>
    <row r="6773" spans="12:17" x14ac:dyDescent="0.3">
      <c r="L6773" s="25"/>
      <c r="Q6773" s="17"/>
    </row>
    <row r="6774" spans="12:17" x14ac:dyDescent="0.3">
      <c r="L6774" s="25"/>
      <c r="Q6774" s="17"/>
    </row>
    <row r="6775" spans="12:17" x14ac:dyDescent="0.3">
      <c r="L6775" s="25"/>
      <c r="Q6775" s="17"/>
    </row>
    <row r="6776" spans="12:17" x14ac:dyDescent="0.3">
      <c r="L6776" s="25"/>
      <c r="Q6776" s="17"/>
    </row>
    <row r="6777" spans="12:17" x14ac:dyDescent="0.3">
      <c r="L6777" s="25"/>
      <c r="Q6777" s="17"/>
    </row>
    <row r="6778" spans="12:17" x14ac:dyDescent="0.3">
      <c r="L6778" s="25"/>
      <c r="Q6778" s="17"/>
    </row>
    <row r="6779" spans="12:17" x14ac:dyDescent="0.3">
      <c r="L6779" s="25"/>
      <c r="Q6779" s="17"/>
    </row>
    <row r="6780" spans="12:17" x14ac:dyDescent="0.3">
      <c r="L6780" s="25"/>
      <c r="Q6780" s="17"/>
    </row>
    <row r="6781" spans="12:17" x14ac:dyDescent="0.3">
      <c r="L6781" s="25"/>
      <c r="Q6781" s="17"/>
    </row>
    <row r="6782" spans="12:17" x14ac:dyDescent="0.3">
      <c r="L6782" s="25"/>
      <c r="Q6782" s="17"/>
    </row>
    <row r="6783" spans="12:17" x14ac:dyDescent="0.3">
      <c r="L6783" s="25"/>
      <c r="Q6783" s="17"/>
    </row>
    <row r="6784" spans="12:17" x14ac:dyDescent="0.3">
      <c r="L6784" s="25"/>
      <c r="Q6784" s="17"/>
    </row>
    <row r="6785" spans="12:17" x14ac:dyDescent="0.3">
      <c r="L6785" s="25"/>
      <c r="Q6785" s="17"/>
    </row>
    <row r="6786" spans="12:17" x14ac:dyDescent="0.3">
      <c r="L6786" s="25"/>
      <c r="Q6786" s="17"/>
    </row>
    <row r="6787" spans="12:17" x14ac:dyDescent="0.3">
      <c r="L6787" s="25"/>
      <c r="Q6787" s="17"/>
    </row>
    <row r="6788" spans="12:17" x14ac:dyDescent="0.3">
      <c r="L6788" s="25"/>
      <c r="Q6788" s="17"/>
    </row>
    <row r="6789" spans="12:17" x14ac:dyDescent="0.3">
      <c r="L6789" s="25"/>
      <c r="Q6789" s="17"/>
    </row>
    <row r="6790" spans="12:17" x14ac:dyDescent="0.3">
      <c r="L6790" s="25"/>
      <c r="Q6790" s="17"/>
    </row>
    <row r="6791" spans="12:17" x14ac:dyDescent="0.3">
      <c r="L6791" s="25"/>
      <c r="Q6791" s="17"/>
    </row>
    <row r="6792" spans="12:17" x14ac:dyDescent="0.3">
      <c r="L6792" s="25"/>
      <c r="Q6792" s="17"/>
    </row>
    <row r="6793" spans="12:17" x14ac:dyDescent="0.3">
      <c r="L6793" s="25"/>
      <c r="Q6793" s="17"/>
    </row>
    <row r="6794" spans="12:17" x14ac:dyDescent="0.3">
      <c r="L6794" s="25"/>
      <c r="Q6794" s="17"/>
    </row>
    <row r="6795" spans="12:17" x14ac:dyDescent="0.3">
      <c r="L6795" s="25"/>
      <c r="Q6795" s="17"/>
    </row>
    <row r="6796" spans="12:17" x14ac:dyDescent="0.3">
      <c r="L6796" s="25"/>
      <c r="Q6796" s="17"/>
    </row>
    <row r="6797" spans="12:17" x14ac:dyDescent="0.3">
      <c r="L6797" s="25"/>
      <c r="Q6797" s="17"/>
    </row>
    <row r="6798" spans="12:17" x14ac:dyDescent="0.3">
      <c r="L6798" s="25"/>
      <c r="Q6798" s="17"/>
    </row>
    <row r="6799" spans="12:17" x14ac:dyDescent="0.3">
      <c r="L6799" s="25"/>
      <c r="Q6799" s="17"/>
    </row>
    <row r="6800" spans="12:17" x14ac:dyDescent="0.3">
      <c r="L6800" s="25"/>
      <c r="Q6800" s="17"/>
    </row>
    <row r="6801" spans="12:17" x14ac:dyDescent="0.3">
      <c r="L6801" s="25"/>
      <c r="Q6801" s="17"/>
    </row>
    <row r="6802" spans="12:17" x14ac:dyDescent="0.3">
      <c r="L6802" s="25"/>
      <c r="Q6802" s="17"/>
    </row>
    <row r="6803" spans="12:17" x14ac:dyDescent="0.3">
      <c r="L6803" s="25"/>
      <c r="Q6803" s="17"/>
    </row>
    <row r="6804" spans="12:17" x14ac:dyDescent="0.3">
      <c r="L6804" s="25"/>
      <c r="Q6804" s="17"/>
    </row>
    <row r="6805" spans="12:17" x14ac:dyDescent="0.3">
      <c r="L6805" s="25"/>
      <c r="Q6805" s="17"/>
    </row>
    <row r="6806" spans="12:17" x14ac:dyDescent="0.3">
      <c r="L6806" s="25"/>
      <c r="Q6806" s="17"/>
    </row>
    <row r="6807" spans="12:17" x14ac:dyDescent="0.3">
      <c r="L6807" s="25"/>
      <c r="Q6807" s="17"/>
    </row>
    <row r="6808" spans="12:17" x14ac:dyDescent="0.3">
      <c r="L6808" s="25"/>
      <c r="Q6808" s="17"/>
    </row>
    <row r="6809" spans="12:17" x14ac:dyDescent="0.3">
      <c r="L6809" s="25"/>
      <c r="Q6809" s="17"/>
    </row>
    <row r="6810" spans="12:17" x14ac:dyDescent="0.3">
      <c r="L6810" s="25"/>
      <c r="Q6810" s="17"/>
    </row>
    <row r="6811" spans="12:17" x14ac:dyDescent="0.3">
      <c r="L6811" s="25"/>
      <c r="Q6811" s="17"/>
    </row>
    <row r="6812" spans="12:17" x14ac:dyDescent="0.3">
      <c r="L6812" s="25"/>
      <c r="Q6812" s="17"/>
    </row>
    <row r="6813" spans="12:17" x14ac:dyDescent="0.3">
      <c r="L6813" s="25"/>
      <c r="Q6813" s="17"/>
    </row>
    <row r="6814" spans="12:17" x14ac:dyDescent="0.3">
      <c r="L6814" s="25"/>
      <c r="Q6814" s="17"/>
    </row>
    <row r="6815" spans="12:17" x14ac:dyDescent="0.3">
      <c r="L6815" s="25"/>
      <c r="Q6815" s="17"/>
    </row>
    <row r="6816" spans="12:17" x14ac:dyDescent="0.3">
      <c r="L6816" s="25"/>
      <c r="Q6816" s="17"/>
    </row>
    <row r="6817" spans="12:17" x14ac:dyDescent="0.3">
      <c r="L6817" s="25"/>
      <c r="Q6817" s="17"/>
    </row>
    <row r="6818" spans="12:17" x14ac:dyDescent="0.3">
      <c r="L6818" s="25"/>
      <c r="Q6818" s="17"/>
    </row>
    <row r="6819" spans="12:17" x14ac:dyDescent="0.3">
      <c r="L6819" s="25"/>
      <c r="Q6819" s="17"/>
    </row>
    <row r="6820" spans="12:17" x14ac:dyDescent="0.3">
      <c r="L6820" s="25"/>
      <c r="Q6820" s="17"/>
    </row>
    <row r="6821" spans="12:17" x14ac:dyDescent="0.3">
      <c r="L6821" s="25"/>
      <c r="Q6821" s="17"/>
    </row>
    <row r="6822" spans="12:17" x14ac:dyDescent="0.3">
      <c r="L6822" s="25"/>
      <c r="Q6822" s="17"/>
    </row>
    <row r="6823" spans="12:17" x14ac:dyDescent="0.3">
      <c r="L6823" s="25"/>
      <c r="Q6823" s="17"/>
    </row>
    <row r="6824" spans="12:17" x14ac:dyDescent="0.3">
      <c r="L6824" s="25"/>
      <c r="Q6824" s="17"/>
    </row>
    <row r="6825" spans="12:17" x14ac:dyDescent="0.3">
      <c r="L6825" s="25"/>
      <c r="Q6825" s="17"/>
    </row>
    <row r="6826" spans="12:17" x14ac:dyDescent="0.3">
      <c r="L6826" s="25"/>
      <c r="Q6826" s="17"/>
    </row>
    <row r="6827" spans="12:17" x14ac:dyDescent="0.3">
      <c r="L6827" s="25"/>
      <c r="Q6827" s="17"/>
    </row>
    <row r="6828" spans="12:17" x14ac:dyDescent="0.3">
      <c r="L6828" s="25"/>
      <c r="Q6828" s="17"/>
    </row>
    <row r="6829" spans="12:17" x14ac:dyDescent="0.3">
      <c r="L6829" s="25"/>
      <c r="Q6829" s="17"/>
    </row>
    <row r="6830" spans="12:17" x14ac:dyDescent="0.3">
      <c r="L6830" s="25"/>
      <c r="Q6830" s="17"/>
    </row>
    <row r="6831" spans="12:17" x14ac:dyDescent="0.3">
      <c r="L6831" s="25"/>
      <c r="Q6831" s="17"/>
    </row>
    <row r="6832" spans="12:17" x14ac:dyDescent="0.3">
      <c r="L6832" s="25"/>
      <c r="Q6832" s="17"/>
    </row>
    <row r="6833" spans="12:17" x14ac:dyDescent="0.3">
      <c r="L6833" s="25"/>
      <c r="Q6833" s="17"/>
    </row>
    <row r="6834" spans="12:17" x14ac:dyDescent="0.3">
      <c r="L6834" s="25"/>
      <c r="Q6834" s="17"/>
    </row>
    <row r="6835" spans="12:17" x14ac:dyDescent="0.3">
      <c r="L6835" s="25"/>
      <c r="Q6835" s="17"/>
    </row>
    <row r="6836" spans="12:17" x14ac:dyDescent="0.3">
      <c r="L6836" s="25"/>
      <c r="Q6836" s="17"/>
    </row>
    <row r="6837" spans="12:17" x14ac:dyDescent="0.3">
      <c r="L6837" s="25"/>
      <c r="Q6837" s="17"/>
    </row>
    <row r="6838" spans="12:17" x14ac:dyDescent="0.3">
      <c r="L6838" s="25"/>
      <c r="Q6838" s="17"/>
    </row>
    <row r="6839" spans="12:17" x14ac:dyDescent="0.3">
      <c r="L6839" s="25"/>
      <c r="Q6839" s="17"/>
    </row>
    <row r="6840" spans="12:17" x14ac:dyDescent="0.3">
      <c r="L6840" s="25"/>
      <c r="Q6840" s="17"/>
    </row>
    <row r="6841" spans="12:17" x14ac:dyDescent="0.3">
      <c r="L6841" s="25"/>
      <c r="Q6841" s="17"/>
    </row>
    <row r="6842" spans="12:17" x14ac:dyDescent="0.3">
      <c r="L6842" s="25"/>
      <c r="Q6842" s="17"/>
    </row>
    <row r="6843" spans="12:17" x14ac:dyDescent="0.3">
      <c r="L6843" s="25"/>
      <c r="Q6843" s="17"/>
    </row>
    <row r="6844" spans="12:17" x14ac:dyDescent="0.3">
      <c r="L6844" s="25"/>
      <c r="Q6844" s="17"/>
    </row>
    <row r="6845" spans="12:17" x14ac:dyDescent="0.3">
      <c r="L6845" s="25"/>
      <c r="Q6845" s="17"/>
    </row>
    <row r="6846" spans="12:17" x14ac:dyDescent="0.3">
      <c r="L6846" s="25"/>
      <c r="Q6846" s="17"/>
    </row>
    <row r="6847" spans="12:17" x14ac:dyDescent="0.3">
      <c r="L6847" s="25"/>
      <c r="Q6847" s="17"/>
    </row>
    <row r="6848" spans="12:17" x14ac:dyDescent="0.3">
      <c r="L6848" s="25"/>
      <c r="Q6848" s="17"/>
    </row>
    <row r="6849" spans="12:17" x14ac:dyDescent="0.3">
      <c r="L6849" s="25"/>
      <c r="Q6849" s="17"/>
    </row>
    <row r="6850" spans="12:17" x14ac:dyDescent="0.3">
      <c r="L6850" s="25"/>
      <c r="Q6850" s="17"/>
    </row>
    <row r="6851" spans="12:17" x14ac:dyDescent="0.3">
      <c r="L6851" s="25"/>
      <c r="Q6851" s="17"/>
    </row>
    <row r="6852" spans="12:17" x14ac:dyDescent="0.3">
      <c r="L6852" s="25"/>
      <c r="Q6852" s="17"/>
    </row>
    <row r="6853" spans="12:17" x14ac:dyDescent="0.3">
      <c r="L6853" s="25"/>
      <c r="Q6853" s="17"/>
    </row>
    <row r="6854" spans="12:17" x14ac:dyDescent="0.3">
      <c r="L6854" s="25"/>
      <c r="Q6854" s="17"/>
    </row>
    <row r="6855" spans="12:17" x14ac:dyDescent="0.3">
      <c r="L6855" s="25"/>
      <c r="Q6855" s="17"/>
    </row>
    <row r="6856" spans="12:17" x14ac:dyDescent="0.3">
      <c r="L6856" s="25"/>
      <c r="Q6856" s="17"/>
    </row>
    <row r="6857" spans="12:17" x14ac:dyDescent="0.3">
      <c r="L6857" s="25"/>
      <c r="Q6857" s="17"/>
    </row>
    <row r="6858" spans="12:17" x14ac:dyDescent="0.3">
      <c r="L6858" s="25"/>
      <c r="Q6858" s="17"/>
    </row>
    <row r="6859" spans="12:17" x14ac:dyDescent="0.3">
      <c r="L6859" s="25"/>
      <c r="Q6859" s="17"/>
    </row>
    <row r="6860" spans="12:17" x14ac:dyDescent="0.3">
      <c r="L6860" s="25"/>
      <c r="Q6860" s="17"/>
    </row>
    <row r="6861" spans="12:17" x14ac:dyDescent="0.3">
      <c r="L6861" s="25"/>
      <c r="Q6861" s="17"/>
    </row>
    <row r="6862" spans="12:17" x14ac:dyDescent="0.3">
      <c r="L6862" s="25"/>
      <c r="Q6862" s="17"/>
    </row>
    <row r="6863" spans="12:17" x14ac:dyDescent="0.3">
      <c r="L6863" s="25"/>
      <c r="Q6863" s="17"/>
    </row>
    <row r="6864" spans="12:17" x14ac:dyDescent="0.3">
      <c r="L6864" s="25"/>
      <c r="Q6864" s="17"/>
    </row>
    <row r="6865" spans="12:17" x14ac:dyDescent="0.3">
      <c r="L6865" s="25"/>
      <c r="Q6865" s="17"/>
    </row>
    <row r="6866" spans="12:17" x14ac:dyDescent="0.3">
      <c r="L6866" s="25"/>
      <c r="Q6866" s="17"/>
    </row>
    <row r="6867" spans="12:17" x14ac:dyDescent="0.3">
      <c r="L6867" s="25"/>
      <c r="Q6867" s="17"/>
    </row>
    <row r="6868" spans="12:17" x14ac:dyDescent="0.3">
      <c r="L6868" s="25"/>
      <c r="Q6868" s="17"/>
    </row>
    <row r="6869" spans="12:17" x14ac:dyDescent="0.3">
      <c r="L6869" s="25"/>
      <c r="Q6869" s="17"/>
    </row>
    <row r="6870" spans="12:17" x14ac:dyDescent="0.3">
      <c r="L6870" s="25"/>
      <c r="Q6870" s="17"/>
    </row>
    <row r="6871" spans="12:17" x14ac:dyDescent="0.3">
      <c r="L6871" s="25"/>
      <c r="Q6871" s="17"/>
    </row>
    <row r="6872" spans="12:17" x14ac:dyDescent="0.3">
      <c r="L6872" s="25"/>
      <c r="Q6872" s="17"/>
    </row>
    <row r="6873" spans="12:17" x14ac:dyDescent="0.3">
      <c r="L6873" s="25"/>
      <c r="Q6873" s="17"/>
    </row>
    <row r="6874" spans="12:17" x14ac:dyDescent="0.3">
      <c r="L6874" s="25"/>
      <c r="Q6874" s="17"/>
    </row>
    <row r="6875" spans="12:17" x14ac:dyDescent="0.3">
      <c r="L6875" s="25"/>
      <c r="Q6875" s="17"/>
    </row>
    <row r="6876" spans="12:17" x14ac:dyDescent="0.3">
      <c r="L6876" s="25"/>
      <c r="Q6876" s="17"/>
    </row>
    <row r="6877" spans="12:17" x14ac:dyDescent="0.3">
      <c r="L6877" s="25"/>
      <c r="Q6877" s="17"/>
    </row>
    <row r="6878" spans="12:17" x14ac:dyDescent="0.3">
      <c r="L6878" s="25"/>
      <c r="Q6878" s="17"/>
    </row>
    <row r="6879" spans="12:17" x14ac:dyDescent="0.3">
      <c r="L6879" s="25"/>
      <c r="Q6879" s="17"/>
    </row>
    <row r="6880" spans="12:17" x14ac:dyDescent="0.3">
      <c r="L6880" s="25"/>
      <c r="Q6880" s="17"/>
    </row>
    <row r="6881" spans="12:17" x14ac:dyDescent="0.3">
      <c r="L6881" s="25"/>
      <c r="Q6881" s="17"/>
    </row>
    <row r="6882" spans="12:17" x14ac:dyDescent="0.3">
      <c r="L6882" s="25"/>
      <c r="Q6882" s="17"/>
    </row>
    <row r="6883" spans="12:17" x14ac:dyDescent="0.3">
      <c r="L6883" s="25"/>
      <c r="Q6883" s="17"/>
    </row>
    <row r="6884" spans="12:17" x14ac:dyDescent="0.3">
      <c r="L6884" s="25"/>
      <c r="Q6884" s="17"/>
    </row>
    <row r="6885" spans="12:17" x14ac:dyDescent="0.3">
      <c r="L6885" s="25"/>
      <c r="Q6885" s="17"/>
    </row>
    <row r="6886" spans="12:17" x14ac:dyDescent="0.3">
      <c r="L6886" s="25"/>
      <c r="Q6886" s="17"/>
    </row>
    <row r="6887" spans="12:17" x14ac:dyDescent="0.3">
      <c r="L6887" s="25"/>
      <c r="Q6887" s="17"/>
    </row>
    <row r="6888" spans="12:17" x14ac:dyDescent="0.3">
      <c r="L6888" s="25"/>
      <c r="Q6888" s="17"/>
    </row>
    <row r="6889" spans="12:17" x14ac:dyDescent="0.3">
      <c r="L6889" s="25"/>
      <c r="Q6889" s="17"/>
    </row>
    <row r="6890" spans="12:17" x14ac:dyDescent="0.3">
      <c r="L6890" s="25"/>
      <c r="Q6890" s="17"/>
    </row>
    <row r="6891" spans="12:17" x14ac:dyDescent="0.3">
      <c r="L6891" s="25"/>
      <c r="Q6891" s="17"/>
    </row>
    <row r="6892" spans="12:17" x14ac:dyDescent="0.3">
      <c r="L6892" s="25"/>
      <c r="Q6892" s="17"/>
    </row>
    <row r="6893" spans="12:17" x14ac:dyDescent="0.3">
      <c r="L6893" s="25"/>
      <c r="Q6893" s="17"/>
    </row>
    <row r="6894" spans="12:17" x14ac:dyDescent="0.3">
      <c r="L6894" s="25"/>
      <c r="Q6894" s="17"/>
    </row>
    <row r="6895" spans="12:17" x14ac:dyDescent="0.3">
      <c r="L6895" s="25"/>
      <c r="Q6895" s="17"/>
    </row>
    <row r="6896" spans="12:17" x14ac:dyDescent="0.3">
      <c r="L6896" s="25"/>
      <c r="Q6896" s="17"/>
    </row>
    <row r="6897" spans="12:17" x14ac:dyDescent="0.3">
      <c r="L6897" s="25"/>
      <c r="Q6897" s="17"/>
    </row>
    <row r="6898" spans="12:17" x14ac:dyDescent="0.3">
      <c r="L6898" s="25"/>
      <c r="Q6898" s="17"/>
    </row>
    <row r="6899" spans="12:17" x14ac:dyDescent="0.3">
      <c r="L6899" s="25"/>
      <c r="Q6899" s="17"/>
    </row>
    <row r="6900" spans="12:17" x14ac:dyDescent="0.3">
      <c r="L6900" s="25"/>
      <c r="Q6900" s="17"/>
    </row>
    <row r="6901" spans="12:17" x14ac:dyDescent="0.3">
      <c r="L6901" s="25"/>
      <c r="Q6901" s="17"/>
    </row>
    <row r="6902" spans="12:17" x14ac:dyDescent="0.3">
      <c r="L6902" s="25"/>
      <c r="Q6902" s="17"/>
    </row>
    <row r="6903" spans="12:17" x14ac:dyDescent="0.3">
      <c r="L6903" s="25"/>
      <c r="Q6903" s="17"/>
    </row>
    <row r="6904" spans="12:17" x14ac:dyDescent="0.3">
      <c r="L6904" s="25"/>
      <c r="Q6904" s="17"/>
    </row>
    <row r="6905" spans="12:17" x14ac:dyDescent="0.3">
      <c r="L6905" s="25"/>
      <c r="Q6905" s="17"/>
    </row>
    <row r="6906" spans="12:17" x14ac:dyDescent="0.3">
      <c r="L6906" s="25"/>
      <c r="Q6906" s="17"/>
    </row>
    <row r="6907" spans="12:17" x14ac:dyDescent="0.3">
      <c r="L6907" s="25"/>
      <c r="Q6907" s="17"/>
    </row>
    <row r="6908" spans="12:17" x14ac:dyDescent="0.3">
      <c r="L6908" s="25"/>
      <c r="Q6908" s="17"/>
    </row>
    <row r="6909" spans="12:17" x14ac:dyDescent="0.3">
      <c r="L6909" s="25"/>
      <c r="Q6909" s="17"/>
    </row>
    <row r="6910" spans="12:17" x14ac:dyDescent="0.3">
      <c r="L6910" s="25"/>
      <c r="Q6910" s="17"/>
    </row>
    <row r="6911" spans="12:17" x14ac:dyDescent="0.3">
      <c r="L6911" s="25"/>
      <c r="Q6911" s="17"/>
    </row>
    <row r="6912" spans="12:17" x14ac:dyDescent="0.3">
      <c r="L6912" s="25"/>
      <c r="Q6912" s="17"/>
    </row>
    <row r="6913" spans="12:17" x14ac:dyDescent="0.3">
      <c r="L6913" s="25"/>
      <c r="Q6913" s="17"/>
    </row>
    <row r="6914" spans="12:17" x14ac:dyDescent="0.3">
      <c r="L6914" s="25"/>
      <c r="Q6914" s="17"/>
    </row>
    <row r="6915" spans="12:17" x14ac:dyDescent="0.3">
      <c r="L6915" s="25"/>
      <c r="Q6915" s="17"/>
    </row>
    <row r="6916" spans="12:17" x14ac:dyDescent="0.3">
      <c r="L6916" s="25"/>
      <c r="Q6916" s="17"/>
    </row>
    <row r="6917" spans="12:17" x14ac:dyDescent="0.3">
      <c r="L6917" s="25"/>
      <c r="Q6917" s="17"/>
    </row>
    <row r="6918" spans="12:17" x14ac:dyDescent="0.3">
      <c r="L6918" s="25"/>
      <c r="Q6918" s="17"/>
    </row>
    <row r="6919" spans="12:17" x14ac:dyDescent="0.3">
      <c r="L6919" s="25"/>
      <c r="Q6919" s="17"/>
    </row>
    <row r="6920" spans="12:17" x14ac:dyDescent="0.3">
      <c r="L6920" s="25"/>
      <c r="Q6920" s="17"/>
    </row>
    <row r="6921" spans="12:17" x14ac:dyDescent="0.3">
      <c r="L6921" s="25"/>
      <c r="Q6921" s="17"/>
    </row>
    <row r="6922" spans="12:17" x14ac:dyDescent="0.3">
      <c r="L6922" s="25"/>
      <c r="Q6922" s="17"/>
    </row>
    <row r="6923" spans="12:17" x14ac:dyDescent="0.3">
      <c r="L6923" s="25"/>
      <c r="Q6923" s="17"/>
    </row>
    <row r="6924" spans="12:17" x14ac:dyDescent="0.3">
      <c r="L6924" s="25"/>
      <c r="Q6924" s="17"/>
    </row>
    <row r="6925" spans="12:17" x14ac:dyDescent="0.3">
      <c r="L6925" s="25"/>
      <c r="Q6925" s="17"/>
    </row>
    <row r="6926" spans="12:17" x14ac:dyDescent="0.3">
      <c r="L6926" s="25"/>
      <c r="Q6926" s="17"/>
    </row>
    <row r="6927" spans="12:17" x14ac:dyDescent="0.3">
      <c r="L6927" s="25"/>
      <c r="Q6927" s="17"/>
    </row>
    <row r="6928" spans="12:17" x14ac:dyDescent="0.3">
      <c r="L6928" s="25"/>
      <c r="Q6928" s="17"/>
    </row>
    <row r="6929" spans="12:17" x14ac:dyDescent="0.3">
      <c r="L6929" s="25"/>
      <c r="Q6929" s="17"/>
    </row>
    <row r="6930" spans="12:17" x14ac:dyDescent="0.3">
      <c r="L6930" s="25"/>
      <c r="Q6930" s="17"/>
    </row>
    <row r="6931" spans="12:17" x14ac:dyDescent="0.3">
      <c r="L6931" s="25"/>
      <c r="Q6931" s="17"/>
    </row>
    <row r="6932" spans="12:17" x14ac:dyDescent="0.3">
      <c r="L6932" s="25"/>
      <c r="Q6932" s="17"/>
    </row>
    <row r="6933" spans="12:17" x14ac:dyDescent="0.3">
      <c r="L6933" s="25"/>
      <c r="Q6933" s="17"/>
    </row>
    <row r="6934" spans="12:17" x14ac:dyDescent="0.3">
      <c r="L6934" s="25"/>
      <c r="Q6934" s="17"/>
    </row>
    <row r="6935" spans="12:17" x14ac:dyDescent="0.3">
      <c r="L6935" s="25"/>
      <c r="Q6935" s="17"/>
    </row>
    <row r="6936" spans="12:17" x14ac:dyDescent="0.3">
      <c r="L6936" s="25"/>
      <c r="Q6936" s="17"/>
    </row>
    <row r="6937" spans="12:17" x14ac:dyDescent="0.3">
      <c r="L6937" s="25"/>
      <c r="Q6937" s="17"/>
    </row>
    <row r="6938" spans="12:17" x14ac:dyDescent="0.3">
      <c r="L6938" s="25"/>
      <c r="Q6938" s="17"/>
    </row>
    <row r="6939" spans="12:17" x14ac:dyDescent="0.3">
      <c r="L6939" s="25"/>
      <c r="Q6939" s="17"/>
    </row>
    <row r="6940" spans="12:17" x14ac:dyDescent="0.3">
      <c r="L6940" s="25"/>
      <c r="Q6940" s="17"/>
    </row>
    <row r="6941" spans="12:17" x14ac:dyDescent="0.3">
      <c r="L6941" s="25"/>
      <c r="Q6941" s="17"/>
    </row>
    <row r="6942" spans="12:17" x14ac:dyDescent="0.3">
      <c r="L6942" s="25"/>
      <c r="Q6942" s="17"/>
    </row>
    <row r="6943" spans="12:17" x14ac:dyDescent="0.3">
      <c r="L6943" s="25"/>
      <c r="Q6943" s="17"/>
    </row>
    <row r="6944" spans="12:17" x14ac:dyDescent="0.3">
      <c r="L6944" s="25"/>
      <c r="Q6944" s="17"/>
    </row>
    <row r="6945" spans="12:17" x14ac:dyDescent="0.3">
      <c r="L6945" s="25"/>
      <c r="Q6945" s="17"/>
    </row>
    <row r="6946" spans="12:17" x14ac:dyDescent="0.3">
      <c r="L6946" s="25"/>
      <c r="Q6946" s="17"/>
    </row>
    <row r="6947" spans="12:17" x14ac:dyDescent="0.3">
      <c r="L6947" s="25"/>
      <c r="Q6947" s="17"/>
    </row>
    <row r="6948" spans="12:17" x14ac:dyDescent="0.3">
      <c r="L6948" s="25"/>
      <c r="Q6948" s="17"/>
    </row>
    <row r="6949" spans="12:17" x14ac:dyDescent="0.3">
      <c r="L6949" s="25"/>
      <c r="Q6949" s="17"/>
    </row>
    <row r="6950" spans="12:17" x14ac:dyDescent="0.3">
      <c r="L6950" s="25"/>
      <c r="Q6950" s="17"/>
    </row>
    <row r="6951" spans="12:17" x14ac:dyDescent="0.3">
      <c r="L6951" s="25"/>
      <c r="Q6951" s="17"/>
    </row>
    <row r="6952" spans="12:17" x14ac:dyDescent="0.3">
      <c r="L6952" s="25"/>
      <c r="Q6952" s="17"/>
    </row>
    <row r="6953" spans="12:17" x14ac:dyDescent="0.3">
      <c r="L6953" s="25"/>
      <c r="Q6953" s="17"/>
    </row>
    <row r="6954" spans="12:17" x14ac:dyDescent="0.3">
      <c r="L6954" s="25"/>
      <c r="Q6954" s="17"/>
    </row>
    <row r="6955" spans="12:17" x14ac:dyDescent="0.3">
      <c r="L6955" s="25"/>
      <c r="Q6955" s="17"/>
    </row>
    <row r="6956" spans="12:17" x14ac:dyDescent="0.3">
      <c r="L6956" s="25"/>
      <c r="Q6956" s="17"/>
    </row>
    <row r="6957" spans="12:17" x14ac:dyDescent="0.3">
      <c r="L6957" s="25"/>
      <c r="Q6957" s="17"/>
    </row>
    <row r="6958" spans="12:17" x14ac:dyDescent="0.3">
      <c r="L6958" s="25"/>
      <c r="Q6958" s="17"/>
    </row>
    <row r="6959" spans="12:17" x14ac:dyDescent="0.3">
      <c r="L6959" s="25"/>
      <c r="Q6959" s="17"/>
    </row>
    <row r="6960" spans="12:17" x14ac:dyDescent="0.3">
      <c r="L6960" s="25"/>
      <c r="Q6960" s="17"/>
    </row>
    <row r="6961" spans="12:17" x14ac:dyDescent="0.3">
      <c r="L6961" s="25"/>
      <c r="Q6961" s="17"/>
    </row>
    <row r="6962" spans="12:17" x14ac:dyDescent="0.3">
      <c r="L6962" s="25"/>
      <c r="Q6962" s="17"/>
    </row>
    <row r="6963" spans="12:17" x14ac:dyDescent="0.3">
      <c r="L6963" s="25"/>
      <c r="Q6963" s="17"/>
    </row>
    <row r="6964" spans="12:17" x14ac:dyDescent="0.3">
      <c r="L6964" s="25"/>
      <c r="Q6964" s="17"/>
    </row>
    <row r="6965" spans="12:17" x14ac:dyDescent="0.3">
      <c r="L6965" s="25"/>
      <c r="Q6965" s="17"/>
    </row>
    <row r="6966" spans="12:17" x14ac:dyDescent="0.3">
      <c r="L6966" s="25"/>
      <c r="Q6966" s="17"/>
    </row>
    <row r="6967" spans="12:17" x14ac:dyDescent="0.3">
      <c r="L6967" s="25"/>
      <c r="Q6967" s="17"/>
    </row>
    <row r="6968" spans="12:17" x14ac:dyDescent="0.3">
      <c r="L6968" s="25"/>
      <c r="Q6968" s="17"/>
    </row>
    <row r="6969" spans="12:17" x14ac:dyDescent="0.3">
      <c r="L6969" s="25"/>
      <c r="Q6969" s="17"/>
    </row>
    <row r="6970" spans="12:17" x14ac:dyDescent="0.3">
      <c r="L6970" s="25"/>
      <c r="Q6970" s="17"/>
    </row>
    <row r="6971" spans="12:17" x14ac:dyDescent="0.3">
      <c r="L6971" s="25"/>
      <c r="Q6971" s="17"/>
    </row>
    <row r="6972" spans="12:17" x14ac:dyDescent="0.3">
      <c r="L6972" s="25"/>
      <c r="Q6972" s="17"/>
    </row>
    <row r="6973" spans="12:17" x14ac:dyDescent="0.3">
      <c r="L6973" s="25"/>
      <c r="Q6973" s="17"/>
    </row>
    <row r="6974" spans="12:17" x14ac:dyDescent="0.3">
      <c r="L6974" s="25"/>
      <c r="Q6974" s="17"/>
    </row>
    <row r="6975" spans="12:17" x14ac:dyDescent="0.3">
      <c r="L6975" s="25"/>
      <c r="Q6975" s="17"/>
    </row>
    <row r="6976" spans="12:17" x14ac:dyDescent="0.3">
      <c r="L6976" s="25"/>
      <c r="Q6976" s="17"/>
    </row>
    <row r="6977" spans="12:17" x14ac:dyDescent="0.3">
      <c r="L6977" s="25"/>
      <c r="Q6977" s="17"/>
    </row>
    <row r="6978" spans="12:17" x14ac:dyDescent="0.3">
      <c r="L6978" s="25"/>
      <c r="Q6978" s="17"/>
    </row>
    <row r="6979" spans="12:17" x14ac:dyDescent="0.3">
      <c r="L6979" s="25"/>
      <c r="Q6979" s="17"/>
    </row>
    <row r="6980" spans="12:17" x14ac:dyDescent="0.3">
      <c r="L6980" s="25"/>
      <c r="Q6980" s="17"/>
    </row>
    <row r="6981" spans="12:17" x14ac:dyDescent="0.3">
      <c r="L6981" s="25"/>
      <c r="Q6981" s="17"/>
    </row>
    <row r="6982" spans="12:17" x14ac:dyDescent="0.3">
      <c r="L6982" s="25"/>
      <c r="Q6982" s="17"/>
    </row>
    <row r="6983" spans="12:17" x14ac:dyDescent="0.3">
      <c r="L6983" s="25"/>
      <c r="Q6983" s="17"/>
    </row>
    <row r="6984" spans="12:17" x14ac:dyDescent="0.3">
      <c r="L6984" s="25"/>
      <c r="Q6984" s="17"/>
    </row>
    <row r="6985" spans="12:17" x14ac:dyDescent="0.3">
      <c r="L6985" s="25"/>
      <c r="Q6985" s="17"/>
    </row>
    <row r="6986" spans="12:17" x14ac:dyDescent="0.3">
      <c r="L6986" s="25"/>
      <c r="Q6986" s="17"/>
    </row>
    <row r="6987" spans="12:17" x14ac:dyDescent="0.3">
      <c r="L6987" s="25"/>
      <c r="Q6987" s="17"/>
    </row>
    <row r="6988" spans="12:17" x14ac:dyDescent="0.3">
      <c r="L6988" s="25"/>
      <c r="Q6988" s="17"/>
    </row>
    <row r="6989" spans="12:17" x14ac:dyDescent="0.3">
      <c r="L6989" s="25"/>
      <c r="Q6989" s="17"/>
    </row>
    <row r="6990" spans="12:17" x14ac:dyDescent="0.3">
      <c r="L6990" s="25"/>
      <c r="Q6990" s="17"/>
    </row>
    <row r="6991" spans="12:17" x14ac:dyDescent="0.3">
      <c r="L6991" s="25"/>
      <c r="Q6991" s="17"/>
    </row>
    <row r="6992" spans="12:17" x14ac:dyDescent="0.3">
      <c r="L6992" s="25"/>
      <c r="Q6992" s="17"/>
    </row>
    <row r="6993" spans="12:17" x14ac:dyDescent="0.3">
      <c r="L6993" s="25"/>
      <c r="Q6993" s="17"/>
    </row>
    <row r="6994" spans="12:17" x14ac:dyDescent="0.3">
      <c r="L6994" s="25"/>
      <c r="Q6994" s="17"/>
    </row>
    <row r="6995" spans="12:17" x14ac:dyDescent="0.3">
      <c r="L6995" s="25"/>
      <c r="Q6995" s="17"/>
    </row>
    <row r="6996" spans="12:17" x14ac:dyDescent="0.3">
      <c r="L6996" s="25"/>
      <c r="Q6996" s="17"/>
    </row>
    <row r="6997" spans="12:17" x14ac:dyDescent="0.3">
      <c r="L6997" s="25"/>
      <c r="Q6997" s="17"/>
    </row>
    <row r="6998" spans="12:17" x14ac:dyDescent="0.3">
      <c r="L6998" s="25"/>
      <c r="Q6998" s="17"/>
    </row>
    <row r="6999" spans="12:17" x14ac:dyDescent="0.3">
      <c r="L6999" s="25"/>
      <c r="Q6999" s="17"/>
    </row>
    <row r="7000" spans="12:17" x14ac:dyDescent="0.3">
      <c r="L7000" s="25"/>
      <c r="Q7000" s="17"/>
    </row>
    <row r="7001" spans="12:17" x14ac:dyDescent="0.3">
      <c r="L7001" s="25"/>
      <c r="Q7001" s="17"/>
    </row>
    <row r="7002" spans="12:17" x14ac:dyDescent="0.3">
      <c r="L7002" s="25"/>
      <c r="Q7002" s="17"/>
    </row>
    <row r="7003" spans="12:17" x14ac:dyDescent="0.3">
      <c r="L7003" s="25"/>
      <c r="Q7003" s="17"/>
    </row>
    <row r="7004" spans="12:17" x14ac:dyDescent="0.3">
      <c r="L7004" s="25"/>
      <c r="Q7004" s="17"/>
    </row>
    <row r="7005" spans="12:17" x14ac:dyDescent="0.3">
      <c r="L7005" s="25"/>
      <c r="Q7005" s="17"/>
    </row>
    <row r="7006" spans="12:17" x14ac:dyDescent="0.3">
      <c r="L7006" s="25"/>
      <c r="Q7006" s="17"/>
    </row>
    <row r="7007" spans="12:17" x14ac:dyDescent="0.3">
      <c r="L7007" s="25"/>
      <c r="Q7007" s="17"/>
    </row>
    <row r="7008" spans="12:17" x14ac:dyDescent="0.3">
      <c r="L7008" s="25"/>
      <c r="Q7008" s="17"/>
    </row>
    <row r="7009" spans="12:17" x14ac:dyDescent="0.3">
      <c r="L7009" s="25"/>
      <c r="Q7009" s="17"/>
    </row>
    <row r="7010" spans="12:17" x14ac:dyDescent="0.3">
      <c r="L7010" s="25"/>
      <c r="Q7010" s="17"/>
    </row>
    <row r="7011" spans="12:17" x14ac:dyDescent="0.3">
      <c r="L7011" s="25"/>
      <c r="Q7011" s="17"/>
    </row>
    <row r="7012" spans="12:17" x14ac:dyDescent="0.3">
      <c r="L7012" s="25"/>
      <c r="Q7012" s="17"/>
    </row>
    <row r="7013" spans="12:17" x14ac:dyDescent="0.3">
      <c r="L7013" s="25"/>
      <c r="Q7013" s="17"/>
    </row>
    <row r="7014" spans="12:17" x14ac:dyDescent="0.3">
      <c r="L7014" s="25"/>
      <c r="Q7014" s="17"/>
    </row>
    <row r="7015" spans="12:17" x14ac:dyDescent="0.3">
      <c r="L7015" s="25"/>
      <c r="Q7015" s="17"/>
    </row>
    <row r="7016" spans="12:17" x14ac:dyDescent="0.3">
      <c r="L7016" s="25"/>
      <c r="Q7016" s="17"/>
    </row>
    <row r="7017" spans="12:17" x14ac:dyDescent="0.3">
      <c r="L7017" s="25"/>
      <c r="Q7017" s="17"/>
    </row>
    <row r="7018" spans="12:17" x14ac:dyDescent="0.3">
      <c r="L7018" s="25"/>
      <c r="Q7018" s="17"/>
    </row>
    <row r="7019" spans="12:17" x14ac:dyDescent="0.3">
      <c r="L7019" s="25"/>
      <c r="Q7019" s="17"/>
    </row>
    <row r="7020" spans="12:17" x14ac:dyDescent="0.3">
      <c r="L7020" s="25"/>
      <c r="Q7020" s="17"/>
    </row>
    <row r="7021" spans="12:17" x14ac:dyDescent="0.3">
      <c r="L7021" s="25"/>
      <c r="Q7021" s="17"/>
    </row>
    <row r="7022" spans="12:17" x14ac:dyDescent="0.3">
      <c r="L7022" s="25"/>
      <c r="Q7022" s="17"/>
    </row>
    <row r="7023" spans="12:17" x14ac:dyDescent="0.3">
      <c r="L7023" s="25"/>
      <c r="Q7023" s="17"/>
    </row>
    <row r="7024" spans="12:17" x14ac:dyDescent="0.3">
      <c r="L7024" s="25"/>
      <c r="Q7024" s="17"/>
    </row>
    <row r="7025" spans="12:17" x14ac:dyDescent="0.3">
      <c r="L7025" s="25"/>
      <c r="Q7025" s="17"/>
    </row>
    <row r="7026" spans="12:17" x14ac:dyDescent="0.3">
      <c r="L7026" s="25"/>
      <c r="Q7026" s="17"/>
    </row>
    <row r="7027" spans="12:17" x14ac:dyDescent="0.3">
      <c r="L7027" s="25"/>
      <c r="Q7027" s="17"/>
    </row>
    <row r="7028" spans="12:17" x14ac:dyDescent="0.3">
      <c r="L7028" s="25"/>
      <c r="Q7028" s="17"/>
    </row>
    <row r="7029" spans="12:17" x14ac:dyDescent="0.3">
      <c r="L7029" s="25"/>
      <c r="Q7029" s="17"/>
    </row>
    <row r="7030" spans="12:17" x14ac:dyDescent="0.3">
      <c r="L7030" s="25"/>
      <c r="Q7030" s="17"/>
    </row>
    <row r="7031" spans="12:17" x14ac:dyDescent="0.3">
      <c r="L7031" s="25"/>
      <c r="Q7031" s="17"/>
    </row>
    <row r="7032" spans="12:17" x14ac:dyDescent="0.3">
      <c r="L7032" s="25"/>
      <c r="Q7032" s="17"/>
    </row>
    <row r="7033" spans="12:17" x14ac:dyDescent="0.3">
      <c r="L7033" s="25"/>
      <c r="Q7033" s="17"/>
    </row>
    <row r="7034" spans="12:17" x14ac:dyDescent="0.3">
      <c r="L7034" s="25"/>
      <c r="Q7034" s="17"/>
    </row>
    <row r="7035" spans="12:17" x14ac:dyDescent="0.3">
      <c r="L7035" s="25"/>
      <c r="Q7035" s="17"/>
    </row>
    <row r="7036" spans="12:17" x14ac:dyDescent="0.3">
      <c r="L7036" s="25"/>
      <c r="Q7036" s="17"/>
    </row>
    <row r="7037" spans="12:17" x14ac:dyDescent="0.3">
      <c r="L7037" s="25"/>
      <c r="Q7037" s="17"/>
    </row>
    <row r="7038" spans="12:17" x14ac:dyDescent="0.3">
      <c r="L7038" s="25"/>
      <c r="Q7038" s="17"/>
    </row>
    <row r="7039" spans="12:17" x14ac:dyDescent="0.3">
      <c r="L7039" s="25"/>
      <c r="Q7039" s="17"/>
    </row>
    <row r="7040" spans="12:17" x14ac:dyDescent="0.3">
      <c r="L7040" s="25"/>
      <c r="Q7040" s="17"/>
    </row>
    <row r="7041" spans="12:17" x14ac:dyDescent="0.3">
      <c r="L7041" s="25"/>
      <c r="Q7041" s="17"/>
    </row>
    <row r="7042" spans="12:17" x14ac:dyDescent="0.3">
      <c r="L7042" s="25"/>
      <c r="Q7042" s="17"/>
    </row>
    <row r="7043" spans="12:17" x14ac:dyDescent="0.3">
      <c r="L7043" s="25"/>
      <c r="Q7043" s="17"/>
    </row>
    <row r="7044" spans="12:17" x14ac:dyDescent="0.3">
      <c r="L7044" s="25"/>
      <c r="Q7044" s="17"/>
    </row>
    <row r="7045" spans="12:17" x14ac:dyDescent="0.3">
      <c r="L7045" s="25"/>
      <c r="Q7045" s="17"/>
    </row>
    <row r="7046" spans="12:17" x14ac:dyDescent="0.3">
      <c r="L7046" s="25"/>
      <c r="Q7046" s="17"/>
    </row>
    <row r="7047" spans="12:17" x14ac:dyDescent="0.3">
      <c r="L7047" s="25"/>
      <c r="Q7047" s="17"/>
    </row>
    <row r="7048" spans="12:17" x14ac:dyDescent="0.3">
      <c r="L7048" s="25"/>
      <c r="Q7048" s="17"/>
    </row>
    <row r="7049" spans="12:17" x14ac:dyDescent="0.3">
      <c r="L7049" s="25"/>
      <c r="Q7049" s="17"/>
    </row>
    <row r="7050" spans="12:17" x14ac:dyDescent="0.3">
      <c r="L7050" s="25"/>
      <c r="Q7050" s="17"/>
    </row>
    <row r="7051" spans="12:17" x14ac:dyDescent="0.3">
      <c r="L7051" s="25"/>
      <c r="Q7051" s="17"/>
    </row>
    <row r="7052" spans="12:17" x14ac:dyDescent="0.3">
      <c r="L7052" s="25"/>
      <c r="Q7052" s="17"/>
    </row>
    <row r="7053" spans="12:17" x14ac:dyDescent="0.3">
      <c r="L7053" s="25"/>
      <c r="Q7053" s="17"/>
    </row>
    <row r="7054" spans="12:17" x14ac:dyDescent="0.3">
      <c r="L7054" s="25"/>
      <c r="Q7054" s="17"/>
    </row>
    <row r="7055" spans="12:17" x14ac:dyDescent="0.3">
      <c r="L7055" s="25"/>
      <c r="Q7055" s="17"/>
    </row>
    <row r="7056" spans="12:17" x14ac:dyDescent="0.3">
      <c r="L7056" s="25"/>
      <c r="Q7056" s="17"/>
    </row>
    <row r="7057" spans="12:17" x14ac:dyDescent="0.3">
      <c r="L7057" s="25"/>
      <c r="Q7057" s="17"/>
    </row>
    <row r="7058" spans="12:17" x14ac:dyDescent="0.3">
      <c r="L7058" s="25"/>
      <c r="Q7058" s="17"/>
    </row>
    <row r="7059" spans="12:17" x14ac:dyDescent="0.3">
      <c r="L7059" s="25"/>
      <c r="Q7059" s="17"/>
    </row>
    <row r="7060" spans="12:17" x14ac:dyDescent="0.3">
      <c r="L7060" s="25"/>
      <c r="Q7060" s="17"/>
    </row>
    <row r="7061" spans="12:17" x14ac:dyDescent="0.3">
      <c r="L7061" s="25"/>
      <c r="Q7061" s="17"/>
    </row>
    <row r="7062" spans="12:17" x14ac:dyDescent="0.3">
      <c r="L7062" s="25"/>
      <c r="Q7062" s="17"/>
    </row>
    <row r="7063" spans="12:17" x14ac:dyDescent="0.3">
      <c r="L7063" s="25"/>
      <c r="Q7063" s="17"/>
    </row>
    <row r="7064" spans="12:17" x14ac:dyDescent="0.3">
      <c r="L7064" s="25"/>
      <c r="Q7064" s="17"/>
    </row>
    <row r="7065" spans="12:17" x14ac:dyDescent="0.3">
      <c r="L7065" s="25"/>
      <c r="Q7065" s="17"/>
    </row>
    <row r="7066" spans="12:17" x14ac:dyDescent="0.3">
      <c r="L7066" s="25"/>
      <c r="Q7066" s="17"/>
    </row>
    <row r="7067" spans="12:17" x14ac:dyDescent="0.3">
      <c r="L7067" s="25"/>
      <c r="Q7067" s="17"/>
    </row>
    <row r="7068" spans="12:17" x14ac:dyDescent="0.3">
      <c r="L7068" s="25"/>
      <c r="Q7068" s="17"/>
    </row>
    <row r="7069" spans="12:17" x14ac:dyDescent="0.3">
      <c r="L7069" s="25"/>
      <c r="Q7069" s="17"/>
    </row>
    <row r="7070" spans="12:17" x14ac:dyDescent="0.3">
      <c r="L7070" s="25"/>
      <c r="Q7070" s="17"/>
    </row>
    <row r="7071" spans="12:17" x14ac:dyDescent="0.3">
      <c r="L7071" s="25"/>
      <c r="Q7071" s="17"/>
    </row>
    <row r="7072" spans="12:17" x14ac:dyDescent="0.3">
      <c r="L7072" s="25"/>
      <c r="Q7072" s="17"/>
    </row>
    <row r="7073" spans="12:17" x14ac:dyDescent="0.3">
      <c r="L7073" s="25"/>
      <c r="Q7073" s="17"/>
    </row>
    <row r="7074" spans="12:17" x14ac:dyDescent="0.3">
      <c r="L7074" s="25"/>
      <c r="Q7074" s="17"/>
    </row>
    <row r="7075" spans="12:17" x14ac:dyDescent="0.3">
      <c r="L7075" s="25"/>
      <c r="Q7075" s="17"/>
    </row>
    <row r="7076" spans="12:17" x14ac:dyDescent="0.3">
      <c r="L7076" s="25"/>
      <c r="Q7076" s="17"/>
    </row>
    <row r="7077" spans="12:17" x14ac:dyDescent="0.3">
      <c r="L7077" s="25"/>
      <c r="Q7077" s="17"/>
    </row>
    <row r="7078" spans="12:17" x14ac:dyDescent="0.3">
      <c r="L7078" s="25"/>
      <c r="Q7078" s="17"/>
    </row>
    <row r="7079" spans="12:17" x14ac:dyDescent="0.3">
      <c r="L7079" s="25"/>
      <c r="Q7079" s="17"/>
    </row>
    <row r="7080" spans="12:17" x14ac:dyDescent="0.3">
      <c r="L7080" s="25"/>
      <c r="Q7080" s="17"/>
    </row>
    <row r="7081" spans="12:17" x14ac:dyDescent="0.3">
      <c r="L7081" s="25"/>
      <c r="Q7081" s="17"/>
    </row>
    <row r="7082" spans="12:17" x14ac:dyDescent="0.3">
      <c r="L7082" s="25"/>
      <c r="Q7082" s="17"/>
    </row>
    <row r="7083" spans="12:17" x14ac:dyDescent="0.3">
      <c r="L7083" s="25"/>
      <c r="Q7083" s="17"/>
    </row>
    <row r="7084" spans="12:17" x14ac:dyDescent="0.3">
      <c r="L7084" s="25"/>
      <c r="Q7084" s="17"/>
    </row>
    <row r="7085" spans="12:17" x14ac:dyDescent="0.3">
      <c r="L7085" s="25"/>
      <c r="Q7085" s="17"/>
    </row>
    <row r="7086" spans="12:17" x14ac:dyDescent="0.3">
      <c r="L7086" s="25"/>
      <c r="Q7086" s="17"/>
    </row>
    <row r="7087" spans="12:17" x14ac:dyDescent="0.3">
      <c r="L7087" s="25"/>
      <c r="Q7087" s="17"/>
    </row>
    <row r="7088" spans="12:17" x14ac:dyDescent="0.3">
      <c r="L7088" s="25"/>
      <c r="Q7088" s="17"/>
    </row>
    <row r="7089" spans="12:17" x14ac:dyDescent="0.3">
      <c r="L7089" s="25"/>
      <c r="Q7089" s="17"/>
    </row>
    <row r="7090" spans="12:17" x14ac:dyDescent="0.3">
      <c r="L7090" s="25"/>
      <c r="Q7090" s="17"/>
    </row>
    <row r="7091" spans="12:17" x14ac:dyDescent="0.3">
      <c r="L7091" s="25"/>
      <c r="Q7091" s="17"/>
    </row>
    <row r="7092" spans="12:17" x14ac:dyDescent="0.3">
      <c r="L7092" s="25"/>
      <c r="Q7092" s="17"/>
    </row>
    <row r="7093" spans="12:17" x14ac:dyDescent="0.3">
      <c r="L7093" s="25"/>
      <c r="Q7093" s="17"/>
    </row>
    <row r="7094" spans="12:17" x14ac:dyDescent="0.3">
      <c r="L7094" s="25"/>
      <c r="Q7094" s="17"/>
    </row>
    <row r="7095" spans="12:17" x14ac:dyDescent="0.3">
      <c r="L7095" s="25"/>
      <c r="Q7095" s="17"/>
    </row>
    <row r="7096" spans="12:17" x14ac:dyDescent="0.3">
      <c r="L7096" s="25"/>
      <c r="Q7096" s="17"/>
    </row>
    <row r="7097" spans="12:17" x14ac:dyDescent="0.3">
      <c r="L7097" s="25"/>
      <c r="Q7097" s="17"/>
    </row>
    <row r="7098" spans="12:17" x14ac:dyDescent="0.3">
      <c r="L7098" s="25"/>
      <c r="Q7098" s="17"/>
    </row>
    <row r="7099" spans="12:17" x14ac:dyDescent="0.3">
      <c r="L7099" s="25"/>
      <c r="Q7099" s="17"/>
    </row>
    <row r="7100" spans="12:17" x14ac:dyDescent="0.3">
      <c r="L7100" s="25"/>
      <c r="Q7100" s="17"/>
    </row>
    <row r="7101" spans="12:17" x14ac:dyDescent="0.3">
      <c r="L7101" s="25"/>
      <c r="Q7101" s="17"/>
    </row>
    <row r="7102" spans="12:17" x14ac:dyDescent="0.3">
      <c r="L7102" s="25"/>
      <c r="Q7102" s="17"/>
    </row>
    <row r="7103" spans="12:17" x14ac:dyDescent="0.3">
      <c r="L7103" s="25"/>
      <c r="Q7103" s="17"/>
    </row>
    <row r="7104" spans="12:17" x14ac:dyDescent="0.3">
      <c r="L7104" s="25"/>
      <c r="Q7104" s="17"/>
    </row>
    <row r="7105" spans="12:17" x14ac:dyDescent="0.3">
      <c r="L7105" s="25"/>
      <c r="Q7105" s="17"/>
    </row>
    <row r="7106" spans="12:17" x14ac:dyDescent="0.3">
      <c r="L7106" s="25"/>
      <c r="Q7106" s="17"/>
    </row>
    <row r="7107" spans="12:17" x14ac:dyDescent="0.3">
      <c r="L7107" s="25"/>
      <c r="Q7107" s="17"/>
    </row>
    <row r="7108" spans="12:17" x14ac:dyDescent="0.3">
      <c r="L7108" s="25"/>
      <c r="Q7108" s="17"/>
    </row>
    <row r="7109" spans="12:17" x14ac:dyDescent="0.3">
      <c r="L7109" s="25"/>
      <c r="Q7109" s="17"/>
    </row>
    <row r="7110" spans="12:17" x14ac:dyDescent="0.3">
      <c r="L7110" s="25"/>
      <c r="Q7110" s="17"/>
    </row>
    <row r="7111" spans="12:17" x14ac:dyDescent="0.3">
      <c r="L7111" s="25"/>
      <c r="Q7111" s="17"/>
    </row>
    <row r="7112" spans="12:17" x14ac:dyDescent="0.3">
      <c r="L7112" s="25"/>
      <c r="Q7112" s="17"/>
    </row>
    <row r="7113" spans="12:17" x14ac:dyDescent="0.3">
      <c r="L7113" s="25"/>
      <c r="Q7113" s="17"/>
    </row>
    <row r="7114" spans="12:17" x14ac:dyDescent="0.3">
      <c r="L7114" s="25"/>
      <c r="Q7114" s="17"/>
    </row>
    <row r="7115" spans="12:17" x14ac:dyDescent="0.3">
      <c r="L7115" s="25"/>
      <c r="Q7115" s="17"/>
    </row>
    <row r="7116" spans="12:17" x14ac:dyDescent="0.3">
      <c r="L7116" s="25"/>
      <c r="Q7116" s="17"/>
    </row>
    <row r="7117" spans="12:17" x14ac:dyDescent="0.3">
      <c r="L7117" s="25"/>
      <c r="Q7117" s="17"/>
    </row>
    <row r="7118" spans="12:17" x14ac:dyDescent="0.3">
      <c r="L7118" s="25"/>
      <c r="Q7118" s="17"/>
    </row>
    <row r="7119" spans="12:17" x14ac:dyDescent="0.3">
      <c r="L7119" s="25"/>
      <c r="Q7119" s="17"/>
    </row>
    <row r="7120" spans="12:17" x14ac:dyDescent="0.3">
      <c r="L7120" s="25"/>
      <c r="Q7120" s="17"/>
    </row>
    <row r="7121" spans="12:17" x14ac:dyDescent="0.3">
      <c r="L7121" s="25"/>
      <c r="Q7121" s="17"/>
    </row>
    <row r="7122" spans="12:17" x14ac:dyDescent="0.3">
      <c r="L7122" s="25"/>
      <c r="Q7122" s="17"/>
    </row>
    <row r="7123" spans="12:17" x14ac:dyDescent="0.3">
      <c r="L7123" s="25"/>
      <c r="Q7123" s="17"/>
    </row>
    <row r="7124" spans="12:17" x14ac:dyDescent="0.3">
      <c r="L7124" s="25"/>
      <c r="Q7124" s="17"/>
    </row>
    <row r="7125" spans="12:17" x14ac:dyDescent="0.3">
      <c r="L7125" s="25"/>
      <c r="Q7125" s="17"/>
    </row>
    <row r="7126" spans="12:17" x14ac:dyDescent="0.3">
      <c r="L7126" s="25"/>
      <c r="Q7126" s="17"/>
    </row>
    <row r="7127" spans="12:17" x14ac:dyDescent="0.3">
      <c r="L7127" s="25"/>
      <c r="Q7127" s="17"/>
    </row>
    <row r="7128" spans="12:17" x14ac:dyDescent="0.3">
      <c r="L7128" s="25"/>
      <c r="Q7128" s="17"/>
    </row>
    <row r="7129" spans="12:17" x14ac:dyDescent="0.3">
      <c r="L7129" s="25"/>
      <c r="Q7129" s="17"/>
    </row>
    <row r="7130" spans="12:17" x14ac:dyDescent="0.3">
      <c r="L7130" s="25"/>
      <c r="Q7130" s="17"/>
    </row>
    <row r="7131" spans="12:17" x14ac:dyDescent="0.3">
      <c r="L7131" s="25"/>
      <c r="Q7131" s="17"/>
    </row>
    <row r="7132" spans="12:17" x14ac:dyDescent="0.3">
      <c r="L7132" s="25"/>
      <c r="Q7132" s="17"/>
    </row>
    <row r="7133" spans="12:17" x14ac:dyDescent="0.3">
      <c r="L7133" s="25"/>
      <c r="Q7133" s="17"/>
    </row>
    <row r="7134" spans="12:17" x14ac:dyDescent="0.3">
      <c r="L7134" s="25"/>
      <c r="Q7134" s="17"/>
    </row>
    <row r="7135" spans="12:17" x14ac:dyDescent="0.3">
      <c r="L7135" s="25"/>
      <c r="Q7135" s="17"/>
    </row>
    <row r="7136" spans="12:17" x14ac:dyDescent="0.3">
      <c r="L7136" s="25"/>
      <c r="Q7136" s="17"/>
    </row>
    <row r="7137" spans="12:17" x14ac:dyDescent="0.3">
      <c r="L7137" s="25"/>
      <c r="Q7137" s="17"/>
    </row>
    <row r="7138" spans="12:17" x14ac:dyDescent="0.3">
      <c r="L7138" s="25"/>
      <c r="Q7138" s="17"/>
    </row>
    <row r="7139" spans="12:17" x14ac:dyDescent="0.3">
      <c r="L7139" s="25"/>
      <c r="Q7139" s="17"/>
    </row>
    <row r="7140" spans="12:17" x14ac:dyDescent="0.3">
      <c r="L7140" s="25"/>
      <c r="Q7140" s="17"/>
    </row>
    <row r="7141" spans="12:17" x14ac:dyDescent="0.3">
      <c r="L7141" s="25"/>
      <c r="Q7141" s="17"/>
    </row>
    <row r="7142" spans="12:17" x14ac:dyDescent="0.3">
      <c r="L7142" s="25"/>
      <c r="Q7142" s="17"/>
    </row>
    <row r="7143" spans="12:17" x14ac:dyDescent="0.3">
      <c r="L7143" s="25"/>
      <c r="Q7143" s="17"/>
    </row>
    <row r="7144" spans="12:17" x14ac:dyDescent="0.3">
      <c r="L7144" s="25"/>
      <c r="Q7144" s="17"/>
    </row>
    <row r="7145" spans="12:17" x14ac:dyDescent="0.3">
      <c r="L7145" s="25"/>
      <c r="Q7145" s="17"/>
    </row>
    <row r="7146" spans="12:17" x14ac:dyDescent="0.3">
      <c r="L7146" s="25"/>
      <c r="Q7146" s="17"/>
    </row>
    <row r="7147" spans="12:17" x14ac:dyDescent="0.3">
      <c r="L7147" s="25"/>
      <c r="Q7147" s="17"/>
    </row>
    <row r="7148" spans="12:17" x14ac:dyDescent="0.3">
      <c r="L7148" s="25"/>
      <c r="Q7148" s="17"/>
    </row>
    <row r="7149" spans="12:17" x14ac:dyDescent="0.3">
      <c r="L7149" s="25"/>
      <c r="Q7149" s="17"/>
    </row>
    <row r="7150" spans="12:17" x14ac:dyDescent="0.3">
      <c r="L7150" s="25"/>
      <c r="Q7150" s="17"/>
    </row>
    <row r="7151" spans="12:17" x14ac:dyDescent="0.3">
      <c r="L7151" s="25"/>
      <c r="Q7151" s="17"/>
    </row>
    <row r="7152" spans="12:17" x14ac:dyDescent="0.3">
      <c r="L7152" s="25"/>
      <c r="Q7152" s="17"/>
    </row>
    <row r="7153" spans="12:17" x14ac:dyDescent="0.3">
      <c r="L7153" s="25"/>
      <c r="Q7153" s="17"/>
    </row>
    <row r="7154" spans="12:17" x14ac:dyDescent="0.3">
      <c r="L7154" s="25"/>
      <c r="Q7154" s="17"/>
    </row>
    <row r="7155" spans="12:17" x14ac:dyDescent="0.3">
      <c r="L7155" s="25"/>
      <c r="Q7155" s="17"/>
    </row>
    <row r="7156" spans="12:17" x14ac:dyDescent="0.3">
      <c r="L7156" s="25"/>
      <c r="Q7156" s="17"/>
    </row>
    <row r="7157" spans="12:17" x14ac:dyDescent="0.3">
      <c r="L7157" s="25"/>
      <c r="Q7157" s="17"/>
    </row>
    <row r="7158" spans="12:17" x14ac:dyDescent="0.3">
      <c r="L7158" s="25"/>
      <c r="Q7158" s="17"/>
    </row>
    <row r="7159" spans="12:17" x14ac:dyDescent="0.3">
      <c r="L7159" s="25"/>
      <c r="Q7159" s="17"/>
    </row>
    <row r="7160" spans="12:17" x14ac:dyDescent="0.3">
      <c r="L7160" s="25"/>
      <c r="Q7160" s="17"/>
    </row>
    <row r="7161" spans="12:17" x14ac:dyDescent="0.3">
      <c r="L7161" s="25"/>
      <c r="Q7161" s="17"/>
    </row>
    <row r="7162" spans="12:17" x14ac:dyDescent="0.3">
      <c r="L7162" s="25"/>
      <c r="Q7162" s="17"/>
    </row>
    <row r="7163" spans="12:17" x14ac:dyDescent="0.3">
      <c r="L7163" s="25"/>
      <c r="Q7163" s="17"/>
    </row>
    <row r="7164" spans="12:17" x14ac:dyDescent="0.3">
      <c r="L7164" s="25"/>
      <c r="Q7164" s="17"/>
    </row>
    <row r="7165" spans="12:17" x14ac:dyDescent="0.3">
      <c r="L7165" s="25"/>
      <c r="Q7165" s="17"/>
    </row>
    <row r="7166" spans="12:17" x14ac:dyDescent="0.3">
      <c r="L7166" s="25"/>
      <c r="Q7166" s="17"/>
    </row>
    <row r="7167" spans="12:17" x14ac:dyDescent="0.3">
      <c r="L7167" s="25"/>
      <c r="Q7167" s="17"/>
    </row>
    <row r="7168" spans="12:17" x14ac:dyDescent="0.3">
      <c r="L7168" s="25"/>
      <c r="Q7168" s="17"/>
    </row>
    <row r="7169" spans="12:17" x14ac:dyDescent="0.3">
      <c r="L7169" s="25"/>
      <c r="Q7169" s="17"/>
    </row>
    <row r="7170" spans="12:17" x14ac:dyDescent="0.3">
      <c r="L7170" s="25"/>
      <c r="Q7170" s="17"/>
    </row>
    <row r="7171" spans="12:17" x14ac:dyDescent="0.3">
      <c r="L7171" s="25"/>
      <c r="Q7171" s="17"/>
    </row>
    <row r="7172" spans="12:17" x14ac:dyDescent="0.3">
      <c r="L7172" s="25"/>
      <c r="Q7172" s="17"/>
    </row>
    <row r="7173" spans="12:17" x14ac:dyDescent="0.3">
      <c r="L7173" s="25"/>
      <c r="Q7173" s="17"/>
    </row>
    <row r="7174" spans="12:17" x14ac:dyDescent="0.3">
      <c r="L7174" s="25"/>
      <c r="Q7174" s="17"/>
    </row>
    <row r="7175" spans="12:17" x14ac:dyDescent="0.3">
      <c r="L7175" s="25"/>
      <c r="Q7175" s="17"/>
    </row>
    <row r="7176" spans="12:17" x14ac:dyDescent="0.3">
      <c r="L7176" s="25"/>
      <c r="Q7176" s="17"/>
    </row>
    <row r="7177" spans="12:17" x14ac:dyDescent="0.3">
      <c r="L7177" s="25"/>
      <c r="Q7177" s="17"/>
    </row>
    <row r="7178" spans="12:17" x14ac:dyDescent="0.3">
      <c r="L7178" s="25"/>
      <c r="Q7178" s="17"/>
    </row>
    <row r="7179" spans="12:17" x14ac:dyDescent="0.3">
      <c r="L7179" s="25"/>
      <c r="Q7179" s="17"/>
    </row>
    <row r="7180" spans="12:17" x14ac:dyDescent="0.3">
      <c r="L7180" s="25"/>
      <c r="Q7180" s="17"/>
    </row>
    <row r="7181" spans="12:17" x14ac:dyDescent="0.3">
      <c r="L7181" s="25"/>
      <c r="Q7181" s="17"/>
    </row>
    <row r="7182" spans="12:17" x14ac:dyDescent="0.3">
      <c r="L7182" s="25"/>
      <c r="Q7182" s="17"/>
    </row>
    <row r="7183" spans="12:17" x14ac:dyDescent="0.3">
      <c r="L7183" s="25"/>
      <c r="Q7183" s="17"/>
    </row>
    <row r="7184" spans="12:17" x14ac:dyDescent="0.3">
      <c r="L7184" s="25"/>
      <c r="Q7184" s="17"/>
    </row>
    <row r="7185" spans="12:17" x14ac:dyDescent="0.3">
      <c r="L7185" s="25"/>
      <c r="Q7185" s="17"/>
    </row>
    <row r="7186" spans="12:17" x14ac:dyDescent="0.3">
      <c r="L7186" s="25"/>
      <c r="Q7186" s="17"/>
    </row>
    <row r="7187" spans="12:17" x14ac:dyDescent="0.3">
      <c r="L7187" s="25"/>
      <c r="Q7187" s="17"/>
    </row>
    <row r="7188" spans="12:17" x14ac:dyDescent="0.3">
      <c r="L7188" s="25"/>
      <c r="Q7188" s="17"/>
    </row>
    <row r="7189" spans="12:17" x14ac:dyDescent="0.3">
      <c r="L7189" s="25"/>
      <c r="Q7189" s="17"/>
    </row>
    <row r="7190" spans="12:17" x14ac:dyDescent="0.3">
      <c r="L7190" s="25"/>
      <c r="Q7190" s="17"/>
    </row>
    <row r="7191" spans="12:17" x14ac:dyDescent="0.3">
      <c r="L7191" s="25"/>
      <c r="Q7191" s="17"/>
    </row>
    <row r="7192" spans="12:17" x14ac:dyDescent="0.3">
      <c r="L7192" s="25"/>
      <c r="Q7192" s="17"/>
    </row>
    <row r="7193" spans="12:17" x14ac:dyDescent="0.3">
      <c r="L7193" s="25"/>
      <c r="Q7193" s="17"/>
    </row>
    <row r="7194" spans="12:17" x14ac:dyDescent="0.3">
      <c r="L7194" s="25"/>
      <c r="Q7194" s="17"/>
    </row>
    <row r="7195" spans="12:17" x14ac:dyDescent="0.3">
      <c r="L7195" s="25"/>
      <c r="Q7195" s="17"/>
    </row>
    <row r="7196" spans="12:17" x14ac:dyDescent="0.3">
      <c r="L7196" s="25"/>
      <c r="Q7196" s="17"/>
    </row>
    <row r="7197" spans="12:17" x14ac:dyDescent="0.3">
      <c r="L7197" s="25"/>
      <c r="Q7197" s="17"/>
    </row>
    <row r="7198" spans="12:17" x14ac:dyDescent="0.3">
      <c r="L7198" s="25"/>
      <c r="Q7198" s="17"/>
    </row>
    <row r="7199" spans="12:17" x14ac:dyDescent="0.3">
      <c r="L7199" s="25"/>
      <c r="Q7199" s="17"/>
    </row>
    <row r="7200" spans="12:17" x14ac:dyDescent="0.3">
      <c r="L7200" s="25"/>
      <c r="Q7200" s="17"/>
    </row>
    <row r="7201" spans="12:17" x14ac:dyDescent="0.3">
      <c r="L7201" s="25"/>
      <c r="Q7201" s="17"/>
    </row>
    <row r="7202" spans="12:17" x14ac:dyDescent="0.3">
      <c r="L7202" s="25"/>
      <c r="Q7202" s="17"/>
    </row>
    <row r="7203" spans="12:17" x14ac:dyDescent="0.3">
      <c r="L7203" s="25"/>
      <c r="Q7203" s="17"/>
    </row>
    <row r="7204" spans="12:17" x14ac:dyDescent="0.3">
      <c r="L7204" s="25"/>
      <c r="Q7204" s="17"/>
    </row>
    <row r="7205" spans="12:17" x14ac:dyDescent="0.3">
      <c r="L7205" s="25"/>
      <c r="Q7205" s="17"/>
    </row>
    <row r="7206" spans="12:17" x14ac:dyDescent="0.3">
      <c r="L7206" s="25"/>
      <c r="Q7206" s="17"/>
    </row>
    <row r="7207" spans="12:17" x14ac:dyDescent="0.3">
      <c r="L7207" s="25"/>
      <c r="Q7207" s="17"/>
    </row>
    <row r="7208" spans="12:17" x14ac:dyDescent="0.3">
      <c r="L7208" s="25"/>
      <c r="Q7208" s="17"/>
    </row>
    <row r="7209" spans="12:17" x14ac:dyDescent="0.3">
      <c r="L7209" s="25"/>
      <c r="Q7209" s="17"/>
    </row>
    <row r="7210" spans="12:17" x14ac:dyDescent="0.3">
      <c r="L7210" s="25"/>
      <c r="Q7210" s="17"/>
    </row>
    <row r="7211" spans="12:17" x14ac:dyDescent="0.3">
      <c r="L7211" s="25"/>
      <c r="Q7211" s="17"/>
    </row>
    <row r="7212" spans="12:17" x14ac:dyDescent="0.3">
      <c r="L7212" s="25"/>
      <c r="Q7212" s="17"/>
    </row>
    <row r="7213" spans="12:17" x14ac:dyDescent="0.3">
      <c r="L7213" s="25"/>
      <c r="Q7213" s="17"/>
    </row>
    <row r="7214" spans="12:17" x14ac:dyDescent="0.3">
      <c r="L7214" s="25"/>
      <c r="Q7214" s="17"/>
    </row>
    <row r="7215" spans="12:17" x14ac:dyDescent="0.3">
      <c r="L7215" s="25"/>
      <c r="Q7215" s="17"/>
    </row>
    <row r="7216" spans="12:17" x14ac:dyDescent="0.3">
      <c r="L7216" s="25"/>
      <c r="Q7216" s="17"/>
    </row>
    <row r="7217" spans="12:17" x14ac:dyDescent="0.3">
      <c r="L7217" s="25"/>
      <c r="Q7217" s="17"/>
    </row>
    <row r="7218" spans="12:17" x14ac:dyDescent="0.3">
      <c r="L7218" s="25"/>
      <c r="Q7218" s="17"/>
    </row>
    <row r="7219" spans="12:17" x14ac:dyDescent="0.3">
      <c r="L7219" s="25"/>
      <c r="Q7219" s="17"/>
    </row>
    <row r="7220" spans="12:17" x14ac:dyDescent="0.3">
      <c r="L7220" s="25"/>
      <c r="Q7220" s="17"/>
    </row>
    <row r="7221" spans="12:17" x14ac:dyDescent="0.3">
      <c r="L7221" s="25"/>
      <c r="Q7221" s="17"/>
    </row>
    <row r="7222" spans="12:17" x14ac:dyDescent="0.3">
      <c r="L7222" s="25"/>
      <c r="Q7222" s="17"/>
    </row>
    <row r="7223" spans="12:17" x14ac:dyDescent="0.3">
      <c r="L7223" s="25"/>
      <c r="Q7223" s="17"/>
    </row>
    <row r="7224" spans="12:17" x14ac:dyDescent="0.3">
      <c r="L7224" s="25"/>
      <c r="Q7224" s="17"/>
    </row>
    <row r="7225" spans="12:17" x14ac:dyDescent="0.3">
      <c r="L7225" s="25"/>
      <c r="Q7225" s="17"/>
    </row>
    <row r="7226" spans="12:17" x14ac:dyDescent="0.3">
      <c r="L7226" s="25"/>
      <c r="Q7226" s="17"/>
    </row>
    <row r="7227" spans="12:17" x14ac:dyDescent="0.3">
      <c r="L7227" s="25"/>
      <c r="Q7227" s="17"/>
    </row>
    <row r="7228" spans="12:17" x14ac:dyDescent="0.3">
      <c r="L7228" s="25"/>
      <c r="Q7228" s="17"/>
    </row>
    <row r="7229" spans="12:17" x14ac:dyDescent="0.3">
      <c r="L7229" s="25"/>
      <c r="Q7229" s="17"/>
    </row>
    <row r="7230" spans="12:17" x14ac:dyDescent="0.3">
      <c r="L7230" s="25"/>
      <c r="Q7230" s="17"/>
    </row>
    <row r="7231" spans="12:17" x14ac:dyDescent="0.3">
      <c r="L7231" s="25"/>
      <c r="Q7231" s="17"/>
    </row>
    <row r="7232" spans="12:17" x14ac:dyDescent="0.3">
      <c r="L7232" s="25"/>
      <c r="Q7232" s="17"/>
    </row>
    <row r="7233" spans="12:17" x14ac:dyDescent="0.3">
      <c r="L7233" s="25"/>
      <c r="Q7233" s="17"/>
    </row>
    <row r="7234" spans="12:17" x14ac:dyDescent="0.3">
      <c r="L7234" s="25"/>
      <c r="Q7234" s="17"/>
    </row>
    <row r="7235" spans="12:17" x14ac:dyDescent="0.3">
      <c r="L7235" s="25"/>
      <c r="Q7235" s="17"/>
    </row>
    <row r="7236" spans="12:17" x14ac:dyDescent="0.3">
      <c r="L7236" s="25"/>
      <c r="Q7236" s="17"/>
    </row>
    <row r="7237" spans="12:17" x14ac:dyDescent="0.3">
      <c r="L7237" s="25"/>
      <c r="Q7237" s="17"/>
    </row>
    <row r="7238" spans="12:17" x14ac:dyDescent="0.3">
      <c r="L7238" s="25"/>
      <c r="Q7238" s="17"/>
    </row>
    <row r="7239" spans="12:17" x14ac:dyDescent="0.3">
      <c r="L7239" s="25"/>
      <c r="Q7239" s="17"/>
    </row>
    <row r="7240" spans="12:17" x14ac:dyDescent="0.3">
      <c r="L7240" s="25"/>
      <c r="Q7240" s="17"/>
    </row>
    <row r="7241" spans="12:17" x14ac:dyDescent="0.3">
      <c r="L7241" s="25"/>
      <c r="Q7241" s="17"/>
    </row>
    <row r="7242" spans="12:17" x14ac:dyDescent="0.3">
      <c r="L7242" s="25"/>
      <c r="Q7242" s="17"/>
    </row>
    <row r="7243" spans="12:17" x14ac:dyDescent="0.3">
      <c r="L7243" s="25"/>
      <c r="Q7243" s="17"/>
    </row>
    <row r="7244" spans="12:17" x14ac:dyDescent="0.3">
      <c r="L7244" s="25"/>
      <c r="Q7244" s="17"/>
    </row>
    <row r="7245" spans="12:17" x14ac:dyDescent="0.3">
      <c r="L7245" s="25"/>
      <c r="Q7245" s="17"/>
    </row>
    <row r="7246" spans="12:17" x14ac:dyDescent="0.3">
      <c r="L7246" s="25"/>
      <c r="Q7246" s="17"/>
    </row>
    <row r="7247" spans="12:17" x14ac:dyDescent="0.3">
      <c r="L7247" s="25"/>
      <c r="Q7247" s="17"/>
    </row>
    <row r="7248" spans="12:17" x14ac:dyDescent="0.3">
      <c r="L7248" s="25"/>
      <c r="Q7248" s="17"/>
    </row>
    <row r="7249" spans="12:17" x14ac:dyDescent="0.3">
      <c r="L7249" s="25"/>
      <c r="Q7249" s="17"/>
    </row>
    <row r="7250" spans="12:17" x14ac:dyDescent="0.3">
      <c r="L7250" s="25"/>
      <c r="Q7250" s="17"/>
    </row>
    <row r="7251" spans="12:17" x14ac:dyDescent="0.3">
      <c r="L7251" s="25"/>
      <c r="Q7251" s="17"/>
    </row>
    <row r="7252" spans="12:17" x14ac:dyDescent="0.3">
      <c r="L7252" s="25"/>
      <c r="Q7252" s="17"/>
    </row>
    <row r="7253" spans="12:17" x14ac:dyDescent="0.3">
      <c r="L7253" s="25"/>
      <c r="Q7253" s="17"/>
    </row>
    <row r="7254" spans="12:17" x14ac:dyDescent="0.3">
      <c r="L7254" s="25"/>
      <c r="Q7254" s="17"/>
    </row>
    <row r="7255" spans="12:17" x14ac:dyDescent="0.3">
      <c r="L7255" s="25"/>
      <c r="Q7255" s="17"/>
    </row>
    <row r="7256" spans="12:17" x14ac:dyDescent="0.3">
      <c r="L7256" s="25"/>
      <c r="Q7256" s="17"/>
    </row>
    <row r="7257" spans="12:17" x14ac:dyDescent="0.3">
      <c r="L7257" s="25"/>
      <c r="Q7257" s="17"/>
    </row>
    <row r="7258" spans="12:17" x14ac:dyDescent="0.3">
      <c r="L7258" s="25"/>
      <c r="Q7258" s="17"/>
    </row>
    <row r="7259" spans="12:17" x14ac:dyDescent="0.3">
      <c r="L7259" s="25"/>
      <c r="Q7259" s="17"/>
    </row>
    <row r="7260" spans="12:17" x14ac:dyDescent="0.3">
      <c r="L7260" s="25"/>
      <c r="Q7260" s="17"/>
    </row>
    <row r="7261" spans="12:17" x14ac:dyDescent="0.3">
      <c r="L7261" s="25"/>
      <c r="Q7261" s="17"/>
    </row>
    <row r="7262" spans="12:17" x14ac:dyDescent="0.3">
      <c r="L7262" s="25"/>
      <c r="Q7262" s="17"/>
    </row>
    <row r="7263" spans="12:17" x14ac:dyDescent="0.3">
      <c r="L7263" s="25"/>
      <c r="Q7263" s="17"/>
    </row>
    <row r="7264" spans="12:17" x14ac:dyDescent="0.3">
      <c r="L7264" s="25"/>
      <c r="Q7264" s="17"/>
    </row>
    <row r="7265" spans="12:17" x14ac:dyDescent="0.3">
      <c r="L7265" s="25"/>
      <c r="Q7265" s="17"/>
    </row>
    <row r="7266" spans="12:17" x14ac:dyDescent="0.3">
      <c r="L7266" s="25"/>
      <c r="Q7266" s="17"/>
    </row>
    <row r="7267" spans="12:17" x14ac:dyDescent="0.3">
      <c r="L7267" s="25"/>
      <c r="Q7267" s="17"/>
    </row>
    <row r="7268" spans="12:17" x14ac:dyDescent="0.3">
      <c r="L7268" s="25"/>
      <c r="Q7268" s="17"/>
    </row>
    <row r="7269" spans="12:17" x14ac:dyDescent="0.3">
      <c r="L7269" s="25"/>
      <c r="Q7269" s="17"/>
    </row>
    <row r="7270" spans="12:17" x14ac:dyDescent="0.3">
      <c r="L7270" s="25"/>
      <c r="Q7270" s="17"/>
    </row>
    <row r="7271" spans="12:17" x14ac:dyDescent="0.3">
      <c r="L7271" s="25"/>
      <c r="Q7271" s="17"/>
    </row>
    <row r="7272" spans="12:17" x14ac:dyDescent="0.3">
      <c r="L7272" s="25"/>
      <c r="Q7272" s="17"/>
    </row>
    <row r="7273" spans="12:17" x14ac:dyDescent="0.3">
      <c r="L7273" s="25"/>
      <c r="Q7273" s="17"/>
    </row>
    <row r="7274" spans="12:17" x14ac:dyDescent="0.3">
      <c r="L7274" s="25"/>
      <c r="Q7274" s="17"/>
    </row>
    <row r="7275" spans="12:17" x14ac:dyDescent="0.3">
      <c r="L7275" s="25"/>
      <c r="Q7275" s="17"/>
    </row>
    <row r="7276" spans="12:17" x14ac:dyDescent="0.3">
      <c r="L7276" s="25"/>
      <c r="Q7276" s="17"/>
    </row>
    <row r="7277" spans="12:17" x14ac:dyDescent="0.3">
      <c r="L7277" s="25"/>
      <c r="Q7277" s="17"/>
    </row>
    <row r="7278" spans="12:17" x14ac:dyDescent="0.3">
      <c r="L7278" s="25"/>
      <c r="Q7278" s="17"/>
    </row>
    <row r="7279" spans="12:17" x14ac:dyDescent="0.3">
      <c r="L7279" s="25"/>
      <c r="Q7279" s="17"/>
    </row>
    <row r="7280" spans="12:17" x14ac:dyDescent="0.3">
      <c r="L7280" s="25"/>
      <c r="Q7280" s="17"/>
    </row>
    <row r="7281" spans="12:17" x14ac:dyDescent="0.3">
      <c r="L7281" s="25"/>
      <c r="Q7281" s="17"/>
    </row>
    <row r="7282" spans="12:17" x14ac:dyDescent="0.3">
      <c r="L7282" s="25"/>
      <c r="Q7282" s="17"/>
    </row>
    <row r="7283" spans="12:17" x14ac:dyDescent="0.3">
      <c r="L7283" s="25"/>
      <c r="Q7283" s="17"/>
    </row>
    <row r="7284" spans="12:17" x14ac:dyDescent="0.3">
      <c r="L7284" s="25"/>
      <c r="Q7284" s="17"/>
    </row>
    <row r="7285" spans="12:17" x14ac:dyDescent="0.3">
      <c r="L7285" s="25"/>
      <c r="Q7285" s="17"/>
    </row>
    <row r="7286" spans="12:17" x14ac:dyDescent="0.3">
      <c r="L7286" s="25"/>
      <c r="Q7286" s="17"/>
    </row>
    <row r="7287" spans="12:17" x14ac:dyDescent="0.3">
      <c r="L7287" s="25"/>
      <c r="Q7287" s="17"/>
    </row>
    <row r="7288" spans="12:17" x14ac:dyDescent="0.3">
      <c r="L7288" s="25"/>
      <c r="Q7288" s="17"/>
    </row>
    <row r="7289" spans="12:17" x14ac:dyDescent="0.3">
      <c r="L7289" s="25"/>
      <c r="Q7289" s="17"/>
    </row>
    <row r="7290" spans="12:17" x14ac:dyDescent="0.3">
      <c r="L7290" s="25"/>
      <c r="Q7290" s="17"/>
    </row>
    <row r="7291" spans="12:17" x14ac:dyDescent="0.3">
      <c r="L7291" s="25"/>
      <c r="Q7291" s="17"/>
    </row>
    <row r="7292" spans="12:17" x14ac:dyDescent="0.3">
      <c r="L7292" s="25"/>
      <c r="Q7292" s="17"/>
    </row>
    <row r="7293" spans="12:17" x14ac:dyDescent="0.3">
      <c r="L7293" s="25"/>
      <c r="Q7293" s="17"/>
    </row>
    <row r="7294" spans="12:17" x14ac:dyDescent="0.3">
      <c r="L7294" s="25"/>
      <c r="Q7294" s="17"/>
    </row>
    <row r="7295" spans="12:17" x14ac:dyDescent="0.3">
      <c r="L7295" s="25"/>
      <c r="Q7295" s="17"/>
    </row>
    <row r="7296" spans="12:17" x14ac:dyDescent="0.3">
      <c r="L7296" s="25"/>
      <c r="Q7296" s="17"/>
    </row>
    <row r="7297" spans="12:17" x14ac:dyDescent="0.3">
      <c r="L7297" s="25"/>
      <c r="Q7297" s="17"/>
    </row>
    <row r="7298" spans="12:17" x14ac:dyDescent="0.3">
      <c r="L7298" s="25"/>
      <c r="Q7298" s="17"/>
    </row>
    <row r="7299" spans="12:17" x14ac:dyDescent="0.3">
      <c r="L7299" s="25"/>
      <c r="Q7299" s="17"/>
    </row>
    <row r="7300" spans="12:17" x14ac:dyDescent="0.3">
      <c r="L7300" s="25"/>
      <c r="Q7300" s="17"/>
    </row>
    <row r="7301" spans="12:17" x14ac:dyDescent="0.3">
      <c r="L7301" s="25"/>
      <c r="Q7301" s="17"/>
    </row>
    <row r="7302" spans="12:17" x14ac:dyDescent="0.3">
      <c r="L7302" s="25"/>
      <c r="Q7302" s="17"/>
    </row>
    <row r="7303" spans="12:17" x14ac:dyDescent="0.3">
      <c r="L7303" s="25"/>
      <c r="Q7303" s="17"/>
    </row>
    <row r="7304" spans="12:17" x14ac:dyDescent="0.3">
      <c r="L7304" s="25"/>
      <c r="Q7304" s="17"/>
    </row>
    <row r="7305" spans="12:17" x14ac:dyDescent="0.3">
      <c r="L7305" s="25"/>
      <c r="Q7305" s="17"/>
    </row>
    <row r="7306" spans="12:17" x14ac:dyDescent="0.3">
      <c r="L7306" s="25"/>
      <c r="Q7306" s="17"/>
    </row>
    <row r="7307" spans="12:17" x14ac:dyDescent="0.3">
      <c r="L7307" s="25"/>
      <c r="Q7307" s="17"/>
    </row>
    <row r="7308" spans="12:17" x14ac:dyDescent="0.3">
      <c r="L7308" s="25"/>
      <c r="Q7308" s="17"/>
    </row>
    <row r="7309" spans="12:17" x14ac:dyDescent="0.3">
      <c r="L7309" s="25"/>
      <c r="Q7309" s="17"/>
    </row>
    <row r="7310" spans="12:17" x14ac:dyDescent="0.3">
      <c r="L7310" s="25"/>
      <c r="Q7310" s="17"/>
    </row>
    <row r="7311" spans="12:17" x14ac:dyDescent="0.3">
      <c r="L7311" s="25"/>
      <c r="Q7311" s="17"/>
    </row>
    <row r="7312" spans="12:17" x14ac:dyDescent="0.3">
      <c r="L7312" s="25"/>
      <c r="Q7312" s="17"/>
    </row>
    <row r="7313" spans="12:17" x14ac:dyDescent="0.3">
      <c r="L7313" s="25"/>
      <c r="Q7313" s="17"/>
    </row>
    <row r="7314" spans="12:17" x14ac:dyDescent="0.3">
      <c r="L7314" s="25"/>
      <c r="Q7314" s="17"/>
    </row>
    <row r="7315" spans="12:17" x14ac:dyDescent="0.3">
      <c r="L7315" s="25"/>
      <c r="Q7315" s="17"/>
    </row>
    <row r="7316" spans="12:17" x14ac:dyDescent="0.3">
      <c r="L7316" s="25"/>
      <c r="Q7316" s="17"/>
    </row>
    <row r="7317" spans="12:17" x14ac:dyDescent="0.3">
      <c r="L7317" s="25"/>
      <c r="Q7317" s="17"/>
    </row>
    <row r="7318" spans="12:17" x14ac:dyDescent="0.3">
      <c r="L7318" s="25"/>
      <c r="Q7318" s="17"/>
    </row>
    <row r="7319" spans="12:17" x14ac:dyDescent="0.3">
      <c r="L7319" s="25"/>
      <c r="Q7319" s="17"/>
    </row>
    <row r="7320" spans="12:17" x14ac:dyDescent="0.3">
      <c r="L7320" s="25"/>
      <c r="Q7320" s="17"/>
    </row>
    <row r="7321" spans="12:17" x14ac:dyDescent="0.3">
      <c r="L7321" s="25"/>
      <c r="Q7321" s="17"/>
    </row>
    <row r="7322" spans="12:17" x14ac:dyDescent="0.3">
      <c r="L7322" s="25"/>
      <c r="Q7322" s="17"/>
    </row>
    <row r="7323" spans="12:17" x14ac:dyDescent="0.3">
      <c r="L7323" s="25"/>
      <c r="Q7323" s="17"/>
    </row>
    <row r="7324" spans="12:17" x14ac:dyDescent="0.3">
      <c r="L7324" s="25"/>
      <c r="Q7324" s="17"/>
    </row>
    <row r="7325" spans="12:17" x14ac:dyDescent="0.3">
      <c r="L7325" s="25"/>
      <c r="Q7325" s="17"/>
    </row>
    <row r="7326" spans="12:17" x14ac:dyDescent="0.3">
      <c r="L7326" s="25"/>
      <c r="Q7326" s="17"/>
    </row>
    <row r="7327" spans="12:17" x14ac:dyDescent="0.3">
      <c r="L7327" s="25"/>
      <c r="Q7327" s="17"/>
    </row>
    <row r="7328" spans="12:17" x14ac:dyDescent="0.3">
      <c r="L7328" s="25"/>
      <c r="Q7328" s="17"/>
    </row>
    <row r="7329" spans="12:17" x14ac:dyDescent="0.3">
      <c r="L7329" s="25"/>
      <c r="Q7329" s="17"/>
    </row>
    <row r="7330" spans="12:17" x14ac:dyDescent="0.3">
      <c r="L7330" s="25"/>
      <c r="Q7330" s="17"/>
    </row>
    <row r="7331" spans="12:17" x14ac:dyDescent="0.3">
      <c r="L7331" s="25"/>
      <c r="Q7331" s="17"/>
    </row>
    <row r="7332" spans="12:17" x14ac:dyDescent="0.3">
      <c r="L7332" s="25"/>
      <c r="Q7332" s="17"/>
    </row>
    <row r="7333" spans="12:17" x14ac:dyDescent="0.3">
      <c r="L7333" s="25"/>
      <c r="Q7333" s="17"/>
    </row>
    <row r="7334" spans="12:17" x14ac:dyDescent="0.3">
      <c r="L7334" s="25"/>
      <c r="Q7334" s="17"/>
    </row>
    <row r="7335" spans="12:17" x14ac:dyDescent="0.3">
      <c r="L7335" s="25"/>
      <c r="Q7335" s="17"/>
    </row>
    <row r="7336" spans="12:17" x14ac:dyDescent="0.3">
      <c r="L7336" s="25"/>
      <c r="Q7336" s="17"/>
    </row>
    <row r="7337" spans="12:17" x14ac:dyDescent="0.3">
      <c r="L7337" s="25"/>
      <c r="Q7337" s="17"/>
    </row>
    <row r="7338" spans="12:17" x14ac:dyDescent="0.3">
      <c r="L7338" s="25"/>
      <c r="Q7338" s="17"/>
    </row>
    <row r="7339" spans="12:17" x14ac:dyDescent="0.3">
      <c r="L7339" s="25"/>
      <c r="Q7339" s="17"/>
    </row>
    <row r="7340" spans="12:17" x14ac:dyDescent="0.3">
      <c r="L7340" s="25"/>
      <c r="Q7340" s="17"/>
    </row>
    <row r="7341" spans="12:17" x14ac:dyDescent="0.3">
      <c r="L7341" s="25"/>
      <c r="Q7341" s="17"/>
    </row>
    <row r="7342" spans="12:17" x14ac:dyDescent="0.3">
      <c r="L7342" s="25"/>
      <c r="Q7342" s="17"/>
    </row>
    <row r="7343" spans="12:17" x14ac:dyDescent="0.3">
      <c r="L7343" s="25"/>
      <c r="Q7343" s="17"/>
    </row>
    <row r="7344" spans="12:17" x14ac:dyDescent="0.3">
      <c r="L7344" s="25"/>
      <c r="Q7344" s="17"/>
    </row>
    <row r="7345" spans="12:17" x14ac:dyDescent="0.3">
      <c r="L7345" s="25"/>
      <c r="Q7345" s="17"/>
    </row>
    <row r="7346" spans="12:17" x14ac:dyDescent="0.3">
      <c r="L7346" s="25"/>
      <c r="Q7346" s="17"/>
    </row>
    <row r="7347" spans="12:17" x14ac:dyDescent="0.3">
      <c r="L7347" s="25"/>
      <c r="Q7347" s="17"/>
    </row>
    <row r="7348" spans="12:17" x14ac:dyDescent="0.3">
      <c r="L7348" s="25"/>
      <c r="Q7348" s="17"/>
    </row>
    <row r="7349" spans="12:17" x14ac:dyDescent="0.3">
      <c r="L7349" s="25"/>
      <c r="Q7349" s="17"/>
    </row>
    <row r="7350" spans="12:17" x14ac:dyDescent="0.3">
      <c r="L7350" s="25"/>
      <c r="Q7350" s="17"/>
    </row>
    <row r="7351" spans="12:17" x14ac:dyDescent="0.3">
      <c r="L7351" s="25"/>
      <c r="Q7351" s="17"/>
    </row>
    <row r="7352" spans="12:17" x14ac:dyDescent="0.3">
      <c r="L7352" s="25"/>
      <c r="Q7352" s="17"/>
    </row>
    <row r="7353" spans="12:17" x14ac:dyDescent="0.3">
      <c r="L7353" s="25"/>
      <c r="Q7353" s="17"/>
    </row>
    <row r="7354" spans="12:17" x14ac:dyDescent="0.3">
      <c r="L7354" s="25"/>
      <c r="Q7354" s="17"/>
    </row>
    <row r="7355" spans="12:17" x14ac:dyDescent="0.3">
      <c r="L7355" s="25"/>
      <c r="Q7355" s="17"/>
    </row>
    <row r="7356" spans="12:17" x14ac:dyDescent="0.3">
      <c r="L7356" s="25"/>
      <c r="Q7356" s="17"/>
    </row>
    <row r="7357" spans="12:17" x14ac:dyDescent="0.3">
      <c r="L7357" s="25"/>
      <c r="Q7357" s="17"/>
    </row>
    <row r="7358" spans="12:17" x14ac:dyDescent="0.3">
      <c r="L7358" s="25"/>
      <c r="Q7358" s="17"/>
    </row>
    <row r="7359" spans="12:17" x14ac:dyDescent="0.3">
      <c r="L7359" s="25"/>
      <c r="Q7359" s="17"/>
    </row>
    <row r="7360" spans="12:17" x14ac:dyDescent="0.3">
      <c r="L7360" s="25"/>
      <c r="Q7360" s="17"/>
    </row>
    <row r="7361" spans="12:17" x14ac:dyDescent="0.3">
      <c r="L7361" s="25"/>
      <c r="Q7361" s="17"/>
    </row>
    <row r="7362" spans="12:17" x14ac:dyDescent="0.3">
      <c r="L7362" s="25"/>
      <c r="Q7362" s="17"/>
    </row>
    <row r="7363" spans="12:17" x14ac:dyDescent="0.3">
      <c r="L7363" s="25"/>
      <c r="Q7363" s="17"/>
    </row>
    <row r="7364" spans="12:17" x14ac:dyDescent="0.3">
      <c r="L7364" s="25"/>
      <c r="Q7364" s="17"/>
    </row>
    <row r="7365" spans="12:17" x14ac:dyDescent="0.3">
      <c r="L7365" s="25"/>
      <c r="Q7365" s="17"/>
    </row>
    <row r="7366" spans="12:17" x14ac:dyDescent="0.3">
      <c r="L7366" s="25"/>
      <c r="Q7366" s="17"/>
    </row>
    <row r="7367" spans="12:17" x14ac:dyDescent="0.3">
      <c r="L7367" s="25"/>
      <c r="Q7367" s="17"/>
    </row>
    <row r="7368" spans="12:17" x14ac:dyDescent="0.3">
      <c r="L7368" s="25"/>
      <c r="Q7368" s="17"/>
    </row>
    <row r="7369" spans="12:17" x14ac:dyDescent="0.3">
      <c r="L7369" s="25"/>
      <c r="Q7369" s="17"/>
    </row>
    <row r="7370" spans="12:17" x14ac:dyDescent="0.3">
      <c r="L7370" s="25"/>
      <c r="Q7370" s="17"/>
    </row>
    <row r="7371" spans="12:17" x14ac:dyDescent="0.3">
      <c r="L7371" s="25"/>
      <c r="Q7371" s="17"/>
    </row>
    <row r="7372" spans="12:17" x14ac:dyDescent="0.3">
      <c r="L7372" s="25"/>
      <c r="Q7372" s="17"/>
    </row>
    <row r="7373" spans="12:17" x14ac:dyDescent="0.3">
      <c r="L7373" s="25"/>
      <c r="Q7373" s="17"/>
    </row>
    <row r="7374" spans="12:17" x14ac:dyDescent="0.3">
      <c r="L7374" s="25"/>
      <c r="Q7374" s="17"/>
    </row>
    <row r="7375" spans="12:17" x14ac:dyDescent="0.3">
      <c r="L7375" s="25"/>
      <c r="Q7375" s="17"/>
    </row>
    <row r="7376" spans="12:17" x14ac:dyDescent="0.3">
      <c r="L7376" s="25"/>
      <c r="Q7376" s="17"/>
    </row>
    <row r="7377" spans="12:17" x14ac:dyDescent="0.3">
      <c r="L7377" s="25"/>
      <c r="Q7377" s="17"/>
    </row>
    <row r="7378" spans="12:17" x14ac:dyDescent="0.3">
      <c r="L7378" s="25"/>
      <c r="Q7378" s="17"/>
    </row>
    <row r="7379" spans="12:17" x14ac:dyDescent="0.3">
      <c r="L7379" s="25"/>
      <c r="Q7379" s="17"/>
    </row>
    <row r="7380" spans="12:17" x14ac:dyDescent="0.3">
      <c r="L7380" s="25"/>
      <c r="Q7380" s="17"/>
    </row>
    <row r="7381" spans="12:17" x14ac:dyDescent="0.3">
      <c r="L7381" s="25"/>
      <c r="Q7381" s="17"/>
    </row>
    <row r="7382" spans="12:17" x14ac:dyDescent="0.3">
      <c r="L7382" s="25"/>
      <c r="Q7382" s="17"/>
    </row>
    <row r="7383" spans="12:17" x14ac:dyDescent="0.3">
      <c r="L7383" s="25"/>
      <c r="Q7383" s="17"/>
    </row>
    <row r="7384" spans="12:17" x14ac:dyDescent="0.3">
      <c r="L7384" s="25"/>
      <c r="Q7384" s="17"/>
    </row>
    <row r="7385" spans="12:17" x14ac:dyDescent="0.3">
      <c r="L7385" s="25"/>
      <c r="Q7385" s="17"/>
    </row>
    <row r="7386" spans="12:17" x14ac:dyDescent="0.3">
      <c r="L7386" s="25"/>
      <c r="Q7386" s="17"/>
    </row>
    <row r="7387" spans="12:17" x14ac:dyDescent="0.3">
      <c r="L7387" s="25"/>
      <c r="Q7387" s="17"/>
    </row>
    <row r="7388" spans="12:17" x14ac:dyDescent="0.3">
      <c r="L7388" s="25"/>
      <c r="Q7388" s="17"/>
    </row>
    <row r="7389" spans="12:17" x14ac:dyDescent="0.3">
      <c r="L7389" s="25"/>
      <c r="Q7389" s="17"/>
    </row>
    <row r="7390" spans="12:17" x14ac:dyDescent="0.3">
      <c r="L7390" s="25"/>
      <c r="Q7390" s="17"/>
    </row>
    <row r="7391" spans="12:17" x14ac:dyDescent="0.3">
      <c r="L7391" s="25"/>
      <c r="Q7391" s="17"/>
    </row>
    <row r="7392" spans="12:17" x14ac:dyDescent="0.3">
      <c r="L7392" s="25"/>
      <c r="Q7392" s="17"/>
    </row>
    <row r="7393" spans="12:17" x14ac:dyDescent="0.3">
      <c r="L7393" s="25"/>
      <c r="Q7393" s="17"/>
    </row>
    <row r="7394" spans="12:17" x14ac:dyDescent="0.3">
      <c r="L7394" s="25"/>
      <c r="Q7394" s="17"/>
    </row>
    <row r="7395" spans="12:17" x14ac:dyDescent="0.3">
      <c r="L7395" s="25"/>
      <c r="Q7395" s="17"/>
    </row>
    <row r="7396" spans="12:17" x14ac:dyDescent="0.3">
      <c r="L7396" s="25"/>
      <c r="Q7396" s="17"/>
    </row>
    <row r="7397" spans="12:17" x14ac:dyDescent="0.3">
      <c r="L7397" s="25"/>
      <c r="Q7397" s="17"/>
    </row>
    <row r="7398" spans="12:17" x14ac:dyDescent="0.3">
      <c r="L7398" s="25"/>
      <c r="Q7398" s="17"/>
    </row>
    <row r="7399" spans="12:17" x14ac:dyDescent="0.3">
      <c r="L7399" s="25"/>
      <c r="Q7399" s="17"/>
    </row>
    <row r="7400" spans="12:17" x14ac:dyDescent="0.3">
      <c r="L7400" s="25"/>
      <c r="Q7400" s="17"/>
    </row>
    <row r="7401" spans="12:17" x14ac:dyDescent="0.3">
      <c r="L7401" s="25"/>
      <c r="Q7401" s="17"/>
    </row>
    <row r="7402" spans="12:17" x14ac:dyDescent="0.3">
      <c r="L7402" s="25"/>
      <c r="Q7402" s="17"/>
    </row>
    <row r="7403" spans="12:17" x14ac:dyDescent="0.3">
      <c r="L7403" s="25"/>
      <c r="Q7403" s="17"/>
    </row>
    <row r="7404" spans="12:17" x14ac:dyDescent="0.3">
      <c r="L7404" s="25"/>
      <c r="Q7404" s="17"/>
    </row>
    <row r="7405" spans="12:17" x14ac:dyDescent="0.3">
      <c r="L7405" s="25"/>
      <c r="Q7405" s="17"/>
    </row>
    <row r="7406" spans="12:17" x14ac:dyDescent="0.3">
      <c r="L7406" s="25"/>
      <c r="Q7406" s="17"/>
    </row>
    <row r="7407" spans="12:17" x14ac:dyDescent="0.3">
      <c r="L7407" s="25"/>
      <c r="Q7407" s="17"/>
    </row>
    <row r="7408" spans="12:17" x14ac:dyDescent="0.3">
      <c r="L7408" s="25"/>
      <c r="Q7408" s="17"/>
    </row>
    <row r="7409" spans="12:17" x14ac:dyDescent="0.3">
      <c r="L7409" s="25"/>
      <c r="Q7409" s="17"/>
    </row>
    <row r="7410" spans="12:17" x14ac:dyDescent="0.3">
      <c r="L7410" s="25"/>
      <c r="Q7410" s="17"/>
    </row>
    <row r="7411" spans="12:17" x14ac:dyDescent="0.3">
      <c r="L7411" s="25"/>
      <c r="Q7411" s="17"/>
    </row>
    <row r="7412" spans="12:17" x14ac:dyDescent="0.3">
      <c r="L7412" s="25"/>
      <c r="Q7412" s="17"/>
    </row>
    <row r="7413" spans="12:17" x14ac:dyDescent="0.3">
      <c r="L7413" s="25"/>
      <c r="Q7413" s="17"/>
    </row>
    <row r="7414" spans="12:17" x14ac:dyDescent="0.3">
      <c r="L7414" s="25"/>
      <c r="Q7414" s="17"/>
    </row>
    <row r="7415" spans="12:17" x14ac:dyDescent="0.3">
      <c r="L7415" s="25"/>
      <c r="Q7415" s="17"/>
    </row>
    <row r="7416" spans="12:17" x14ac:dyDescent="0.3">
      <c r="L7416" s="25"/>
      <c r="Q7416" s="17"/>
    </row>
    <row r="7417" spans="12:17" x14ac:dyDescent="0.3">
      <c r="L7417" s="25"/>
      <c r="Q7417" s="17"/>
    </row>
    <row r="7418" spans="12:17" x14ac:dyDescent="0.3">
      <c r="L7418" s="25"/>
      <c r="Q7418" s="17"/>
    </row>
    <row r="7419" spans="12:17" x14ac:dyDescent="0.3">
      <c r="L7419" s="25"/>
      <c r="Q7419" s="17"/>
    </row>
    <row r="7420" spans="12:17" x14ac:dyDescent="0.3">
      <c r="L7420" s="25"/>
      <c r="Q7420" s="17"/>
    </row>
    <row r="7421" spans="12:17" x14ac:dyDescent="0.3">
      <c r="L7421" s="25"/>
      <c r="Q7421" s="17"/>
    </row>
    <row r="7422" spans="12:17" x14ac:dyDescent="0.3">
      <c r="L7422" s="25"/>
      <c r="Q7422" s="17"/>
    </row>
    <row r="7423" spans="12:17" x14ac:dyDescent="0.3">
      <c r="L7423" s="25"/>
      <c r="Q7423" s="17"/>
    </row>
    <row r="7424" spans="12:17" x14ac:dyDescent="0.3">
      <c r="L7424" s="25"/>
      <c r="Q7424" s="17"/>
    </row>
    <row r="7425" spans="12:17" x14ac:dyDescent="0.3">
      <c r="L7425" s="25"/>
      <c r="Q7425" s="17"/>
    </row>
    <row r="7426" spans="12:17" x14ac:dyDescent="0.3">
      <c r="L7426" s="25"/>
      <c r="Q7426" s="17"/>
    </row>
    <row r="7427" spans="12:17" x14ac:dyDescent="0.3">
      <c r="L7427" s="25"/>
      <c r="Q7427" s="17"/>
    </row>
    <row r="7428" spans="12:17" x14ac:dyDescent="0.3">
      <c r="L7428" s="25"/>
      <c r="Q7428" s="17"/>
    </row>
    <row r="7429" spans="12:17" x14ac:dyDescent="0.3">
      <c r="L7429" s="25"/>
      <c r="Q7429" s="17"/>
    </row>
    <row r="7430" spans="12:17" x14ac:dyDescent="0.3">
      <c r="L7430" s="25"/>
      <c r="Q7430" s="17"/>
    </row>
    <row r="7431" spans="12:17" x14ac:dyDescent="0.3">
      <c r="L7431" s="25"/>
      <c r="Q7431" s="17"/>
    </row>
    <row r="7432" spans="12:17" x14ac:dyDescent="0.3">
      <c r="L7432" s="25"/>
      <c r="Q7432" s="17"/>
    </row>
    <row r="7433" spans="12:17" x14ac:dyDescent="0.3">
      <c r="L7433" s="25"/>
      <c r="Q7433" s="17"/>
    </row>
    <row r="7434" spans="12:17" x14ac:dyDescent="0.3">
      <c r="L7434" s="25"/>
      <c r="Q7434" s="17"/>
    </row>
    <row r="7435" spans="12:17" x14ac:dyDescent="0.3">
      <c r="L7435" s="25"/>
      <c r="Q7435" s="17"/>
    </row>
    <row r="7436" spans="12:17" x14ac:dyDescent="0.3">
      <c r="L7436" s="25"/>
      <c r="Q7436" s="17"/>
    </row>
    <row r="7437" spans="12:17" x14ac:dyDescent="0.3">
      <c r="L7437" s="25"/>
      <c r="Q7437" s="17"/>
    </row>
    <row r="7438" spans="12:17" x14ac:dyDescent="0.3">
      <c r="L7438" s="25"/>
      <c r="Q7438" s="17"/>
    </row>
    <row r="7439" spans="12:17" x14ac:dyDescent="0.3">
      <c r="L7439" s="25"/>
      <c r="Q7439" s="17"/>
    </row>
    <row r="7440" spans="12:17" x14ac:dyDescent="0.3">
      <c r="L7440" s="25"/>
      <c r="Q7440" s="17"/>
    </row>
    <row r="7441" spans="12:17" x14ac:dyDescent="0.3">
      <c r="L7441" s="25"/>
      <c r="Q7441" s="17"/>
    </row>
    <row r="7442" spans="12:17" x14ac:dyDescent="0.3">
      <c r="L7442" s="25"/>
      <c r="Q7442" s="17"/>
    </row>
    <row r="7443" spans="12:17" x14ac:dyDescent="0.3">
      <c r="L7443" s="25"/>
      <c r="Q7443" s="17"/>
    </row>
    <row r="7444" spans="12:17" x14ac:dyDescent="0.3">
      <c r="L7444" s="25"/>
      <c r="Q7444" s="17"/>
    </row>
    <row r="7445" spans="12:17" x14ac:dyDescent="0.3">
      <c r="L7445" s="25"/>
      <c r="Q7445" s="17"/>
    </row>
    <row r="7446" spans="12:17" x14ac:dyDescent="0.3">
      <c r="L7446" s="25"/>
      <c r="Q7446" s="17"/>
    </row>
    <row r="7447" spans="12:17" x14ac:dyDescent="0.3">
      <c r="L7447" s="25"/>
      <c r="Q7447" s="17"/>
    </row>
    <row r="7448" spans="12:17" x14ac:dyDescent="0.3">
      <c r="L7448" s="25"/>
      <c r="Q7448" s="17"/>
    </row>
    <row r="7449" spans="12:17" x14ac:dyDescent="0.3">
      <c r="L7449" s="25"/>
      <c r="Q7449" s="17"/>
    </row>
    <row r="7450" spans="12:17" x14ac:dyDescent="0.3">
      <c r="L7450" s="25"/>
      <c r="Q7450" s="17"/>
    </row>
    <row r="7451" spans="12:17" x14ac:dyDescent="0.3">
      <c r="L7451" s="25"/>
      <c r="Q7451" s="17"/>
    </row>
    <row r="7452" spans="12:17" x14ac:dyDescent="0.3">
      <c r="L7452" s="25"/>
      <c r="Q7452" s="17"/>
    </row>
    <row r="7453" spans="12:17" x14ac:dyDescent="0.3">
      <c r="L7453" s="25"/>
      <c r="Q7453" s="17"/>
    </row>
    <row r="7454" spans="12:17" x14ac:dyDescent="0.3">
      <c r="L7454" s="25"/>
      <c r="Q7454" s="17"/>
    </row>
    <row r="7455" spans="12:17" x14ac:dyDescent="0.3">
      <c r="L7455" s="25"/>
      <c r="Q7455" s="17"/>
    </row>
    <row r="7456" spans="12:17" x14ac:dyDescent="0.3">
      <c r="L7456" s="25"/>
      <c r="Q7456" s="17"/>
    </row>
    <row r="7457" spans="12:17" x14ac:dyDescent="0.3">
      <c r="L7457" s="25"/>
      <c r="Q7457" s="17"/>
    </row>
    <row r="7458" spans="12:17" x14ac:dyDescent="0.3">
      <c r="L7458" s="25"/>
      <c r="Q7458" s="17"/>
    </row>
    <row r="7459" spans="12:17" x14ac:dyDescent="0.3">
      <c r="L7459" s="25"/>
      <c r="Q7459" s="17"/>
    </row>
    <row r="7460" spans="12:17" x14ac:dyDescent="0.3">
      <c r="L7460" s="25"/>
      <c r="Q7460" s="17"/>
    </row>
    <row r="7461" spans="12:17" x14ac:dyDescent="0.3">
      <c r="L7461" s="25"/>
      <c r="Q7461" s="17"/>
    </row>
    <row r="7462" spans="12:17" x14ac:dyDescent="0.3">
      <c r="L7462" s="25"/>
      <c r="Q7462" s="17"/>
    </row>
    <row r="7463" spans="12:17" x14ac:dyDescent="0.3">
      <c r="L7463" s="25"/>
      <c r="Q7463" s="17"/>
    </row>
    <row r="7464" spans="12:17" x14ac:dyDescent="0.3">
      <c r="L7464" s="25"/>
      <c r="Q7464" s="17"/>
    </row>
    <row r="7465" spans="12:17" x14ac:dyDescent="0.3">
      <c r="L7465" s="25"/>
      <c r="Q7465" s="17"/>
    </row>
    <row r="7466" spans="12:17" x14ac:dyDescent="0.3">
      <c r="L7466" s="25"/>
      <c r="Q7466" s="17"/>
    </row>
    <row r="7467" spans="12:17" x14ac:dyDescent="0.3">
      <c r="L7467" s="25"/>
      <c r="Q7467" s="17"/>
    </row>
    <row r="7468" spans="12:17" x14ac:dyDescent="0.3">
      <c r="L7468" s="25"/>
      <c r="Q7468" s="17"/>
    </row>
    <row r="7469" spans="12:17" x14ac:dyDescent="0.3">
      <c r="L7469" s="25"/>
      <c r="Q7469" s="17"/>
    </row>
    <row r="7470" spans="12:17" x14ac:dyDescent="0.3">
      <c r="L7470" s="25"/>
      <c r="Q7470" s="17"/>
    </row>
    <row r="7471" spans="12:17" x14ac:dyDescent="0.3">
      <c r="L7471" s="25"/>
      <c r="Q7471" s="17"/>
    </row>
    <row r="7472" spans="12:17" x14ac:dyDescent="0.3">
      <c r="L7472" s="25"/>
      <c r="Q7472" s="17"/>
    </row>
    <row r="7473" spans="12:17" x14ac:dyDescent="0.3">
      <c r="L7473" s="25"/>
      <c r="Q7473" s="17"/>
    </row>
    <row r="7474" spans="12:17" x14ac:dyDescent="0.3">
      <c r="L7474" s="25"/>
      <c r="Q7474" s="17"/>
    </row>
    <row r="7475" spans="12:17" x14ac:dyDescent="0.3">
      <c r="L7475" s="25"/>
      <c r="Q7475" s="17"/>
    </row>
    <row r="7476" spans="12:17" x14ac:dyDescent="0.3">
      <c r="L7476" s="25"/>
      <c r="Q7476" s="17"/>
    </row>
    <row r="7477" spans="12:17" x14ac:dyDescent="0.3">
      <c r="L7477" s="25"/>
      <c r="Q7477" s="17"/>
    </row>
    <row r="7478" spans="12:17" x14ac:dyDescent="0.3">
      <c r="L7478" s="25"/>
      <c r="Q7478" s="17"/>
    </row>
    <row r="7479" spans="12:17" x14ac:dyDescent="0.3">
      <c r="L7479" s="25"/>
      <c r="Q7479" s="17"/>
    </row>
    <row r="7480" spans="12:17" x14ac:dyDescent="0.3">
      <c r="L7480" s="25"/>
      <c r="Q7480" s="17"/>
    </row>
    <row r="7481" spans="12:17" x14ac:dyDescent="0.3">
      <c r="L7481" s="25"/>
      <c r="Q7481" s="17"/>
    </row>
    <row r="7482" spans="12:17" x14ac:dyDescent="0.3">
      <c r="L7482" s="25"/>
      <c r="Q7482" s="17"/>
    </row>
    <row r="7483" spans="12:17" x14ac:dyDescent="0.3">
      <c r="L7483" s="25"/>
      <c r="Q7483" s="17"/>
    </row>
    <row r="7484" spans="12:17" x14ac:dyDescent="0.3">
      <c r="L7484" s="25"/>
      <c r="Q7484" s="17"/>
    </row>
    <row r="7485" spans="12:17" x14ac:dyDescent="0.3">
      <c r="L7485" s="25"/>
      <c r="Q7485" s="17"/>
    </row>
    <row r="7486" spans="12:17" x14ac:dyDescent="0.3">
      <c r="L7486" s="25"/>
      <c r="Q7486" s="17"/>
    </row>
    <row r="7487" spans="12:17" x14ac:dyDescent="0.3">
      <c r="L7487" s="25"/>
      <c r="Q7487" s="17"/>
    </row>
    <row r="7488" spans="12:17" x14ac:dyDescent="0.3">
      <c r="L7488" s="25"/>
      <c r="Q7488" s="17"/>
    </row>
    <row r="7489" spans="12:17" x14ac:dyDescent="0.3">
      <c r="L7489" s="25"/>
      <c r="Q7489" s="17"/>
    </row>
    <row r="7490" spans="12:17" x14ac:dyDescent="0.3">
      <c r="L7490" s="25"/>
      <c r="Q7490" s="17"/>
    </row>
    <row r="7491" spans="12:17" x14ac:dyDescent="0.3">
      <c r="L7491" s="25"/>
      <c r="Q7491" s="17"/>
    </row>
    <row r="7492" spans="12:17" x14ac:dyDescent="0.3">
      <c r="L7492" s="25"/>
      <c r="Q7492" s="17"/>
    </row>
    <row r="7493" spans="12:17" x14ac:dyDescent="0.3">
      <c r="L7493" s="25"/>
      <c r="Q7493" s="17"/>
    </row>
    <row r="7494" spans="12:17" x14ac:dyDescent="0.3">
      <c r="L7494" s="25"/>
      <c r="Q7494" s="17"/>
    </row>
    <row r="7495" spans="12:17" x14ac:dyDescent="0.3">
      <c r="L7495" s="25"/>
      <c r="Q7495" s="17"/>
    </row>
    <row r="7496" spans="12:17" x14ac:dyDescent="0.3">
      <c r="L7496" s="25"/>
      <c r="Q7496" s="17"/>
    </row>
    <row r="7497" spans="12:17" x14ac:dyDescent="0.3">
      <c r="L7497" s="25"/>
      <c r="Q7497" s="17"/>
    </row>
    <row r="7498" spans="12:17" x14ac:dyDescent="0.3">
      <c r="L7498" s="25"/>
      <c r="Q7498" s="17"/>
    </row>
    <row r="7499" spans="12:17" x14ac:dyDescent="0.3">
      <c r="L7499" s="25"/>
      <c r="Q7499" s="17"/>
    </row>
    <row r="7500" spans="12:17" x14ac:dyDescent="0.3">
      <c r="L7500" s="25"/>
      <c r="Q7500" s="17"/>
    </row>
    <row r="7501" spans="12:17" x14ac:dyDescent="0.3">
      <c r="L7501" s="25"/>
      <c r="Q7501" s="17"/>
    </row>
    <row r="7502" spans="12:17" x14ac:dyDescent="0.3">
      <c r="L7502" s="25"/>
      <c r="Q7502" s="17"/>
    </row>
    <row r="7503" spans="12:17" x14ac:dyDescent="0.3">
      <c r="L7503" s="25"/>
      <c r="Q7503" s="17"/>
    </row>
    <row r="7504" spans="12:17" x14ac:dyDescent="0.3">
      <c r="L7504" s="25"/>
      <c r="Q7504" s="17"/>
    </row>
    <row r="7505" spans="12:17" x14ac:dyDescent="0.3">
      <c r="L7505" s="25"/>
      <c r="Q7505" s="17"/>
    </row>
    <row r="7506" spans="12:17" x14ac:dyDescent="0.3">
      <c r="L7506" s="25"/>
      <c r="Q7506" s="17"/>
    </row>
    <row r="7507" spans="12:17" x14ac:dyDescent="0.3">
      <c r="L7507" s="25"/>
      <c r="Q7507" s="17"/>
    </row>
    <row r="7508" spans="12:17" x14ac:dyDescent="0.3">
      <c r="L7508" s="25"/>
      <c r="Q7508" s="17"/>
    </row>
    <row r="7509" spans="12:17" x14ac:dyDescent="0.3">
      <c r="L7509" s="25"/>
      <c r="Q7509" s="17"/>
    </row>
    <row r="7510" spans="12:17" x14ac:dyDescent="0.3">
      <c r="L7510" s="25"/>
      <c r="Q7510" s="17"/>
    </row>
    <row r="7511" spans="12:17" x14ac:dyDescent="0.3">
      <c r="L7511" s="25"/>
      <c r="Q7511" s="17"/>
    </row>
    <row r="7512" spans="12:17" x14ac:dyDescent="0.3">
      <c r="L7512" s="25"/>
      <c r="Q7512" s="17"/>
    </row>
    <row r="7513" spans="12:17" x14ac:dyDescent="0.3">
      <c r="L7513" s="25"/>
      <c r="Q7513" s="17"/>
    </row>
    <row r="7514" spans="12:17" x14ac:dyDescent="0.3">
      <c r="L7514" s="25"/>
      <c r="Q7514" s="17"/>
    </row>
    <row r="7515" spans="12:17" x14ac:dyDescent="0.3">
      <c r="L7515" s="25"/>
      <c r="Q7515" s="17"/>
    </row>
    <row r="7516" spans="12:17" x14ac:dyDescent="0.3">
      <c r="L7516" s="25"/>
      <c r="Q7516" s="17"/>
    </row>
    <row r="7517" spans="12:17" x14ac:dyDescent="0.3">
      <c r="L7517" s="25"/>
      <c r="Q7517" s="17"/>
    </row>
    <row r="7518" spans="12:17" x14ac:dyDescent="0.3">
      <c r="L7518" s="25"/>
      <c r="Q7518" s="17"/>
    </row>
    <row r="7519" spans="12:17" x14ac:dyDescent="0.3">
      <c r="L7519" s="25"/>
      <c r="Q7519" s="17"/>
    </row>
    <row r="7520" spans="12:17" x14ac:dyDescent="0.3">
      <c r="L7520" s="25"/>
      <c r="Q7520" s="17"/>
    </row>
    <row r="7521" spans="12:17" x14ac:dyDescent="0.3">
      <c r="L7521" s="25"/>
      <c r="Q7521" s="17"/>
    </row>
    <row r="7522" spans="12:17" x14ac:dyDescent="0.3">
      <c r="L7522" s="25"/>
      <c r="Q7522" s="17"/>
    </row>
    <row r="7523" spans="12:17" x14ac:dyDescent="0.3">
      <c r="L7523" s="25"/>
      <c r="Q7523" s="17"/>
    </row>
    <row r="7524" spans="12:17" x14ac:dyDescent="0.3">
      <c r="L7524" s="25"/>
      <c r="Q7524" s="17"/>
    </row>
    <row r="7525" spans="12:17" x14ac:dyDescent="0.3">
      <c r="L7525" s="25"/>
      <c r="Q7525" s="17"/>
    </row>
    <row r="7526" spans="12:17" x14ac:dyDescent="0.3">
      <c r="L7526" s="25"/>
      <c r="Q7526" s="17"/>
    </row>
    <row r="7527" spans="12:17" x14ac:dyDescent="0.3">
      <c r="L7527" s="25"/>
      <c r="Q7527" s="17"/>
    </row>
    <row r="7528" spans="12:17" x14ac:dyDescent="0.3">
      <c r="L7528" s="25"/>
      <c r="Q7528" s="17"/>
    </row>
    <row r="7529" spans="12:17" x14ac:dyDescent="0.3">
      <c r="L7529" s="25"/>
      <c r="Q7529" s="17"/>
    </row>
    <row r="7530" spans="12:17" x14ac:dyDescent="0.3">
      <c r="L7530" s="25"/>
      <c r="Q7530" s="17"/>
    </row>
    <row r="7531" spans="12:17" x14ac:dyDescent="0.3">
      <c r="L7531" s="25"/>
      <c r="Q7531" s="17"/>
    </row>
    <row r="7532" spans="12:17" x14ac:dyDescent="0.3">
      <c r="L7532" s="25"/>
      <c r="Q7532" s="17"/>
    </row>
    <row r="7533" spans="12:17" x14ac:dyDescent="0.3">
      <c r="L7533" s="25"/>
      <c r="Q7533" s="17"/>
    </row>
    <row r="7534" spans="12:17" x14ac:dyDescent="0.3">
      <c r="L7534" s="25"/>
      <c r="Q7534" s="17"/>
    </row>
    <row r="7535" spans="12:17" x14ac:dyDescent="0.3">
      <c r="L7535" s="25"/>
      <c r="Q7535" s="17"/>
    </row>
    <row r="7536" spans="12:17" x14ac:dyDescent="0.3">
      <c r="L7536" s="25"/>
      <c r="Q7536" s="17"/>
    </row>
    <row r="7537" spans="12:17" x14ac:dyDescent="0.3">
      <c r="L7537" s="25"/>
      <c r="Q7537" s="17"/>
    </row>
    <row r="7538" spans="12:17" x14ac:dyDescent="0.3">
      <c r="L7538" s="25"/>
      <c r="Q7538" s="17"/>
    </row>
    <row r="7539" spans="12:17" x14ac:dyDescent="0.3">
      <c r="L7539" s="25"/>
      <c r="Q7539" s="17"/>
    </row>
    <row r="7540" spans="12:17" x14ac:dyDescent="0.3">
      <c r="L7540" s="25"/>
      <c r="Q7540" s="17"/>
    </row>
    <row r="7541" spans="12:17" x14ac:dyDescent="0.3">
      <c r="L7541" s="25"/>
      <c r="Q7541" s="17"/>
    </row>
    <row r="7542" spans="12:17" x14ac:dyDescent="0.3">
      <c r="L7542" s="25"/>
      <c r="Q7542" s="17"/>
    </row>
    <row r="7543" spans="12:17" x14ac:dyDescent="0.3">
      <c r="L7543" s="25"/>
      <c r="Q7543" s="17"/>
    </row>
    <row r="7544" spans="12:17" x14ac:dyDescent="0.3">
      <c r="L7544" s="25"/>
      <c r="Q7544" s="17"/>
    </row>
    <row r="7545" spans="12:17" x14ac:dyDescent="0.3">
      <c r="L7545" s="25"/>
      <c r="Q7545" s="17"/>
    </row>
    <row r="7546" spans="12:17" x14ac:dyDescent="0.3">
      <c r="L7546" s="25"/>
      <c r="Q7546" s="17"/>
    </row>
    <row r="7547" spans="12:17" x14ac:dyDescent="0.3">
      <c r="L7547" s="25"/>
      <c r="Q7547" s="17"/>
    </row>
    <row r="7548" spans="12:17" x14ac:dyDescent="0.3">
      <c r="L7548" s="25"/>
      <c r="Q7548" s="17"/>
    </row>
    <row r="7549" spans="12:17" x14ac:dyDescent="0.3">
      <c r="L7549" s="25"/>
      <c r="Q7549" s="17"/>
    </row>
    <row r="7550" spans="12:17" x14ac:dyDescent="0.3">
      <c r="L7550" s="25"/>
      <c r="Q7550" s="17"/>
    </row>
    <row r="7551" spans="12:17" x14ac:dyDescent="0.3">
      <c r="L7551" s="25"/>
      <c r="Q7551" s="17"/>
    </row>
    <row r="7552" spans="12:17" x14ac:dyDescent="0.3">
      <c r="L7552" s="25"/>
      <c r="Q7552" s="17"/>
    </row>
    <row r="7553" spans="12:17" x14ac:dyDescent="0.3">
      <c r="L7553" s="25"/>
      <c r="Q7553" s="17"/>
    </row>
    <row r="7554" spans="12:17" x14ac:dyDescent="0.3">
      <c r="L7554" s="25"/>
      <c r="Q7554" s="17"/>
    </row>
    <row r="7555" spans="12:17" x14ac:dyDescent="0.3">
      <c r="L7555" s="25"/>
      <c r="Q7555" s="17"/>
    </row>
    <row r="7556" spans="12:17" x14ac:dyDescent="0.3">
      <c r="L7556" s="25"/>
      <c r="Q7556" s="17"/>
    </row>
    <row r="7557" spans="12:17" x14ac:dyDescent="0.3">
      <c r="L7557" s="25"/>
      <c r="Q7557" s="17"/>
    </row>
    <row r="7558" spans="12:17" x14ac:dyDescent="0.3">
      <c r="L7558" s="25"/>
      <c r="Q7558" s="17"/>
    </row>
    <row r="7559" spans="12:17" x14ac:dyDescent="0.3">
      <c r="L7559" s="25"/>
      <c r="Q7559" s="17"/>
    </row>
    <row r="7560" spans="12:17" x14ac:dyDescent="0.3">
      <c r="L7560" s="25"/>
      <c r="Q7560" s="17"/>
    </row>
    <row r="7561" spans="12:17" x14ac:dyDescent="0.3">
      <c r="L7561" s="25"/>
      <c r="Q7561" s="17"/>
    </row>
    <row r="7562" spans="12:17" x14ac:dyDescent="0.3">
      <c r="L7562" s="25"/>
      <c r="Q7562" s="17"/>
    </row>
    <row r="7563" spans="12:17" x14ac:dyDescent="0.3">
      <c r="L7563" s="25"/>
      <c r="Q7563" s="17"/>
    </row>
    <row r="7564" spans="12:17" x14ac:dyDescent="0.3">
      <c r="L7564" s="25"/>
      <c r="Q7564" s="17"/>
    </row>
    <row r="7565" spans="12:17" x14ac:dyDescent="0.3">
      <c r="L7565" s="25"/>
      <c r="Q7565" s="17"/>
    </row>
    <row r="7566" spans="12:17" x14ac:dyDescent="0.3">
      <c r="L7566" s="25"/>
      <c r="Q7566" s="17"/>
    </row>
    <row r="7567" spans="12:17" x14ac:dyDescent="0.3">
      <c r="L7567" s="25"/>
      <c r="Q7567" s="17"/>
    </row>
    <row r="7568" spans="12:17" x14ac:dyDescent="0.3">
      <c r="L7568" s="25"/>
      <c r="Q7568" s="17"/>
    </row>
    <row r="7569" spans="12:17" x14ac:dyDescent="0.3">
      <c r="L7569" s="25"/>
      <c r="Q7569" s="17"/>
    </row>
    <row r="7570" spans="12:17" x14ac:dyDescent="0.3">
      <c r="L7570" s="25"/>
      <c r="Q7570" s="17"/>
    </row>
    <row r="7571" spans="12:17" x14ac:dyDescent="0.3">
      <c r="L7571" s="25"/>
      <c r="Q7571" s="17"/>
    </row>
    <row r="7572" spans="12:17" x14ac:dyDescent="0.3">
      <c r="L7572" s="25"/>
      <c r="Q7572" s="17"/>
    </row>
    <row r="7573" spans="12:17" x14ac:dyDescent="0.3">
      <c r="L7573" s="25"/>
      <c r="Q7573" s="17"/>
    </row>
    <row r="7574" spans="12:17" x14ac:dyDescent="0.3">
      <c r="L7574" s="25"/>
      <c r="Q7574" s="17"/>
    </row>
    <row r="7575" spans="12:17" x14ac:dyDescent="0.3">
      <c r="L7575" s="25"/>
      <c r="Q7575" s="17"/>
    </row>
    <row r="7576" spans="12:17" x14ac:dyDescent="0.3">
      <c r="L7576" s="25"/>
      <c r="Q7576" s="17"/>
    </row>
    <row r="7577" spans="12:17" x14ac:dyDescent="0.3">
      <c r="L7577" s="25"/>
      <c r="Q7577" s="17"/>
    </row>
    <row r="7578" spans="12:17" x14ac:dyDescent="0.3">
      <c r="L7578" s="25"/>
      <c r="Q7578" s="17"/>
    </row>
    <row r="7579" spans="12:17" x14ac:dyDescent="0.3">
      <c r="L7579" s="25"/>
      <c r="Q7579" s="17"/>
    </row>
    <row r="7580" spans="12:17" x14ac:dyDescent="0.3">
      <c r="L7580" s="25"/>
      <c r="Q7580" s="17"/>
    </row>
    <row r="7581" spans="12:17" x14ac:dyDescent="0.3">
      <c r="L7581" s="25"/>
      <c r="Q7581" s="17"/>
    </row>
    <row r="7582" spans="12:17" x14ac:dyDescent="0.3">
      <c r="L7582" s="25"/>
      <c r="Q7582" s="17"/>
    </row>
    <row r="7583" spans="12:17" x14ac:dyDescent="0.3">
      <c r="L7583" s="25"/>
      <c r="Q7583" s="17"/>
    </row>
    <row r="7584" spans="12:17" x14ac:dyDescent="0.3">
      <c r="L7584" s="25"/>
      <c r="Q7584" s="17"/>
    </row>
    <row r="7585" spans="12:17" x14ac:dyDescent="0.3">
      <c r="L7585" s="25"/>
      <c r="Q7585" s="17"/>
    </row>
    <row r="7586" spans="12:17" x14ac:dyDescent="0.3">
      <c r="L7586" s="25"/>
      <c r="Q7586" s="17"/>
    </row>
    <row r="7587" spans="12:17" x14ac:dyDescent="0.3">
      <c r="L7587" s="25"/>
      <c r="Q7587" s="17"/>
    </row>
    <row r="7588" spans="12:17" x14ac:dyDescent="0.3">
      <c r="L7588" s="25"/>
      <c r="Q7588" s="17"/>
    </row>
    <row r="7589" spans="12:17" x14ac:dyDescent="0.3">
      <c r="L7589" s="25"/>
      <c r="Q7589" s="17"/>
    </row>
    <row r="7590" spans="12:17" x14ac:dyDescent="0.3">
      <c r="L7590" s="25"/>
      <c r="Q7590" s="17"/>
    </row>
    <row r="7591" spans="12:17" x14ac:dyDescent="0.3">
      <c r="L7591" s="25"/>
      <c r="Q7591" s="17"/>
    </row>
    <row r="7592" spans="12:17" x14ac:dyDescent="0.3">
      <c r="L7592" s="25"/>
      <c r="Q7592" s="17"/>
    </row>
    <row r="7593" spans="12:17" x14ac:dyDescent="0.3">
      <c r="L7593" s="25"/>
      <c r="Q7593" s="17"/>
    </row>
    <row r="7594" spans="12:17" x14ac:dyDescent="0.3">
      <c r="L7594" s="25"/>
      <c r="Q7594" s="17"/>
    </row>
    <row r="7595" spans="12:17" x14ac:dyDescent="0.3">
      <c r="L7595" s="25"/>
      <c r="Q7595" s="17"/>
    </row>
    <row r="7596" spans="12:17" x14ac:dyDescent="0.3">
      <c r="L7596" s="25"/>
      <c r="Q7596" s="17"/>
    </row>
    <row r="7597" spans="12:17" x14ac:dyDescent="0.3">
      <c r="L7597" s="25"/>
      <c r="Q7597" s="17"/>
    </row>
    <row r="7598" spans="12:17" x14ac:dyDescent="0.3">
      <c r="L7598" s="25"/>
      <c r="Q7598" s="17"/>
    </row>
    <row r="7599" spans="12:17" x14ac:dyDescent="0.3">
      <c r="L7599" s="25"/>
      <c r="Q7599" s="17"/>
    </row>
    <row r="7600" spans="12:17" x14ac:dyDescent="0.3">
      <c r="L7600" s="25"/>
      <c r="Q7600" s="17"/>
    </row>
    <row r="7601" spans="12:17" x14ac:dyDescent="0.3">
      <c r="L7601" s="25"/>
      <c r="Q7601" s="17"/>
    </row>
    <row r="7602" spans="12:17" x14ac:dyDescent="0.3">
      <c r="L7602" s="25"/>
      <c r="Q7602" s="17"/>
    </row>
    <row r="7603" spans="12:17" x14ac:dyDescent="0.3">
      <c r="L7603" s="25"/>
      <c r="Q7603" s="17"/>
    </row>
    <row r="7604" spans="12:17" x14ac:dyDescent="0.3">
      <c r="L7604" s="25"/>
      <c r="Q7604" s="17"/>
    </row>
    <row r="7605" spans="12:17" x14ac:dyDescent="0.3">
      <c r="L7605" s="25"/>
      <c r="Q7605" s="17"/>
    </row>
    <row r="7606" spans="12:17" x14ac:dyDescent="0.3">
      <c r="L7606" s="25"/>
      <c r="Q7606" s="17"/>
    </row>
    <row r="7607" spans="12:17" x14ac:dyDescent="0.3">
      <c r="L7607" s="25"/>
      <c r="Q7607" s="17"/>
    </row>
    <row r="7608" spans="12:17" x14ac:dyDescent="0.3">
      <c r="L7608" s="25"/>
      <c r="Q7608" s="17"/>
    </row>
    <row r="7609" spans="12:17" x14ac:dyDescent="0.3">
      <c r="L7609" s="25"/>
      <c r="Q7609" s="17"/>
    </row>
    <row r="7610" spans="12:17" x14ac:dyDescent="0.3">
      <c r="L7610" s="25"/>
      <c r="Q7610" s="17"/>
    </row>
    <row r="7611" spans="12:17" x14ac:dyDescent="0.3">
      <c r="L7611" s="25"/>
      <c r="Q7611" s="17"/>
    </row>
    <row r="7612" spans="12:17" x14ac:dyDescent="0.3">
      <c r="L7612" s="25"/>
      <c r="Q7612" s="17"/>
    </row>
    <row r="7613" spans="12:17" x14ac:dyDescent="0.3">
      <c r="L7613" s="25"/>
      <c r="Q7613" s="17"/>
    </row>
    <row r="7614" spans="12:17" x14ac:dyDescent="0.3">
      <c r="L7614" s="25"/>
      <c r="Q7614" s="17"/>
    </row>
    <row r="7615" spans="12:17" x14ac:dyDescent="0.3">
      <c r="L7615" s="25"/>
      <c r="Q7615" s="17"/>
    </row>
    <row r="7616" spans="12:17" x14ac:dyDescent="0.3">
      <c r="L7616" s="25"/>
      <c r="Q7616" s="17"/>
    </row>
    <row r="7617" spans="12:17" x14ac:dyDescent="0.3">
      <c r="L7617" s="25"/>
      <c r="Q7617" s="17"/>
    </row>
    <row r="7618" spans="12:17" x14ac:dyDescent="0.3">
      <c r="L7618" s="25"/>
      <c r="Q7618" s="17"/>
    </row>
    <row r="7619" spans="12:17" x14ac:dyDescent="0.3">
      <c r="L7619" s="25"/>
      <c r="Q7619" s="17"/>
    </row>
    <row r="7620" spans="12:17" x14ac:dyDescent="0.3">
      <c r="L7620" s="25"/>
      <c r="Q7620" s="17"/>
    </row>
    <row r="7621" spans="12:17" x14ac:dyDescent="0.3">
      <c r="L7621" s="25"/>
      <c r="Q7621" s="17"/>
    </row>
    <row r="7622" spans="12:17" x14ac:dyDescent="0.3">
      <c r="L7622" s="25"/>
      <c r="Q7622" s="17"/>
    </row>
    <row r="7623" spans="12:17" x14ac:dyDescent="0.3">
      <c r="L7623" s="25"/>
      <c r="Q7623" s="17"/>
    </row>
    <row r="7624" spans="12:17" x14ac:dyDescent="0.3">
      <c r="L7624" s="25"/>
      <c r="Q7624" s="17"/>
    </row>
    <row r="7625" spans="12:17" x14ac:dyDescent="0.3">
      <c r="L7625" s="25"/>
      <c r="Q7625" s="17"/>
    </row>
    <row r="7626" spans="12:17" x14ac:dyDescent="0.3">
      <c r="L7626" s="25"/>
      <c r="Q7626" s="17"/>
    </row>
    <row r="7627" spans="12:17" x14ac:dyDescent="0.3">
      <c r="L7627" s="25"/>
      <c r="Q7627" s="17"/>
    </row>
    <row r="7628" spans="12:17" x14ac:dyDescent="0.3">
      <c r="L7628" s="25"/>
      <c r="Q7628" s="17"/>
    </row>
    <row r="7629" spans="12:17" x14ac:dyDescent="0.3">
      <c r="L7629" s="25"/>
      <c r="Q7629" s="17"/>
    </row>
    <row r="7630" spans="12:17" x14ac:dyDescent="0.3">
      <c r="L7630" s="25"/>
      <c r="Q7630" s="17"/>
    </row>
    <row r="7631" spans="12:17" x14ac:dyDescent="0.3">
      <c r="L7631" s="25"/>
      <c r="Q7631" s="17"/>
    </row>
    <row r="7632" spans="12:17" x14ac:dyDescent="0.3">
      <c r="L7632" s="25"/>
      <c r="Q7632" s="17"/>
    </row>
    <row r="7633" spans="12:17" x14ac:dyDescent="0.3">
      <c r="L7633" s="25"/>
      <c r="Q7633" s="17"/>
    </row>
    <row r="7634" spans="12:17" x14ac:dyDescent="0.3">
      <c r="L7634" s="25"/>
      <c r="Q7634" s="17"/>
    </row>
    <row r="7635" spans="12:17" x14ac:dyDescent="0.3">
      <c r="L7635" s="25"/>
      <c r="Q7635" s="17"/>
    </row>
    <row r="7636" spans="12:17" x14ac:dyDescent="0.3">
      <c r="L7636" s="25"/>
      <c r="Q7636" s="17"/>
    </row>
    <row r="7637" spans="12:17" x14ac:dyDescent="0.3">
      <c r="L7637" s="25"/>
      <c r="Q7637" s="17"/>
    </row>
    <row r="7638" spans="12:17" x14ac:dyDescent="0.3">
      <c r="L7638" s="25"/>
      <c r="Q7638" s="17"/>
    </row>
    <row r="7639" spans="12:17" x14ac:dyDescent="0.3">
      <c r="L7639" s="25"/>
      <c r="Q7639" s="17"/>
    </row>
    <row r="7640" spans="12:17" x14ac:dyDescent="0.3">
      <c r="L7640" s="25"/>
      <c r="Q7640" s="17"/>
    </row>
    <row r="7641" spans="12:17" x14ac:dyDescent="0.3">
      <c r="L7641" s="25"/>
      <c r="Q7641" s="17"/>
    </row>
    <row r="7642" spans="12:17" x14ac:dyDescent="0.3">
      <c r="L7642" s="25"/>
      <c r="Q7642" s="17"/>
    </row>
    <row r="7643" spans="12:17" x14ac:dyDescent="0.3">
      <c r="L7643" s="25"/>
      <c r="Q7643" s="17"/>
    </row>
    <row r="7644" spans="12:17" x14ac:dyDescent="0.3">
      <c r="L7644" s="25"/>
      <c r="Q7644" s="17"/>
    </row>
    <row r="7645" spans="12:17" x14ac:dyDescent="0.3">
      <c r="L7645" s="25"/>
      <c r="Q7645" s="17"/>
    </row>
    <row r="7646" spans="12:17" x14ac:dyDescent="0.3">
      <c r="L7646" s="25"/>
      <c r="Q7646" s="17"/>
    </row>
    <row r="7647" spans="12:17" x14ac:dyDescent="0.3">
      <c r="L7647" s="25"/>
      <c r="Q7647" s="17"/>
    </row>
    <row r="7648" spans="12:17" x14ac:dyDescent="0.3">
      <c r="L7648" s="25"/>
      <c r="Q7648" s="17"/>
    </row>
    <row r="7649" spans="12:17" x14ac:dyDescent="0.3">
      <c r="L7649" s="25"/>
      <c r="Q7649" s="17"/>
    </row>
    <row r="7650" spans="12:17" x14ac:dyDescent="0.3">
      <c r="L7650" s="25"/>
      <c r="Q7650" s="17"/>
    </row>
    <row r="7651" spans="12:17" x14ac:dyDescent="0.3">
      <c r="L7651" s="25"/>
      <c r="Q7651" s="17"/>
    </row>
    <row r="7652" spans="12:17" x14ac:dyDescent="0.3">
      <c r="L7652" s="25"/>
      <c r="Q7652" s="17"/>
    </row>
    <row r="7653" spans="12:17" x14ac:dyDescent="0.3">
      <c r="L7653" s="25"/>
      <c r="Q7653" s="17"/>
    </row>
    <row r="7654" spans="12:17" x14ac:dyDescent="0.3">
      <c r="L7654" s="25"/>
      <c r="Q7654" s="17"/>
    </row>
    <row r="7655" spans="12:17" x14ac:dyDescent="0.3">
      <c r="L7655" s="25"/>
      <c r="Q7655" s="17"/>
    </row>
    <row r="7656" spans="12:17" x14ac:dyDescent="0.3">
      <c r="L7656" s="25"/>
      <c r="Q7656" s="17"/>
    </row>
    <row r="7657" spans="12:17" x14ac:dyDescent="0.3">
      <c r="L7657" s="25"/>
      <c r="Q7657" s="17"/>
    </row>
    <row r="7658" spans="12:17" x14ac:dyDescent="0.3">
      <c r="L7658" s="25"/>
      <c r="Q7658" s="17"/>
    </row>
    <row r="7659" spans="12:17" x14ac:dyDescent="0.3">
      <c r="L7659" s="25"/>
      <c r="Q7659" s="17"/>
    </row>
    <row r="7660" spans="12:17" x14ac:dyDescent="0.3">
      <c r="L7660" s="25"/>
      <c r="Q7660" s="17"/>
    </row>
    <row r="7661" spans="12:17" x14ac:dyDescent="0.3">
      <c r="L7661" s="25"/>
      <c r="Q7661" s="17"/>
    </row>
    <row r="7662" spans="12:17" x14ac:dyDescent="0.3">
      <c r="L7662" s="25"/>
      <c r="Q7662" s="17"/>
    </row>
    <row r="7663" spans="12:17" x14ac:dyDescent="0.3">
      <c r="L7663" s="25"/>
      <c r="Q7663" s="17"/>
    </row>
    <row r="7664" spans="12:17" x14ac:dyDescent="0.3">
      <c r="L7664" s="25"/>
      <c r="Q7664" s="17"/>
    </row>
    <row r="7665" spans="12:17" x14ac:dyDescent="0.3">
      <c r="L7665" s="25"/>
      <c r="Q7665" s="17"/>
    </row>
    <row r="7666" spans="12:17" x14ac:dyDescent="0.3">
      <c r="L7666" s="25"/>
      <c r="Q7666" s="17"/>
    </row>
    <row r="7667" spans="12:17" x14ac:dyDescent="0.3">
      <c r="L7667" s="25"/>
      <c r="Q7667" s="17"/>
    </row>
    <row r="7668" spans="12:17" x14ac:dyDescent="0.3">
      <c r="L7668" s="25"/>
      <c r="Q7668" s="17"/>
    </row>
    <row r="7669" spans="12:17" x14ac:dyDescent="0.3">
      <c r="L7669" s="25"/>
      <c r="Q7669" s="17"/>
    </row>
    <row r="7670" spans="12:17" x14ac:dyDescent="0.3">
      <c r="L7670" s="25"/>
      <c r="Q7670" s="17"/>
    </row>
    <row r="7671" spans="12:17" x14ac:dyDescent="0.3">
      <c r="L7671" s="25"/>
      <c r="Q7671" s="17"/>
    </row>
    <row r="7672" spans="12:17" x14ac:dyDescent="0.3">
      <c r="L7672" s="25"/>
      <c r="Q7672" s="17"/>
    </row>
    <row r="7673" spans="12:17" x14ac:dyDescent="0.3">
      <c r="L7673" s="25"/>
      <c r="Q7673" s="17"/>
    </row>
    <row r="7674" spans="12:17" x14ac:dyDescent="0.3">
      <c r="L7674" s="25"/>
      <c r="Q7674" s="17"/>
    </row>
    <row r="7675" spans="12:17" x14ac:dyDescent="0.3">
      <c r="L7675" s="25"/>
      <c r="Q7675" s="17"/>
    </row>
    <row r="7676" spans="12:17" x14ac:dyDescent="0.3">
      <c r="L7676" s="25"/>
      <c r="Q7676" s="17"/>
    </row>
    <row r="7677" spans="12:17" x14ac:dyDescent="0.3">
      <c r="L7677" s="25"/>
      <c r="Q7677" s="17"/>
    </row>
    <row r="7678" spans="12:17" x14ac:dyDescent="0.3">
      <c r="L7678" s="25"/>
      <c r="Q7678" s="17"/>
    </row>
    <row r="7679" spans="12:17" x14ac:dyDescent="0.3">
      <c r="L7679" s="25"/>
      <c r="Q7679" s="17"/>
    </row>
    <row r="7680" spans="12:17" x14ac:dyDescent="0.3">
      <c r="L7680" s="25"/>
      <c r="Q7680" s="17"/>
    </row>
    <row r="7681" spans="12:17" x14ac:dyDescent="0.3">
      <c r="L7681" s="25"/>
      <c r="Q7681" s="17"/>
    </row>
    <row r="7682" spans="12:17" x14ac:dyDescent="0.3">
      <c r="L7682" s="25"/>
      <c r="Q7682" s="17"/>
    </row>
    <row r="7683" spans="12:17" x14ac:dyDescent="0.3">
      <c r="L7683" s="25"/>
      <c r="Q7683" s="17"/>
    </row>
    <row r="7684" spans="12:17" x14ac:dyDescent="0.3">
      <c r="L7684" s="25"/>
      <c r="Q7684" s="17"/>
    </row>
    <row r="7685" spans="12:17" x14ac:dyDescent="0.3">
      <c r="L7685" s="25"/>
      <c r="Q7685" s="17"/>
    </row>
    <row r="7686" spans="12:17" x14ac:dyDescent="0.3">
      <c r="L7686" s="25"/>
      <c r="Q7686" s="17"/>
    </row>
    <row r="7687" spans="12:17" x14ac:dyDescent="0.3">
      <c r="L7687" s="25"/>
      <c r="Q7687" s="17"/>
    </row>
    <row r="7688" spans="12:17" x14ac:dyDescent="0.3">
      <c r="L7688" s="25"/>
      <c r="Q7688" s="17"/>
    </row>
    <row r="7689" spans="12:17" x14ac:dyDescent="0.3">
      <c r="L7689" s="25"/>
      <c r="Q7689" s="17"/>
    </row>
    <row r="7690" spans="12:17" x14ac:dyDescent="0.3">
      <c r="L7690" s="25"/>
      <c r="Q7690" s="17"/>
    </row>
    <row r="7691" spans="12:17" x14ac:dyDescent="0.3">
      <c r="L7691" s="25"/>
      <c r="Q7691" s="17"/>
    </row>
    <row r="7692" spans="12:17" x14ac:dyDescent="0.3">
      <c r="L7692" s="25"/>
      <c r="Q7692" s="17"/>
    </row>
    <row r="7693" spans="12:17" x14ac:dyDescent="0.3">
      <c r="L7693" s="25"/>
      <c r="Q7693" s="17"/>
    </row>
    <row r="7694" spans="12:17" x14ac:dyDescent="0.3">
      <c r="L7694" s="25"/>
      <c r="Q7694" s="17"/>
    </row>
    <row r="7695" spans="12:17" x14ac:dyDescent="0.3">
      <c r="L7695" s="25"/>
      <c r="Q7695" s="17"/>
    </row>
    <row r="7696" spans="12:17" x14ac:dyDescent="0.3">
      <c r="L7696" s="25"/>
      <c r="Q7696" s="17"/>
    </row>
    <row r="7697" spans="12:17" x14ac:dyDescent="0.3">
      <c r="L7697" s="25"/>
      <c r="Q7697" s="17"/>
    </row>
    <row r="7698" spans="12:17" x14ac:dyDescent="0.3">
      <c r="L7698" s="25"/>
      <c r="Q7698" s="17"/>
    </row>
    <row r="7699" spans="12:17" x14ac:dyDescent="0.3">
      <c r="L7699" s="25"/>
      <c r="Q7699" s="17"/>
    </row>
    <row r="7700" spans="12:17" x14ac:dyDescent="0.3">
      <c r="L7700" s="25"/>
      <c r="Q7700" s="17"/>
    </row>
    <row r="7701" spans="12:17" x14ac:dyDescent="0.3">
      <c r="L7701" s="25"/>
      <c r="Q7701" s="17"/>
    </row>
    <row r="7702" spans="12:17" x14ac:dyDescent="0.3">
      <c r="L7702" s="25"/>
      <c r="Q7702" s="17"/>
    </row>
    <row r="7703" spans="12:17" x14ac:dyDescent="0.3">
      <c r="L7703" s="25"/>
      <c r="Q7703" s="17"/>
    </row>
    <row r="7704" spans="12:17" x14ac:dyDescent="0.3">
      <c r="L7704" s="25"/>
      <c r="Q7704" s="17"/>
    </row>
    <row r="7705" spans="12:17" x14ac:dyDescent="0.3">
      <c r="L7705" s="25"/>
      <c r="Q7705" s="17"/>
    </row>
    <row r="7706" spans="12:17" x14ac:dyDescent="0.3">
      <c r="L7706" s="25"/>
      <c r="Q7706" s="17"/>
    </row>
    <row r="7707" spans="12:17" x14ac:dyDescent="0.3">
      <c r="L7707" s="25"/>
      <c r="Q7707" s="17"/>
    </row>
    <row r="7708" spans="12:17" x14ac:dyDescent="0.3">
      <c r="L7708" s="25"/>
      <c r="Q7708" s="17"/>
    </row>
    <row r="7709" spans="12:17" x14ac:dyDescent="0.3">
      <c r="L7709" s="25"/>
      <c r="Q7709" s="17"/>
    </row>
    <row r="7710" spans="12:17" x14ac:dyDescent="0.3">
      <c r="L7710" s="25"/>
      <c r="Q7710" s="17"/>
    </row>
    <row r="7711" spans="12:17" x14ac:dyDescent="0.3">
      <c r="L7711" s="25"/>
      <c r="Q7711" s="17"/>
    </row>
    <row r="7712" spans="12:17" x14ac:dyDescent="0.3">
      <c r="L7712" s="25"/>
      <c r="Q7712" s="17"/>
    </row>
    <row r="7713" spans="12:17" x14ac:dyDescent="0.3">
      <c r="L7713" s="25"/>
      <c r="Q7713" s="17"/>
    </row>
    <row r="7714" spans="12:17" x14ac:dyDescent="0.3">
      <c r="L7714" s="25"/>
      <c r="Q7714" s="17"/>
    </row>
    <row r="7715" spans="12:17" x14ac:dyDescent="0.3">
      <c r="L7715" s="25"/>
      <c r="Q7715" s="17"/>
    </row>
    <row r="7716" spans="12:17" x14ac:dyDescent="0.3">
      <c r="L7716" s="25"/>
      <c r="Q7716" s="17"/>
    </row>
    <row r="7717" spans="12:17" x14ac:dyDescent="0.3">
      <c r="L7717" s="25"/>
      <c r="Q7717" s="17"/>
    </row>
    <row r="7718" spans="12:17" x14ac:dyDescent="0.3">
      <c r="L7718" s="25"/>
      <c r="Q7718" s="17"/>
    </row>
    <row r="7719" spans="12:17" x14ac:dyDescent="0.3">
      <c r="L7719" s="25"/>
      <c r="Q7719" s="17"/>
    </row>
    <row r="7720" spans="12:17" x14ac:dyDescent="0.3">
      <c r="L7720" s="25"/>
      <c r="Q7720" s="17"/>
    </row>
    <row r="7721" spans="12:17" x14ac:dyDescent="0.3">
      <c r="L7721" s="25"/>
      <c r="Q7721" s="17"/>
    </row>
    <row r="7722" spans="12:17" x14ac:dyDescent="0.3">
      <c r="L7722" s="25"/>
      <c r="Q7722" s="17"/>
    </row>
    <row r="7723" spans="12:17" x14ac:dyDescent="0.3">
      <c r="L7723" s="25"/>
      <c r="Q7723" s="17"/>
    </row>
    <row r="7724" spans="12:17" x14ac:dyDescent="0.3">
      <c r="L7724" s="25"/>
      <c r="Q7724" s="17"/>
    </row>
    <row r="7725" spans="12:17" x14ac:dyDescent="0.3">
      <c r="L7725" s="25"/>
      <c r="Q7725" s="17"/>
    </row>
    <row r="7726" spans="12:17" x14ac:dyDescent="0.3">
      <c r="L7726" s="25"/>
      <c r="Q7726" s="17"/>
    </row>
    <row r="7727" spans="12:17" x14ac:dyDescent="0.3">
      <c r="L7727" s="25"/>
      <c r="Q7727" s="17"/>
    </row>
    <row r="7728" spans="12:17" x14ac:dyDescent="0.3">
      <c r="L7728" s="25"/>
      <c r="Q7728" s="17"/>
    </row>
    <row r="7729" spans="12:17" x14ac:dyDescent="0.3">
      <c r="L7729" s="25"/>
      <c r="Q7729" s="17"/>
    </row>
    <row r="7730" spans="12:17" x14ac:dyDescent="0.3">
      <c r="L7730" s="25"/>
      <c r="Q7730" s="17"/>
    </row>
    <row r="7731" spans="12:17" x14ac:dyDescent="0.3">
      <c r="L7731" s="25"/>
      <c r="Q7731" s="17"/>
    </row>
    <row r="7732" spans="12:17" x14ac:dyDescent="0.3">
      <c r="L7732" s="25"/>
      <c r="Q7732" s="17"/>
    </row>
    <row r="7733" spans="12:17" x14ac:dyDescent="0.3">
      <c r="L7733" s="25"/>
      <c r="Q7733" s="17"/>
    </row>
    <row r="7734" spans="12:17" x14ac:dyDescent="0.3">
      <c r="L7734" s="25"/>
      <c r="Q7734" s="17"/>
    </row>
    <row r="7735" spans="12:17" x14ac:dyDescent="0.3">
      <c r="L7735" s="25"/>
      <c r="Q7735" s="17"/>
    </row>
    <row r="7736" spans="12:17" x14ac:dyDescent="0.3">
      <c r="L7736" s="25"/>
      <c r="Q7736" s="17"/>
    </row>
    <row r="7737" spans="12:17" x14ac:dyDescent="0.3">
      <c r="L7737" s="25"/>
      <c r="Q7737" s="17"/>
    </row>
    <row r="7738" spans="12:17" x14ac:dyDescent="0.3">
      <c r="L7738" s="25"/>
      <c r="Q7738" s="17"/>
    </row>
    <row r="7739" spans="12:17" x14ac:dyDescent="0.3">
      <c r="L7739" s="25"/>
      <c r="Q7739" s="17"/>
    </row>
    <row r="7740" spans="12:17" x14ac:dyDescent="0.3">
      <c r="L7740" s="25"/>
      <c r="Q7740" s="17"/>
    </row>
    <row r="7741" spans="12:17" x14ac:dyDescent="0.3">
      <c r="L7741" s="25"/>
      <c r="Q7741" s="17"/>
    </row>
    <row r="7742" spans="12:17" x14ac:dyDescent="0.3">
      <c r="L7742" s="25"/>
      <c r="Q7742" s="17"/>
    </row>
    <row r="7743" spans="12:17" x14ac:dyDescent="0.3">
      <c r="L7743" s="25"/>
      <c r="Q7743" s="17"/>
    </row>
    <row r="7744" spans="12:17" x14ac:dyDescent="0.3">
      <c r="L7744" s="25"/>
      <c r="Q7744" s="17"/>
    </row>
    <row r="7745" spans="12:17" x14ac:dyDescent="0.3">
      <c r="L7745" s="25"/>
      <c r="Q7745" s="17"/>
    </row>
    <row r="7746" spans="12:17" x14ac:dyDescent="0.3">
      <c r="L7746" s="25"/>
      <c r="Q7746" s="17"/>
    </row>
    <row r="7747" spans="12:17" x14ac:dyDescent="0.3">
      <c r="L7747" s="25"/>
      <c r="Q7747" s="17"/>
    </row>
    <row r="7748" spans="12:17" x14ac:dyDescent="0.3">
      <c r="L7748" s="25"/>
      <c r="Q7748" s="17"/>
    </row>
    <row r="7749" spans="12:17" x14ac:dyDescent="0.3">
      <c r="L7749" s="25"/>
      <c r="Q7749" s="17"/>
    </row>
    <row r="7750" spans="12:17" x14ac:dyDescent="0.3">
      <c r="L7750" s="25"/>
      <c r="Q7750" s="17"/>
    </row>
    <row r="7751" spans="12:17" x14ac:dyDescent="0.3">
      <c r="L7751" s="25"/>
      <c r="Q7751" s="17"/>
    </row>
    <row r="7752" spans="12:17" x14ac:dyDescent="0.3">
      <c r="L7752" s="25"/>
      <c r="Q7752" s="17"/>
    </row>
    <row r="7753" spans="12:17" x14ac:dyDescent="0.3">
      <c r="L7753" s="25"/>
      <c r="Q7753" s="17"/>
    </row>
    <row r="7754" spans="12:17" x14ac:dyDescent="0.3">
      <c r="L7754" s="25"/>
      <c r="Q7754" s="17"/>
    </row>
    <row r="7755" spans="12:17" x14ac:dyDescent="0.3">
      <c r="L7755" s="25"/>
      <c r="Q7755" s="17"/>
    </row>
    <row r="7756" spans="12:17" x14ac:dyDescent="0.3">
      <c r="L7756" s="25"/>
      <c r="Q7756" s="17"/>
    </row>
    <row r="7757" spans="12:17" x14ac:dyDescent="0.3">
      <c r="L7757" s="25"/>
      <c r="Q7757" s="17"/>
    </row>
    <row r="7758" spans="12:17" x14ac:dyDescent="0.3">
      <c r="L7758" s="25"/>
      <c r="Q7758" s="17"/>
    </row>
    <row r="7759" spans="12:17" x14ac:dyDescent="0.3">
      <c r="L7759" s="25"/>
      <c r="Q7759" s="17"/>
    </row>
    <row r="7760" spans="12:17" x14ac:dyDescent="0.3">
      <c r="L7760" s="25"/>
      <c r="Q7760" s="17"/>
    </row>
    <row r="7761" spans="12:17" x14ac:dyDescent="0.3">
      <c r="L7761" s="25"/>
      <c r="Q7761" s="17"/>
    </row>
    <row r="7762" spans="12:17" x14ac:dyDescent="0.3">
      <c r="L7762" s="25"/>
      <c r="Q7762" s="17"/>
    </row>
    <row r="7763" spans="12:17" x14ac:dyDescent="0.3">
      <c r="L7763" s="25"/>
      <c r="Q7763" s="17"/>
    </row>
    <row r="7764" spans="12:17" x14ac:dyDescent="0.3">
      <c r="L7764" s="25"/>
      <c r="Q7764" s="17"/>
    </row>
    <row r="7765" spans="12:17" x14ac:dyDescent="0.3">
      <c r="L7765" s="25"/>
      <c r="Q7765" s="17"/>
    </row>
    <row r="7766" spans="12:17" x14ac:dyDescent="0.3">
      <c r="L7766" s="25"/>
      <c r="Q7766" s="17"/>
    </row>
    <row r="7767" spans="12:17" x14ac:dyDescent="0.3">
      <c r="L7767" s="25"/>
      <c r="Q7767" s="17"/>
    </row>
    <row r="7768" spans="12:17" x14ac:dyDescent="0.3">
      <c r="L7768" s="25"/>
      <c r="Q7768" s="17"/>
    </row>
    <row r="7769" spans="12:17" x14ac:dyDescent="0.3">
      <c r="L7769" s="25"/>
      <c r="Q7769" s="17"/>
    </row>
    <row r="7770" spans="12:17" x14ac:dyDescent="0.3">
      <c r="L7770" s="25"/>
      <c r="Q7770" s="17"/>
    </row>
    <row r="7771" spans="12:17" x14ac:dyDescent="0.3">
      <c r="L7771" s="25"/>
      <c r="Q7771" s="17"/>
    </row>
    <row r="7772" spans="12:17" x14ac:dyDescent="0.3">
      <c r="L7772" s="25"/>
      <c r="Q7772" s="17"/>
    </row>
    <row r="7773" spans="12:17" x14ac:dyDescent="0.3">
      <c r="L7773" s="25"/>
      <c r="Q7773" s="17"/>
    </row>
    <row r="7774" spans="12:17" x14ac:dyDescent="0.3">
      <c r="L7774" s="25"/>
      <c r="Q7774" s="17"/>
    </row>
    <row r="7775" spans="12:17" x14ac:dyDescent="0.3">
      <c r="L7775" s="25"/>
      <c r="Q7775" s="17"/>
    </row>
    <row r="7776" spans="12:17" x14ac:dyDescent="0.3">
      <c r="L7776" s="25"/>
      <c r="Q7776" s="17"/>
    </row>
    <row r="7777" spans="12:17" x14ac:dyDescent="0.3">
      <c r="L7777" s="25"/>
      <c r="Q7777" s="17"/>
    </row>
    <row r="7778" spans="12:17" x14ac:dyDescent="0.3">
      <c r="L7778" s="25"/>
      <c r="Q7778" s="17"/>
    </row>
    <row r="7779" spans="12:17" x14ac:dyDescent="0.3">
      <c r="L7779" s="25"/>
      <c r="Q7779" s="17"/>
    </row>
    <row r="7780" spans="12:17" x14ac:dyDescent="0.3">
      <c r="L7780" s="25"/>
      <c r="Q7780" s="17"/>
    </row>
    <row r="7781" spans="12:17" x14ac:dyDescent="0.3">
      <c r="L7781" s="25"/>
      <c r="Q7781" s="17"/>
    </row>
    <row r="7782" spans="12:17" x14ac:dyDescent="0.3">
      <c r="L7782" s="25"/>
      <c r="Q7782" s="17"/>
    </row>
    <row r="7783" spans="12:17" x14ac:dyDescent="0.3">
      <c r="L7783" s="25"/>
      <c r="Q7783" s="17"/>
    </row>
    <row r="7784" spans="12:17" x14ac:dyDescent="0.3">
      <c r="L7784" s="25"/>
      <c r="Q7784" s="17"/>
    </row>
    <row r="7785" spans="12:17" x14ac:dyDescent="0.3">
      <c r="L7785" s="25"/>
      <c r="Q7785" s="17"/>
    </row>
    <row r="7786" spans="12:17" x14ac:dyDescent="0.3">
      <c r="L7786" s="25"/>
      <c r="Q7786" s="17"/>
    </row>
    <row r="7787" spans="12:17" x14ac:dyDescent="0.3">
      <c r="L7787" s="25"/>
      <c r="Q7787" s="17"/>
    </row>
    <row r="7788" spans="12:17" x14ac:dyDescent="0.3">
      <c r="L7788" s="25"/>
      <c r="Q7788" s="17"/>
    </row>
    <row r="7789" spans="12:17" x14ac:dyDescent="0.3">
      <c r="L7789" s="25"/>
      <c r="Q7789" s="17"/>
    </row>
    <row r="7790" spans="12:17" x14ac:dyDescent="0.3">
      <c r="L7790" s="25"/>
      <c r="Q7790" s="17"/>
    </row>
    <row r="7791" spans="12:17" x14ac:dyDescent="0.3">
      <c r="L7791" s="25"/>
      <c r="Q7791" s="17"/>
    </row>
    <row r="7792" spans="12:17" x14ac:dyDescent="0.3">
      <c r="L7792" s="25"/>
      <c r="Q7792" s="17"/>
    </row>
    <row r="7793" spans="12:17" x14ac:dyDescent="0.3">
      <c r="L7793" s="25"/>
      <c r="Q7793" s="17"/>
    </row>
    <row r="7794" spans="12:17" x14ac:dyDescent="0.3">
      <c r="L7794" s="25"/>
      <c r="Q7794" s="17"/>
    </row>
    <row r="7795" spans="12:17" x14ac:dyDescent="0.3">
      <c r="L7795" s="25"/>
      <c r="Q7795" s="17"/>
    </row>
    <row r="7796" spans="12:17" x14ac:dyDescent="0.3">
      <c r="L7796" s="25"/>
      <c r="Q7796" s="17"/>
    </row>
    <row r="7797" spans="12:17" x14ac:dyDescent="0.3">
      <c r="L7797" s="25"/>
      <c r="Q7797" s="17"/>
    </row>
    <row r="7798" spans="12:17" x14ac:dyDescent="0.3">
      <c r="L7798" s="25"/>
      <c r="Q7798" s="17"/>
    </row>
    <row r="7799" spans="12:17" x14ac:dyDescent="0.3">
      <c r="L7799" s="25"/>
      <c r="Q7799" s="17"/>
    </row>
    <row r="7800" spans="12:17" x14ac:dyDescent="0.3">
      <c r="L7800" s="25"/>
      <c r="Q7800" s="17"/>
    </row>
    <row r="7801" spans="12:17" x14ac:dyDescent="0.3">
      <c r="L7801" s="25"/>
      <c r="Q7801" s="17"/>
    </row>
    <row r="7802" spans="12:17" x14ac:dyDescent="0.3">
      <c r="L7802" s="25"/>
      <c r="Q7802" s="17"/>
    </row>
    <row r="7803" spans="12:17" x14ac:dyDescent="0.3">
      <c r="L7803" s="25"/>
      <c r="Q7803" s="17"/>
    </row>
    <row r="7804" spans="12:17" x14ac:dyDescent="0.3">
      <c r="L7804" s="25"/>
      <c r="Q7804" s="17"/>
    </row>
    <row r="7805" spans="12:17" x14ac:dyDescent="0.3">
      <c r="L7805" s="25"/>
      <c r="Q7805" s="17"/>
    </row>
    <row r="7806" spans="12:17" x14ac:dyDescent="0.3">
      <c r="L7806" s="25"/>
      <c r="Q7806" s="17"/>
    </row>
    <row r="7807" spans="12:17" x14ac:dyDescent="0.3">
      <c r="L7807" s="25"/>
      <c r="Q7807" s="17"/>
    </row>
    <row r="7808" spans="12:17" x14ac:dyDescent="0.3">
      <c r="L7808" s="25"/>
      <c r="Q7808" s="17"/>
    </row>
    <row r="7809" spans="12:17" x14ac:dyDescent="0.3">
      <c r="L7809" s="25"/>
      <c r="Q7809" s="17"/>
    </row>
    <row r="7810" spans="12:17" x14ac:dyDescent="0.3">
      <c r="L7810" s="25"/>
      <c r="Q7810" s="17"/>
    </row>
    <row r="7811" spans="12:17" x14ac:dyDescent="0.3">
      <c r="L7811" s="25"/>
      <c r="Q7811" s="17"/>
    </row>
    <row r="7812" spans="12:17" x14ac:dyDescent="0.3">
      <c r="L7812" s="25"/>
      <c r="Q7812" s="17"/>
    </row>
    <row r="7813" spans="12:17" x14ac:dyDescent="0.3">
      <c r="L7813" s="25"/>
      <c r="Q7813" s="17"/>
    </row>
    <row r="7814" spans="12:17" x14ac:dyDescent="0.3">
      <c r="L7814" s="25"/>
      <c r="Q7814" s="17"/>
    </row>
    <row r="7815" spans="12:17" x14ac:dyDescent="0.3">
      <c r="L7815" s="25"/>
      <c r="Q7815" s="17"/>
    </row>
    <row r="7816" spans="12:17" x14ac:dyDescent="0.3">
      <c r="L7816" s="25"/>
      <c r="Q7816" s="17"/>
    </row>
    <row r="7817" spans="12:17" x14ac:dyDescent="0.3">
      <c r="L7817" s="25"/>
      <c r="Q7817" s="17"/>
    </row>
    <row r="7818" spans="12:17" x14ac:dyDescent="0.3">
      <c r="L7818" s="25"/>
      <c r="Q7818" s="17"/>
    </row>
    <row r="7819" spans="12:17" x14ac:dyDescent="0.3">
      <c r="L7819" s="25"/>
      <c r="Q7819" s="17"/>
    </row>
    <row r="7820" spans="12:17" x14ac:dyDescent="0.3">
      <c r="L7820" s="25"/>
      <c r="Q7820" s="17"/>
    </row>
    <row r="7821" spans="12:17" x14ac:dyDescent="0.3">
      <c r="L7821" s="25"/>
      <c r="Q7821" s="17"/>
    </row>
    <row r="7822" spans="12:17" x14ac:dyDescent="0.3">
      <c r="L7822" s="25"/>
      <c r="Q7822" s="17"/>
    </row>
    <row r="7823" spans="12:17" x14ac:dyDescent="0.3">
      <c r="L7823" s="25"/>
      <c r="Q7823" s="17"/>
    </row>
    <row r="7824" spans="12:17" x14ac:dyDescent="0.3">
      <c r="L7824" s="25"/>
      <c r="Q7824" s="17"/>
    </row>
    <row r="7825" spans="12:17" x14ac:dyDescent="0.3">
      <c r="L7825" s="25"/>
      <c r="Q7825" s="17"/>
    </row>
    <row r="7826" spans="12:17" x14ac:dyDescent="0.3">
      <c r="L7826" s="25"/>
      <c r="Q7826" s="17"/>
    </row>
    <row r="7827" spans="12:17" x14ac:dyDescent="0.3">
      <c r="L7827" s="25"/>
      <c r="Q7827" s="17"/>
    </row>
    <row r="7828" spans="12:17" x14ac:dyDescent="0.3">
      <c r="L7828" s="25"/>
      <c r="Q7828" s="17"/>
    </row>
    <row r="7829" spans="12:17" x14ac:dyDescent="0.3">
      <c r="L7829" s="25"/>
      <c r="Q7829" s="17"/>
    </row>
    <row r="7830" spans="12:17" x14ac:dyDescent="0.3">
      <c r="L7830" s="25"/>
      <c r="Q7830" s="17"/>
    </row>
    <row r="7831" spans="12:17" x14ac:dyDescent="0.3">
      <c r="L7831" s="25"/>
      <c r="Q7831" s="17"/>
    </row>
    <row r="7832" spans="12:17" x14ac:dyDescent="0.3">
      <c r="L7832" s="25"/>
      <c r="Q7832" s="17"/>
    </row>
    <row r="7833" spans="12:17" x14ac:dyDescent="0.3">
      <c r="L7833" s="25"/>
      <c r="Q7833" s="17"/>
    </row>
    <row r="7834" spans="12:17" x14ac:dyDescent="0.3">
      <c r="L7834" s="25"/>
      <c r="Q7834" s="17"/>
    </row>
    <row r="7835" spans="12:17" x14ac:dyDescent="0.3">
      <c r="L7835" s="25"/>
      <c r="Q7835" s="17"/>
    </row>
    <row r="7836" spans="12:17" x14ac:dyDescent="0.3">
      <c r="L7836" s="25"/>
      <c r="Q7836" s="17"/>
    </row>
    <row r="7837" spans="12:17" x14ac:dyDescent="0.3">
      <c r="L7837" s="25"/>
      <c r="Q7837" s="17"/>
    </row>
    <row r="7838" spans="12:17" x14ac:dyDescent="0.3">
      <c r="L7838" s="25"/>
      <c r="Q7838" s="17"/>
    </row>
    <row r="7839" spans="12:17" x14ac:dyDescent="0.3">
      <c r="L7839" s="25"/>
      <c r="Q7839" s="17"/>
    </row>
    <row r="7840" spans="12:17" x14ac:dyDescent="0.3">
      <c r="L7840" s="25"/>
      <c r="Q7840" s="17"/>
    </row>
    <row r="7841" spans="12:17" x14ac:dyDescent="0.3">
      <c r="L7841" s="25"/>
      <c r="Q7841" s="17"/>
    </row>
    <row r="7842" spans="12:17" x14ac:dyDescent="0.3">
      <c r="L7842" s="25"/>
      <c r="Q7842" s="17"/>
    </row>
    <row r="7843" spans="12:17" x14ac:dyDescent="0.3">
      <c r="L7843" s="25"/>
      <c r="Q7843" s="17"/>
    </row>
    <row r="7844" spans="12:17" x14ac:dyDescent="0.3">
      <c r="L7844" s="25"/>
      <c r="Q7844" s="17"/>
    </row>
    <row r="7845" spans="12:17" x14ac:dyDescent="0.3">
      <c r="L7845" s="25"/>
      <c r="Q7845" s="17"/>
    </row>
    <row r="7846" spans="12:17" x14ac:dyDescent="0.3">
      <c r="L7846" s="25"/>
      <c r="Q7846" s="17"/>
    </row>
    <row r="7847" spans="12:17" x14ac:dyDescent="0.3">
      <c r="L7847" s="25"/>
      <c r="Q7847" s="17"/>
    </row>
    <row r="7848" spans="12:17" x14ac:dyDescent="0.3">
      <c r="L7848" s="25"/>
      <c r="Q7848" s="17"/>
    </row>
    <row r="7849" spans="12:17" x14ac:dyDescent="0.3">
      <c r="L7849" s="25"/>
      <c r="Q7849" s="17"/>
    </row>
    <row r="7850" spans="12:17" x14ac:dyDescent="0.3">
      <c r="L7850" s="25"/>
      <c r="Q7850" s="17"/>
    </row>
    <row r="7851" spans="12:17" x14ac:dyDescent="0.3">
      <c r="L7851" s="25"/>
      <c r="Q7851" s="17"/>
    </row>
    <row r="7852" spans="12:17" x14ac:dyDescent="0.3">
      <c r="L7852" s="25"/>
      <c r="Q7852" s="17"/>
    </row>
    <row r="7853" spans="12:17" x14ac:dyDescent="0.3">
      <c r="L7853" s="25"/>
      <c r="Q7853" s="17"/>
    </row>
    <row r="7854" spans="12:17" x14ac:dyDescent="0.3">
      <c r="L7854" s="25"/>
      <c r="Q7854" s="17"/>
    </row>
    <row r="7855" spans="12:17" x14ac:dyDescent="0.3">
      <c r="L7855" s="25"/>
      <c r="Q7855" s="17"/>
    </row>
    <row r="7856" spans="12:17" x14ac:dyDescent="0.3">
      <c r="L7856" s="25"/>
      <c r="Q7856" s="17"/>
    </row>
    <row r="7857" spans="12:17" x14ac:dyDescent="0.3">
      <c r="L7857" s="25"/>
      <c r="Q7857" s="17"/>
    </row>
    <row r="7858" spans="12:17" x14ac:dyDescent="0.3">
      <c r="L7858" s="25"/>
      <c r="Q7858" s="17"/>
    </row>
    <row r="7859" spans="12:17" x14ac:dyDescent="0.3">
      <c r="L7859" s="25"/>
      <c r="Q7859" s="17"/>
    </row>
    <row r="7860" spans="12:17" x14ac:dyDescent="0.3">
      <c r="L7860" s="25"/>
      <c r="Q7860" s="17"/>
    </row>
    <row r="7861" spans="12:17" x14ac:dyDescent="0.3">
      <c r="L7861" s="25"/>
      <c r="Q7861" s="17"/>
    </row>
    <row r="7862" spans="12:17" x14ac:dyDescent="0.3">
      <c r="L7862" s="25"/>
      <c r="Q7862" s="17"/>
    </row>
    <row r="7863" spans="12:17" x14ac:dyDescent="0.3">
      <c r="L7863" s="25"/>
      <c r="Q7863" s="17"/>
    </row>
    <row r="7864" spans="12:17" x14ac:dyDescent="0.3">
      <c r="L7864" s="25"/>
      <c r="Q7864" s="17"/>
    </row>
    <row r="7865" spans="12:17" x14ac:dyDescent="0.3">
      <c r="L7865" s="25"/>
      <c r="Q7865" s="17"/>
    </row>
    <row r="7866" spans="12:17" x14ac:dyDescent="0.3">
      <c r="L7866" s="25"/>
      <c r="Q7866" s="17"/>
    </row>
    <row r="7867" spans="12:17" x14ac:dyDescent="0.3">
      <c r="L7867" s="25"/>
      <c r="Q7867" s="17"/>
    </row>
    <row r="7868" spans="12:17" x14ac:dyDescent="0.3">
      <c r="L7868" s="25"/>
      <c r="Q7868" s="17"/>
    </row>
    <row r="7869" spans="12:17" x14ac:dyDescent="0.3">
      <c r="L7869" s="25"/>
      <c r="Q7869" s="17"/>
    </row>
    <row r="7870" spans="12:17" x14ac:dyDescent="0.3">
      <c r="L7870" s="25"/>
      <c r="Q7870" s="17"/>
    </row>
    <row r="7871" spans="12:17" x14ac:dyDescent="0.3">
      <c r="L7871" s="25"/>
      <c r="Q7871" s="17"/>
    </row>
    <row r="7872" spans="12:17" x14ac:dyDescent="0.3">
      <c r="L7872" s="25"/>
      <c r="Q7872" s="17"/>
    </row>
    <row r="7873" spans="12:17" x14ac:dyDescent="0.3">
      <c r="L7873" s="25"/>
      <c r="Q7873" s="17"/>
    </row>
    <row r="7874" spans="12:17" x14ac:dyDescent="0.3">
      <c r="L7874" s="25"/>
      <c r="Q7874" s="17"/>
    </row>
    <row r="7875" spans="12:17" x14ac:dyDescent="0.3">
      <c r="L7875" s="25"/>
      <c r="Q7875" s="17"/>
    </row>
    <row r="7876" spans="12:17" x14ac:dyDescent="0.3">
      <c r="L7876" s="25"/>
      <c r="Q7876" s="17"/>
    </row>
    <row r="7877" spans="12:17" x14ac:dyDescent="0.3">
      <c r="L7877" s="25"/>
      <c r="Q7877" s="17"/>
    </row>
    <row r="7878" spans="12:17" x14ac:dyDescent="0.3">
      <c r="L7878" s="25"/>
      <c r="Q7878" s="17"/>
    </row>
    <row r="7879" spans="12:17" x14ac:dyDescent="0.3">
      <c r="L7879" s="25"/>
      <c r="Q7879" s="17"/>
    </row>
    <row r="7880" spans="12:17" x14ac:dyDescent="0.3">
      <c r="L7880" s="25"/>
      <c r="Q7880" s="17"/>
    </row>
    <row r="7881" spans="12:17" x14ac:dyDescent="0.3">
      <c r="L7881" s="25"/>
      <c r="Q7881" s="17"/>
    </row>
    <row r="7882" spans="12:17" x14ac:dyDescent="0.3">
      <c r="L7882" s="25"/>
      <c r="Q7882" s="17"/>
    </row>
    <row r="7883" spans="12:17" x14ac:dyDescent="0.3">
      <c r="L7883" s="25"/>
      <c r="Q7883" s="17"/>
    </row>
    <row r="7884" spans="12:17" x14ac:dyDescent="0.3">
      <c r="L7884" s="25"/>
      <c r="Q7884" s="17"/>
    </row>
    <row r="7885" spans="12:17" x14ac:dyDescent="0.3">
      <c r="L7885" s="25"/>
      <c r="Q7885" s="17"/>
    </row>
    <row r="7886" spans="12:17" x14ac:dyDescent="0.3">
      <c r="L7886" s="25"/>
      <c r="Q7886" s="17"/>
    </row>
    <row r="7887" spans="12:17" x14ac:dyDescent="0.3">
      <c r="L7887" s="25"/>
      <c r="Q7887" s="17"/>
    </row>
    <row r="7888" spans="12:17" x14ac:dyDescent="0.3">
      <c r="L7888" s="25"/>
      <c r="Q7888" s="17"/>
    </row>
    <row r="7889" spans="12:17" x14ac:dyDescent="0.3">
      <c r="L7889" s="25"/>
      <c r="Q7889" s="17"/>
    </row>
    <row r="7890" spans="12:17" x14ac:dyDescent="0.3">
      <c r="L7890" s="25"/>
      <c r="Q7890" s="17"/>
    </row>
    <row r="7891" spans="12:17" x14ac:dyDescent="0.3">
      <c r="L7891" s="25"/>
      <c r="Q7891" s="17"/>
    </row>
    <row r="7892" spans="12:17" x14ac:dyDescent="0.3">
      <c r="L7892" s="25"/>
      <c r="Q7892" s="17"/>
    </row>
    <row r="7893" spans="12:17" x14ac:dyDescent="0.3">
      <c r="L7893" s="25"/>
      <c r="Q7893" s="17"/>
    </row>
    <row r="7894" spans="12:17" x14ac:dyDescent="0.3">
      <c r="L7894" s="25"/>
      <c r="Q7894" s="17"/>
    </row>
    <row r="7895" spans="12:17" x14ac:dyDescent="0.3">
      <c r="L7895" s="25"/>
      <c r="Q7895" s="17"/>
    </row>
    <row r="7896" spans="12:17" x14ac:dyDescent="0.3">
      <c r="L7896" s="25"/>
      <c r="Q7896" s="17"/>
    </row>
    <row r="7897" spans="12:17" x14ac:dyDescent="0.3">
      <c r="L7897" s="25"/>
      <c r="Q7897" s="17"/>
    </row>
    <row r="7898" spans="12:17" x14ac:dyDescent="0.3">
      <c r="L7898" s="25"/>
      <c r="Q7898" s="17"/>
    </row>
    <row r="7899" spans="12:17" x14ac:dyDescent="0.3">
      <c r="L7899" s="25"/>
      <c r="Q7899" s="17"/>
    </row>
    <row r="7900" spans="12:17" x14ac:dyDescent="0.3">
      <c r="L7900" s="25"/>
      <c r="Q7900" s="17"/>
    </row>
    <row r="7901" spans="12:17" x14ac:dyDescent="0.3">
      <c r="L7901" s="25"/>
      <c r="Q7901" s="17"/>
    </row>
    <row r="7902" spans="12:17" x14ac:dyDescent="0.3">
      <c r="L7902" s="25"/>
      <c r="Q7902" s="17"/>
    </row>
    <row r="7903" spans="12:17" x14ac:dyDescent="0.3">
      <c r="L7903" s="25"/>
      <c r="Q7903" s="17"/>
    </row>
    <row r="7904" spans="12:17" x14ac:dyDescent="0.3">
      <c r="L7904" s="25"/>
      <c r="Q7904" s="17"/>
    </row>
    <row r="7905" spans="12:17" x14ac:dyDescent="0.3">
      <c r="L7905" s="25"/>
      <c r="Q7905" s="17"/>
    </row>
    <row r="7906" spans="12:17" x14ac:dyDescent="0.3">
      <c r="L7906" s="25"/>
      <c r="Q7906" s="17"/>
    </row>
    <row r="7907" spans="12:17" x14ac:dyDescent="0.3">
      <c r="L7907" s="25"/>
      <c r="Q7907" s="17"/>
    </row>
    <row r="7908" spans="12:17" x14ac:dyDescent="0.3">
      <c r="L7908" s="25"/>
      <c r="Q7908" s="17"/>
    </row>
    <row r="7909" spans="12:17" x14ac:dyDescent="0.3">
      <c r="L7909" s="25"/>
      <c r="Q7909" s="17"/>
    </row>
    <row r="7910" spans="12:17" x14ac:dyDescent="0.3">
      <c r="L7910" s="25"/>
      <c r="Q7910" s="17"/>
    </row>
    <row r="7911" spans="12:17" x14ac:dyDescent="0.3">
      <c r="L7911" s="25"/>
      <c r="Q7911" s="17"/>
    </row>
    <row r="7912" spans="12:17" x14ac:dyDescent="0.3">
      <c r="L7912" s="25"/>
      <c r="Q7912" s="17"/>
    </row>
    <row r="7913" spans="12:17" x14ac:dyDescent="0.3">
      <c r="L7913" s="25"/>
      <c r="Q7913" s="17"/>
    </row>
    <row r="7914" spans="12:17" x14ac:dyDescent="0.3">
      <c r="L7914" s="25"/>
      <c r="Q7914" s="17"/>
    </row>
    <row r="7915" spans="12:17" x14ac:dyDescent="0.3">
      <c r="L7915" s="25"/>
      <c r="Q7915" s="17"/>
    </row>
    <row r="7916" spans="12:17" x14ac:dyDescent="0.3">
      <c r="L7916" s="25"/>
      <c r="Q7916" s="17"/>
    </row>
    <row r="7917" spans="12:17" x14ac:dyDescent="0.3">
      <c r="L7917" s="25"/>
      <c r="Q7917" s="17"/>
    </row>
    <row r="7918" spans="12:17" x14ac:dyDescent="0.3">
      <c r="L7918" s="25"/>
      <c r="Q7918" s="17"/>
    </row>
    <row r="7919" spans="12:17" x14ac:dyDescent="0.3">
      <c r="L7919" s="25"/>
      <c r="Q7919" s="17"/>
    </row>
    <row r="7920" spans="12:17" x14ac:dyDescent="0.3">
      <c r="L7920" s="25"/>
      <c r="Q7920" s="17"/>
    </row>
    <row r="7921" spans="12:17" x14ac:dyDescent="0.3">
      <c r="L7921" s="25"/>
      <c r="Q7921" s="17"/>
    </row>
    <row r="7922" spans="12:17" x14ac:dyDescent="0.3">
      <c r="L7922" s="25"/>
      <c r="Q7922" s="17"/>
    </row>
    <row r="7923" spans="12:17" x14ac:dyDescent="0.3">
      <c r="L7923" s="25"/>
      <c r="Q7923" s="17"/>
    </row>
    <row r="7924" spans="12:17" x14ac:dyDescent="0.3">
      <c r="L7924" s="25"/>
      <c r="Q7924" s="17"/>
    </row>
    <row r="7925" spans="12:17" x14ac:dyDescent="0.3">
      <c r="L7925" s="25"/>
      <c r="Q7925" s="17"/>
    </row>
    <row r="7926" spans="12:17" x14ac:dyDescent="0.3">
      <c r="L7926" s="25"/>
      <c r="Q7926" s="17"/>
    </row>
    <row r="7927" spans="12:17" x14ac:dyDescent="0.3">
      <c r="L7927" s="25"/>
      <c r="Q7927" s="17"/>
    </row>
    <row r="7928" spans="12:17" x14ac:dyDescent="0.3">
      <c r="L7928" s="25"/>
      <c r="Q7928" s="17"/>
    </row>
    <row r="7929" spans="12:17" x14ac:dyDescent="0.3">
      <c r="L7929" s="25"/>
      <c r="Q7929" s="17"/>
    </row>
    <row r="7930" spans="12:17" x14ac:dyDescent="0.3">
      <c r="L7930" s="25"/>
      <c r="Q7930" s="17"/>
    </row>
    <row r="7931" spans="12:17" x14ac:dyDescent="0.3">
      <c r="L7931" s="25"/>
      <c r="Q7931" s="17"/>
    </row>
    <row r="7932" spans="12:17" x14ac:dyDescent="0.3">
      <c r="L7932" s="25"/>
      <c r="Q7932" s="17"/>
    </row>
    <row r="7933" spans="12:17" x14ac:dyDescent="0.3">
      <c r="L7933" s="25"/>
      <c r="Q7933" s="17"/>
    </row>
    <row r="7934" spans="12:17" x14ac:dyDescent="0.3">
      <c r="L7934" s="25"/>
      <c r="Q7934" s="17"/>
    </row>
    <row r="7935" spans="12:17" x14ac:dyDescent="0.3">
      <c r="L7935" s="25"/>
      <c r="Q7935" s="17"/>
    </row>
    <row r="7936" spans="12:17" x14ac:dyDescent="0.3">
      <c r="L7936" s="25"/>
      <c r="Q7936" s="17"/>
    </row>
    <row r="7937" spans="12:17" x14ac:dyDescent="0.3">
      <c r="L7937" s="25"/>
      <c r="Q7937" s="17"/>
    </row>
    <row r="7938" spans="12:17" x14ac:dyDescent="0.3">
      <c r="L7938" s="25"/>
      <c r="Q7938" s="17"/>
    </row>
    <row r="7939" spans="12:17" x14ac:dyDescent="0.3">
      <c r="L7939" s="25"/>
      <c r="Q7939" s="17"/>
    </row>
    <row r="7940" spans="12:17" x14ac:dyDescent="0.3">
      <c r="L7940" s="25"/>
      <c r="Q7940" s="17"/>
    </row>
    <row r="7941" spans="12:17" x14ac:dyDescent="0.3">
      <c r="L7941" s="25"/>
      <c r="Q7941" s="17"/>
    </row>
    <row r="7942" spans="12:17" x14ac:dyDescent="0.3">
      <c r="L7942" s="25"/>
      <c r="Q7942" s="17"/>
    </row>
    <row r="7943" spans="12:17" x14ac:dyDescent="0.3">
      <c r="L7943" s="25"/>
      <c r="Q7943" s="17"/>
    </row>
    <row r="7944" spans="12:17" x14ac:dyDescent="0.3">
      <c r="L7944" s="25"/>
      <c r="Q7944" s="17"/>
    </row>
    <row r="7945" spans="12:17" x14ac:dyDescent="0.3">
      <c r="L7945" s="25"/>
      <c r="Q7945" s="17"/>
    </row>
    <row r="7946" spans="12:17" x14ac:dyDescent="0.3">
      <c r="L7946" s="25"/>
      <c r="Q7946" s="17"/>
    </row>
    <row r="7947" spans="12:17" x14ac:dyDescent="0.3">
      <c r="L7947" s="25"/>
      <c r="Q7947" s="17"/>
    </row>
    <row r="7948" spans="12:17" x14ac:dyDescent="0.3">
      <c r="L7948" s="25"/>
      <c r="Q7948" s="17"/>
    </row>
    <row r="7949" spans="12:17" x14ac:dyDescent="0.3">
      <c r="L7949" s="25"/>
      <c r="Q7949" s="17"/>
    </row>
    <row r="7950" spans="12:17" x14ac:dyDescent="0.3">
      <c r="L7950" s="25"/>
      <c r="Q7950" s="17"/>
    </row>
    <row r="7951" spans="12:17" x14ac:dyDescent="0.3">
      <c r="L7951" s="25"/>
      <c r="Q7951" s="17"/>
    </row>
    <row r="7952" spans="12:17" x14ac:dyDescent="0.3">
      <c r="L7952" s="25"/>
      <c r="Q7952" s="17"/>
    </row>
    <row r="7953" spans="12:17" x14ac:dyDescent="0.3">
      <c r="L7953" s="25"/>
      <c r="Q7953" s="17"/>
    </row>
    <row r="7954" spans="12:17" x14ac:dyDescent="0.3">
      <c r="L7954" s="25"/>
      <c r="Q7954" s="17"/>
    </row>
    <row r="7955" spans="12:17" x14ac:dyDescent="0.3">
      <c r="L7955" s="25"/>
      <c r="Q7955" s="17"/>
    </row>
    <row r="7956" spans="12:17" x14ac:dyDescent="0.3">
      <c r="L7956" s="25"/>
      <c r="Q7956" s="17"/>
    </row>
    <row r="7957" spans="12:17" x14ac:dyDescent="0.3">
      <c r="L7957" s="25"/>
      <c r="Q7957" s="17"/>
    </row>
    <row r="7958" spans="12:17" x14ac:dyDescent="0.3">
      <c r="L7958" s="25"/>
      <c r="Q7958" s="17"/>
    </row>
    <row r="7959" spans="12:17" x14ac:dyDescent="0.3">
      <c r="L7959" s="25"/>
      <c r="Q7959" s="17"/>
    </row>
    <row r="7960" spans="12:17" x14ac:dyDescent="0.3">
      <c r="L7960" s="25"/>
      <c r="Q7960" s="17"/>
    </row>
    <row r="7961" spans="12:17" x14ac:dyDescent="0.3">
      <c r="L7961" s="25"/>
      <c r="Q7961" s="17"/>
    </row>
    <row r="7962" spans="12:17" x14ac:dyDescent="0.3">
      <c r="L7962" s="25"/>
      <c r="Q7962" s="17"/>
    </row>
    <row r="7963" spans="12:17" x14ac:dyDescent="0.3">
      <c r="L7963" s="25"/>
      <c r="Q7963" s="17"/>
    </row>
    <row r="7964" spans="12:17" x14ac:dyDescent="0.3">
      <c r="L7964" s="25"/>
      <c r="Q7964" s="17"/>
    </row>
    <row r="7965" spans="12:17" x14ac:dyDescent="0.3">
      <c r="L7965" s="25"/>
      <c r="Q7965" s="17"/>
    </row>
    <row r="7966" spans="12:17" x14ac:dyDescent="0.3">
      <c r="L7966" s="25"/>
      <c r="Q7966" s="17"/>
    </row>
    <row r="7967" spans="12:17" x14ac:dyDescent="0.3">
      <c r="L7967" s="25"/>
      <c r="Q7967" s="17"/>
    </row>
    <row r="7968" spans="12:17" x14ac:dyDescent="0.3">
      <c r="L7968" s="25"/>
      <c r="Q7968" s="17"/>
    </row>
    <row r="7969" spans="12:17" x14ac:dyDescent="0.3">
      <c r="L7969" s="25"/>
      <c r="Q7969" s="17"/>
    </row>
    <row r="7970" spans="12:17" x14ac:dyDescent="0.3">
      <c r="L7970" s="25"/>
      <c r="Q7970" s="17"/>
    </row>
    <row r="7971" spans="12:17" x14ac:dyDescent="0.3">
      <c r="L7971" s="25"/>
      <c r="Q7971" s="17"/>
    </row>
    <row r="7972" spans="12:17" x14ac:dyDescent="0.3">
      <c r="L7972" s="25"/>
      <c r="Q7972" s="17"/>
    </row>
    <row r="7973" spans="12:17" x14ac:dyDescent="0.3">
      <c r="L7973" s="25"/>
      <c r="Q7973" s="17"/>
    </row>
    <row r="7974" spans="12:17" x14ac:dyDescent="0.3">
      <c r="L7974" s="25"/>
      <c r="Q7974" s="17"/>
    </row>
    <row r="7975" spans="12:17" x14ac:dyDescent="0.3">
      <c r="L7975" s="25"/>
      <c r="Q7975" s="17"/>
    </row>
    <row r="7976" spans="12:17" x14ac:dyDescent="0.3">
      <c r="L7976" s="25"/>
      <c r="Q7976" s="17"/>
    </row>
    <row r="7977" spans="12:17" x14ac:dyDescent="0.3">
      <c r="L7977" s="25"/>
      <c r="Q7977" s="17"/>
    </row>
    <row r="7978" spans="12:17" x14ac:dyDescent="0.3">
      <c r="L7978" s="25"/>
      <c r="Q7978" s="17"/>
    </row>
    <row r="7979" spans="12:17" x14ac:dyDescent="0.3">
      <c r="L7979" s="25"/>
      <c r="Q7979" s="17"/>
    </row>
    <row r="7980" spans="12:17" x14ac:dyDescent="0.3">
      <c r="L7980" s="25"/>
      <c r="Q7980" s="17"/>
    </row>
    <row r="7981" spans="12:17" x14ac:dyDescent="0.3">
      <c r="L7981" s="25"/>
      <c r="Q7981" s="17"/>
    </row>
    <row r="7982" spans="12:17" x14ac:dyDescent="0.3">
      <c r="L7982" s="25"/>
      <c r="Q7982" s="17"/>
    </row>
    <row r="7983" spans="12:17" x14ac:dyDescent="0.3">
      <c r="L7983" s="25"/>
      <c r="Q7983" s="17"/>
    </row>
    <row r="7984" spans="12:17" x14ac:dyDescent="0.3">
      <c r="L7984" s="25"/>
      <c r="Q7984" s="17"/>
    </row>
    <row r="7985" spans="12:17" x14ac:dyDescent="0.3">
      <c r="L7985" s="25"/>
      <c r="Q7985" s="17"/>
    </row>
    <row r="7986" spans="12:17" x14ac:dyDescent="0.3">
      <c r="L7986" s="25"/>
      <c r="Q7986" s="17"/>
    </row>
    <row r="7987" spans="12:17" x14ac:dyDescent="0.3">
      <c r="L7987" s="25"/>
      <c r="Q7987" s="17"/>
    </row>
    <row r="7988" spans="12:17" x14ac:dyDescent="0.3">
      <c r="L7988" s="25"/>
      <c r="Q7988" s="17"/>
    </row>
    <row r="7989" spans="12:17" x14ac:dyDescent="0.3">
      <c r="L7989" s="25"/>
      <c r="Q7989" s="17"/>
    </row>
    <row r="7990" spans="12:17" x14ac:dyDescent="0.3">
      <c r="L7990" s="25"/>
      <c r="Q7990" s="17"/>
    </row>
    <row r="7991" spans="12:17" x14ac:dyDescent="0.3">
      <c r="L7991" s="25"/>
      <c r="Q7991" s="17"/>
    </row>
    <row r="7992" spans="12:17" x14ac:dyDescent="0.3">
      <c r="L7992" s="25"/>
      <c r="Q7992" s="17"/>
    </row>
    <row r="7993" spans="12:17" x14ac:dyDescent="0.3">
      <c r="L7993" s="25"/>
      <c r="Q7993" s="17"/>
    </row>
    <row r="7994" spans="12:17" x14ac:dyDescent="0.3">
      <c r="L7994" s="25"/>
      <c r="Q7994" s="17"/>
    </row>
    <row r="7995" spans="12:17" x14ac:dyDescent="0.3">
      <c r="L7995" s="25"/>
      <c r="Q7995" s="17"/>
    </row>
    <row r="7996" spans="12:17" x14ac:dyDescent="0.3">
      <c r="L7996" s="25"/>
      <c r="Q7996" s="17"/>
    </row>
    <row r="7997" spans="12:17" x14ac:dyDescent="0.3">
      <c r="L7997" s="25"/>
      <c r="Q7997" s="17"/>
    </row>
    <row r="7998" spans="12:17" x14ac:dyDescent="0.3">
      <c r="L7998" s="25"/>
      <c r="Q7998" s="17"/>
    </row>
    <row r="7999" spans="12:17" x14ac:dyDescent="0.3">
      <c r="L7999" s="25"/>
      <c r="Q7999" s="17"/>
    </row>
    <row r="8000" spans="12:17" x14ac:dyDescent="0.3">
      <c r="L8000" s="25"/>
      <c r="Q8000" s="17"/>
    </row>
    <row r="8001" spans="12:17" x14ac:dyDescent="0.3">
      <c r="L8001" s="25"/>
      <c r="Q8001" s="17"/>
    </row>
    <row r="8002" spans="12:17" x14ac:dyDescent="0.3">
      <c r="L8002" s="25"/>
      <c r="Q8002" s="17"/>
    </row>
    <row r="8003" spans="12:17" x14ac:dyDescent="0.3">
      <c r="L8003" s="25"/>
      <c r="Q8003" s="17"/>
    </row>
    <row r="8004" spans="12:17" x14ac:dyDescent="0.3">
      <c r="L8004" s="25"/>
      <c r="Q8004" s="17"/>
    </row>
    <row r="8005" spans="12:17" x14ac:dyDescent="0.3">
      <c r="L8005" s="25"/>
      <c r="Q8005" s="17"/>
    </row>
    <row r="8006" spans="12:17" x14ac:dyDescent="0.3">
      <c r="L8006" s="25"/>
      <c r="Q8006" s="17"/>
    </row>
    <row r="8007" spans="12:17" x14ac:dyDescent="0.3">
      <c r="L8007" s="25"/>
      <c r="Q8007" s="17"/>
    </row>
    <row r="8008" spans="12:17" x14ac:dyDescent="0.3">
      <c r="L8008" s="25"/>
      <c r="Q8008" s="17"/>
    </row>
    <row r="8009" spans="12:17" x14ac:dyDescent="0.3">
      <c r="L8009" s="25"/>
      <c r="Q8009" s="17"/>
    </row>
    <row r="8010" spans="12:17" x14ac:dyDescent="0.3">
      <c r="L8010" s="25"/>
      <c r="Q8010" s="17"/>
    </row>
    <row r="8011" spans="12:17" x14ac:dyDescent="0.3">
      <c r="L8011" s="25"/>
      <c r="Q8011" s="17"/>
    </row>
    <row r="8012" spans="12:17" x14ac:dyDescent="0.3">
      <c r="L8012" s="25"/>
      <c r="Q8012" s="17"/>
    </row>
    <row r="8013" spans="12:17" x14ac:dyDescent="0.3">
      <c r="L8013" s="25"/>
      <c r="Q8013" s="17"/>
    </row>
    <row r="8014" spans="12:17" x14ac:dyDescent="0.3">
      <c r="L8014" s="25"/>
      <c r="Q8014" s="17"/>
    </row>
    <row r="8015" spans="12:17" x14ac:dyDescent="0.3">
      <c r="L8015" s="25"/>
      <c r="Q8015" s="17"/>
    </row>
    <row r="8016" spans="12:17" x14ac:dyDescent="0.3">
      <c r="L8016" s="25"/>
      <c r="Q8016" s="17"/>
    </row>
    <row r="8017" spans="12:17" x14ac:dyDescent="0.3">
      <c r="L8017" s="25"/>
      <c r="Q8017" s="17"/>
    </row>
    <row r="8018" spans="12:17" x14ac:dyDescent="0.3">
      <c r="L8018" s="25"/>
      <c r="Q8018" s="17"/>
    </row>
    <row r="8019" spans="12:17" x14ac:dyDescent="0.3">
      <c r="L8019" s="25"/>
      <c r="Q8019" s="17"/>
    </row>
    <row r="8020" spans="12:17" x14ac:dyDescent="0.3">
      <c r="L8020" s="25"/>
      <c r="Q8020" s="17"/>
    </row>
    <row r="8021" spans="12:17" x14ac:dyDescent="0.3">
      <c r="L8021" s="25"/>
      <c r="Q8021" s="17"/>
    </row>
    <row r="8022" spans="12:17" x14ac:dyDescent="0.3">
      <c r="L8022" s="25"/>
      <c r="Q8022" s="17"/>
    </row>
    <row r="8023" spans="12:17" x14ac:dyDescent="0.3">
      <c r="L8023" s="25"/>
      <c r="Q8023" s="17"/>
    </row>
    <row r="8024" spans="12:17" x14ac:dyDescent="0.3">
      <c r="L8024" s="25"/>
      <c r="Q8024" s="17"/>
    </row>
    <row r="8025" spans="12:17" x14ac:dyDescent="0.3">
      <c r="L8025" s="25"/>
      <c r="Q8025" s="17"/>
    </row>
    <row r="8026" spans="12:17" x14ac:dyDescent="0.3">
      <c r="L8026" s="25"/>
      <c r="Q8026" s="17"/>
    </row>
    <row r="8027" spans="12:17" x14ac:dyDescent="0.3">
      <c r="L8027" s="25"/>
      <c r="Q8027" s="17"/>
    </row>
    <row r="8028" spans="12:17" x14ac:dyDescent="0.3">
      <c r="L8028" s="25"/>
      <c r="Q8028" s="17"/>
    </row>
    <row r="8029" spans="12:17" x14ac:dyDescent="0.3">
      <c r="L8029" s="25"/>
      <c r="Q8029" s="17"/>
    </row>
    <row r="8030" spans="12:17" x14ac:dyDescent="0.3">
      <c r="L8030" s="25"/>
      <c r="Q8030" s="17"/>
    </row>
    <row r="8031" spans="12:17" x14ac:dyDescent="0.3">
      <c r="L8031" s="25"/>
      <c r="Q8031" s="17"/>
    </row>
    <row r="8032" spans="12:17" x14ac:dyDescent="0.3">
      <c r="L8032" s="25"/>
      <c r="Q8032" s="17"/>
    </row>
    <row r="8033" spans="12:17" x14ac:dyDescent="0.3">
      <c r="L8033" s="25"/>
      <c r="Q8033" s="17"/>
    </row>
    <row r="8034" spans="12:17" x14ac:dyDescent="0.3">
      <c r="L8034" s="25"/>
      <c r="Q8034" s="17"/>
    </row>
    <row r="8035" spans="12:17" x14ac:dyDescent="0.3">
      <c r="L8035" s="25"/>
      <c r="Q8035" s="17"/>
    </row>
    <row r="8036" spans="12:17" x14ac:dyDescent="0.3">
      <c r="L8036" s="25"/>
      <c r="Q8036" s="17"/>
    </row>
    <row r="8037" spans="12:17" x14ac:dyDescent="0.3">
      <c r="L8037" s="25"/>
      <c r="Q8037" s="17"/>
    </row>
    <row r="8038" spans="12:17" x14ac:dyDescent="0.3">
      <c r="L8038" s="25"/>
      <c r="Q8038" s="17"/>
    </row>
    <row r="8039" spans="12:17" x14ac:dyDescent="0.3">
      <c r="L8039" s="25"/>
      <c r="Q8039" s="17"/>
    </row>
    <row r="8040" spans="12:17" x14ac:dyDescent="0.3">
      <c r="L8040" s="25"/>
      <c r="Q8040" s="17"/>
    </row>
    <row r="8041" spans="12:17" x14ac:dyDescent="0.3">
      <c r="L8041" s="25"/>
      <c r="Q8041" s="17"/>
    </row>
    <row r="8042" spans="12:17" x14ac:dyDescent="0.3">
      <c r="L8042" s="25"/>
      <c r="Q8042" s="17"/>
    </row>
    <row r="8043" spans="12:17" x14ac:dyDescent="0.3">
      <c r="L8043" s="25"/>
      <c r="Q8043" s="17"/>
    </row>
    <row r="8044" spans="12:17" x14ac:dyDescent="0.3">
      <c r="L8044" s="25"/>
      <c r="Q8044" s="17"/>
    </row>
    <row r="8045" spans="12:17" x14ac:dyDescent="0.3">
      <c r="L8045" s="25"/>
      <c r="Q8045" s="17"/>
    </row>
    <row r="8046" spans="12:17" x14ac:dyDescent="0.3">
      <c r="L8046" s="25"/>
      <c r="Q8046" s="17"/>
    </row>
    <row r="8047" spans="12:17" x14ac:dyDescent="0.3">
      <c r="L8047" s="25"/>
      <c r="Q8047" s="17"/>
    </row>
    <row r="8048" spans="12:17" x14ac:dyDescent="0.3">
      <c r="L8048" s="25"/>
      <c r="Q8048" s="17"/>
    </row>
    <row r="8049" spans="12:17" x14ac:dyDescent="0.3">
      <c r="L8049" s="25"/>
      <c r="Q8049" s="17"/>
    </row>
    <row r="8050" spans="12:17" x14ac:dyDescent="0.3">
      <c r="L8050" s="25"/>
      <c r="Q8050" s="17"/>
    </row>
    <row r="8051" spans="12:17" x14ac:dyDescent="0.3">
      <c r="L8051" s="25"/>
      <c r="Q8051" s="17"/>
    </row>
    <row r="8052" spans="12:17" x14ac:dyDescent="0.3">
      <c r="L8052" s="25"/>
      <c r="Q8052" s="17"/>
    </row>
    <row r="8053" spans="12:17" x14ac:dyDescent="0.3">
      <c r="L8053" s="25"/>
      <c r="Q8053" s="17"/>
    </row>
    <row r="8054" spans="12:17" x14ac:dyDescent="0.3">
      <c r="L8054" s="25"/>
      <c r="Q8054" s="17"/>
    </row>
    <row r="8055" spans="12:17" x14ac:dyDescent="0.3">
      <c r="L8055" s="25"/>
      <c r="Q8055" s="17"/>
    </row>
    <row r="8056" spans="12:17" x14ac:dyDescent="0.3">
      <c r="L8056" s="25"/>
      <c r="Q8056" s="17"/>
    </row>
    <row r="8057" spans="12:17" x14ac:dyDescent="0.3">
      <c r="L8057" s="25"/>
      <c r="Q8057" s="17"/>
    </row>
    <row r="8058" spans="12:17" x14ac:dyDescent="0.3">
      <c r="L8058" s="25"/>
      <c r="Q8058" s="17"/>
    </row>
    <row r="8059" spans="12:17" x14ac:dyDescent="0.3">
      <c r="L8059" s="25"/>
      <c r="Q8059" s="17"/>
    </row>
    <row r="8060" spans="12:17" x14ac:dyDescent="0.3">
      <c r="L8060" s="25"/>
      <c r="Q8060" s="17"/>
    </row>
    <row r="8061" spans="12:17" x14ac:dyDescent="0.3">
      <c r="L8061" s="25"/>
      <c r="Q8061" s="17"/>
    </row>
    <row r="8062" spans="12:17" x14ac:dyDescent="0.3">
      <c r="L8062" s="25"/>
      <c r="Q8062" s="17"/>
    </row>
    <row r="8063" spans="12:17" x14ac:dyDescent="0.3">
      <c r="L8063" s="25"/>
      <c r="Q8063" s="17"/>
    </row>
    <row r="8064" spans="12:17" x14ac:dyDescent="0.3">
      <c r="L8064" s="25"/>
      <c r="Q8064" s="17"/>
    </row>
    <row r="8065" spans="12:17" x14ac:dyDescent="0.3">
      <c r="L8065" s="25"/>
      <c r="Q8065" s="17"/>
    </row>
    <row r="8066" spans="12:17" x14ac:dyDescent="0.3">
      <c r="L8066" s="25"/>
      <c r="Q8066" s="17"/>
    </row>
    <row r="8067" spans="12:17" x14ac:dyDescent="0.3">
      <c r="L8067" s="25"/>
      <c r="Q8067" s="17"/>
    </row>
    <row r="8068" spans="12:17" x14ac:dyDescent="0.3">
      <c r="L8068" s="25"/>
      <c r="Q8068" s="17"/>
    </row>
    <row r="8069" spans="12:17" x14ac:dyDescent="0.3">
      <c r="L8069" s="25"/>
      <c r="Q8069" s="17"/>
    </row>
    <row r="8070" spans="12:17" x14ac:dyDescent="0.3">
      <c r="L8070" s="25"/>
      <c r="Q8070" s="17"/>
    </row>
    <row r="8071" spans="12:17" x14ac:dyDescent="0.3">
      <c r="L8071" s="25"/>
      <c r="Q8071" s="17"/>
    </row>
    <row r="8072" spans="12:17" x14ac:dyDescent="0.3">
      <c r="L8072" s="25"/>
      <c r="Q8072" s="17"/>
    </row>
    <row r="8073" spans="12:17" x14ac:dyDescent="0.3">
      <c r="L8073" s="25"/>
      <c r="Q8073" s="17"/>
    </row>
    <row r="8074" spans="12:17" x14ac:dyDescent="0.3">
      <c r="L8074" s="25"/>
      <c r="Q8074" s="17"/>
    </row>
    <row r="8075" spans="12:17" x14ac:dyDescent="0.3">
      <c r="L8075" s="25"/>
      <c r="Q8075" s="17"/>
    </row>
    <row r="8076" spans="12:17" x14ac:dyDescent="0.3">
      <c r="L8076" s="25"/>
      <c r="Q8076" s="17"/>
    </row>
    <row r="8077" spans="12:17" x14ac:dyDescent="0.3">
      <c r="L8077" s="25"/>
      <c r="Q8077" s="17"/>
    </row>
    <row r="8078" spans="12:17" x14ac:dyDescent="0.3">
      <c r="L8078" s="25"/>
      <c r="Q8078" s="17"/>
    </row>
    <row r="8079" spans="12:17" x14ac:dyDescent="0.3">
      <c r="L8079" s="25"/>
      <c r="Q8079" s="17"/>
    </row>
    <row r="8080" spans="12:17" x14ac:dyDescent="0.3">
      <c r="L8080" s="25"/>
      <c r="Q8080" s="17"/>
    </row>
    <row r="8081" spans="12:17" x14ac:dyDescent="0.3">
      <c r="L8081" s="25"/>
      <c r="Q8081" s="17"/>
    </row>
    <row r="8082" spans="12:17" x14ac:dyDescent="0.3">
      <c r="L8082" s="25"/>
      <c r="Q8082" s="17"/>
    </row>
    <row r="8083" spans="12:17" x14ac:dyDescent="0.3">
      <c r="L8083" s="25"/>
      <c r="Q8083" s="17"/>
    </row>
    <row r="8084" spans="12:17" x14ac:dyDescent="0.3">
      <c r="L8084" s="25"/>
      <c r="Q8084" s="17"/>
    </row>
    <row r="8085" spans="12:17" x14ac:dyDescent="0.3">
      <c r="L8085" s="25"/>
      <c r="Q8085" s="17"/>
    </row>
    <row r="8086" spans="12:17" x14ac:dyDescent="0.3">
      <c r="L8086" s="25"/>
      <c r="Q8086" s="17"/>
    </row>
    <row r="8087" spans="12:17" x14ac:dyDescent="0.3">
      <c r="L8087" s="25"/>
      <c r="Q8087" s="17"/>
    </row>
    <row r="8088" spans="12:17" x14ac:dyDescent="0.3">
      <c r="L8088" s="25"/>
      <c r="Q8088" s="17"/>
    </row>
    <row r="8089" spans="12:17" x14ac:dyDescent="0.3">
      <c r="L8089" s="25"/>
      <c r="Q8089" s="17"/>
    </row>
    <row r="8090" spans="12:17" x14ac:dyDescent="0.3">
      <c r="L8090" s="25"/>
      <c r="Q8090" s="17"/>
    </row>
    <row r="8091" spans="12:17" x14ac:dyDescent="0.3">
      <c r="L8091" s="25"/>
      <c r="Q8091" s="17"/>
    </row>
    <row r="8092" spans="12:17" x14ac:dyDescent="0.3">
      <c r="L8092" s="25"/>
      <c r="Q8092" s="17"/>
    </row>
    <row r="8093" spans="12:17" x14ac:dyDescent="0.3">
      <c r="L8093" s="25"/>
      <c r="Q8093" s="17"/>
    </row>
    <row r="8094" spans="12:17" x14ac:dyDescent="0.3">
      <c r="L8094" s="25"/>
      <c r="Q8094" s="17"/>
    </row>
    <row r="8095" spans="12:17" x14ac:dyDescent="0.3">
      <c r="L8095" s="25"/>
      <c r="Q8095" s="17"/>
    </row>
    <row r="8096" spans="12:17" x14ac:dyDescent="0.3">
      <c r="L8096" s="25"/>
      <c r="Q8096" s="17"/>
    </row>
    <row r="8097" spans="12:17" x14ac:dyDescent="0.3">
      <c r="L8097" s="25"/>
      <c r="Q8097" s="17"/>
    </row>
    <row r="8098" spans="12:17" x14ac:dyDescent="0.3">
      <c r="L8098" s="25"/>
      <c r="Q8098" s="17"/>
    </row>
    <row r="8099" spans="12:17" x14ac:dyDescent="0.3">
      <c r="L8099" s="25"/>
      <c r="Q8099" s="17"/>
    </row>
    <row r="8100" spans="12:17" x14ac:dyDescent="0.3">
      <c r="L8100" s="25"/>
      <c r="Q8100" s="17"/>
    </row>
    <row r="8101" spans="12:17" x14ac:dyDescent="0.3">
      <c r="L8101" s="25"/>
      <c r="Q8101" s="17"/>
    </row>
    <row r="8102" spans="12:17" x14ac:dyDescent="0.3">
      <c r="L8102" s="25"/>
      <c r="Q8102" s="17"/>
    </row>
    <row r="8103" spans="12:17" x14ac:dyDescent="0.3">
      <c r="L8103" s="25"/>
      <c r="Q8103" s="17"/>
    </row>
    <row r="8104" spans="12:17" x14ac:dyDescent="0.3">
      <c r="L8104" s="25"/>
      <c r="Q8104" s="17"/>
    </row>
    <row r="8105" spans="12:17" x14ac:dyDescent="0.3">
      <c r="L8105" s="25"/>
      <c r="Q8105" s="17"/>
    </row>
    <row r="8106" spans="12:17" x14ac:dyDescent="0.3">
      <c r="L8106" s="25"/>
      <c r="Q8106" s="17"/>
    </row>
    <row r="8107" spans="12:17" x14ac:dyDescent="0.3">
      <c r="L8107" s="25"/>
      <c r="Q8107" s="17"/>
    </row>
    <row r="8108" spans="12:17" x14ac:dyDescent="0.3">
      <c r="L8108" s="25"/>
      <c r="Q8108" s="17"/>
    </row>
    <row r="8109" spans="12:17" x14ac:dyDescent="0.3">
      <c r="L8109" s="25"/>
      <c r="Q8109" s="17"/>
    </row>
    <row r="8110" spans="12:17" x14ac:dyDescent="0.3">
      <c r="L8110" s="25"/>
      <c r="Q8110" s="17"/>
    </row>
    <row r="8111" spans="12:17" x14ac:dyDescent="0.3">
      <c r="L8111" s="25"/>
      <c r="Q8111" s="17"/>
    </row>
    <row r="8112" spans="12:17" x14ac:dyDescent="0.3">
      <c r="L8112" s="25"/>
      <c r="Q8112" s="17"/>
    </row>
    <row r="8113" spans="12:17" x14ac:dyDescent="0.3">
      <c r="L8113" s="25"/>
      <c r="Q8113" s="17"/>
    </row>
    <row r="8114" spans="12:17" x14ac:dyDescent="0.3">
      <c r="L8114" s="25"/>
      <c r="Q8114" s="17"/>
    </row>
    <row r="8115" spans="12:17" x14ac:dyDescent="0.3">
      <c r="L8115" s="25"/>
      <c r="Q8115" s="17"/>
    </row>
    <row r="8116" spans="12:17" x14ac:dyDescent="0.3">
      <c r="L8116" s="25"/>
      <c r="Q8116" s="17"/>
    </row>
    <row r="8117" spans="12:17" x14ac:dyDescent="0.3">
      <c r="L8117" s="25"/>
      <c r="Q8117" s="17"/>
    </row>
    <row r="8118" spans="12:17" x14ac:dyDescent="0.3">
      <c r="L8118" s="25"/>
      <c r="Q8118" s="17"/>
    </row>
    <row r="8119" spans="12:17" x14ac:dyDescent="0.3">
      <c r="L8119" s="25"/>
      <c r="Q8119" s="17"/>
    </row>
    <row r="8120" spans="12:17" x14ac:dyDescent="0.3">
      <c r="L8120" s="25"/>
      <c r="Q8120" s="17"/>
    </row>
    <row r="8121" spans="12:17" x14ac:dyDescent="0.3">
      <c r="L8121" s="25"/>
      <c r="Q8121" s="17"/>
    </row>
    <row r="8122" spans="12:17" x14ac:dyDescent="0.3">
      <c r="L8122" s="25"/>
      <c r="Q8122" s="17"/>
    </row>
    <row r="8123" spans="12:17" x14ac:dyDescent="0.3">
      <c r="L8123" s="25"/>
      <c r="Q8123" s="17"/>
    </row>
    <row r="8124" spans="12:17" x14ac:dyDescent="0.3">
      <c r="L8124" s="25"/>
      <c r="Q8124" s="17"/>
    </row>
    <row r="8125" spans="12:17" x14ac:dyDescent="0.3">
      <c r="L8125" s="25"/>
      <c r="Q8125" s="17"/>
    </row>
    <row r="8126" spans="12:17" x14ac:dyDescent="0.3">
      <c r="L8126" s="25"/>
      <c r="Q8126" s="17"/>
    </row>
    <row r="8127" spans="12:17" x14ac:dyDescent="0.3">
      <c r="L8127" s="25"/>
      <c r="Q8127" s="17"/>
    </row>
    <row r="8128" spans="12:17" x14ac:dyDescent="0.3">
      <c r="L8128" s="25"/>
      <c r="Q8128" s="17"/>
    </row>
    <row r="8129" spans="12:17" x14ac:dyDescent="0.3">
      <c r="L8129" s="25"/>
      <c r="Q8129" s="17"/>
    </row>
    <row r="8130" spans="12:17" x14ac:dyDescent="0.3">
      <c r="L8130" s="25"/>
      <c r="Q8130" s="17"/>
    </row>
    <row r="8131" spans="12:17" x14ac:dyDescent="0.3">
      <c r="L8131" s="25"/>
      <c r="Q8131" s="17"/>
    </row>
    <row r="8132" spans="12:17" x14ac:dyDescent="0.3">
      <c r="L8132" s="25"/>
      <c r="Q8132" s="17"/>
    </row>
    <row r="8133" spans="12:17" x14ac:dyDescent="0.3">
      <c r="L8133" s="25"/>
      <c r="Q8133" s="17"/>
    </row>
    <row r="8134" spans="12:17" x14ac:dyDescent="0.3">
      <c r="L8134" s="25"/>
      <c r="Q8134" s="17"/>
    </row>
    <row r="8135" spans="12:17" x14ac:dyDescent="0.3">
      <c r="L8135" s="25"/>
      <c r="Q8135" s="17"/>
    </row>
    <row r="8136" spans="12:17" x14ac:dyDescent="0.3">
      <c r="L8136" s="25"/>
      <c r="Q8136" s="17"/>
    </row>
    <row r="8137" spans="12:17" x14ac:dyDescent="0.3">
      <c r="L8137" s="25"/>
      <c r="Q8137" s="17"/>
    </row>
    <row r="8138" spans="12:17" x14ac:dyDescent="0.3">
      <c r="L8138" s="25"/>
      <c r="Q8138" s="17"/>
    </row>
    <row r="8139" spans="12:17" x14ac:dyDescent="0.3">
      <c r="L8139" s="25"/>
      <c r="Q8139" s="17"/>
    </row>
    <row r="8140" spans="12:17" x14ac:dyDescent="0.3">
      <c r="L8140" s="25"/>
      <c r="Q8140" s="17"/>
    </row>
    <row r="8141" spans="12:17" x14ac:dyDescent="0.3">
      <c r="L8141" s="25"/>
      <c r="Q8141" s="17"/>
    </row>
    <row r="8142" spans="12:17" x14ac:dyDescent="0.3">
      <c r="L8142" s="25"/>
      <c r="Q8142" s="17"/>
    </row>
    <row r="8143" spans="12:17" x14ac:dyDescent="0.3">
      <c r="L8143" s="25"/>
      <c r="Q8143" s="17"/>
    </row>
    <row r="8144" spans="12:17" x14ac:dyDescent="0.3">
      <c r="L8144" s="25"/>
      <c r="Q8144" s="17"/>
    </row>
    <row r="8145" spans="12:17" x14ac:dyDescent="0.3">
      <c r="L8145" s="25"/>
      <c r="Q8145" s="17"/>
    </row>
    <row r="8146" spans="12:17" x14ac:dyDescent="0.3">
      <c r="L8146" s="25"/>
      <c r="Q8146" s="17"/>
    </row>
    <row r="8147" spans="12:17" x14ac:dyDescent="0.3">
      <c r="L8147" s="25"/>
      <c r="Q8147" s="17"/>
    </row>
    <row r="8148" spans="12:17" x14ac:dyDescent="0.3">
      <c r="L8148" s="25"/>
      <c r="Q8148" s="17"/>
    </row>
    <row r="8149" spans="12:17" x14ac:dyDescent="0.3">
      <c r="L8149" s="25"/>
      <c r="Q8149" s="17"/>
    </row>
    <row r="8150" spans="12:17" x14ac:dyDescent="0.3">
      <c r="L8150" s="25"/>
      <c r="Q8150" s="17"/>
    </row>
    <row r="8151" spans="12:17" x14ac:dyDescent="0.3">
      <c r="L8151" s="25"/>
      <c r="Q8151" s="17"/>
    </row>
    <row r="8152" spans="12:17" x14ac:dyDescent="0.3">
      <c r="L8152" s="25"/>
      <c r="Q8152" s="17"/>
    </row>
    <row r="8153" spans="12:17" x14ac:dyDescent="0.3">
      <c r="L8153" s="25"/>
      <c r="Q8153" s="17"/>
    </row>
    <row r="8154" spans="12:17" x14ac:dyDescent="0.3">
      <c r="L8154" s="25"/>
      <c r="Q8154" s="17"/>
    </row>
    <row r="8155" spans="12:17" x14ac:dyDescent="0.3">
      <c r="L8155" s="25"/>
      <c r="Q8155" s="17"/>
    </row>
    <row r="8156" spans="12:17" x14ac:dyDescent="0.3">
      <c r="L8156" s="25"/>
      <c r="Q8156" s="17"/>
    </row>
    <row r="8157" spans="12:17" x14ac:dyDescent="0.3">
      <c r="L8157" s="25"/>
      <c r="Q8157" s="17"/>
    </row>
    <row r="8158" spans="12:17" x14ac:dyDescent="0.3">
      <c r="L8158" s="25"/>
      <c r="Q8158" s="17"/>
    </row>
    <row r="8159" spans="12:17" x14ac:dyDescent="0.3">
      <c r="L8159" s="25"/>
      <c r="Q8159" s="17"/>
    </row>
    <row r="8160" spans="12:17" x14ac:dyDescent="0.3">
      <c r="L8160" s="25"/>
      <c r="Q8160" s="17"/>
    </row>
    <row r="8161" spans="12:17" x14ac:dyDescent="0.3">
      <c r="L8161" s="25"/>
      <c r="Q8161" s="17"/>
    </row>
    <row r="8162" spans="12:17" x14ac:dyDescent="0.3">
      <c r="L8162" s="25"/>
      <c r="Q8162" s="17"/>
    </row>
    <row r="8163" spans="12:17" x14ac:dyDescent="0.3">
      <c r="L8163" s="25"/>
      <c r="Q8163" s="17"/>
    </row>
    <row r="8164" spans="12:17" x14ac:dyDescent="0.3">
      <c r="L8164" s="25"/>
      <c r="Q8164" s="17"/>
    </row>
    <row r="8165" spans="12:17" x14ac:dyDescent="0.3">
      <c r="L8165" s="25"/>
      <c r="Q8165" s="17"/>
    </row>
    <row r="8166" spans="12:17" x14ac:dyDescent="0.3">
      <c r="L8166" s="25"/>
      <c r="Q8166" s="17"/>
    </row>
    <row r="8167" spans="12:17" x14ac:dyDescent="0.3">
      <c r="L8167" s="25"/>
      <c r="Q8167" s="17"/>
    </row>
    <row r="8168" spans="12:17" x14ac:dyDescent="0.3">
      <c r="L8168" s="25"/>
      <c r="Q8168" s="17"/>
    </row>
    <row r="8169" spans="12:17" x14ac:dyDescent="0.3">
      <c r="L8169" s="25"/>
      <c r="Q8169" s="17"/>
    </row>
    <row r="8170" spans="12:17" x14ac:dyDescent="0.3">
      <c r="L8170" s="25"/>
      <c r="Q8170" s="17"/>
    </row>
    <row r="8171" spans="12:17" x14ac:dyDescent="0.3">
      <c r="L8171" s="25"/>
      <c r="Q8171" s="17"/>
    </row>
    <row r="8172" spans="12:17" x14ac:dyDescent="0.3">
      <c r="L8172" s="25"/>
      <c r="Q8172" s="17"/>
    </row>
    <row r="8173" spans="12:17" x14ac:dyDescent="0.3">
      <c r="L8173" s="25"/>
      <c r="Q8173" s="17"/>
    </row>
    <row r="8174" spans="12:17" x14ac:dyDescent="0.3">
      <c r="L8174" s="25"/>
      <c r="Q8174" s="17"/>
    </row>
    <row r="8175" spans="12:17" x14ac:dyDescent="0.3">
      <c r="L8175" s="25"/>
      <c r="Q8175" s="17"/>
    </row>
    <row r="8176" spans="12:17" x14ac:dyDescent="0.3">
      <c r="L8176" s="25"/>
      <c r="Q8176" s="17"/>
    </row>
    <row r="8177" spans="12:17" x14ac:dyDescent="0.3">
      <c r="L8177" s="25"/>
      <c r="Q8177" s="17"/>
    </row>
    <row r="8178" spans="12:17" x14ac:dyDescent="0.3">
      <c r="L8178" s="25"/>
      <c r="Q8178" s="17"/>
    </row>
    <row r="8179" spans="12:17" x14ac:dyDescent="0.3">
      <c r="L8179" s="25"/>
      <c r="Q8179" s="17"/>
    </row>
    <row r="8180" spans="12:17" x14ac:dyDescent="0.3">
      <c r="L8180" s="25"/>
      <c r="Q8180" s="17"/>
    </row>
    <row r="8181" spans="12:17" x14ac:dyDescent="0.3">
      <c r="L8181" s="25"/>
      <c r="Q8181" s="17"/>
    </row>
    <row r="8182" spans="12:17" x14ac:dyDescent="0.3">
      <c r="L8182" s="25"/>
      <c r="Q8182" s="17"/>
    </row>
    <row r="8183" spans="12:17" x14ac:dyDescent="0.3">
      <c r="L8183" s="25"/>
      <c r="Q8183" s="17"/>
    </row>
    <row r="8184" spans="12:17" x14ac:dyDescent="0.3">
      <c r="L8184" s="25"/>
      <c r="Q8184" s="17"/>
    </row>
    <row r="8185" spans="12:17" x14ac:dyDescent="0.3">
      <c r="L8185" s="25"/>
      <c r="Q8185" s="17"/>
    </row>
    <row r="8186" spans="12:17" x14ac:dyDescent="0.3">
      <c r="L8186" s="25"/>
      <c r="Q8186" s="17"/>
    </row>
    <row r="8187" spans="12:17" x14ac:dyDescent="0.3">
      <c r="L8187" s="25"/>
      <c r="Q8187" s="17"/>
    </row>
    <row r="8188" spans="12:17" x14ac:dyDescent="0.3">
      <c r="L8188" s="25"/>
      <c r="Q8188" s="17"/>
    </row>
    <row r="8189" spans="12:17" x14ac:dyDescent="0.3">
      <c r="L8189" s="25"/>
      <c r="Q8189" s="17"/>
    </row>
    <row r="8190" spans="12:17" x14ac:dyDescent="0.3">
      <c r="L8190" s="25"/>
      <c r="Q8190" s="17"/>
    </row>
    <row r="8191" spans="12:17" x14ac:dyDescent="0.3">
      <c r="L8191" s="25"/>
      <c r="Q8191" s="17"/>
    </row>
    <row r="8192" spans="12:17" x14ac:dyDescent="0.3">
      <c r="L8192" s="25"/>
      <c r="Q8192" s="17"/>
    </row>
    <row r="8193" spans="12:17" x14ac:dyDescent="0.3">
      <c r="L8193" s="25"/>
      <c r="Q8193" s="17"/>
    </row>
    <row r="8194" spans="12:17" x14ac:dyDescent="0.3">
      <c r="L8194" s="25"/>
      <c r="Q8194" s="17"/>
    </row>
    <row r="8195" spans="12:17" x14ac:dyDescent="0.3">
      <c r="L8195" s="25"/>
      <c r="Q8195" s="17"/>
    </row>
    <row r="8196" spans="12:17" x14ac:dyDescent="0.3">
      <c r="L8196" s="25"/>
      <c r="Q8196" s="17"/>
    </row>
    <row r="8197" spans="12:17" x14ac:dyDescent="0.3">
      <c r="L8197" s="25"/>
      <c r="Q8197" s="17"/>
    </row>
    <row r="8198" spans="12:17" x14ac:dyDescent="0.3">
      <c r="L8198" s="25"/>
      <c r="Q8198" s="17"/>
    </row>
    <row r="8199" spans="12:17" x14ac:dyDescent="0.3">
      <c r="L8199" s="25"/>
      <c r="Q8199" s="17"/>
    </row>
    <row r="8200" spans="12:17" x14ac:dyDescent="0.3">
      <c r="L8200" s="25"/>
      <c r="Q8200" s="17"/>
    </row>
    <row r="8201" spans="12:17" x14ac:dyDescent="0.3">
      <c r="L8201" s="25"/>
      <c r="Q8201" s="17"/>
    </row>
    <row r="8202" spans="12:17" x14ac:dyDescent="0.3">
      <c r="L8202" s="25"/>
      <c r="Q8202" s="17"/>
    </row>
    <row r="8203" spans="12:17" x14ac:dyDescent="0.3">
      <c r="L8203" s="25"/>
      <c r="Q8203" s="17"/>
    </row>
    <row r="8204" spans="12:17" x14ac:dyDescent="0.3">
      <c r="L8204" s="25"/>
      <c r="Q8204" s="17"/>
    </row>
    <row r="8205" spans="12:17" x14ac:dyDescent="0.3">
      <c r="L8205" s="25"/>
      <c r="Q8205" s="17"/>
    </row>
    <row r="8206" spans="12:17" x14ac:dyDescent="0.3">
      <c r="L8206" s="25"/>
      <c r="Q8206" s="17"/>
    </row>
    <row r="8207" spans="12:17" x14ac:dyDescent="0.3">
      <c r="L8207" s="25"/>
      <c r="Q8207" s="17"/>
    </row>
    <row r="8208" spans="12:17" x14ac:dyDescent="0.3">
      <c r="L8208" s="25"/>
      <c r="Q8208" s="17"/>
    </row>
    <row r="8209" spans="12:17" x14ac:dyDescent="0.3">
      <c r="L8209" s="25"/>
      <c r="Q8209" s="17"/>
    </row>
    <row r="8210" spans="12:17" x14ac:dyDescent="0.3">
      <c r="L8210" s="25"/>
      <c r="Q8210" s="17"/>
    </row>
    <row r="8211" spans="12:17" x14ac:dyDescent="0.3">
      <c r="L8211" s="25"/>
      <c r="Q8211" s="17"/>
    </row>
    <row r="8212" spans="12:17" x14ac:dyDescent="0.3">
      <c r="L8212" s="25"/>
      <c r="Q8212" s="17"/>
    </row>
    <row r="8213" spans="12:17" x14ac:dyDescent="0.3">
      <c r="L8213" s="25"/>
      <c r="Q8213" s="17"/>
    </row>
    <row r="8214" spans="12:17" x14ac:dyDescent="0.3">
      <c r="L8214" s="25"/>
      <c r="Q8214" s="17"/>
    </row>
    <row r="8215" spans="12:17" x14ac:dyDescent="0.3">
      <c r="L8215" s="25"/>
      <c r="Q8215" s="17"/>
    </row>
    <row r="8216" spans="12:17" x14ac:dyDescent="0.3">
      <c r="L8216" s="25"/>
      <c r="Q8216" s="17"/>
    </row>
    <row r="8217" spans="12:17" x14ac:dyDescent="0.3">
      <c r="L8217" s="25"/>
      <c r="Q8217" s="17"/>
    </row>
    <row r="8218" spans="12:17" x14ac:dyDescent="0.3">
      <c r="L8218" s="25"/>
      <c r="Q8218" s="17"/>
    </row>
    <row r="8219" spans="12:17" x14ac:dyDescent="0.3">
      <c r="L8219" s="25"/>
      <c r="Q8219" s="17"/>
    </row>
    <row r="8220" spans="12:17" x14ac:dyDescent="0.3">
      <c r="L8220" s="25"/>
      <c r="Q8220" s="17"/>
    </row>
    <row r="8221" spans="12:17" x14ac:dyDescent="0.3">
      <c r="L8221" s="25"/>
      <c r="Q8221" s="17"/>
    </row>
    <row r="8222" spans="12:17" x14ac:dyDescent="0.3">
      <c r="L8222" s="25"/>
      <c r="Q8222" s="17"/>
    </row>
    <row r="8223" spans="12:17" x14ac:dyDescent="0.3">
      <c r="L8223" s="25"/>
      <c r="Q8223" s="17"/>
    </row>
    <row r="8224" spans="12:17" x14ac:dyDescent="0.3">
      <c r="L8224" s="25"/>
      <c r="Q8224" s="17"/>
    </row>
    <row r="8225" spans="12:17" x14ac:dyDescent="0.3">
      <c r="L8225" s="25"/>
      <c r="Q8225" s="17"/>
    </row>
    <row r="8226" spans="12:17" x14ac:dyDescent="0.3">
      <c r="L8226" s="25"/>
      <c r="Q8226" s="17"/>
    </row>
    <row r="8227" spans="12:17" x14ac:dyDescent="0.3">
      <c r="L8227" s="25"/>
      <c r="Q8227" s="17"/>
    </row>
    <row r="8228" spans="12:17" x14ac:dyDescent="0.3">
      <c r="L8228" s="25"/>
      <c r="Q8228" s="17"/>
    </row>
    <row r="8229" spans="12:17" x14ac:dyDescent="0.3">
      <c r="L8229" s="25"/>
      <c r="Q8229" s="17"/>
    </row>
    <row r="8230" spans="12:17" x14ac:dyDescent="0.3">
      <c r="L8230" s="25"/>
      <c r="Q8230" s="17"/>
    </row>
    <row r="8231" spans="12:17" x14ac:dyDescent="0.3">
      <c r="L8231" s="25"/>
      <c r="Q8231" s="17"/>
    </row>
    <row r="8232" spans="12:17" x14ac:dyDescent="0.3">
      <c r="L8232" s="25"/>
      <c r="Q8232" s="17"/>
    </row>
    <row r="8233" spans="12:17" x14ac:dyDescent="0.3">
      <c r="L8233" s="25"/>
      <c r="Q8233" s="17"/>
    </row>
    <row r="8234" spans="12:17" x14ac:dyDescent="0.3">
      <c r="L8234" s="25"/>
      <c r="Q8234" s="17"/>
    </row>
    <row r="8235" spans="12:17" x14ac:dyDescent="0.3">
      <c r="L8235" s="25"/>
      <c r="Q8235" s="17"/>
    </row>
    <row r="8236" spans="12:17" x14ac:dyDescent="0.3">
      <c r="L8236" s="25"/>
      <c r="Q8236" s="17"/>
    </row>
    <row r="8237" spans="12:17" x14ac:dyDescent="0.3">
      <c r="L8237" s="25"/>
      <c r="Q8237" s="17"/>
    </row>
    <row r="8238" spans="12:17" x14ac:dyDescent="0.3">
      <c r="L8238" s="25"/>
      <c r="Q8238" s="17"/>
    </row>
    <row r="8239" spans="12:17" x14ac:dyDescent="0.3">
      <c r="L8239" s="25"/>
      <c r="Q8239" s="17"/>
    </row>
    <row r="8240" spans="12:17" x14ac:dyDescent="0.3">
      <c r="L8240" s="25"/>
      <c r="Q8240" s="17"/>
    </row>
    <row r="8241" spans="12:17" x14ac:dyDescent="0.3">
      <c r="L8241" s="25"/>
      <c r="Q8241" s="17"/>
    </row>
    <row r="8242" spans="12:17" x14ac:dyDescent="0.3">
      <c r="L8242" s="25"/>
      <c r="Q8242" s="17"/>
    </row>
    <row r="8243" spans="12:17" x14ac:dyDescent="0.3">
      <c r="L8243" s="25"/>
      <c r="Q8243" s="17"/>
    </row>
    <row r="8244" spans="12:17" x14ac:dyDescent="0.3">
      <c r="L8244" s="25"/>
      <c r="Q8244" s="17"/>
    </row>
    <row r="8245" spans="12:17" x14ac:dyDescent="0.3">
      <c r="L8245" s="25"/>
      <c r="Q8245" s="17"/>
    </row>
    <row r="8246" spans="12:17" x14ac:dyDescent="0.3">
      <c r="L8246" s="25"/>
      <c r="Q8246" s="17"/>
    </row>
    <row r="8247" spans="12:17" x14ac:dyDescent="0.3">
      <c r="L8247" s="25"/>
      <c r="Q8247" s="17"/>
    </row>
    <row r="8248" spans="12:17" x14ac:dyDescent="0.3">
      <c r="L8248" s="25"/>
      <c r="Q8248" s="17"/>
    </row>
    <row r="8249" spans="12:17" x14ac:dyDescent="0.3">
      <c r="L8249" s="25"/>
      <c r="Q8249" s="17"/>
    </row>
    <row r="8250" spans="12:17" x14ac:dyDescent="0.3">
      <c r="L8250" s="25"/>
      <c r="Q8250" s="17"/>
    </row>
    <row r="8251" spans="12:17" x14ac:dyDescent="0.3">
      <c r="L8251" s="25"/>
      <c r="Q8251" s="17"/>
    </row>
    <row r="8252" spans="12:17" x14ac:dyDescent="0.3">
      <c r="L8252" s="25"/>
      <c r="Q8252" s="17"/>
    </row>
    <row r="8253" spans="12:17" x14ac:dyDescent="0.3">
      <c r="L8253" s="25"/>
      <c r="Q8253" s="17"/>
    </row>
    <row r="8254" spans="12:17" x14ac:dyDescent="0.3">
      <c r="L8254" s="25"/>
      <c r="Q8254" s="17"/>
    </row>
    <row r="8255" spans="12:17" x14ac:dyDescent="0.3">
      <c r="L8255" s="25"/>
      <c r="Q8255" s="17"/>
    </row>
    <row r="8256" spans="12:17" x14ac:dyDescent="0.3">
      <c r="L8256" s="25"/>
      <c r="Q8256" s="17"/>
    </row>
    <row r="8257" spans="12:17" x14ac:dyDescent="0.3">
      <c r="L8257" s="25"/>
      <c r="Q8257" s="17"/>
    </row>
    <row r="8258" spans="12:17" x14ac:dyDescent="0.3">
      <c r="L8258" s="25"/>
      <c r="Q8258" s="17"/>
    </row>
    <row r="8259" spans="12:17" x14ac:dyDescent="0.3">
      <c r="L8259" s="25"/>
      <c r="Q8259" s="17"/>
    </row>
    <row r="8260" spans="12:17" x14ac:dyDescent="0.3">
      <c r="L8260" s="25"/>
      <c r="Q8260" s="17"/>
    </row>
    <row r="8261" spans="12:17" x14ac:dyDescent="0.3">
      <c r="L8261" s="25"/>
      <c r="Q8261" s="17"/>
    </row>
    <row r="8262" spans="12:17" x14ac:dyDescent="0.3">
      <c r="L8262" s="25"/>
      <c r="Q8262" s="17"/>
    </row>
    <row r="8263" spans="12:17" x14ac:dyDescent="0.3">
      <c r="L8263" s="25"/>
      <c r="Q8263" s="17"/>
    </row>
    <row r="8264" spans="12:17" x14ac:dyDescent="0.3">
      <c r="L8264" s="25"/>
      <c r="Q8264" s="17"/>
    </row>
    <row r="8265" spans="12:17" x14ac:dyDescent="0.3">
      <c r="L8265" s="25"/>
      <c r="Q8265" s="17"/>
    </row>
    <row r="8266" spans="12:17" x14ac:dyDescent="0.3">
      <c r="L8266" s="25"/>
      <c r="Q8266" s="17"/>
    </row>
    <row r="8267" spans="12:17" x14ac:dyDescent="0.3">
      <c r="L8267" s="25"/>
      <c r="Q8267" s="17"/>
    </row>
    <row r="8268" spans="12:17" x14ac:dyDescent="0.3">
      <c r="L8268" s="25"/>
      <c r="Q8268" s="17"/>
    </row>
    <row r="8269" spans="12:17" x14ac:dyDescent="0.3">
      <c r="L8269" s="25"/>
      <c r="Q8269" s="17"/>
    </row>
    <row r="8270" spans="12:17" x14ac:dyDescent="0.3">
      <c r="L8270" s="25"/>
      <c r="Q8270" s="17"/>
    </row>
    <row r="8271" spans="12:17" x14ac:dyDescent="0.3">
      <c r="L8271" s="25"/>
      <c r="Q8271" s="17"/>
    </row>
    <row r="8272" spans="12:17" x14ac:dyDescent="0.3">
      <c r="L8272" s="25"/>
      <c r="Q8272" s="17"/>
    </row>
    <row r="8273" spans="12:17" x14ac:dyDescent="0.3">
      <c r="L8273" s="25"/>
      <c r="Q8273" s="17"/>
    </row>
    <row r="8274" spans="12:17" x14ac:dyDescent="0.3">
      <c r="L8274" s="25"/>
      <c r="Q8274" s="17"/>
    </row>
    <row r="8275" spans="12:17" x14ac:dyDescent="0.3">
      <c r="L8275" s="25"/>
      <c r="Q8275" s="17"/>
    </row>
    <row r="8276" spans="12:17" x14ac:dyDescent="0.3">
      <c r="L8276" s="25"/>
      <c r="Q8276" s="17"/>
    </row>
    <row r="8277" spans="12:17" x14ac:dyDescent="0.3">
      <c r="L8277" s="25"/>
      <c r="Q8277" s="17"/>
    </row>
    <row r="8278" spans="12:17" x14ac:dyDescent="0.3">
      <c r="L8278" s="25"/>
      <c r="Q8278" s="17"/>
    </row>
    <row r="8279" spans="12:17" x14ac:dyDescent="0.3">
      <c r="L8279" s="25"/>
      <c r="Q8279" s="17"/>
    </row>
    <row r="8280" spans="12:17" x14ac:dyDescent="0.3">
      <c r="L8280" s="25"/>
      <c r="Q8280" s="17"/>
    </row>
    <row r="8281" spans="12:17" x14ac:dyDescent="0.3">
      <c r="L8281" s="25"/>
      <c r="Q8281" s="17"/>
    </row>
    <row r="8282" spans="12:17" x14ac:dyDescent="0.3">
      <c r="L8282" s="25"/>
      <c r="Q8282" s="17"/>
    </row>
    <row r="8283" spans="12:17" x14ac:dyDescent="0.3">
      <c r="L8283" s="25"/>
      <c r="Q8283" s="17"/>
    </row>
    <row r="8284" spans="12:17" x14ac:dyDescent="0.3">
      <c r="L8284" s="25"/>
      <c r="Q8284" s="17"/>
    </row>
    <row r="8285" spans="12:17" x14ac:dyDescent="0.3">
      <c r="L8285" s="25"/>
      <c r="Q8285" s="17"/>
    </row>
    <row r="8286" spans="12:17" x14ac:dyDescent="0.3">
      <c r="L8286" s="25"/>
      <c r="Q8286" s="17"/>
    </row>
    <row r="8287" spans="12:17" x14ac:dyDescent="0.3">
      <c r="L8287" s="25"/>
      <c r="Q8287" s="17"/>
    </row>
    <row r="8288" spans="12:17" x14ac:dyDescent="0.3">
      <c r="L8288" s="25"/>
      <c r="Q8288" s="17"/>
    </row>
    <row r="8289" spans="12:17" x14ac:dyDescent="0.3">
      <c r="L8289" s="25"/>
      <c r="Q8289" s="17"/>
    </row>
    <row r="8290" spans="12:17" x14ac:dyDescent="0.3">
      <c r="L8290" s="25"/>
      <c r="Q8290" s="17"/>
    </row>
    <row r="8291" spans="12:17" x14ac:dyDescent="0.3">
      <c r="L8291" s="25"/>
      <c r="Q8291" s="17"/>
    </row>
    <row r="8292" spans="12:17" x14ac:dyDescent="0.3">
      <c r="L8292" s="25"/>
      <c r="Q8292" s="17"/>
    </row>
    <row r="8293" spans="12:17" x14ac:dyDescent="0.3">
      <c r="L8293" s="25"/>
      <c r="Q8293" s="17"/>
    </row>
    <row r="8294" spans="12:17" x14ac:dyDescent="0.3">
      <c r="L8294" s="25"/>
      <c r="Q8294" s="17"/>
    </row>
    <row r="8295" spans="12:17" x14ac:dyDescent="0.3">
      <c r="L8295" s="25"/>
      <c r="Q8295" s="17"/>
    </row>
    <row r="8296" spans="12:17" x14ac:dyDescent="0.3">
      <c r="L8296" s="25"/>
      <c r="Q8296" s="17"/>
    </row>
    <row r="8297" spans="12:17" x14ac:dyDescent="0.3">
      <c r="L8297" s="25"/>
      <c r="Q8297" s="17"/>
    </row>
    <row r="8298" spans="12:17" x14ac:dyDescent="0.3">
      <c r="L8298" s="25"/>
      <c r="Q8298" s="17"/>
    </row>
    <row r="8299" spans="12:17" x14ac:dyDescent="0.3">
      <c r="L8299" s="25"/>
      <c r="Q8299" s="17"/>
    </row>
    <row r="8300" spans="12:17" x14ac:dyDescent="0.3">
      <c r="L8300" s="25"/>
      <c r="Q8300" s="17"/>
    </row>
    <row r="8301" spans="12:17" x14ac:dyDescent="0.3">
      <c r="L8301" s="25"/>
      <c r="Q8301" s="17"/>
    </row>
    <row r="8302" spans="12:17" x14ac:dyDescent="0.3">
      <c r="L8302" s="25"/>
      <c r="Q8302" s="17"/>
    </row>
    <row r="8303" spans="12:17" x14ac:dyDescent="0.3">
      <c r="L8303" s="25"/>
      <c r="Q8303" s="17"/>
    </row>
    <row r="8304" spans="12:17" x14ac:dyDescent="0.3">
      <c r="L8304" s="25"/>
      <c r="Q8304" s="17"/>
    </row>
    <row r="8305" spans="12:17" x14ac:dyDescent="0.3">
      <c r="L8305" s="25"/>
      <c r="Q8305" s="17"/>
    </row>
    <row r="8306" spans="12:17" x14ac:dyDescent="0.3">
      <c r="L8306" s="25"/>
      <c r="Q8306" s="17"/>
    </row>
    <row r="8307" spans="12:17" x14ac:dyDescent="0.3">
      <c r="L8307" s="25"/>
      <c r="Q8307" s="17"/>
    </row>
    <row r="8308" spans="12:17" x14ac:dyDescent="0.3">
      <c r="L8308" s="25"/>
      <c r="Q8308" s="17"/>
    </row>
    <row r="8309" spans="12:17" x14ac:dyDescent="0.3">
      <c r="L8309" s="25"/>
      <c r="Q8309" s="17"/>
    </row>
    <row r="8310" spans="12:17" x14ac:dyDescent="0.3">
      <c r="L8310" s="25"/>
      <c r="Q8310" s="17"/>
    </row>
    <row r="8311" spans="12:17" x14ac:dyDescent="0.3">
      <c r="L8311" s="25"/>
      <c r="Q8311" s="17"/>
    </row>
    <row r="8312" spans="12:17" x14ac:dyDescent="0.3">
      <c r="L8312" s="25"/>
      <c r="Q8312" s="17"/>
    </row>
    <row r="8313" spans="12:17" x14ac:dyDescent="0.3">
      <c r="L8313" s="25"/>
      <c r="Q8313" s="17"/>
    </row>
    <row r="8314" spans="12:17" x14ac:dyDescent="0.3">
      <c r="L8314" s="25"/>
      <c r="Q8314" s="17"/>
    </row>
    <row r="8315" spans="12:17" x14ac:dyDescent="0.3">
      <c r="L8315" s="25"/>
      <c r="Q8315" s="17"/>
    </row>
    <row r="8316" spans="12:17" x14ac:dyDescent="0.3">
      <c r="L8316" s="25"/>
      <c r="Q8316" s="17"/>
    </row>
    <row r="8317" spans="12:17" x14ac:dyDescent="0.3">
      <c r="L8317" s="25"/>
      <c r="Q8317" s="17"/>
    </row>
    <row r="8318" spans="12:17" x14ac:dyDescent="0.3">
      <c r="L8318" s="25"/>
      <c r="Q8318" s="17"/>
    </row>
    <row r="8319" spans="12:17" x14ac:dyDescent="0.3">
      <c r="L8319" s="25"/>
      <c r="Q8319" s="17"/>
    </row>
    <row r="8320" spans="12:17" x14ac:dyDescent="0.3">
      <c r="L8320" s="25"/>
      <c r="Q8320" s="17"/>
    </row>
    <row r="8321" spans="12:17" x14ac:dyDescent="0.3">
      <c r="L8321" s="25"/>
      <c r="Q8321" s="17"/>
    </row>
    <row r="8322" spans="12:17" x14ac:dyDescent="0.3">
      <c r="L8322" s="25"/>
      <c r="Q8322" s="17"/>
    </row>
    <row r="8323" spans="12:17" x14ac:dyDescent="0.3">
      <c r="L8323" s="25"/>
      <c r="Q8323" s="17"/>
    </row>
    <row r="8324" spans="12:17" x14ac:dyDescent="0.3">
      <c r="L8324" s="25"/>
      <c r="Q8324" s="17"/>
    </row>
    <row r="8325" spans="12:17" x14ac:dyDescent="0.3">
      <c r="L8325" s="25"/>
      <c r="Q8325" s="17"/>
    </row>
    <row r="8326" spans="12:17" x14ac:dyDescent="0.3">
      <c r="L8326" s="25"/>
      <c r="Q8326" s="17"/>
    </row>
    <row r="8327" spans="12:17" x14ac:dyDescent="0.3">
      <c r="L8327" s="25"/>
      <c r="Q8327" s="17"/>
    </row>
    <row r="8328" spans="12:17" x14ac:dyDescent="0.3">
      <c r="L8328" s="25"/>
      <c r="Q8328" s="17"/>
    </row>
    <row r="8329" spans="12:17" x14ac:dyDescent="0.3">
      <c r="L8329" s="25"/>
      <c r="Q8329" s="17"/>
    </row>
    <row r="8330" spans="12:17" x14ac:dyDescent="0.3">
      <c r="L8330" s="25"/>
      <c r="Q8330" s="17"/>
    </row>
    <row r="8331" spans="12:17" x14ac:dyDescent="0.3">
      <c r="L8331" s="25"/>
      <c r="Q8331" s="17"/>
    </row>
    <row r="8332" spans="12:17" x14ac:dyDescent="0.3">
      <c r="L8332" s="25"/>
      <c r="Q8332" s="17"/>
    </row>
    <row r="8333" spans="12:17" x14ac:dyDescent="0.3">
      <c r="L8333" s="25"/>
      <c r="Q8333" s="17"/>
    </row>
    <row r="8334" spans="12:17" x14ac:dyDescent="0.3">
      <c r="L8334" s="25"/>
      <c r="Q8334" s="17"/>
    </row>
    <row r="8335" spans="12:17" x14ac:dyDescent="0.3">
      <c r="L8335" s="25"/>
      <c r="Q8335" s="17"/>
    </row>
    <row r="8336" spans="12:17" x14ac:dyDescent="0.3">
      <c r="L8336" s="25"/>
      <c r="Q8336" s="17"/>
    </row>
    <row r="8337" spans="12:17" x14ac:dyDescent="0.3">
      <c r="L8337" s="25"/>
      <c r="Q8337" s="17"/>
    </row>
    <row r="8338" spans="12:17" x14ac:dyDescent="0.3">
      <c r="L8338" s="25"/>
      <c r="Q8338" s="17"/>
    </row>
    <row r="8339" spans="12:17" x14ac:dyDescent="0.3">
      <c r="L8339" s="25"/>
      <c r="Q8339" s="17"/>
    </row>
    <row r="8340" spans="12:17" x14ac:dyDescent="0.3">
      <c r="L8340" s="25"/>
      <c r="Q8340" s="17"/>
    </row>
    <row r="8341" spans="12:17" x14ac:dyDescent="0.3">
      <c r="L8341" s="25"/>
      <c r="Q8341" s="17"/>
    </row>
    <row r="8342" spans="12:17" x14ac:dyDescent="0.3">
      <c r="L8342" s="25"/>
      <c r="Q8342" s="17"/>
    </row>
    <row r="8343" spans="12:17" x14ac:dyDescent="0.3">
      <c r="L8343" s="25"/>
      <c r="Q8343" s="17"/>
    </row>
    <row r="8344" spans="12:17" x14ac:dyDescent="0.3">
      <c r="L8344" s="25"/>
      <c r="Q8344" s="17"/>
    </row>
    <row r="8345" spans="12:17" x14ac:dyDescent="0.3">
      <c r="L8345" s="25"/>
      <c r="Q8345" s="17"/>
    </row>
    <row r="8346" spans="12:17" x14ac:dyDescent="0.3">
      <c r="L8346" s="25"/>
      <c r="Q8346" s="17"/>
    </row>
    <row r="8347" spans="12:17" x14ac:dyDescent="0.3">
      <c r="L8347" s="25"/>
      <c r="Q8347" s="17"/>
    </row>
    <row r="8348" spans="12:17" x14ac:dyDescent="0.3">
      <c r="L8348" s="25"/>
      <c r="Q8348" s="17"/>
    </row>
    <row r="8349" spans="12:17" x14ac:dyDescent="0.3">
      <c r="L8349" s="25"/>
      <c r="Q8349" s="17"/>
    </row>
    <row r="8350" spans="12:17" x14ac:dyDescent="0.3">
      <c r="L8350" s="25"/>
      <c r="Q8350" s="17"/>
    </row>
    <row r="8351" spans="12:17" x14ac:dyDescent="0.3">
      <c r="L8351" s="25"/>
      <c r="Q8351" s="17"/>
    </row>
    <row r="8352" spans="12:17" x14ac:dyDescent="0.3">
      <c r="L8352" s="25"/>
      <c r="Q8352" s="17"/>
    </row>
    <row r="8353" spans="12:17" x14ac:dyDescent="0.3">
      <c r="L8353" s="25"/>
      <c r="Q8353" s="17"/>
    </row>
    <row r="8354" spans="12:17" x14ac:dyDescent="0.3">
      <c r="L8354" s="25"/>
      <c r="Q8354" s="17"/>
    </row>
    <row r="8355" spans="12:17" x14ac:dyDescent="0.3">
      <c r="L8355" s="25"/>
      <c r="Q8355" s="17"/>
    </row>
    <row r="8356" spans="12:17" x14ac:dyDescent="0.3">
      <c r="L8356" s="25"/>
      <c r="Q8356" s="17"/>
    </row>
    <row r="8357" spans="12:17" x14ac:dyDescent="0.3">
      <c r="L8357" s="25"/>
      <c r="Q8357" s="17"/>
    </row>
    <row r="8358" spans="12:17" x14ac:dyDescent="0.3">
      <c r="L8358" s="25"/>
      <c r="Q8358" s="17"/>
    </row>
    <row r="8359" spans="12:17" x14ac:dyDescent="0.3">
      <c r="L8359" s="25"/>
      <c r="Q8359" s="17"/>
    </row>
    <row r="8360" spans="12:17" x14ac:dyDescent="0.3">
      <c r="L8360" s="25"/>
      <c r="Q8360" s="17"/>
    </row>
    <row r="8361" spans="12:17" x14ac:dyDescent="0.3">
      <c r="L8361" s="25"/>
      <c r="Q8361" s="17"/>
    </row>
    <row r="8362" spans="12:17" x14ac:dyDescent="0.3">
      <c r="L8362" s="25"/>
      <c r="Q8362" s="17"/>
    </row>
    <row r="8363" spans="12:17" x14ac:dyDescent="0.3">
      <c r="L8363" s="25"/>
      <c r="Q8363" s="17"/>
    </row>
    <row r="8364" spans="12:17" x14ac:dyDescent="0.3">
      <c r="L8364" s="25"/>
      <c r="Q8364" s="17"/>
    </row>
    <row r="8365" spans="12:17" x14ac:dyDescent="0.3">
      <c r="L8365" s="25"/>
      <c r="Q8365" s="17"/>
    </row>
    <row r="8366" spans="12:17" x14ac:dyDescent="0.3">
      <c r="L8366" s="25"/>
      <c r="Q8366" s="17"/>
    </row>
    <row r="8367" spans="12:17" x14ac:dyDescent="0.3">
      <c r="L8367" s="25"/>
      <c r="Q8367" s="17"/>
    </row>
    <row r="8368" spans="12:17" x14ac:dyDescent="0.3">
      <c r="L8368" s="25"/>
      <c r="Q8368" s="17"/>
    </row>
    <row r="8369" spans="12:17" x14ac:dyDescent="0.3">
      <c r="L8369" s="25"/>
      <c r="Q8369" s="17"/>
    </row>
    <row r="8370" spans="12:17" x14ac:dyDescent="0.3">
      <c r="L8370" s="25"/>
      <c r="Q8370" s="17"/>
    </row>
    <row r="8371" spans="12:17" x14ac:dyDescent="0.3">
      <c r="L8371" s="25"/>
      <c r="Q8371" s="17"/>
    </row>
    <row r="8372" spans="12:17" x14ac:dyDescent="0.3">
      <c r="L8372" s="25"/>
      <c r="Q8372" s="17"/>
    </row>
    <row r="8373" spans="12:17" x14ac:dyDescent="0.3">
      <c r="L8373" s="25"/>
      <c r="Q8373" s="17"/>
    </row>
    <row r="8374" spans="12:17" x14ac:dyDescent="0.3">
      <c r="L8374" s="25"/>
      <c r="Q8374" s="17"/>
    </row>
    <row r="8375" spans="12:17" x14ac:dyDescent="0.3">
      <c r="L8375" s="25"/>
      <c r="Q8375" s="17"/>
    </row>
    <row r="8376" spans="12:17" x14ac:dyDescent="0.3">
      <c r="L8376" s="25"/>
      <c r="Q8376" s="17"/>
    </row>
    <row r="8377" spans="12:17" x14ac:dyDescent="0.3">
      <c r="L8377" s="25"/>
      <c r="Q8377" s="17"/>
    </row>
    <row r="8378" spans="12:17" x14ac:dyDescent="0.3">
      <c r="L8378" s="25"/>
      <c r="Q8378" s="17"/>
    </row>
    <row r="8379" spans="12:17" x14ac:dyDescent="0.3">
      <c r="L8379" s="25"/>
      <c r="Q8379" s="17"/>
    </row>
    <row r="8380" spans="12:17" x14ac:dyDescent="0.3">
      <c r="L8380" s="25"/>
      <c r="Q8380" s="17"/>
    </row>
    <row r="8381" spans="12:17" x14ac:dyDescent="0.3">
      <c r="L8381" s="25"/>
      <c r="Q8381" s="17"/>
    </row>
    <row r="8382" spans="12:17" x14ac:dyDescent="0.3">
      <c r="L8382" s="25"/>
      <c r="Q8382" s="17"/>
    </row>
    <row r="8383" spans="12:17" x14ac:dyDescent="0.3">
      <c r="L8383" s="25"/>
      <c r="Q8383" s="17"/>
    </row>
    <row r="8384" spans="12:17" x14ac:dyDescent="0.3">
      <c r="L8384" s="25"/>
      <c r="Q8384" s="17"/>
    </row>
    <row r="8385" spans="12:17" x14ac:dyDescent="0.3">
      <c r="L8385" s="25"/>
      <c r="Q8385" s="17"/>
    </row>
    <row r="8386" spans="12:17" x14ac:dyDescent="0.3">
      <c r="L8386" s="25"/>
      <c r="Q8386" s="17"/>
    </row>
    <row r="8387" spans="12:17" x14ac:dyDescent="0.3">
      <c r="L8387" s="25"/>
      <c r="Q8387" s="17"/>
    </row>
    <row r="8388" spans="12:17" x14ac:dyDescent="0.3">
      <c r="L8388" s="25"/>
      <c r="Q8388" s="17"/>
    </row>
    <row r="8389" spans="12:17" x14ac:dyDescent="0.3">
      <c r="L8389" s="25"/>
      <c r="Q8389" s="17"/>
    </row>
    <row r="8390" spans="12:17" x14ac:dyDescent="0.3">
      <c r="L8390" s="25"/>
      <c r="Q8390" s="17"/>
    </row>
    <row r="8391" spans="12:17" x14ac:dyDescent="0.3">
      <c r="L8391" s="25"/>
      <c r="Q8391" s="17"/>
    </row>
    <row r="8392" spans="12:17" x14ac:dyDescent="0.3">
      <c r="L8392" s="25"/>
      <c r="Q8392" s="17"/>
    </row>
    <row r="8393" spans="12:17" x14ac:dyDescent="0.3">
      <c r="L8393" s="25"/>
      <c r="Q8393" s="17"/>
    </row>
    <row r="8394" spans="12:17" x14ac:dyDescent="0.3">
      <c r="L8394" s="25"/>
      <c r="Q8394" s="17"/>
    </row>
    <row r="8395" spans="12:17" x14ac:dyDescent="0.3">
      <c r="L8395" s="25"/>
      <c r="Q8395" s="17"/>
    </row>
    <row r="8396" spans="12:17" x14ac:dyDescent="0.3">
      <c r="L8396" s="25"/>
      <c r="Q8396" s="17"/>
    </row>
    <row r="8397" spans="12:17" x14ac:dyDescent="0.3">
      <c r="L8397" s="25"/>
      <c r="Q8397" s="17"/>
    </row>
    <row r="8398" spans="12:17" x14ac:dyDescent="0.3">
      <c r="L8398" s="25"/>
      <c r="Q8398" s="17"/>
    </row>
    <row r="8399" spans="12:17" x14ac:dyDescent="0.3">
      <c r="L8399" s="25"/>
      <c r="Q8399" s="17"/>
    </row>
    <row r="8400" spans="12:17" x14ac:dyDescent="0.3">
      <c r="L8400" s="25"/>
      <c r="Q8400" s="17"/>
    </row>
    <row r="8401" spans="12:17" x14ac:dyDescent="0.3">
      <c r="L8401" s="25"/>
      <c r="Q8401" s="17"/>
    </row>
    <row r="8402" spans="12:17" x14ac:dyDescent="0.3">
      <c r="L8402" s="25"/>
      <c r="Q8402" s="17"/>
    </row>
    <row r="8403" spans="12:17" x14ac:dyDescent="0.3">
      <c r="L8403" s="25"/>
      <c r="Q8403" s="17"/>
    </row>
    <row r="8404" spans="12:17" x14ac:dyDescent="0.3">
      <c r="L8404" s="25"/>
      <c r="Q8404" s="17"/>
    </row>
    <row r="8405" spans="12:17" x14ac:dyDescent="0.3">
      <c r="L8405" s="25"/>
      <c r="Q8405" s="17"/>
    </row>
    <row r="8406" spans="12:17" x14ac:dyDescent="0.3">
      <c r="L8406" s="25"/>
      <c r="Q8406" s="17"/>
    </row>
    <row r="8407" spans="12:17" x14ac:dyDescent="0.3">
      <c r="L8407" s="25"/>
      <c r="Q8407" s="17"/>
    </row>
    <row r="8408" spans="12:17" x14ac:dyDescent="0.3">
      <c r="L8408" s="25"/>
      <c r="Q8408" s="17"/>
    </row>
    <row r="8409" spans="12:17" x14ac:dyDescent="0.3">
      <c r="L8409" s="25"/>
      <c r="Q8409" s="17"/>
    </row>
    <row r="8410" spans="12:17" x14ac:dyDescent="0.3">
      <c r="L8410" s="25"/>
      <c r="Q8410" s="17"/>
    </row>
    <row r="8411" spans="12:17" x14ac:dyDescent="0.3">
      <c r="L8411" s="25"/>
      <c r="Q8411" s="17"/>
    </row>
    <row r="8412" spans="12:17" x14ac:dyDescent="0.3">
      <c r="L8412" s="25"/>
      <c r="Q8412" s="17"/>
    </row>
    <row r="8413" spans="12:17" x14ac:dyDescent="0.3">
      <c r="L8413" s="25"/>
      <c r="Q8413" s="17"/>
    </row>
    <row r="8414" spans="12:17" x14ac:dyDescent="0.3">
      <c r="L8414" s="25"/>
      <c r="Q8414" s="17"/>
    </row>
    <row r="8415" spans="12:17" x14ac:dyDescent="0.3">
      <c r="L8415" s="25"/>
      <c r="Q8415" s="17"/>
    </row>
    <row r="8416" spans="12:17" x14ac:dyDescent="0.3">
      <c r="L8416" s="25"/>
      <c r="Q8416" s="17"/>
    </row>
    <row r="8417" spans="12:17" x14ac:dyDescent="0.3">
      <c r="L8417" s="25"/>
      <c r="Q8417" s="17"/>
    </row>
    <row r="8418" spans="12:17" x14ac:dyDescent="0.3">
      <c r="L8418" s="25"/>
      <c r="Q8418" s="17"/>
    </row>
    <row r="8419" spans="12:17" x14ac:dyDescent="0.3">
      <c r="L8419" s="25"/>
      <c r="Q8419" s="17"/>
    </row>
    <row r="8420" spans="12:17" x14ac:dyDescent="0.3">
      <c r="L8420" s="25"/>
      <c r="Q8420" s="17"/>
    </row>
    <row r="8421" spans="12:17" x14ac:dyDescent="0.3">
      <c r="L8421" s="25"/>
      <c r="Q8421" s="17"/>
    </row>
    <row r="8422" spans="12:17" x14ac:dyDescent="0.3">
      <c r="L8422" s="25"/>
      <c r="Q8422" s="17"/>
    </row>
    <row r="8423" spans="12:17" x14ac:dyDescent="0.3">
      <c r="L8423" s="25"/>
      <c r="Q8423" s="17"/>
    </row>
    <row r="8424" spans="12:17" x14ac:dyDescent="0.3">
      <c r="L8424" s="25"/>
      <c r="Q8424" s="17"/>
    </row>
    <row r="8425" spans="12:17" x14ac:dyDescent="0.3">
      <c r="L8425" s="25"/>
      <c r="Q8425" s="17"/>
    </row>
    <row r="8426" spans="12:17" x14ac:dyDescent="0.3">
      <c r="L8426" s="25"/>
      <c r="Q8426" s="17"/>
    </row>
    <row r="8427" spans="12:17" x14ac:dyDescent="0.3">
      <c r="L8427" s="25"/>
      <c r="Q8427" s="17"/>
    </row>
    <row r="8428" spans="12:17" x14ac:dyDescent="0.3">
      <c r="L8428" s="25"/>
      <c r="Q8428" s="17"/>
    </row>
    <row r="8429" spans="12:17" x14ac:dyDescent="0.3">
      <c r="L8429" s="25"/>
      <c r="Q8429" s="17"/>
    </row>
    <row r="8430" spans="12:17" x14ac:dyDescent="0.3">
      <c r="L8430" s="25"/>
      <c r="Q8430" s="17"/>
    </row>
    <row r="8431" spans="12:17" x14ac:dyDescent="0.3">
      <c r="L8431" s="25"/>
      <c r="Q8431" s="17"/>
    </row>
    <row r="8432" spans="12:17" x14ac:dyDescent="0.3">
      <c r="L8432" s="25"/>
      <c r="Q8432" s="17"/>
    </row>
    <row r="8433" spans="12:17" x14ac:dyDescent="0.3">
      <c r="L8433" s="25"/>
      <c r="Q8433" s="17"/>
    </row>
    <row r="8434" spans="12:17" x14ac:dyDescent="0.3">
      <c r="L8434" s="25"/>
      <c r="Q8434" s="17"/>
    </row>
    <row r="8435" spans="12:17" x14ac:dyDescent="0.3">
      <c r="L8435" s="25"/>
      <c r="Q8435" s="17"/>
    </row>
    <row r="8436" spans="12:17" x14ac:dyDescent="0.3">
      <c r="L8436" s="25"/>
      <c r="Q8436" s="17"/>
    </row>
    <row r="8437" spans="12:17" x14ac:dyDescent="0.3">
      <c r="L8437" s="25"/>
      <c r="Q8437" s="17"/>
    </row>
    <row r="8438" spans="12:17" x14ac:dyDescent="0.3">
      <c r="L8438" s="25"/>
      <c r="Q8438" s="17"/>
    </row>
    <row r="8439" spans="12:17" x14ac:dyDescent="0.3">
      <c r="L8439" s="25"/>
      <c r="Q8439" s="17"/>
    </row>
    <row r="8440" spans="12:17" x14ac:dyDescent="0.3">
      <c r="L8440" s="25"/>
      <c r="Q8440" s="17"/>
    </row>
    <row r="8441" spans="12:17" x14ac:dyDescent="0.3">
      <c r="L8441" s="25"/>
      <c r="Q8441" s="17"/>
    </row>
    <row r="8442" spans="12:17" x14ac:dyDescent="0.3">
      <c r="L8442" s="25"/>
      <c r="Q8442" s="17"/>
    </row>
    <row r="8443" spans="12:17" x14ac:dyDescent="0.3">
      <c r="L8443" s="25"/>
      <c r="Q8443" s="17"/>
    </row>
    <row r="8444" spans="12:17" x14ac:dyDescent="0.3">
      <c r="L8444" s="25"/>
      <c r="Q8444" s="17"/>
    </row>
    <row r="8445" spans="12:17" x14ac:dyDescent="0.3">
      <c r="L8445" s="25"/>
      <c r="Q8445" s="17"/>
    </row>
    <row r="8446" spans="12:17" x14ac:dyDescent="0.3">
      <c r="L8446" s="25"/>
      <c r="Q8446" s="17"/>
    </row>
    <row r="8447" spans="12:17" x14ac:dyDescent="0.3">
      <c r="L8447" s="25"/>
      <c r="Q8447" s="17"/>
    </row>
    <row r="8448" spans="12:17" x14ac:dyDescent="0.3">
      <c r="L8448" s="25"/>
      <c r="Q8448" s="17"/>
    </row>
    <row r="8449" spans="12:17" x14ac:dyDescent="0.3">
      <c r="L8449" s="25"/>
      <c r="Q8449" s="17"/>
    </row>
    <row r="8450" spans="12:17" x14ac:dyDescent="0.3">
      <c r="L8450" s="25"/>
      <c r="Q8450" s="17"/>
    </row>
    <row r="8451" spans="12:17" x14ac:dyDescent="0.3">
      <c r="L8451" s="25"/>
      <c r="Q8451" s="17"/>
    </row>
    <row r="8452" spans="12:17" x14ac:dyDescent="0.3">
      <c r="L8452" s="25"/>
      <c r="Q8452" s="17"/>
    </row>
    <row r="8453" spans="12:17" x14ac:dyDescent="0.3">
      <c r="L8453" s="25"/>
      <c r="Q8453" s="17"/>
    </row>
    <row r="8454" spans="12:17" x14ac:dyDescent="0.3">
      <c r="L8454" s="25"/>
      <c r="Q8454" s="17"/>
    </row>
    <row r="8455" spans="12:17" x14ac:dyDescent="0.3">
      <c r="L8455" s="25"/>
      <c r="Q8455" s="17"/>
    </row>
    <row r="8456" spans="12:17" x14ac:dyDescent="0.3">
      <c r="L8456" s="25"/>
      <c r="Q8456" s="17"/>
    </row>
    <row r="8457" spans="12:17" x14ac:dyDescent="0.3">
      <c r="L8457" s="25"/>
      <c r="Q8457" s="17"/>
    </row>
    <row r="8458" spans="12:17" x14ac:dyDescent="0.3">
      <c r="L8458" s="25"/>
      <c r="Q8458" s="17"/>
    </row>
    <row r="8459" spans="12:17" x14ac:dyDescent="0.3">
      <c r="L8459" s="25"/>
      <c r="Q8459" s="17"/>
    </row>
    <row r="8460" spans="12:17" x14ac:dyDescent="0.3">
      <c r="L8460" s="25"/>
      <c r="Q8460" s="17"/>
    </row>
    <row r="8461" spans="12:17" x14ac:dyDescent="0.3">
      <c r="L8461" s="25"/>
      <c r="Q8461" s="17"/>
    </row>
    <row r="8462" spans="12:17" x14ac:dyDescent="0.3">
      <c r="L8462" s="25"/>
      <c r="Q8462" s="17"/>
    </row>
    <row r="8463" spans="12:17" x14ac:dyDescent="0.3">
      <c r="L8463" s="25"/>
      <c r="Q8463" s="17"/>
    </row>
    <row r="8464" spans="12:17" x14ac:dyDescent="0.3">
      <c r="L8464" s="25"/>
      <c r="Q8464" s="17"/>
    </row>
    <row r="8465" spans="12:17" x14ac:dyDescent="0.3">
      <c r="L8465" s="25"/>
      <c r="Q8465" s="17"/>
    </row>
    <row r="8466" spans="12:17" x14ac:dyDescent="0.3">
      <c r="L8466" s="25"/>
      <c r="Q8466" s="17"/>
    </row>
    <row r="8467" spans="12:17" x14ac:dyDescent="0.3">
      <c r="L8467" s="25"/>
      <c r="Q8467" s="17"/>
    </row>
    <row r="8468" spans="12:17" x14ac:dyDescent="0.3">
      <c r="L8468" s="25"/>
      <c r="Q8468" s="17"/>
    </row>
    <row r="8469" spans="12:17" x14ac:dyDescent="0.3">
      <c r="L8469" s="25"/>
      <c r="Q8469" s="17"/>
    </row>
    <row r="8470" spans="12:17" x14ac:dyDescent="0.3">
      <c r="L8470" s="25"/>
      <c r="Q8470" s="17"/>
    </row>
    <row r="8471" spans="12:17" x14ac:dyDescent="0.3">
      <c r="L8471" s="25"/>
      <c r="Q8471" s="17"/>
    </row>
    <row r="8472" spans="12:17" x14ac:dyDescent="0.3">
      <c r="L8472" s="25"/>
      <c r="Q8472" s="17"/>
    </row>
    <row r="8473" spans="12:17" x14ac:dyDescent="0.3">
      <c r="L8473" s="25"/>
      <c r="Q8473" s="17"/>
    </row>
    <row r="8474" spans="12:17" x14ac:dyDescent="0.3">
      <c r="L8474" s="25"/>
      <c r="Q8474" s="17"/>
    </row>
    <row r="8475" spans="12:17" x14ac:dyDescent="0.3">
      <c r="L8475" s="25"/>
      <c r="Q8475" s="17"/>
    </row>
    <row r="8476" spans="12:17" x14ac:dyDescent="0.3">
      <c r="L8476" s="25"/>
      <c r="Q8476" s="17"/>
    </row>
    <row r="8477" spans="12:17" x14ac:dyDescent="0.3">
      <c r="L8477" s="25"/>
      <c r="Q8477" s="17"/>
    </row>
    <row r="8478" spans="12:17" x14ac:dyDescent="0.3">
      <c r="L8478" s="25"/>
      <c r="Q8478" s="17"/>
    </row>
    <row r="8479" spans="12:17" x14ac:dyDescent="0.3">
      <c r="L8479" s="25"/>
      <c r="Q8479" s="17"/>
    </row>
    <row r="8480" spans="12:17" x14ac:dyDescent="0.3">
      <c r="L8480" s="25"/>
      <c r="Q8480" s="17"/>
    </row>
    <row r="8481" spans="12:17" x14ac:dyDescent="0.3">
      <c r="L8481" s="25"/>
      <c r="Q8481" s="17"/>
    </row>
    <row r="8482" spans="12:17" x14ac:dyDescent="0.3">
      <c r="L8482" s="25"/>
      <c r="Q8482" s="17"/>
    </row>
    <row r="8483" spans="12:17" x14ac:dyDescent="0.3">
      <c r="L8483" s="25"/>
      <c r="Q8483" s="17"/>
    </row>
    <row r="8484" spans="12:17" x14ac:dyDescent="0.3">
      <c r="L8484" s="25"/>
      <c r="Q8484" s="17"/>
    </row>
    <row r="8485" spans="12:17" x14ac:dyDescent="0.3">
      <c r="L8485" s="25"/>
      <c r="Q8485" s="17"/>
    </row>
    <row r="8486" spans="12:17" x14ac:dyDescent="0.3">
      <c r="L8486" s="25"/>
      <c r="Q8486" s="17"/>
    </row>
    <row r="8487" spans="12:17" x14ac:dyDescent="0.3">
      <c r="L8487" s="25"/>
      <c r="Q8487" s="17"/>
    </row>
    <row r="8488" spans="12:17" x14ac:dyDescent="0.3">
      <c r="L8488" s="25"/>
      <c r="Q8488" s="17"/>
    </row>
    <row r="8489" spans="12:17" x14ac:dyDescent="0.3">
      <c r="L8489" s="25"/>
      <c r="Q8489" s="17"/>
    </row>
    <row r="8490" spans="12:17" x14ac:dyDescent="0.3">
      <c r="L8490" s="25"/>
      <c r="Q8490" s="17"/>
    </row>
    <row r="8491" spans="12:17" x14ac:dyDescent="0.3">
      <c r="L8491" s="25"/>
      <c r="Q8491" s="17"/>
    </row>
    <row r="8492" spans="12:17" x14ac:dyDescent="0.3">
      <c r="L8492" s="25"/>
      <c r="Q8492" s="17"/>
    </row>
    <row r="8493" spans="12:17" x14ac:dyDescent="0.3">
      <c r="L8493" s="25"/>
      <c r="Q8493" s="17"/>
    </row>
    <row r="8494" spans="12:17" x14ac:dyDescent="0.3">
      <c r="L8494" s="25"/>
      <c r="Q8494" s="17"/>
    </row>
    <row r="8495" spans="12:17" x14ac:dyDescent="0.3">
      <c r="L8495" s="25"/>
      <c r="Q8495" s="17"/>
    </row>
    <row r="8496" spans="12:17" x14ac:dyDescent="0.3">
      <c r="L8496" s="25"/>
      <c r="Q8496" s="17"/>
    </row>
    <row r="8497" spans="12:17" x14ac:dyDescent="0.3">
      <c r="L8497" s="25"/>
      <c r="Q8497" s="17"/>
    </row>
    <row r="8498" spans="12:17" x14ac:dyDescent="0.3">
      <c r="L8498" s="25"/>
      <c r="Q8498" s="17"/>
    </row>
    <row r="8499" spans="12:17" x14ac:dyDescent="0.3">
      <c r="L8499" s="25"/>
      <c r="Q8499" s="17"/>
    </row>
    <row r="8500" spans="12:17" x14ac:dyDescent="0.3">
      <c r="L8500" s="25"/>
      <c r="Q8500" s="17"/>
    </row>
    <row r="8501" spans="12:17" x14ac:dyDescent="0.3">
      <c r="L8501" s="25"/>
      <c r="Q8501" s="17"/>
    </row>
    <row r="8502" spans="12:17" x14ac:dyDescent="0.3">
      <c r="L8502" s="25"/>
      <c r="Q8502" s="17"/>
    </row>
    <row r="8503" spans="12:17" x14ac:dyDescent="0.3">
      <c r="L8503" s="25"/>
      <c r="Q8503" s="17"/>
    </row>
    <row r="8504" spans="12:17" x14ac:dyDescent="0.3">
      <c r="L8504" s="25"/>
      <c r="Q8504" s="17"/>
    </row>
    <row r="8505" spans="12:17" x14ac:dyDescent="0.3">
      <c r="L8505" s="25"/>
      <c r="Q8505" s="17"/>
    </row>
    <row r="8506" spans="12:17" x14ac:dyDescent="0.3">
      <c r="L8506" s="25"/>
      <c r="Q8506" s="17"/>
    </row>
    <row r="8507" spans="12:17" x14ac:dyDescent="0.3">
      <c r="L8507" s="25"/>
      <c r="Q8507" s="17"/>
    </row>
    <row r="8508" spans="12:17" x14ac:dyDescent="0.3">
      <c r="L8508" s="25"/>
      <c r="Q8508" s="17"/>
    </row>
    <row r="8509" spans="12:17" x14ac:dyDescent="0.3">
      <c r="L8509" s="25"/>
      <c r="Q8509" s="17"/>
    </row>
    <row r="8510" spans="12:17" x14ac:dyDescent="0.3">
      <c r="L8510" s="25"/>
      <c r="Q8510" s="17"/>
    </row>
    <row r="8511" spans="12:17" x14ac:dyDescent="0.3">
      <c r="L8511" s="25"/>
      <c r="Q8511" s="17"/>
    </row>
    <row r="8512" spans="12:17" x14ac:dyDescent="0.3">
      <c r="L8512" s="25"/>
      <c r="Q8512" s="17"/>
    </row>
    <row r="8513" spans="12:17" x14ac:dyDescent="0.3">
      <c r="L8513" s="25"/>
      <c r="Q8513" s="17"/>
    </row>
    <row r="8514" spans="12:17" x14ac:dyDescent="0.3">
      <c r="L8514" s="25"/>
      <c r="Q8514" s="17"/>
    </row>
    <row r="8515" spans="12:17" x14ac:dyDescent="0.3">
      <c r="L8515" s="25"/>
      <c r="Q8515" s="17"/>
    </row>
    <row r="8516" spans="12:17" x14ac:dyDescent="0.3">
      <c r="L8516" s="25"/>
      <c r="Q8516" s="17"/>
    </row>
    <row r="8517" spans="12:17" x14ac:dyDescent="0.3">
      <c r="L8517" s="25"/>
      <c r="Q8517" s="17"/>
    </row>
    <row r="8518" spans="12:17" x14ac:dyDescent="0.3">
      <c r="L8518" s="25"/>
      <c r="Q8518" s="17"/>
    </row>
    <row r="8519" spans="12:17" x14ac:dyDescent="0.3">
      <c r="L8519" s="25"/>
      <c r="Q8519" s="17"/>
    </row>
    <row r="8520" spans="12:17" x14ac:dyDescent="0.3">
      <c r="L8520" s="25"/>
      <c r="Q8520" s="17"/>
    </row>
    <row r="8521" spans="12:17" x14ac:dyDescent="0.3">
      <c r="L8521" s="25"/>
      <c r="Q8521" s="17"/>
    </row>
    <row r="8522" spans="12:17" x14ac:dyDescent="0.3">
      <c r="L8522" s="25"/>
      <c r="Q8522" s="17"/>
    </row>
    <row r="8523" spans="12:17" x14ac:dyDescent="0.3">
      <c r="L8523" s="25"/>
      <c r="Q8523" s="17"/>
    </row>
    <row r="8524" spans="12:17" x14ac:dyDescent="0.3">
      <c r="L8524" s="25"/>
      <c r="Q8524" s="17"/>
    </row>
    <row r="8525" spans="12:17" x14ac:dyDescent="0.3">
      <c r="L8525" s="25"/>
      <c r="Q8525" s="17"/>
    </row>
    <row r="8526" spans="12:17" x14ac:dyDescent="0.3">
      <c r="L8526" s="25"/>
      <c r="Q8526" s="17"/>
    </row>
    <row r="8527" spans="12:17" x14ac:dyDescent="0.3">
      <c r="L8527" s="25"/>
      <c r="Q8527" s="17"/>
    </row>
    <row r="8528" spans="12:17" x14ac:dyDescent="0.3">
      <c r="L8528" s="25"/>
      <c r="Q8528" s="17"/>
    </row>
    <row r="8529" spans="12:17" x14ac:dyDescent="0.3">
      <c r="L8529" s="25"/>
      <c r="Q8529" s="17"/>
    </row>
    <row r="8530" spans="12:17" x14ac:dyDescent="0.3">
      <c r="L8530" s="25"/>
      <c r="Q8530" s="17"/>
    </row>
    <row r="8531" spans="12:17" x14ac:dyDescent="0.3">
      <c r="L8531" s="25"/>
      <c r="Q8531" s="17"/>
    </row>
    <row r="8532" spans="12:17" x14ac:dyDescent="0.3">
      <c r="L8532" s="25"/>
      <c r="Q8532" s="17"/>
    </row>
    <row r="8533" spans="12:17" x14ac:dyDescent="0.3">
      <c r="L8533" s="25"/>
      <c r="Q8533" s="17"/>
    </row>
    <row r="8534" spans="12:17" x14ac:dyDescent="0.3">
      <c r="L8534" s="25"/>
      <c r="Q8534" s="17"/>
    </row>
    <row r="8535" spans="12:17" x14ac:dyDescent="0.3">
      <c r="L8535" s="25"/>
      <c r="Q8535" s="17"/>
    </row>
    <row r="8536" spans="12:17" x14ac:dyDescent="0.3">
      <c r="L8536" s="25"/>
      <c r="Q8536" s="17"/>
    </row>
    <row r="8537" spans="12:17" x14ac:dyDescent="0.3">
      <c r="L8537" s="25"/>
      <c r="Q8537" s="17"/>
    </row>
    <row r="8538" spans="12:17" x14ac:dyDescent="0.3">
      <c r="L8538" s="25"/>
      <c r="Q8538" s="17"/>
    </row>
    <row r="8539" spans="12:17" x14ac:dyDescent="0.3">
      <c r="L8539" s="25"/>
      <c r="Q8539" s="17"/>
    </row>
    <row r="8540" spans="12:17" x14ac:dyDescent="0.3">
      <c r="L8540" s="25"/>
      <c r="Q8540" s="17"/>
    </row>
    <row r="8541" spans="12:17" x14ac:dyDescent="0.3">
      <c r="L8541" s="25"/>
      <c r="Q8541" s="17"/>
    </row>
    <row r="8542" spans="12:17" x14ac:dyDescent="0.3">
      <c r="L8542" s="25"/>
      <c r="Q8542" s="17"/>
    </row>
    <row r="8543" spans="12:17" x14ac:dyDescent="0.3">
      <c r="L8543" s="25"/>
      <c r="Q8543" s="17"/>
    </row>
    <row r="8544" spans="12:17" x14ac:dyDescent="0.3">
      <c r="L8544" s="25"/>
      <c r="Q8544" s="17"/>
    </row>
    <row r="8545" spans="12:17" x14ac:dyDescent="0.3">
      <c r="L8545" s="25"/>
      <c r="Q8545" s="17"/>
    </row>
    <row r="8546" spans="12:17" x14ac:dyDescent="0.3">
      <c r="L8546" s="25"/>
      <c r="Q8546" s="17"/>
    </row>
    <row r="8547" spans="12:17" x14ac:dyDescent="0.3">
      <c r="L8547" s="25"/>
      <c r="Q8547" s="17"/>
    </row>
    <row r="8548" spans="12:17" x14ac:dyDescent="0.3">
      <c r="L8548" s="25"/>
      <c r="Q8548" s="17"/>
    </row>
    <row r="8549" spans="12:17" x14ac:dyDescent="0.3">
      <c r="L8549" s="25"/>
      <c r="Q8549" s="17"/>
    </row>
    <row r="8550" spans="12:17" x14ac:dyDescent="0.3">
      <c r="L8550" s="25"/>
      <c r="Q8550" s="17"/>
    </row>
    <row r="8551" spans="12:17" x14ac:dyDescent="0.3">
      <c r="L8551" s="25"/>
      <c r="Q8551" s="17"/>
    </row>
    <row r="8552" spans="12:17" x14ac:dyDescent="0.3">
      <c r="L8552" s="25"/>
      <c r="Q8552" s="17"/>
    </row>
    <row r="8553" spans="12:17" x14ac:dyDescent="0.3">
      <c r="L8553" s="25"/>
      <c r="Q8553" s="17"/>
    </row>
    <row r="8554" spans="12:17" x14ac:dyDescent="0.3">
      <c r="L8554" s="25"/>
      <c r="Q8554" s="17"/>
    </row>
    <row r="8555" spans="12:17" x14ac:dyDescent="0.3">
      <c r="L8555" s="25"/>
      <c r="Q8555" s="17"/>
    </row>
    <row r="8556" spans="12:17" x14ac:dyDescent="0.3">
      <c r="L8556" s="25"/>
      <c r="Q8556" s="17"/>
    </row>
    <row r="8557" spans="12:17" x14ac:dyDescent="0.3">
      <c r="L8557" s="25"/>
      <c r="Q8557" s="17"/>
    </row>
    <row r="8558" spans="12:17" x14ac:dyDescent="0.3">
      <c r="L8558" s="25"/>
      <c r="Q8558" s="17"/>
    </row>
    <row r="8559" spans="12:17" x14ac:dyDescent="0.3">
      <c r="L8559" s="25"/>
      <c r="Q8559" s="17"/>
    </row>
    <row r="8560" spans="12:17" x14ac:dyDescent="0.3">
      <c r="L8560" s="25"/>
      <c r="Q8560" s="17"/>
    </row>
    <row r="8561" spans="12:17" x14ac:dyDescent="0.3">
      <c r="L8561" s="25"/>
      <c r="Q8561" s="17"/>
    </row>
    <row r="8562" spans="12:17" x14ac:dyDescent="0.3">
      <c r="L8562" s="25"/>
      <c r="Q8562" s="17"/>
    </row>
    <row r="8563" spans="12:17" x14ac:dyDescent="0.3">
      <c r="L8563" s="25"/>
      <c r="Q8563" s="17"/>
    </row>
    <row r="8564" spans="12:17" x14ac:dyDescent="0.3">
      <c r="L8564" s="25"/>
      <c r="Q8564" s="17"/>
    </row>
    <row r="8565" spans="12:17" x14ac:dyDescent="0.3">
      <c r="L8565" s="25"/>
      <c r="Q8565" s="17"/>
    </row>
    <row r="8566" spans="12:17" x14ac:dyDescent="0.3">
      <c r="L8566" s="25"/>
      <c r="Q8566" s="17"/>
    </row>
    <row r="8567" spans="12:17" x14ac:dyDescent="0.3">
      <c r="L8567" s="25"/>
      <c r="Q8567" s="17"/>
    </row>
    <row r="8568" spans="12:17" x14ac:dyDescent="0.3">
      <c r="L8568" s="25"/>
      <c r="Q8568" s="17"/>
    </row>
    <row r="8569" spans="12:17" x14ac:dyDescent="0.3">
      <c r="L8569" s="25"/>
      <c r="Q8569" s="17"/>
    </row>
    <row r="8570" spans="12:17" x14ac:dyDescent="0.3">
      <c r="L8570" s="25"/>
      <c r="Q8570" s="17"/>
    </row>
    <row r="8571" spans="12:17" x14ac:dyDescent="0.3">
      <c r="L8571" s="25"/>
      <c r="Q8571" s="17"/>
    </row>
    <row r="8572" spans="12:17" x14ac:dyDescent="0.3">
      <c r="L8572" s="25"/>
      <c r="Q8572" s="17"/>
    </row>
    <row r="8573" spans="12:17" x14ac:dyDescent="0.3">
      <c r="L8573" s="25"/>
      <c r="Q8573" s="17"/>
    </row>
    <row r="8574" spans="12:17" x14ac:dyDescent="0.3">
      <c r="L8574" s="25"/>
      <c r="Q8574" s="17"/>
    </row>
    <row r="8575" spans="12:17" x14ac:dyDescent="0.3">
      <c r="L8575" s="25"/>
      <c r="Q8575" s="17"/>
    </row>
    <row r="8576" spans="12:17" x14ac:dyDescent="0.3">
      <c r="L8576" s="25"/>
      <c r="Q8576" s="17"/>
    </row>
    <row r="8577" spans="12:17" x14ac:dyDescent="0.3">
      <c r="L8577" s="25"/>
      <c r="Q8577" s="17"/>
    </row>
    <row r="8578" spans="12:17" x14ac:dyDescent="0.3">
      <c r="L8578" s="25"/>
      <c r="Q8578" s="17"/>
    </row>
    <row r="8579" spans="12:17" x14ac:dyDescent="0.3">
      <c r="L8579" s="25"/>
      <c r="Q8579" s="17"/>
    </row>
    <row r="8580" spans="12:17" x14ac:dyDescent="0.3">
      <c r="L8580" s="25"/>
      <c r="Q8580" s="17"/>
    </row>
    <row r="8581" spans="12:17" x14ac:dyDescent="0.3">
      <c r="L8581" s="25"/>
      <c r="Q8581" s="17"/>
    </row>
    <row r="8582" spans="12:17" x14ac:dyDescent="0.3">
      <c r="L8582" s="25"/>
      <c r="Q8582" s="17"/>
    </row>
    <row r="8583" spans="12:17" x14ac:dyDescent="0.3">
      <c r="L8583" s="25"/>
      <c r="Q8583" s="17"/>
    </row>
    <row r="8584" spans="12:17" x14ac:dyDescent="0.3">
      <c r="L8584" s="25"/>
      <c r="Q8584" s="17"/>
    </row>
    <row r="8585" spans="12:17" x14ac:dyDescent="0.3">
      <c r="L8585" s="25"/>
      <c r="Q8585" s="17"/>
    </row>
    <row r="8586" spans="12:17" x14ac:dyDescent="0.3">
      <c r="L8586" s="25"/>
      <c r="Q8586" s="17"/>
    </row>
    <row r="8587" spans="12:17" x14ac:dyDescent="0.3">
      <c r="L8587" s="25"/>
      <c r="Q8587" s="17"/>
    </row>
    <row r="8588" spans="12:17" x14ac:dyDescent="0.3">
      <c r="L8588" s="25"/>
      <c r="Q8588" s="17"/>
    </row>
    <row r="8589" spans="12:17" x14ac:dyDescent="0.3">
      <c r="L8589" s="25"/>
      <c r="Q8589" s="17"/>
    </row>
    <row r="8590" spans="12:17" x14ac:dyDescent="0.3">
      <c r="L8590" s="25"/>
      <c r="Q8590" s="17"/>
    </row>
    <row r="8591" spans="12:17" x14ac:dyDescent="0.3">
      <c r="L8591" s="25"/>
      <c r="Q8591" s="17"/>
    </row>
    <row r="8592" spans="12:17" x14ac:dyDescent="0.3">
      <c r="L8592" s="25"/>
      <c r="Q8592" s="17"/>
    </row>
    <row r="8593" spans="12:17" x14ac:dyDescent="0.3">
      <c r="L8593" s="25"/>
      <c r="Q8593" s="17"/>
    </row>
    <row r="8594" spans="12:17" x14ac:dyDescent="0.3">
      <c r="L8594" s="25"/>
      <c r="Q8594" s="17"/>
    </row>
    <row r="8595" spans="12:17" x14ac:dyDescent="0.3">
      <c r="L8595" s="25"/>
      <c r="Q8595" s="17"/>
    </row>
    <row r="8596" spans="12:17" x14ac:dyDescent="0.3">
      <c r="L8596" s="25"/>
      <c r="Q8596" s="17"/>
    </row>
    <row r="8597" spans="12:17" x14ac:dyDescent="0.3">
      <c r="L8597" s="25"/>
      <c r="Q8597" s="17"/>
    </row>
    <row r="8598" spans="12:17" x14ac:dyDescent="0.3">
      <c r="L8598" s="25"/>
      <c r="Q8598" s="17"/>
    </row>
    <row r="8599" spans="12:17" x14ac:dyDescent="0.3">
      <c r="L8599" s="25"/>
      <c r="Q8599" s="17"/>
    </row>
    <row r="8600" spans="12:17" x14ac:dyDescent="0.3">
      <c r="L8600" s="25"/>
      <c r="Q8600" s="17"/>
    </row>
    <row r="8601" spans="12:17" x14ac:dyDescent="0.3">
      <c r="L8601" s="25"/>
      <c r="Q8601" s="17"/>
    </row>
    <row r="8602" spans="12:17" x14ac:dyDescent="0.3">
      <c r="L8602" s="25"/>
      <c r="Q8602" s="17"/>
    </row>
    <row r="8603" spans="12:17" x14ac:dyDescent="0.3">
      <c r="L8603" s="25"/>
      <c r="Q8603" s="17"/>
    </row>
    <row r="8604" spans="12:17" x14ac:dyDescent="0.3">
      <c r="L8604" s="25"/>
      <c r="Q8604" s="17"/>
    </row>
    <row r="8605" spans="12:17" x14ac:dyDescent="0.3">
      <c r="L8605" s="25"/>
      <c r="Q8605" s="17"/>
    </row>
    <row r="8606" spans="12:17" x14ac:dyDescent="0.3">
      <c r="L8606" s="25"/>
      <c r="Q8606" s="17"/>
    </row>
    <row r="8607" spans="12:17" x14ac:dyDescent="0.3">
      <c r="L8607" s="25"/>
      <c r="Q8607" s="17"/>
    </row>
    <row r="8608" spans="12:17" x14ac:dyDescent="0.3">
      <c r="L8608" s="25"/>
      <c r="Q8608" s="17"/>
    </row>
    <row r="8609" spans="12:17" x14ac:dyDescent="0.3">
      <c r="L8609" s="25"/>
      <c r="Q8609" s="17"/>
    </row>
    <row r="8610" spans="12:17" x14ac:dyDescent="0.3">
      <c r="L8610" s="25"/>
      <c r="Q8610" s="17"/>
    </row>
    <row r="8611" spans="12:17" x14ac:dyDescent="0.3">
      <c r="L8611" s="25"/>
      <c r="Q8611" s="17"/>
    </row>
    <row r="8612" spans="12:17" x14ac:dyDescent="0.3">
      <c r="L8612" s="25"/>
      <c r="Q8612" s="17"/>
    </row>
    <row r="8613" spans="12:17" x14ac:dyDescent="0.3">
      <c r="L8613" s="25"/>
      <c r="Q8613" s="17"/>
    </row>
    <row r="8614" spans="12:17" x14ac:dyDescent="0.3">
      <c r="L8614" s="25"/>
      <c r="Q8614" s="17"/>
    </row>
    <row r="8615" spans="12:17" x14ac:dyDescent="0.3">
      <c r="L8615" s="25"/>
      <c r="Q8615" s="17"/>
    </row>
    <row r="8616" spans="12:17" x14ac:dyDescent="0.3">
      <c r="L8616" s="25"/>
      <c r="Q8616" s="17"/>
    </row>
    <row r="8617" spans="12:17" x14ac:dyDescent="0.3">
      <c r="L8617" s="25"/>
      <c r="Q8617" s="17"/>
    </row>
    <row r="8618" spans="12:17" x14ac:dyDescent="0.3">
      <c r="L8618" s="25"/>
      <c r="Q8618" s="17"/>
    </row>
    <row r="8619" spans="12:17" x14ac:dyDescent="0.3">
      <c r="L8619" s="25"/>
      <c r="Q8619" s="17"/>
    </row>
    <row r="8620" spans="12:17" x14ac:dyDescent="0.3">
      <c r="L8620" s="25"/>
      <c r="Q8620" s="17"/>
    </row>
    <row r="8621" spans="12:17" x14ac:dyDescent="0.3">
      <c r="L8621" s="25"/>
      <c r="Q8621" s="17"/>
    </row>
    <row r="8622" spans="12:17" x14ac:dyDescent="0.3">
      <c r="L8622" s="25"/>
      <c r="Q8622" s="17"/>
    </row>
    <row r="8623" spans="12:17" x14ac:dyDescent="0.3">
      <c r="L8623" s="25"/>
      <c r="Q8623" s="17"/>
    </row>
    <row r="8624" spans="12:17" x14ac:dyDescent="0.3">
      <c r="L8624" s="25"/>
      <c r="Q8624" s="17"/>
    </row>
    <row r="8625" spans="12:17" x14ac:dyDescent="0.3">
      <c r="L8625" s="25"/>
      <c r="Q8625" s="17"/>
    </row>
    <row r="8626" spans="12:17" x14ac:dyDescent="0.3">
      <c r="L8626" s="25"/>
      <c r="Q8626" s="17"/>
    </row>
    <row r="8627" spans="12:17" x14ac:dyDescent="0.3">
      <c r="L8627" s="25"/>
      <c r="Q8627" s="17"/>
    </row>
    <row r="8628" spans="12:17" x14ac:dyDescent="0.3">
      <c r="L8628" s="25"/>
      <c r="Q8628" s="17"/>
    </row>
    <row r="8629" spans="12:17" x14ac:dyDescent="0.3">
      <c r="L8629" s="25"/>
      <c r="Q8629" s="17"/>
    </row>
    <row r="8630" spans="12:17" x14ac:dyDescent="0.3">
      <c r="L8630" s="25"/>
      <c r="Q8630" s="17"/>
    </row>
    <row r="8631" spans="12:17" x14ac:dyDescent="0.3">
      <c r="L8631" s="25"/>
      <c r="Q8631" s="17"/>
    </row>
    <row r="8632" spans="12:17" x14ac:dyDescent="0.3">
      <c r="L8632" s="25"/>
      <c r="Q8632" s="17"/>
    </row>
    <row r="8633" spans="12:17" x14ac:dyDescent="0.3">
      <c r="L8633" s="25"/>
      <c r="Q8633" s="17"/>
    </row>
    <row r="8634" spans="12:17" x14ac:dyDescent="0.3">
      <c r="L8634" s="25"/>
      <c r="Q8634" s="17"/>
    </row>
    <row r="8635" spans="12:17" x14ac:dyDescent="0.3">
      <c r="L8635" s="25"/>
      <c r="Q8635" s="17"/>
    </row>
    <row r="8636" spans="12:17" x14ac:dyDescent="0.3">
      <c r="L8636" s="25"/>
      <c r="Q8636" s="17"/>
    </row>
    <row r="8637" spans="12:17" x14ac:dyDescent="0.3">
      <c r="L8637" s="25"/>
      <c r="Q8637" s="17"/>
    </row>
    <row r="8638" spans="12:17" x14ac:dyDescent="0.3">
      <c r="L8638" s="25"/>
      <c r="Q8638" s="17"/>
    </row>
    <row r="8639" spans="12:17" x14ac:dyDescent="0.3">
      <c r="L8639" s="25"/>
      <c r="Q8639" s="17"/>
    </row>
    <row r="8640" spans="12:17" x14ac:dyDescent="0.3">
      <c r="L8640" s="25"/>
      <c r="Q8640" s="17"/>
    </row>
    <row r="8641" spans="12:17" x14ac:dyDescent="0.3">
      <c r="L8641" s="25"/>
      <c r="Q8641" s="17"/>
    </row>
    <row r="8642" spans="12:17" x14ac:dyDescent="0.3">
      <c r="L8642" s="25"/>
      <c r="Q8642" s="17"/>
    </row>
    <row r="8643" spans="12:17" x14ac:dyDescent="0.3">
      <c r="L8643" s="25"/>
      <c r="Q8643" s="17"/>
    </row>
    <row r="8644" spans="12:17" x14ac:dyDescent="0.3">
      <c r="L8644" s="25"/>
      <c r="Q8644" s="17"/>
    </row>
    <row r="8645" spans="12:17" x14ac:dyDescent="0.3">
      <c r="L8645" s="25"/>
      <c r="Q8645" s="17"/>
    </row>
    <row r="8646" spans="12:17" x14ac:dyDescent="0.3">
      <c r="L8646" s="25"/>
      <c r="Q8646" s="17"/>
    </row>
    <row r="8647" spans="12:17" x14ac:dyDescent="0.3">
      <c r="L8647" s="25"/>
      <c r="Q8647" s="17"/>
    </row>
    <row r="8648" spans="12:17" x14ac:dyDescent="0.3">
      <c r="L8648" s="25"/>
      <c r="Q8648" s="17"/>
    </row>
    <row r="8649" spans="12:17" x14ac:dyDescent="0.3">
      <c r="L8649" s="25"/>
      <c r="Q8649" s="17"/>
    </row>
    <row r="8650" spans="12:17" x14ac:dyDescent="0.3">
      <c r="L8650" s="25"/>
      <c r="Q8650" s="17"/>
    </row>
    <row r="8651" spans="12:17" x14ac:dyDescent="0.3">
      <c r="L8651" s="25"/>
      <c r="Q8651" s="17"/>
    </row>
    <row r="8652" spans="12:17" x14ac:dyDescent="0.3">
      <c r="L8652" s="25"/>
      <c r="Q8652" s="17"/>
    </row>
    <row r="8653" spans="12:17" x14ac:dyDescent="0.3">
      <c r="L8653" s="25"/>
      <c r="Q8653" s="17"/>
    </row>
    <row r="8654" spans="12:17" x14ac:dyDescent="0.3">
      <c r="L8654" s="25"/>
      <c r="Q8654" s="17"/>
    </row>
    <row r="8655" spans="12:17" x14ac:dyDescent="0.3">
      <c r="L8655" s="25"/>
      <c r="Q8655" s="17"/>
    </row>
    <row r="8656" spans="12:17" x14ac:dyDescent="0.3">
      <c r="L8656" s="25"/>
      <c r="Q8656" s="17"/>
    </row>
    <row r="8657" spans="12:17" x14ac:dyDescent="0.3">
      <c r="L8657" s="25"/>
      <c r="Q8657" s="17"/>
    </row>
    <row r="8658" spans="12:17" x14ac:dyDescent="0.3">
      <c r="L8658" s="25"/>
      <c r="Q8658" s="17"/>
    </row>
    <row r="8659" spans="12:17" x14ac:dyDescent="0.3">
      <c r="L8659" s="25"/>
      <c r="Q8659" s="17"/>
    </row>
    <row r="8660" spans="12:17" x14ac:dyDescent="0.3">
      <c r="L8660" s="25"/>
      <c r="Q8660" s="17"/>
    </row>
    <row r="8661" spans="12:17" x14ac:dyDescent="0.3">
      <c r="L8661" s="25"/>
      <c r="Q8661" s="17"/>
    </row>
    <row r="8662" spans="12:17" x14ac:dyDescent="0.3">
      <c r="L8662" s="25"/>
      <c r="Q8662" s="17"/>
    </row>
    <row r="8663" spans="12:17" x14ac:dyDescent="0.3">
      <c r="L8663" s="25"/>
      <c r="Q8663" s="17"/>
    </row>
    <row r="8664" spans="12:17" x14ac:dyDescent="0.3">
      <c r="L8664" s="25"/>
      <c r="Q8664" s="17"/>
    </row>
    <row r="8665" spans="12:17" x14ac:dyDescent="0.3">
      <c r="L8665" s="25"/>
      <c r="Q8665" s="17"/>
    </row>
    <row r="8666" spans="12:17" x14ac:dyDescent="0.3">
      <c r="L8666" s="25"/>
      <c r="Q8666" s="17"/>
    </row>
    <row r="8667" spans="12:17" x14ac:dyDescent="0.3">
      <c r="L8667" s="25"/>
      <c r="Q8667" s="17"/>
    </row>
    <row r="8668" spans="12:17" x14ac:dyDescent="0.3">
      <c r="L8668" s="25"/>
      <c r="Q8668" s="17"/>
    </row>
    <row r="8669" spans="12:17" x14ac:dyDescent="0.3">
      <c r="L8669" s="25"/>
      <c r="Q8669" s="17"/>
    </row>
    <row r="8670" spans="12:17" x14ac:dyDescent="0.3">
      <c r="L8670" s="25"/>
      <c r="Q8670" s="17"/>
    </row>
    <row r="8671" spans="12:17" x14ac:dyDescent="0.3">
      <c r="L8671" s="25"/>
      <c r="Q8671" s="17"/>
    </row>
    <row r="8672" spans="12:17" x14ac:dyDescent="0.3">
      <c r="L8672" s="25"/>
      <c r="Q8672" s="17"/>
    </row>
    <row r="8673" spans="12:17" x14ac:dyDescent="0.3">
      <c r="L8673" s="25"/>
      <c r="Q8673" s="17"/>
    </row>
    <row r="8674" spans="12:17" x14ac:dyDescent="0.3">
      <c r="L8674" s="25"/>
      <c r="Q8674" s="17"/>
    </row>
    <row r="8675" spans="12:17" x14ac:dyDescent="0.3">
      <c r="L8675" s="25"/>
      <c r="Q8675" s="17"/>
    </row>
    <row r="8676" spans="12:17" x14ac:dyDescent="0.3">
      <c r="L8676" s="25"/>
      <c r="Q8676" s="17"/>
    </row>
    <row r="8677" spans="12:17" x14ac:dyDescent="0.3">
      <c r="L8677" s="25"/>
      <c r="Q8677" s="17"/>
    </row>
    <row r="8678" spans="12:17" x14ac:dyDescent="0.3">
      <c r="L8678" s="25"/>
      <c r="Q8678" s="17"/>
    </row>
    <row r="8679" spans="12:17" x14ac:dyDescent="0.3">
      <c r="L8679" s="25"/>
      <c r="Q8679" s="17"/>
    </row>
    <row r="8680" spans="12:17" x14ac:dyDescent="0.3">
      <c r="L8680" s="25"/>
      <c r="Q8680" s="17"/>
    </row>
    <row r="8681" spans="12:17" x14ac:dyDescent="0.3">
      <c r="L8681" s="25"/>
      <c r="Q8681" s="17"/>
    </row>
    <row r="8682" spans="12:17" x14ac:dyDescent="0.3">
      <c r="L8682" s="25"/>
      <c r="Q8682" s="17"/>
    </row>
    <row r="8683" spans="12:17" x14ac:dyDescent="0.3">
      <c r="L8683" s="25"/>
      <c r="Q8683" s="17"/>
    </row>
    <row r="8684" spans="12:17" x14ac:dyDescent="0.3">
      <c r="L8684" s="25"/>
      <c r="Q8684" s="17"/>
    </row>
    <row r="8685" spans="12:17" x14ac:dyDescent="0.3">
      <c r="L8685" s="25"/>
      <c r="Q8685" s="17"/>
    </row>
    <row r="8686" spans="12:17" x14ac:dyDescent="0.3">
      <c r="L8686" s="25"/>
      <c r="Q8686" s="17"/>
    </row>
    <row r="8687" spans="12:17" x14ac:dyDescent="0.3">
      <c r="L8687" s="25"/>
      <c r="Q8687" s="17"/>
    </row>
    <row r="8688" spans="12:17" x14ac:dyDescent="0.3">
      <c r="L8688" s="25"/>
      <c r="Q8688" s="17"/>
    </row>
    <row r="8689" spans="12:17" x14ac:dyDescent="0.3">
      <c r="L8689" s="25"/>
      <c r="Q8689" s="17"/>
    </row>
    <row r="8690" spans="12:17" x14ac:dyDescent="0.3">
      <c r="L8690" s="25"/>
      <c r="Q8690" s="17"/>
    </row>
    <row r="8691" spans="12:17" x14ac:dyDescent="0.3">
      <c r="L8691" s="25"/>
      <c r="Q8691" s="17"/>
    </row>
    <row r="8692" spans="12:17" x14ac:dyDescent="0.3">
      <c r="L8692" s="25"/>
      <c r="Q8692" s="17"/>
    </row>
    <row r="8693" spans="12:17" x14ac:dyDescent="0.3">
      <c r="L8693" s="25"/>
      <c r="Q8693" s="17"/>
    </row>
    <row r="8694" spans="12:17" x14ac:dyDescent="0.3">
      <c r="L8694" s="25"/>
      <c r="Q8694" s="17"/>
    </row>
    <row r="8695" spans="12:17" x14ac:dyDescent="0.3">
      <c r="L8695" s="25"/>
      <c r="Q8695" s="17"/>
    </row>
    <row r="8696" spans="12:17" x14ac:dyDescent="0.3">
      <c r="L8696" s="25"/>
      <c r="Q8696" s="17"/>
    </row>
    <row r="8697" spans="12:17" x14ac:dyDescent="0.3">
      <c r="L8697" s="25"/>
      <c r="Q8697" s="17"/>
    </row>
    <row r="8698" spans="12:17" x14ac:dyDescent="0.3">
      <c r="L8698" s="25"/>
      <c r="Q8698" s="17"/>
    </row>
    <row r="8699" spans="12:17" x14ac:dyDescent="0.3">
      <c r="L8699" s="25"/>
      <c r="Q8699" s="17"/>
    </row>
    <row r="8700" spans="12:17" x14ac:dyDescent="0.3">
      <c r="L8700" s="25"/>
      <c r="Q8700" s="17"/>
    </row>
    <row r="8701" spans="12:17" x14ac:dyDescent="0.3">
      <c r="L8701" s="25"/>
      <c r="Q8701" s="17"/>
    </row>
    <row r="8702" spans="12:17" x14ac:dyDescent="0.3">
      <c r="L8702" s="25"/>
      <c r="Q8702" s="17"/>
    </row>
    <row r="8703" spans="12:17" x14ac:dyDescent="0.3">
      <c r="L8703" s="25"/>
      <c r="Q8703" s="17"/>
    </row>
    <row r="8704" spans="12:17" x14ac:dyDescent="0.3">
      <c r="L8704" s="25"/>
      <c r="Q8704" s="17"/>
    </row>
    <row r="8705" spans="12:17" x14ac:dyDescent="0.3">
      <c r="L8705" s="25"/>
      <c r="Q8705" s="17"/>
    </row>
    <row r="8706" spans="12:17" x14ac:dyDescent="0.3">
      <c r="L8706" s="25"/>
      <c r="Q8706" s="17"/>
    </row>
    <row r="8707" spans="12:17" x14ac:dyDescent="0.3">
      <c r="L8707" s="25"/>
      <c r="Q8707" s="17"/>
    </row>
    <row r="8708" spans="12:17" x14ac:dyDescent="0.3">
      <c r="L8708" s="25"/>
      <c r="Q8708" s="17"/>
    </row>
    <row r="8709" spans="12:17" x14ac:dyDescent="0.3">
      <c r="L8709" s="25"/>
      <c r="Q8709" s="17"/>
    </row>
    <row r="8710" spans="12:17" x14ac:dyDescent="0.3">
      <c r="L8710" s="25"/>
      <c r="Q8710" s="17"/>
    </row>
    <row r="8711" spans="12:17" x14ac:dyDescent="0.3">
      <c r="L8711" s="25"/>
      <c r="Q8711" s="17"/>
    </row>
    <row r="8712" spans="12:17" x14ac:dyDescent="0.3">
      <c r="L8712" s="25"/>
      <c r="Q8712" s="17"/>
    </row>
    <row r="8713" spans="12:17" x14ac:dyDescent="0.3">
      <c r="L8713" s="25"/>
      <c r="Q8713" s="17"/>
    </row>
    <row r="8714" spans="12:17" x14ac:dyDescent="0.3">
      <c r="L8714" s="25"/>
      <c r="Q8714" s="17"/>
    </row>
    <row r="8715" spans="12:17" x14ac:dyDescent="0.3">
      <c r="L8715" s="25"/>
      <c r="Q8715" s="17"/>
    </row>
    <row r="8716" spans="12:17" x14ac:dyDescent="0.3">
      <c r="L8716" s="25"/>
      <c r="Q8716" s="17"/>
    </row>
    <row r="8717" spans="12:17" x14ac:dyDescent="0.3">
      <c r="L8717" s="25"/>
      <c r="Q8717" s="17"/>
    </row>
    <row r="8718" spans="12:17" x14ac:dyDescent="0.3">
      <c r="L8718" s="25"/>
      <c r="Q8718" s="17"/>
    </row>
    <row r="8719" spans="12:17" x14ac:dyDescent="0.3">
      <c r="L8719" s="25"/>
      <c r="Q8719" s="17"/>
    </row>
    <row r="8720" spans="12:17" x14ac:dyDescent="0.3">
      <c r="L8720" s="25"/>
      <c r="Q8720" s="17"/>
    </row>
    <row r="8721" spans="12:17" x14ac:dyDescent="0.3">
      <c r="L8721" s="25"/>
      <c r="Q8721" s="17"/>
    </row>
    <row r="8722" spans="12:17" x14ac:dyDescent="0.3">
      <c r="L8722" s="25"/>
      <c r="Q8722" s="17"/>
    </row>
    <row r="8723" spans="12:17" x14ac:dyDescent="0.3">
      <c r="L8723" s="25"/>
      <c r="Q8723" s="17"/>
    </row>
    <row r="8724" spans="12:17" x14ac:dyDescent="0.3">
      <c r="L8724" s="25"/>
      <c r="Q8724" s="17"/>
    </row>
    <row r="8725" spans="12:17" x14ac:dyDescent="0.3">
      <c r="L8725" s="25"/>
      <c r="Q8725" s="17"/>
    </row>
    <row r="8726" spans="12:17" x14ac:dyDescent="0.3">
      <c r="L8726" s="25"/>
      <c r="Q8726" s="17"/>
    </row>
    <row r="8727" spans="12:17" x14ac:dyDescent="0.3">
      <c r="L8727" s="25"/>
      <c r="Q8727" s="17"/>
    </row>
    <row r="8728" spans="12:17" x14ac:dyDescent="0.3">
      <c r="L8728" s="25"/>
      <c r="Q8728" s="17"/>
    </row>
    <row r="8729" spans="12:17" x14ac:dyDescent="0.3">
      <c r="L8729" s="25"/>
      <c r="Q8729" s="17"/>
    </row>
    <row r="8730" spans="12:17" x14ac:dyDescent="0.3">
      <c r="L8730" s="25"/>
      <c r="Q8730" s="17"/>
    </row>
    <row r="8731" spans="12:17" x14ac:dyDescent="0.3">
      <c r="L8731" s="25"/>
      <c r="Q8731" s="17"/>
    </row>
    <row r="8732" spans="12:17" x14ac:dyDescent="0.3">
      <c r="L8732" s="25"/>
      <c r="Q8732" s="17"/>
    </row>
    <row r="8733" spans="12:17" x14ac:dyDescent="0.3">
      <c r="L8733" s="25"/>
      <c r="Q8733" s="17"/>
    </row>
    <row r="8734" spans="12:17" x14ac:dyDescent="0.3">
      <c r="L8734" s="25"/>
      <c r="Q8734" s="17"/>
    </row>
    <row r="8735" spans="12:17" x14ac:dyDescent="0.3">
      <c r="L8735" s="25"/>
      <c r="Q8735" s="17"/>
    </row>
    <row r="8736" spans="12:17" x14ac:dyDescent="0.3">
      <c r="L8736" s="25"/>
      <c r="Q8736" s="17"/>
    </row>
    <row r="8737" spans="12:17" x14ac:dyDescent="0.3">
      <c r="L8737" s="25"/>
      <c r="Q8737" s="17"/>
    </row>
    <row r="8738" spans="12:17" x14ac:dyDescent="0.3">
      <c r="L8738" s="25"/>
      <c r="Q8738" s="17"/>
    </row>
    <row r="8739" spans="12:17" x14ac:dyDescent="0.3">
      <c r="L8739" s="25"/>
      <c r="Q8739" s="17"/>
    </row>
    <row r="8740" spans="12:17" x14ac:dyDescent="0.3">
      <c r="L8740" s="25"/>
      <c r="Q8740" s="17"/>
    </row>
    <row r="8741" spans="12:17" x14ac:dyDescent="0.3">
      <c r="L8741" s="25"/>
      <c r="Q8741" s="17"/>
    </row>
    <row r="8742" spans="12:17" x14ac:dyDescent="0.3">
      <c r="L8742" s="25"/>
      <c r="Q8742" s="17"/>
    </row>
    <row r="8743" spans="12:17" x14ac:dyDescent="0.3">
      <c r="L8743" s="25"/>
      <c r="Q8743" s="17"/>
    </row>
    <row r="8744" spans="12:17" x14ac:dyDescent="0.3">
      <c r="L8744" s="25"/>
      <c r="Q8744" s="17"/>
    </row>
    <row r="8745" spans="12:17" x14ac:dyDescent="0.3">
      <c r="L8745" s="25"/>
      <c r="Q8745" s="17"/>
    </row>
    <row r="8746" spans="12:17" x14ac:dyDescent="0.3">
      <c r="L8746" s="25"/>
      <c r="Q8746" s="17"/>
    </row>
    <row r="8747" spans="12:17" x14ac:dyDescent="0.3">
      <c r="L8747" s="25"/>
      <c r="Q8747" s="17"/>
    </row>
    <row r="8748" spans="12:17" x14ac:dyDescent="0.3">
      <c r="L8748" s="25"/>
      <c r="Q8748" s="17"/>
    </row>
    <row r="8749" spans="12:17" x14ac:dyDescent="0.3">
      <c r="L8749" s="25"/>
      <c r="Q8749" s="17"/>
    </row>
    <row r="8750" spans="12:17" x14ac:dyDescent="0.3">
      <c r="L8750" s="25"/>
      <c r="Q8750" s="17"/>
    </row>
    <row r="8751" spans="12:17" x14ac:dyDescent="0.3">
      <c r="L8751" s="25"/>
      <c r="Q8751" s="17"/>
    </row>
    <row r="8752" spans="12:17" x14ac:dyDescent="0.3">
      <c r="L8752" s="25"/>
      <c r="Q8752" s="17"/>
    </row>
    <row r="8753" spans="12:17" x14ac:dyDescent="0.3">
      <c r="L8753" s="25"/>
      <c r="Q8753" s="17"/>
    </row>
    <row r="8754" spans="12:17" x14ac:dyDescent="0.3">
      <c r="L8754" s="25"/>
      <c r="Q8754" s="17"/>
    </row>
    <row r="8755" spans="12:17" x14ac:dyDescent="0.3">
      <c r="L8755" s="25"/>
      <c r="Q8755" s="17"/>
    </row>
    <row r="8756" spans="12:17" x14ac:dyDescent="0.3">
      <c r="L8756" s="25"/>
      <c r="Q8756" s="17"/>
    </row>
    <row r="8757" spans="12:17" x14ac:dyDescent="0.3">
      <c r="L8757" s="25"/>
      <c r="Q8757" s="17"/>
    </row>
    <row r="8758" spans="12:17" x14ac:dyDescent="0.3">
      <c r="L8758" s="25"/>
      <c r="Q8758" s="17"/>
    </row>
    <row r="8759" spans="12:17" x14ac:dyDescent="0.3">
      <c r="L8759" s="25"/>
      <c r="Q8759" s="17"/>
    </row>
    <row r="8760" spans="12:17" x14ac:dyDescent="0.3">
      <c r="L8760" s="25"/>
      <c r="Q8760" s="17"/>
    </row>
    <row r="8761" spans="12:17" x14ac:dyDescent="0.3">
      <c r="L8761" s="25"/>
      <c r="Q8761" s="17"/>
    </row>
    <row r="8762" spans="12:17" x14ac:dyDescent="0.3">
      <c r="L8762" s="25"/>
      <c r="Q8762" s="17"/>
    </row>
    <row r="8763" spans="12:17" x14ac:dyDescent="0.3">
      <c r="L8763" s="25"/>
      <c r="Q8763" s="17"/>
    </row>
    <row r="8764" spans="12:17" x14ac:dyDescent="0.3">
      <c r="L8764" s="25"/>
      <c r="Q8764" s="17"/>
    </row>
    <row r="8765" spans="12:17" x14ac:dyDescent="0.3">
      <c r="L8765" s="25"/>
      <c r="Q8765" s="17"/>
    </row>
    <row r="8766" spans="12:17" x14ac:dyDescent="0.3">
      <c r="L8766" s="25"/>
      <c r="Q8766" s="17"/>
    </row>
    <row r="8767" spans="12:17" x14ac:dyDescent="0.3">
      <c r="L8767" s="25"/>
      <c r="Q8767" s="17"/>
    </row>
    <row r="8768" spans="12:17" x14ac:dyDescent="0.3">
      <c r="L8768" s="25"/>
      <c r="Q8768" s="17"/>
    </row>
    <row r="8769" spans="12:17" x14ac:dyDescent="0.3">
      <c r="L8769" s="25"/>
      <c r="Q8769" s="17"/>
    </row>
    <row r="8770" spans="12:17" x14ac:dyDescent="0.3">
      <c r="L8770" s="25"/>
      <c r="Q8770" s="17"/>
    </row>
    <row r="8771" spans="12:17" x14ac:dyDescent="0.3">
      <c r="L8771" s="25"/>
      <c r="Q8771" s="17"/>
    </row>
    <row r="8772" spans="12:17" x14ac:dyDescent="0.3">
      <c r="L8772" s="25"/>
      <c r="Q8772" s="17"/>
    </row>
    <row r="8773" spans="12:17" x14ac:dyDescent="0.3">
      <c r="L8773" s="25"/>
      <c r="Q8773" s="17"/>
    </row>
    <row r="8774" spans="12:17" x14ac:dyDescent="0.3">
      <c r="L8774" s="25"/>
      <c r="Q8774" s="17"/>
    </row>
    <row r="8775" spans="12:17" x14ac:dyDescent="0.3">
      <c r="L8775" s="25"/>
      <c r="Q8775" s="17"/>
    </row>
    <row r="8776" spans="12:17" x14ac:dyDescent="0.3">
      <c r="L8776" s="25"/>
      <c r="Q8776" s="17"/>
    </row>
    <row r="8777" spans="12:17" x14ac:dyDescent="0.3">
      <c r="L8777" s="25"/>
      <c r="Q8777" s="17"/>
    </row>
    <row r="8778" spans="12:17" x14ac:dyDescent="0.3">
      <c r="L8778" s="25"/>
      <c r="Q8778" s="17"/>
    </row>
    <row r="8779" spans="12:17" x14ac:dyDescent="0.3">
      <c r="L8779" s="25"/>
      <c r="Q8779" s="17"/>
    </row>
    <row r="8780" spans="12:17" x14ac:dyDescent="0.3">
      <c r="L8780" s="25"/>
      <c r="Q8780" s="17"/>
    </row>
    <row r="8781" spans="12:17" x14ac:dyDescent="0.3">
      <c r="L8781" s="25"/>
      <c r="Q8781" s="17"/>
    </row>
    <row r="8782" spans="12:17" x14ac:dyDescent="0.3">
      <c r="L8782" s="25"/>
      <c r="Q8782" s="17"/>
    </row>
    <row r="8783" spans="12:17" x14ac:dyDescent="0.3">
      <c r="L8783" s="25"/>
      <c r="Q8783" s="17"/>
    </row>
    <row r="8784" spans="12:17" x14ac:dyDescent="0.3">
      <c r="L8784" s="25"/>
      <c r="Q8784" s="17"/>
    </row>
    <row r="8785" spans="12:17" x14ac:dyDescent="0.3">
      <c r="L8785" s="25"/>
      <c r="Q8785" s="17"/>
    </row>
    <row r="8786" spans="12:17" x14ac:dyDescent="0.3">
      <c r="L8786" s="25"/>
      <c r="Q8786" s="17"/>
    </row>
    <row r="8787" spans="12:17" x14ac:dyDescent="0.3">
      <c r="L8787" s="25"/>
      <c r="Q8787" s="17"/>
    </row>
    <row r="8788" spans="12:17" x14ac:dyDescent="0.3">
      <c r="L8788" s="25"/>
      <c r="Q8788" s="17"/>
    </row>
    <row r="8789" spans="12:17" x14ac:dyDescent="0.3">
      <c r="L8789" s="25"/>
      <c r="Q8789" s="17"/>
    </row>
    <row r="8790" spans="12:17" x14ac:dyDescent="0.3">
      <c r="L8790" s="25"/>
      <c r="Q8790" s="17"/>
    </row>
    <row r="8791" spans="12:17" x14ac:dyDescent="0.3">
      <c r="L8791" s="25"/>
      <c r="Q8791" s="17"/>
    </row>
    <row r="8792" spans="12:17" x14ac:dyDescent="0.3">
      <c r="L8792" s="25"/>
      <c r="Q8792" s="17"/>
    </row>
    <row r="8793" spans="12:17" x14ac:dyDescent="0.3">
      <c r="L8793" s="25"/>
      <c r="Q8793" s="17"/>
    </row>
    <row r="8794" spans="12:17" x14ac:dyDescent="0.3">
      <c r="L8794" s="25"/>
      <c r="Q8794" s="17"/>
    </row>
    <row r="8795" spans="12:17" x14ac:dyDescent="0.3">
      <c r="L8795" s="25"/>
      <c r="Q8795" s="17"/>
    </row>
    <row r="8796" spans="12:17" x14ac:dyDescent="0.3">
      <c r="L8796" s="25"/>
      <c r="Q8796" s="17"/>
    </row>
    <row r="8797" spans="12:17" x14ac:dyDescent="0.3">
      <c r="L8797" s="25"/>
      <c r="Q8797" s="17"/>
    </row>
    <row r="8798" spans="12:17" x14ac:dyDescent="0.3">
      <c r="L8798" s="25"/>
      <c r="Q8798" s="17"/>
    </row>
    <row r="8799" spans="12:17" x14ac:dyDescent="0.3">
      <c r="L8799" s="25"/>
      <c r="Q8799" s="17"/>
    </row>
    <row r="8800" spans="12:17" x14ac:dyDescent="0.3">
      <c r="L8800" s="25"/>
      <c r="Q8800" s="17"/>
    </row>
    <row r="8801" spans="12:17" x14ac:dyDescent="0.3">
      <c r="L8801" s="25"/>
      <c r="Q8801" s="17"/>
    </row>
    <row r="8802" spans="12:17" x14ac:dyDescent="0.3">
      <c r="L8802" s="25"/>
      <c r="Q8802" s="17"/>
    </row>
    <row r="8803" spans="12:17" x14ac:dyDescent="0.3">
      <c r="L8803" s="25"/>
      <c r="Q8803" s="17"/>
    </row>
    <row r="8804" spans="12:17" x14ac:dyDescent="0.3">
      <c r="L8804" s="25"/>
      <c r="Q8804" s="17"/>
    </row>
    <row r="8805" spans="12:17" x14ac:dyDescent="0.3">
      <c r="L8805" s="25"/>
      <c r="Q8805" s="17"/>
    </row>
    <row r="8806" spans="12:17" x14ac:dyDescent="0.3">
      <c r="L8806" s="25"/>
      <c r="Q8806" s="17"/>
    </row>
    <row r="8807" spans="12:17" x14ac:dyDescent="0.3">
      <c r="L8807" s="25"/>
      <c r="Q8807" s="17"/>
    </row>
    <row r="8808" spans="12:17" x14ac:dyDescent="0.3">
      <c r="L8808" s="25"/>
      <c r="Q8808" s="17"/>
    </row>
    <row r="8809" spans="12:17" x14ac:dyDescent="0.3">
      <c r="L8809" s="25"/>
      <c r="Q8809" s="17"/>
    </row>
    <row r="8810" spans="12:17" x14ac:dyDescent="0.3">
      <c r="L8810" s="25"/>
      <c r="Q8810" s="17"/>
    </row>
    <row r="8811" spans="12:17" x14ac:dyDescent="0.3">
      <c r="L8811" s="25"/>
      <c r="Q8811" s="17"/>
    </row>
    <row r="8812" spans="12:17" x14ac:dyDescent="0.3">
      <c r="L8812" s="25"/>
      <c r="Q8812" s="17"/>
    </row>
    <row r="8813" spans="12:17" x14ac:dyDescent="0.3">
      <c r="L8813" s="25"/>
      <c r="Q8813" s="17"/>
    </row>
    <row r="8814" spans="12:17" x14ac:dyDescent="0.3">
      <c r="L8814" s="25"/>
      <c r="Q8814" s="17"/>
    </row>
    <row r="8815" spans="12:17" x14ac:dyDescent="0.3">
      <c r="L8815" s="25"/>
      <c r="Q8815" s="17"/>
    </row>
    <row r="8816" spans="12:17" x14ac:dyDescent="0.3">
      <c r="L8816" s="25"/>
      <c r="Q8816" s="17"/>
    </row>
    <row r="8817" spans="12:17" x14ac:dyDescent="0.3">
      <c r="L8817" s="25"/>
      <c r="Q8817" s="17"/>
    </row>
    <row r="8818" spans="12:17" x14ac:dyDescent="0.3">
      <c r="L8818" s="25"/>
      <c r="Q8818" s="17"/>
    </row>
    <row r="8819" spans="12:17" x14ac:dyDescent="0.3">
      <c r="L8819" s="25"/>
      <c r="Q8819" s="17"/>
    </row>
    <row r="8820" spans="12:17" x14ac:dyDescent="0.3">
      <c r="L8820" s="25"/>
      <c r="Q8820" s="17"/>
    </row>
    <row r="8821" spans="12:17" x14ac:dyDescent="0.3">
      <c r="L8821" s="25"/>
      <c r="Q8821" s="17"/>
    </row>
    <row r="8822" spans="12:17" x14ac:dyDescent="0.3">
      <c r="L8822" s="25"/>
      <c r="Q8822" s="17"/>
    </row>
    <row r="8823" spans="12:17" x14ac:dyDescent="0.3">
      <c r="L8823" s="25"/>
      <c r="Q8823" s="17"/>
    </row>
    <row r="8824" spans="12:17" x14ac:dyDescent="0.3">
      <c r="L8824" s="25"/>
      <c r="Q8824" s="17"/>
    </row>
    <row r="8825" spans="12:17" x14ac:dyDescent="0.3">
      <c r="L8825" s="25"/>
      <c r="Q8825" s="17"/>
    </row>
    <row r="8826" spans="12:17" x14ac:dyDescent="0.3">
      <c r="L8826" s="25"/>
      <c r="Q8826" s="17"/>
    </row>
    <row r="8827" spans="12:17" x14ac:dyDescent="0.3">
      <c r="L8827" s="25"/>
      <c r="Q8827" s="17"/>
    </row>
    <row r="8828" spans="12:17" x14ac:dyDescent="0.3">
      <c r="L8828" s="25"/>
      <c r="Q8828" s="17"/>
    </row>
    <row r="8829" spans="12:17" x14ac:dyDescent="0.3">
      <c r="L8829" s="25"/>
      <c r="Q8829" s="17"/>
    </row>
    <row r="8830" spans="12:17" x14ac:dyDescent="0.3">
      <c r="L8830" s="25"/>
      <c r="Q8830" s="17"/>
    </row>
    <row r="8831" spans="12:17" x14ac:dyDescent="0.3">
      <c r="L8831" s="25"/>
      <c r="Q8831" s="17"/>
    </row>
    <row r="8832" spans="12:17" x14ac:dyDescent="0.3">
      <c r="L8832" s="25"/>
      <c r="Q8832" s="17"/>
    </row>
    <row r="8833" spans="12:17" x14ac:dyDescent="0.3">
      <c r="L8833" s="25"/>
      <c r="Q8833" s="17"/>
    </row>
    <row r="8834" spans="12:17" x14ac:dyDescent="0.3">
      <c r="L8834" s="25"/>
      <c r="Q8834" s="17"/>
    </row>
    <row r="8835" spans="12:17" x14ac:dyDescent="0.3">
      <c r="L8835" s="25"/>
      <c r="Q8835" s="17"/>
    </row>
    <row r="8836" spans="12:17" x14ac:dyDescent="0.3">
      <c r="L8836" s="25"/>
      <c r="Q8836" s="17"/>
    </row>
    <row r="8837" spans="12:17" x14ac:dyDescent="0.3">
      <c r="L8837" s="25"/>
      <c r="Q8837" s="17"/>
    </row>
    <row r="8838" spans="12:17" x14ac:dyDescent="0.3">
      <c r="L8838" s="25"/>
      <c r="Q8838" s="17"/>
    </row>
    <row r="8839" spans="12:17" x14ac:dyDescent="0.3">
      <c r="L8839" s="25"/>
      <c r="Q8839" s="17"/>
    </row>
    <row r="8840" spans="12:17" x14ac:dyDescent="0.3">
      <c r="L8840" s="25"/>
      <c r="Q8840" s="17"/>
    </row>
    <row r="8841" spans="12:17" x14ac:dyDescent="0.3">
      <c r="L8841" s="25"/>
      <c r="Q8841" s="17"/>
    </row>
    <row r="8842" spans="12:17" x14ac:dyDescent="0.3">
      <c r="L8842" s="25"/>
      <c r="Q8842" s="17"/>
    </row>
    <row r="8843" spans="12:17" x14ac:dyDescent="0.3">
      <c r="L8843" s="25"/>
      <c r="Q8843" s="17"/>
    </row>
    <row r="8844" spans="12:17" x14ac:dyDescent="0.3">
      <c r="L8844" s="25"/>
      <c r="Q8844" s="17"/>
    </row>
    <row r="8845" spans="12:17" x14ac:dyDescent="0.3">
      <c r="L8845" s="25"/>
      <c r="Q8845" s="17"/>
    </row>
    <row r="8846" spans="12:17" x14ac:dyDescent="0.3">
      <c r="L8846" s="25"/>
      <c r="Q8846" s="17"/>
    </row>
    <row r="8847" spans="12:17" x14ac:dyDescent="0.3">
      <c r="L8847" s="25"/>
      <c r="Q8847" s="17"/>
    </row>
    <row r="8848" spans="12:17" x14ac:dyDescent="0.3">
      <c r="L8848" s="25"/>
      <c r="Q8848" s="17"/>
    </row>
    <row r="8849" spans="12:17" x14ac:dyDescent="0.3">
      <c r="L8849" s="25"/>
      <c r="Q8849" s="17"/>
    </row>
    <row r="8850" spans="12:17" x14ac:dyDescent="0.3">
      <c r="L8850" s="25"/>
      <c r="Q8850" s="17"/>
    </row>
    <row r="8851" spans="12:17" x14ac:dyDescent="0.3">
      <c r="L8851" s="25"/>
      <c r="Q8851" s="17"/>
    </row>
    <row r="8852" spans="12:17" x14ac:dyDescent="0.3">
      <c r="L8852" s="25"/>
      <c r="Q8852" s="17"/>
    </row>
    <row r="8853" spans="12:17" x14ac:dyDescent="0.3">
      <c r="L8853" s="25"/>
      <c r="Q8853" s="17"/>
    </row>
    <row r="8854" spans="12:17" x14ac:dyDescent="0.3">
      <c r="L8854" s="25"/>
      <c r="Q8854" s="17"/>
    </row>
    <row r="8855" spans="12:17" x14ac:dyDescent="0.3">
      <c r="L8855" s="25"/>
      <c r="Q8855" s="17"/>
    </row>
    <row r="8856" spans="12:17" x14ac:dyDescent="0.3">
      <c r="L8856" s="25"/>
      <c r="Q8856" s="17"/>
    </row>
    <row r="8857" spans="12:17" x14ac:dyDescent="0.3">
      <c r="L8857" s="25"/>
      <c r="Q8857" s="17"/>
    </row>
    <row r="8858" spans="12:17" x14ac:dyDescent="0.3">
      <c r="L8858" s="25"/>
      <c r="Q8858" s="17"/>
    </row>
    <row r="8859" spans="12:17" x14ac:dyDescent="0.3">
      <c r="L8859" s="25"/>
      <c r="Q8859" s="17"/>
    </row>
    <row r="8860" spans="12:17" x14ac:dyDescent="0.3">
      <c r="L8860" s="25"/>
      <c r="Q8860" s="17"/>
    </row>
    <row r="8861" spans="12:17" x14ac:dyDescent="0.3">
      <c r="L8861" s="25"/>
      <c r="Q8861" s="17"/>
    </row>
    <row r="8862" spans="12:17" x14ac:dyDescent="0.3">
      <c r="L8862" s="25"/>
      <c r="Q8862" s="17"/>
    </row>
    <row r="8863" spans="12:17" x14ac:dyDescent="0.3">
      <c r="L8863" s="25"/>
      <c r="Q8863" s="17"/>
    </row>
    <row r="8864" spans="12:17" x14ac:dyDescent="0.3">
      <c r="L8864" s="25"/>
      <c r="Q8864" s="17"/>
    </row>
    <row r="8865" spans="12:17" x14ac:dyDescent="0.3">
      <c r="L8865" s="25"/>
      <c r="Q8865" s="17"/>
    </row>
    <row r="8866" spans="12:17" x14ac:dyDescent="0.3">
      <c r="L8866" s="25"/>
      <c r="Q8866" s="17"/>
    </row>
    <row r="8867" spans="12:17" x14ac:dyDescent="0.3">
      <c r="L8867" s="25"/>
      <c r="Q8867" s="17"/>
    </row>
    <row r="8868" spans="12:17" x14ac:dyDescent="0.3">
      <c r="L8868" s="25"/>
      <c r="Q8868" s="17"/>
    </row>
    <row r="8869" spans="12:17" x14ac:dyDescent="0.3">
      <c r="L8869" s="25"/>
      <c r="Q8869" s="17"/>
    </row>
    <row r="8870" spans="12:17" x14ac:dyDescent="0.3">
      <c r="L8870" s="25"/>
      <c r="Q8870" s="17"/>
    </row>
    <row r="8871" spans="12:17" x14ac:dyDescent="0.3">
      <c r="L8871" s="25"/>
      <c r="Q8871" s="17"/>
    </row>
    <row r="8872" spans="12:17" x14ac:dyDescent="0.3">
      <c r="L8872" s="25"/>
      <c r="Q8872" s="17"/>
    </row>
    <row r="8873" spans="12:17" x14ac:dyDescent="0.3">
      <c r="L8873" s="25"/>
      <c r="Q8873" s="17"/>
    </row>
    <row r="8874" spans="12:17" x14ac:dyDescent="0.3">
      <c r="L8874" s="25"/>
      <c r="Q8874" s="17"/>
    </row>
    <row r="8875" spans="12:17" x14ac:dyDescent="0.3">
      <c r="L8875" s="25"/>
      <c r="Q8875" s="17"/>
    </row>
    <row r="8876" spans="12:17" x14ac:dyDescent="0.3">
      <c r="L8876" s="25"/>
      <c r="Q8876" s="17"/>
    </row>
    <row r="8877" spans="12:17" x14ac:dyDescent="0.3">
      <c r="L8877" s="25"/>
      <c r="Q8877" s="17"/>
    </row>
    <row r="8878" spans="12:17" x14ac:dyDescent="0.3">
      <c r="L8878" s="25"/>
      <c r="Q8878" s="17"/>
    </row>
    <row r="8879" spans="12:17" x14ac:dyDescent="0.3">
      <c r="L8879" s="25"/>
      <c r="Q8879" s="17"/>
    </row>
    <row r="8880" spans="12:17" x14ac:dyDescent="0.3">
      <c r="L8880" s="25"/>
      <c r="Q8880" s="17"/>
    </row>
    <row r="8881" spans="12:17" x14ac:dyDescent="0.3">
      <c r="L8881" s="25"/>
      <c r="Q8881" s="17"/>
    </row>
    <row r="8882" spans="12:17" x14ac:dyDescent="0.3">
      <c r="L8882" s="25"/>
      <c r="Q8882" s="17"/>
    </row>
    <row r="8883" spans="12:17" x14ac:dyDescent="0.3">
      <c r="L8883" s="25"/>
      <c r="Q8883" s="17"/>
    </row>
    <row r="8884" spans="12:17" x14ac:dyDescent="0.3">
      <c r="L8884" s="25"/>
      <c r="Q8884" s="17"/>
    </row>
    <row r="8885" spans="12:17" x14ac:dyDescent="0.3">
      <c r="L8885" s="25"/>
      <c r="Q8885" s="17"/>
    </row>
    <row r="8886" spans="12:17" x14ac:dyDescent="0.3">
      <c r="L8886" s="25"/>
      <c r="Q8886" s="17"/>
    </row>
    <row r="8887" spans="12:17" x14ac:dyDescent="0.3">
      <c r="L8887" s="25"/>
      <c r="Q8887" s="17"/>
    </row>
    <row r="8888" spans="12:17" x14ac:dyDescent="0.3">
      <c r="L8888" s="25"/>
      <c r="Q8888" s="17"/>
    </row>
    <row r="8889" spans="12:17" x14ac:dyDescent="0.3">
      <c r="L8889" s="25"/>
      <c r="Q8889" s="17"/>
    </row>
    <row r="8890" spans="12:17" x14ac:dyDescent="0.3">
      <c r="L8890" s="25"/>
      <c r="Q8890" s="17"/>
    </row>
    <row r="8891" spans="12:17" x14ac:dyDescent="0.3">
      <c r="L8891" s="25"/>
      <c r="Q8891" s="17"/>
    </row>
    <row r="8892" spans="12:17" x14ac:dyDescent="0.3">
      <c r="L8892" s="25"/>
      <c r="Q8892" s="17"/>
    </row>
    <row r="8893" spans="12:17" x14ac:dyDescent="0.3">
      <c r="L8893" s="25"/>
      <c r="Q8893" s="17"/>
    </row>
    <row r="8894" spans="12:17" x14ac:dyDescent="0.3">
      <c r="L8894" s="25"/>
      <c r="Q8894" s="17"/>
    </row>
    <row r="8895" spans="12:17" x14ac:dyDescent="0.3">
      <c r="L8895" s="25"/>
      <c r="Q8895" s="17"/>
    </row>
    <row r="8896" spans="12:17" x14ac:dyDescent="0.3">
      <c r="L8896" s="25"/>
      <c r="Q8896" s="17"/>
    </row>
    <row r="8897" spans="12:17" x14ac:dyDescent="0.3">
      <c r="L8897" s="25"/>
      <c r="Q8897" s="17"/>
    </row>
    <row r="8898" spans="12:17" x14ac:dyDescent="0.3">
      <c r="L8898" s="25"/>
      <c r="Q8898" s="17"/>
    </row>
    <row r="8899" spans="12:17" x14ac:dyDescent="0.3">
      <c r="L8899" s="25"/>
      <c r="Q8899" s="17"/>
    </row>
    <row r="8900" spans="12:17" x14ac:dyDescent="0.3">
      <c r="L8900" s="25"/>
      <c r="Q8900" s="17"/>
    </row>
    <row r="8901" spans="12:17" x14ac:dyDescent="0.3">
      <c r="L8901" s="25"/>
      <c r="Q8901" s="17"/>
    </row>
    <row r="8902" spans="12:17" x14ac:dyDescent="0.3">
      <c r="L8902" s="25"/>
      <c r="Q8902" s="17"/>
    </row>
    <row r="8903" spans="12:17" x14ac:dyDescent="0.3">
      <c r="L8903" s="25"/>
      <c r="Q8903" s="17"/>
    </row>
    <row r="8904" spans="12:17" x14ac:dyDescent="0.3">
      <c r="L8904" s="25"/>
      <c r="Q8904" s="17"/>
    </row>
    <row r="8905" spans="12:17" x14ac:dyDescent="0.3">
      <c r="L8905" s="25"/>
      <c r="Q8905" s="17"/>
    </row>
    <row r="8906" spans="12:17" x14ac:dyDescent="0.3">
      <c r="L8906" s="25"/>
      <c r="Q8906" s="17"/>
    </row>
    <row r="8907" spans="12:17" x14ac:dyDescent="0.3">
      <c r="L8907" s="25"/>
      <c r="Q8907" s="17"/>
    </row>
    <row r="8908" spans="12:17" x14ac:dyDescent="0.3">
      <c r="L8908" s="25"/>
      <c r="Q8908" s="17"/>
    </row>
    <row r="8909" spans="12:17" x14ac:dyDescent="0.3">
      <c r="L8909" s="25"/>
      <c r="Q8909" s="17"/>
    </row>
    <row r="8910" spans="12:17" x14ac:dyDescent="0.3">
      <c r="L8910" s="25"/>
      <c r="Q8910" s="17"/>
    </row>
    <row r="8911" spans="12:17" x14ac:dyDescent="0.3">
      <c r="L8911" s="25"/>
      <c r="Q8911" s="17"/>
    </row>
    <row r="8912" spans="12:17" x14ac:dyDescent="0.3">
      <c r="L8912" s="25"/>
      <c r="Q8912" s="17"/>
    </row>
    <row r="8913" spans="12:17" x14ac:dyDescent="0.3">
      <c r="L8913" s="25"/>
      <c r="Q8913" s="17"/>
    </row>
    <row r="8914" spans="12:17" x14ac:dyDescent="0.3">
      <c r="L8914" s="25"/>
      <c r="Q8914" s="17"/>
    </row>
    <row r="8915" spans="12:17" x14ac:dyDescent="0.3">
      <c r="L8915" s="25"/>
      <c r="Q8915" s="17"/>
    </row>
    <row r="8916" spans="12:17" x14ac:dyDescent="0.3">
      <c r="L8916" s="25"/>
      <c r="Q8916" s="17"/>
    </row>
    <row r="8917" spans="12:17" x14ac:dyDescent="0.3">
      <c r="L8917" s="25"/>
      <c r="Q8917" s="17"/>
    </row>
    <row r="8918" spans="12:17" x14ac:dyDescent="0.3">
      <c r="L8918" s="25"/>
      <c r="Q8918" s="17"/>
    </row>
    <row r="8919" spans="12:17" x14ac:dyDescent="0.3">
      <c r="L8919" s="25"/>
      <c r="Q8919" s="17"/>
    </row>
    <row r="8920" spans="12:17" x14ac:dyDescent="0.3">
      <c r="L8920" s="25"/>
      <c r="Q8920" s="17"/>
    </row>
    <row r="8921" spans="12:17" x14ac:dyDescent="0.3">
      <c r="L8921" s="25"/>
      <c r="Q8921" s="17"/>
    </row>
    <row r="8922" spans="12:17" x14ac:dyDescent="0.3">
      <c r="L8922" s="25"/>
      <c r="Q8922" s="17"/>
    </row>
    <row r="8923" spans="12:17" x14ac:dyDescent="0.3">
      <c r="L8923" s="25"/>
      <c r="Q8923" s="17"/>
    </row>
    <row r="8924" spans="12:17" x14ac:dyDescent="0.3">
      <c r="L8924" s="25"/>
      <c r="Q8924" s="17"/>
    </row>
    <row r="8925" spans="12:17" x14ac:dyDescent="0.3">
      <c r="L8925" s="25"/>
      <c r="Q8925" s="17"/>
    </row>
    <row r="8926" spans="12:17" x14ac:dyDescent="0.3">
      <c r="L8926" s="25"/>
      <c r="Q8926" s="17"/>
    </row>
    <row r="8927" spans="12:17" x14ac:dyDescent="0.3">
      <c r="L8927" s="25"/>
      <c r="Q8927" s="17"/>
    </row>
    <row r="8928" spans="12:17" x14ac:dyDescent="0.3">
      <c r="L8928" s="25"/>
      <c r="Q8928" s="17"/>
    </row>
    <row r="8929" spans="12:17" x14ac:dyDescent="0.3">
      <c r="L8929" s="25"/>
      <c r="Q8929" s="17"/>
    </row>
    <row r="8930" spans="12:17" x14ac:dyDescent="0.3">
      <c r="L8930" s="25"/>
      <c r="Q8930" s="17"/>
    </row>
    <row r="8931" spans="12:17" x14ac:dyDescent="0.3">
      <c r="L8931" s="25"/>
      <c r="Q8931" s="17"/>
    </row>
    <row r="8932" spans="12:17" x14ac:dyDescent="0.3">
      <c r="L8932" s="25"/>
      <c r="Q8932" s="17"/>
    </row>
    <row r="8933" spans="12:17" x14ac:dyDescent="0.3">
      <c r="L8933" s="25"/>
      <c r="Q8933" s="17"/>
    </row>
    <row r="8934" spans="12:17" x14ac:dyDescent="0.3">
      <c r="L8934" s="25"/>
      <c r="Q8934" s="17"/>
    </row>
    <row r="8935" spans="12:17" x14ac:dyDescent="0.3">
      <c r="L8935" s="25"/>
      <c r="Q8935" s="17"/>
    </row>
    <row r="8936" spans="12:17" x14ac:dyDescent="0.3">
      <c r="L8936" s="25"/>
      <c r="Q8936" s="17"/>
    </row>
    <row r="8937" spans="12:17" x14ac:dyDescent="0.3">
      <c r="L8937" s="25"/>
      <c r="Q8937" s="17"/>
    </row>
    <row r="8938" spans="12:17" x14ac:dyDescent="0.3">
      <c r="L8938" s="25"/>
      <c r="Q8938" s="17"/>
    </row>
    <row r="8939" spans="12:17" x14ac:dyDescent="0.3">
      <c r="L8939" s="25"/>
      <c r="Q8939" s="17"/>
    </row>
    <row r="8940" spans="12:17" x14ac:dyDescent="0.3">
      <c r="L8940" s="25"/>
      <c r="Q8940" s="17"/>
    </row>
    <row r="8941" spans="12:17" x14ac:dyDescent="0.3">
      <c r="L8941" s="25"/>
      <c r="Q8941" s="17"/>
    </row>
    <row r="8942" spans="12:17" x14ac:dyDescent="0.3">
      <c r="L8942" s="25"/>
      <c r="Q8942" s="17"/>
    </row>
    <row r="8943" spans="12:17" x14ac:dyDescent="0.3">
      <c r="L8943" s="25"/>
      <c r="Q8943" s="17"/>
    </row>
    <row r="8944" spans="12:17" x14ac:dyDescent="0.3">
      <c r="L8944" s="25"/>
      <c r="Q8944" s="17"/>
    </row>
    <row r="8945" spans="12:17" x14ac:dyDescent="0.3">
      <c r="L8945" s="25"/>
      <c r="Q8945" s="17"/>
    </row>
    <row r="8946" spans="12:17" x14ac:dyDescent="0.3">
      <c r="L8946" s="25"/>
      <c r="Q8946" s="17"/>
    </row>
    <row r="8947" spans="12:17" x14ac:dyDescent="0.3">
      <c r="L8947" s="25"/>
      <c r="Q8947" s="17"/>
    </row>
    <row r="8948" spans="12:17" x14ac:dyDescent="0.3">
      <c r="L8948" s="25"/>
      <c r="Q8948" s="17"/>
    </row>
    <row r="8949" spans="12:17" x14ac:dyDescent="0.3">
      <c r="L8949" s="25"/>
      <c r="Q8949" s="17"/>
    </row>
    <row r="8950" spans="12:17" x14ac:dyDescent="0.3">
      <c r="L8950" s="25"/>
      <c r="Q8950" s="17"/>
    </row>
    <row r="8951" spans="12:17" x14ac:dyDescent="0.3">
      <c r="L8951" s="25"/>
      <c r="Q8951" s="17"/>
    </row>
    <row r="8952" spans="12:17" x14ac:dyDescent="0.3">
      <c r="L8952" s="25"/>
      <c r="Q8952" s="17"/>
    </row>
    <row r="8953" spans="12:17" x14ac:dyDescent="0.3">
      <c r="L8953" s="25"/>
      <c r="Q8953" s="17"/>
    </row>
    <row r="8954" spans="12:17" x14ac:dyDescent="0.3">
      <c r="L8954" s="25"/>
      <c r="Q8954" s="17"/>
    </row>
    <row r="8955" spans="12:17" x14ac:dyDescent="0.3">
      <c r="L8955" s="25"/>
      <c r="Q8955" s="17"/>
    </row>
    <row r="8956" spans="12:17" x14ac:dyDescent="0.3">
      <c r="L8956" s="25"/>
      <c r="Q8956" s="17"/>
    </row>
    <row r="8957" spans="12:17" x14ac:dyDescent="0.3">
      <c r="L8957" s="25"/>
      <c r="Q8957" s="17"/>
    </row>
    <row r="8958" spans="12:17" x14ac:dyDescent="0.3">
      <c r="L8958" s="25"/>
      <c r="Q8958" s="17"/>
    </row>
    <row r="8959" spans="12:17" x14ac:dyDescent="0.3">
      <c r="L8959" s="25"/>
      <c r="Q8959" s="17"/>
    </row>
    <row r="8960" spans="12:17" x14ac:dyDescent="0.3">
      <c r="L8960" s="25"/>
      <c r="Q8960" s="17"/>
    </row>
    <row r="8961" spans="12:17" x14ac:dyDescent="0.3">
      <c r="L8961" s="25"/>
      <c r="Q8961" s="17"/>
    </row>
    <row r="8962" spans="12:17" x14ac:dyDescent="0.3">
      <c r="L8962" s="25"/>
      <c r="Q8962" s="17"/>
    </row>
    <row r="8963" spans="12:17" x14ac:dyDescent="0.3">
      <c r="L8963" s="25"/>
      <c r="Q8963" s="17"/>
    </row>
    <row r="8964" spans="12:17" x14ac:dyDescent="0.3">
      <c r="L8964" s="25"/>
      <c r="Q8964" s="17"/>
    </row>
    <row r="8965" spans="12:17" x14ac:dyDescent="0.3">
      <c r="L8965" s="25"/>
      <c r="Q8965" s="17"/>
    </row>
    <row r="8966" spans="12:17" x14ac:dyDescent="0.3">
      <c r="L8966" s="25"/>
      <c r="Q8966" s="17"/>
    </row>
    <row r="8967" spans="12:17" x14ac:dyDescent="0.3">
      <c r="L8967" s="25"/>
      <c r="Q8967" s="17"/>
    </row>
    <row r="8968" spans="12:17" x14ac:dyDescent="0.3">
      <c r="L8968" s="25"/>
      <c r="Q8968" s="17"/>
    </row>
    <row r="8969" spans="12:17" x14ac:dyDescent="0.3">
      <c r="L8969" s="25"/>
      <c r="Q8969" s="17"/>
    </row>
    <row r="8970" spans="12:17" x14ac:dyDescent="0.3">
      <c r="L8970" s="25"/>
      <c r="Q8970" s="17"/>
    </row>
    <row r="8971" spans="12:17" x14ac:dyDescent="0.3">
      <c r="L8971" s="25"/>
      <c r="Q8971" s="17"/>
    </row>
    <row r="8972" spans="12:17" x14ac:dyDescent="0.3">
      <c r="L8972" s="25"/>
      <c r="Q8972" s="17"/>
    </row>
    <row r="8973" spans="12:17" x14ac:dyDescent="0.3">
      <c r="L8973" s="25"/>
      <c r="Q8973" s="17"/>
    </row>
    <row r="8974" spans="12:17" x14ac:dyDescent="0.3">
      <c r="L8974" s="25"/>
      <c r="Q8974" s="17"/>
    </row>
    <row r="8975" spans="12:17" x14ac:dyDescent="0.3">
      <c r="L8975" s="25"/>
      <c r="Q8975" s="17"/>
    </row>
    <row r="8976" spans="12:17" x14ac:dyDescent="0.3">
      <c r="L8976" s="25"/>
      <c r="Q8976" s="17"/>
    </row>
    <row r="8977" spans="12:17" x14ac:dyDescent="0.3">
      <c r="L8977" s="25"/>
      <c r="Q8977" s="17"/>
    </row>
    <row r="8978" spans="12:17" x14ac:dyDescent="0.3">
      <c r="L8978" s="25"/>
      <c r="Q8978" s="17"/>
    </row>
    <row r="8979" spans="12:17" x14ac:dyDescent="0.3">
      <c r="L8979" s="25"/>
      <c r="Q8979" s="17"/>
    </row>
    <row r="8980" spans="12:17" x14ac:dyDescent="0.3">
      <c r="L8980" s="25"/>
      <c r="Q8980" s="17"/>
    </row>
    <row r="8981" spans="12:17" x14ac:dyDescent="0.3">
      <c r="L8981" s="25"/>
      <c r="Q8981" s="17"/>
    </row>
    <row r="8982" spans="12:17" x14ac:dyDescent="0.3">
      <c r="L8982" s="25"/>
      <c r="Q8982" s="17"/>
    </row>
    <row r="8983" spans="12:17" x14ac:dyDescent="0.3">
      <c r="L8983" s="25"/>
      <c r="Q8983" s="17"/>
    </row>
    <row r="8984" spans="12:17" x14ac:dyDescent="0.3">
      <c r="L8984" s="25"/>
      <c r="Q8984" s="17"/>
    </row>
    <row r="8985" spans="12:17" x14ac:dyDescent="0.3">
      <c r="L8985" s="25"/>
      <c r="Q8985" s="17"/>
    </row>
    <row r="8986" spans="12:17" x14ac:dyDescent="0.3">
      <c r="L8986" s="25"/>
      <c r="Q8986" s="17"/>
    </row>
    <row r="8987" spans="12:17" x14ac:dyDescent="0.3">
      <c r="L8987" s="25"/>
      <c r="Q8987" s="17"/>
    </row>
    <row r="8988" spans="12:17" x14ac:dyDescent="0.3">
      <c r="L8988" s="25"/>
      <c r="Q8988" s="17"/>
    </row>
    <row r="8989" spans="12:17" x14ac:dyDescent="0.3">
      <c r="L8989" s="25"/>
      <c r="Q8989" s="17"/>
    </row>
    <row r="8990" spans="12:17" x14ac:dyDescent="0.3">
      <c r="L8990" s="25"/>
      <c r="Q8990" s="17"/>
    </row>
    <row r="8991" spans="12:17" x14ac:dyDescent="0.3">
      <c r="L8991" s="25"/>
      <c r="Q8991" s="17"/>
    </row>
    <row r="8992" spans="12:17" x14ac:dyDescent="0.3">
      <c r="L8992" s="25"/>
      <c r="Q8992" s="17"/>
    </row>
    <row r="8993" spans="12:17" x14ac:dyDescent="0.3">
      <c r="L8993" s="25"/>
      <c r="Q8993" s="17"/>
    </row>
    <row r="8994" spans="12:17" x14ac:dyDescent="0.3">
      <c r="L8994" s="25"/>
      <c r="Q8994" s="17"/>
    </row>
    <row r="8995" spans="12:17" x14ac:dyDescent="0.3">
      <c r="L8995" s="25"/>
      <c r="Q8995" s="17"/>
    </row>
    <row r="8996" spans="12:17" x14ac:dyDescent="0.3">
      <c r="L8996" s="25"/>
      <c r="Q8996" s="17"/>
    </row>
    <row r="8997" spans="12:17" x14ac:dyDescent="0.3">
      <c r="L8997" s="25"/>
      <c r="Q8997" s="17"/>
    </row>
    <row r="8998" spans="12:17" x14ac:dyDescent="0.3">
      <c r="L8998" s="25"/>
      <c r="Q8998" s="17"/>
    </row>
    <row r="8999" spans="12:17" x14ac:dyDescent="0.3">
      <c r="L8999" s="25"/>
      <c r="Q8999" s="17"/>
    </row>
    <row r="9000" spans="12:17" x14ac:dyDescent="0.3">
      <c r="L9000" s="25"/>
      <c r="Q9000" s="17"/>
    </row>
    <row r="9001" spans="12:17" x14ac:dyDescent="0.3">
      <c r="L9001" s="25"/>
      <c r="Q9001" s="17"/>
    </row>
    <row r="9002" spans="12:17" x14ac:dyDescent="0.3">
      <c r="L9002" s="25"/>
      <c r="Q9002" s="17"/>
    </row>
    <row r="9003" spans="12:17" x14ac:dyDescent="0.3">
      <c r="L9003" s="25"/>
      <c r="Q9003" s="17"/>
    </row>
    <row r="9004" spans="12:17" x14ac:dyDescent="0.3">
      <c r="L9004" s="25"/>
      <c r="Q9004" s="17"/>
    </row>
    <row r="9005" spans="12:17" x14ac:dyDescent="0.3">
      <c r="L9005" s="25"/>
      <c r="Q9005" s="17"/>
    </row>
    <row r="9006" spans="12:17" x14ac:dyDescent="0.3">
      <c r="L9006" s="25"/>
      <c r="Q9006" s="17"/>
    </row>
    <row r="9007" spans="12:17" x14ac:dyDescent="0.3">
      <c r="L9007" s="25"/>
      <c r="Q9007" s="17"/>
    </row>
    <row r="9008" spans="12:17" x14ac:dyDescent="0.3">
      <c r="L9008" s="25"/>
      <c r="Q9008" s="17"/>
    </row>
    <row r="9009" spans="12:17" x14ac:dyDescent="0.3">
      <c r="L9009" s="25"/>
      <c r="Q9009" s="17"/>
    </row>
    <row r="9010" spans="12:17" x14ac:dyDescent="0.3">
      <c r="L9010" s="25"/>
      <c r="Q9010" s="17"/>
    </row>
    <row r="9011" spans="12:17" x14ac:dyDescent="0.3">
      <c r="L9011" s="25"/>
      <c r="Q9011" s="17"/>
    </row>
    <row r="9012" spans="12:17" x14ac:dyDescent="0.3">
      <c r="L9012" s="25"/>
      <c r="Q9012" s="17"/>
    </row>
    <row r="9013" spans="12:17" x14ac:dyDescent="0.3">
      <c r="L9013" s="25"/>
      <c r="Q9013" s="17"/>
    </row>
    <row r="9014" spans="12:17" x14ac:dyDescent="0.3">
      <c r="L9014" s="25"/>
      <c r="Q9014" s="17"/>
    </row>
    <row r="9015" spans="12:17" x14ac:dyDescent="0.3">
      <c r="L9015" s="25"/>
      <c r="Q9015" s="17"/>
    </row>
    <row r="9016" spans="12:17" x14ac:dyDescent="0.3">
      <c r="L9016" s="25"/>
      <c r="Q9016" s="17"/>
    </row>
    <row r="9017" spans="12:17" x14ac:dyDescent="0.3">
      <c r="L9017" s="25"/>
      <c r="Q9017" s="17"/>
    </row>
    <row r="9018" spans="12:17" x14ac:dyDescent="0.3">
      <c r="L9018" s="25"/>
      <c r="Q9018" s="17"/>
    </row>
    <row r="9019" spans="12:17" x14ac:dyDescent="0.3">
      <c r="L9019" s="25"/>
      <c r="Q9019" s="17"/>
    </row>
    <row r="9020" spans="12:17" x14ac:dyDescent="0.3">
      <c r="L9020" s="25"/>
      <c r="Q9020" s="17"/>
    </row>
    <row r="9021" spans="12:17" x14ac:dyDescent="0.3">
      <c r="L9021" s="25"/>
      <c r="Q9021" s="17"/>
    </row>
    <row r="9022" spans="12:17" x14ac:dyDescent="0.3">
      <c r="L9022" s="25"/>
      <c r="Q9022" s="17"/>
    </row>
    <row r="9023" spans="12:17" x14ac:dyDescent="0.3">
      <c r="L9023" s="25"/>
      <c r="Q9023" s="17"/>
    </row>
    <row r="9024" spans="12:17" x14ac:dyDescent="0.3">
      <c r="L9024" s="25"/>
      <c r="Q9024" s="17"/>
    </row>
    <row r="9025" spans="12:17" x14ac:dyDescent="0.3">
      <c r="L9025" s="25"/>
      <c r="Q9025" s="17"/>
    </row>
    <row r="9026" spans="12:17" x14ac:dyDescent="0.3">
      <c r="L9026" s="25"/>
      <c r="Q9026" s="17"/>
    </row>
    <row r="9027" spans="12:17" x14ac:dyDescent="0.3">
      <c r="L9027" s="25"/>
      <c r="Q9027" s="17"/>
    </row>
    <row r="9028" spans="12:17" x14ac:dyDescent="0.3">
      <c r="L9028" s="25"/>
      <c r="Q9028" s="17"/>
    </row>
    <row r="9029" spans="12:17" x14ac:dyDescent="0.3">
      <c r="L9029" s="25"/>
      <c r="Q9029" s="17"/>
    </row>
    <row r="9030" spans="12:17" x14ac:dyDescent="0.3">
      <c r="L9030" s="25"/>
      <c r="Q9030" s="17"/>
    </row>
    <row r="9031" spans="12:17" x14ac:dyDescent="0.3">
      <c r="L9031" s="25"/>
      <c r="Q9031" s="17"/>
    </row>
    <row r="9032" spans="12:17" x14ac:dyDescent="0.3">
      <c r="L9032" s="25"/>
      <c r="Q9032" s="17"/>
    </row>
    <row r="9033" spans="12:17" x14ac:dyDescent="0.3">
      <c r="L9033" s="25"/>
      <c r="Q9033" s="17"/>
    </row>
    <row r="9034" spans="12:17" x14ac:dyDescent="0.3">
      <c r="L9034" s="25"/>
      <c r="Q9034" s="17"/>
    </row>
    <row r="9035" spans="12:17" x14ac:dyDescent="0.3">
      <c r="L9035" s="25"/>
      <c r="Q9035" s="17"/>
    </row>
    <row r="9036" spans="12:17" x14ac:dyDescent="0.3">
      <c r="L9036" s="25"/>
      <c r="Q9036" s="17"/>
    </row>
    <row r="9037" spans="12:17" x14ac:dyDescent="0.3">
      <c r="L9037" s="25"/>
      <c r="Q9037" s="17"/>
    </row>
    <row r="9038" spans="12:17" x14ac:dyDescent="0.3">
      <c r="L9038" s="25"/>
      <c r="Q9038" s="17"/>
    </row>
    <row r="9039" spans="12:17" x14ac:dyDescent="0.3">
      <c r="L9039" s="25"/>
      <c r="Q9039" s="17"/>
    </row>
    <row r="9040" spans="12:17" x14ac:dyDescent="0.3">
      <c r="L9040" s="25"/>
      <c r="Q9040" s="17"/>
    </row>
    <row r="9041" spans="12:17" x14ac:dyDescent="0.3">
      <c r="L9041" s="25"/>
      <c r="Q9041" s="17"/>
    </row>
    <row r="9042" spans="12:17" x14ac:dyDescent="0.3">
      <c r="L9042" s="25"/>
      <c r="Q9042" s="17"/>
    </row>
    <row r="9043" spans="12:17" x14ac:dyDescent="0.3">
      <c r="L9043" s="25"/>
      <c r="Q9043" s="17"/>
    </row>
    <row r="9044" spans="12:17" x14ac:dyDescent="0.3">
      <c r="L9044" s="25"/>
      <c r="Q9044" s="17"/>
    </row>
    <row r="9045" spans="12:17" x14ac:dyDescent="0.3">
      <c r="L9045" s="25"/>
      <c r="Q9045" s="17"/>
    </row>
    <row r="9046" spans="12:17" x14ac:dyDescent="0.3">
      <c r="L9046" s="25"/>
      <c r="Q9046" s="17"/>
    </row>
    <row r="9047" spans="12:17" x14ac:dyDescent="0.3">
      <c r="L9047" s="25"/>
      <c r="Q9047" s="17"/>
    </row>
    <row r="9048" spans="12:17" x14ac:dyDescent="0.3">
      <c r="L9048" s="25"/>
      <c r="Q9048" s="17"/>
    </row>
    <row r="9049" spans="12:17" x14ac:dyDescent="0.3">
      <c r="L9049" s="25"/>
      <c r="Q9049" s="17"/>
    </row>
    <row r="9050" spans="12:17" x14ac:dyDescent="0.3">
      <c r="L9050" s="25"/>
      <c r="Q9050" s="17"/>
    </row>
    <row r="9051" spans="12:17" x14ac:dyDescent="0.3">
      <c r="L9051" s="25"/>
      <c r="Q9051" s="17"/>
    </row>
    <row r="9052" spans="12:17" x14ac:dyDescent="0.3">
      <c r="L9052" s="25"/>
      <c r="Q9052" s="17"/>
    </row>
    <row r="9053" spans="12:17" x14ac:dyDescent="0.3">
      <c r="L9053" s="25"/>
      <c r="Q9053" s="17"/>
    </row>
    <row r="9054" spans="12:17" x14ac:dyDescent="0.3">
      <c r="L9054" s="25"/>
      <c r="Q9054" s="17"/>
    </row>
    <row r="9055" spans="12:17" x14ac:dyDescent="0.3">
      <c r="L9055" s="25"/>
      <c r="Q9055" s="17"/>
    </row>
    <row r="9056" spans="12:17" x14ac:dyDescent="0.3">
      <c r="L9056" s="25"/>
      <c r="Q9056" s="17"/>
    </row>
    <row r="9057" spans="12:17" x14ac:dyDescent="0.3">
      <c r="L9057" s="25"/>
      <c r="Q9057" s="17"/>
    </row>
    <row r="9058" spans="12:17" x14ac:dyDescent="0.3">
      <c r="L9058" s="25"/>
      <c r="Q9058" s="17"/>
    </row>
    <row r="9059" spans="12:17" x14ac:dyDescent="0.3">
      <c r="L9059" s="25"/>
      <c r="Q9059" s="17"/>
    </row>
    <row r="9060" spans="12:17" x14ac:dyDescent="0.3">
      <c r="L9060" s="25"/>
      <c r="Q9060" s="17"/>
    </row>
    <row r="9061" spans="12:17" x14ac:dyDescent="0.3">
      <c r="L9061" s="25"/>
      <c r="Q9061" s="17"/>
    </row>
    <row r="9062" spans="12:17" x14ac:dyDescent="0.3">
      <c r="L9062" s="25"/>
      <c r="Q9062" s="17"/>
    </row>
    <row r="9063" spans="12:17" x14ac:dyDescent="0.3">
      <c r="L9063" s="25"/>
      <c r="Q9063" s="17"/>
    </row>
    <row r="9064" spans="12:17" x14ac:dyDescent="0.3">
      <c r="L9064" s="25"/>
      <c r="Q9064" s="17"/>
    </row>
    <row r="9065" spans="12:17" x14ac:dyDescent="0.3">
      <c r="L9065" s="25"/>
      <c r="Q9065" s="17"/>
    </row>
    <row r="9066" spans="12:17" x14ac:dyDescent="0.3">
      <c r="L9066" s="25"/>
      <c r="Q9066" s="17"/>
    </row>
    <row r="9067" spans="12:17" x14ac:dyDescent="0.3">
      <c r="L9067" s="25"/>
      <c r="Q9067" s="17"/>
    </row>
    <row r="9068" spans="12:17" x14ac:dyDescent="0.3">
      <c r="L9068" s="25"/>
      <c r="Q9068" s="17"/>
    </row>
    <row r="9069" spans="12:17" x14ac:dyDescent="0.3">
      <c r="L9069" s="25"/>
      <c r="Q9069" s="17"/>
    </row>
    <row r="9070" spans="12:17" x14ac:dyDescent="0.3">
      <c r="L9070" s="25"/>
      <c r="Q9070" s="17"/>
    </row>
    <row r="9071" spans="12:17" x14ac:dyDescent="0.3">
      <c r="L9071" s="25"/>
      <c r="Q9071" s="17"/>
    </row>
    <row r="9072" spans="12:17" x14ac:dyDescent="0.3">
      <c r="L9072" s="25"/>
      <c r="Q9072" s="17"/>
    </row>
    <row r="9073" spans="12:17" x14ac:dyDescent="0.3">
      <c r="L9073" s="25"/>
      <c r="Q9073" s="17"/>
    </row>
    <row r="9074" spans="12:17" x14ac:dyDescent="0.3">
      <c r="L9074" s="25"/>
      <c r="Q9074" s="17"/>
    </row>
    <row r="9075" spans="12:17" x14ac:dyDescent="0.3">
      <c r="L9075" s="25"/>
      <c r="Q9075" s="17"/>
    </row>
    <row r="9076" spans="12:17" x14ac:dyDescent="0.3">
      <c r="L9076" s="25"/>
      <c r="Q9076" s="17"/>
    </row>
    <row r="9077" spans="12:17" x14ac:dyDescent="0.3">
      <c r="L9077" s="25"/>
      <c r="Q9077" s="17"/>
    </row>
    <row r="9078" spans="12:17" x14ac:dyDescent="0.3">
      <c r="L9078" s="25"/>
      <c r="Q9078" s="17"/>
    </row>
    <row r="9079" spans="12:17" x14ac:dyDescent="0.3">
      <c r="L9079" s="25"/>
      <c r="Q9079" s="17"/>
    </row>
    <row r="9080" spans="12:17" x14ac:dyDescent="0.3">
      <c r="L9080" s="25"/>
      <c r="Q9080" s="17"/>
    </row>
    <row r="9081" spans="12:17" x14ac:dyDescent="0.3">
      <c r="L9081" s="25"/>
      <c r="Q9081" s="17"/>
    </row>
    <row r="9082" spans="12:17" x14ac:dyDescent="0.3">
      <c r="L9082" s="25"/>
      <c r="Q9082" s="17"/>
    </row>
    <row r="9083" spans="12:17" x14ac:dyDescent="0.3">
      <c r="L9083" s="25"/>
      <c r="Q9083" s="17"/>
    </row>
    <row r="9084" spans="12:17" x14ac:dyDescent="0.3">
      <c r="L9084" s="25"/>
      <c r="Q9084" s="17"/>
    </row>
    <row r="9085" spans="12:17" x14ac:dyDescent="0.3">
      <c r="L9085" s="25"/>
      <c r="Q9085" s="17"/>
    </row>
    <row r="9086" spans="12:17" x14ac:dyDescent="0.3">
      <c r="L9086" s="25"/>
      <c r="Q9086" s="17"/>
    </row>
    <row r="9087" spans="12:17" x14ac:dyDescent="0.3">
      <c r="L9087" s="25"/>
      <c r="Q9087" s="17"/>
    </row>
    <row r="9088" spans="12:17" x14ac:dyDescent="0.3">
      <c r="L9088" s="25"/>
      <c r="Q9088" s="17"/>
    </row>
    <row r="9089" spans="12:17" x14ac:dyDescent="0.3">
      <c r="L9089" s="25"/>
      <c r="Q9089" s="17"/>
    </row>
    <row r="9090" spans="12:17" x14ac:dyDescent="0.3">
      <c r="L9090" s="25"/>
      <c r="Q9090" s="17"/>
    </row>
    <row r="9091" spans="12:17" x14ac:dyDescent="0.3">
      <c r="L9091" s="25"/>
      <c r="Q9091" s="17"/>
    </row>
    <row r="9092" spans="12:17" x14ac:dyDescent="0.3">
      <c r="L9092" s="25"/>
      <c r="Q9092" s="17"/>
    </row>
    <row r="9093" spans="12:17" x14ac:dyDescent="0.3">
      <c r="L9093" s="25"/>
      <c r="Q9093" s="17"/>
    </row>
    <row r="9094" spans="12:17" x14ac:dyDescent="0.3">
      <c r="L9094" s="25"/>
      <c r="Q9094" s="17"/>
    </row>
    <row r="9095" spans="12:17" x14ac:dyDescent="0.3">
      <c r="L9095" s="25"/>
      <c r="Q9095" s="17"/>
    </row>
    <row r="9096" spans="12:17" x14ac:dyDescent="0.3">
      <c r="L9096" s="25"/>
      <c r="Q9096" s="17"/>
    </row>
    <row r="9097" spans="12:17" x14ac:dyDescent="0.3">
      <c r="L9097" s="25"/>
      <c r="Q9097" s="17"/>
    </row>
    <row r="9098" spans="12:17" x14ac:dyDescent="0.3">
      <c r="L9098" s="25"/>
      <c r="Q9098" s="17"/>
    </row>
    <row r="9099" spans="12:17" x14ac:dyDescent="0.3">
      <c r="L9099" s="25"/>
      <c r="Q9099" s="17"/>
    </row>
    <row r="9100" spans="12:17" x14ac:dyDescent="0.3">
      <c r="L9100" s="25"/>
      <c r="Q9100" s="17"/>
    </row>
    <row r="9101" spans="12:17" x14ac:dyDescent="0.3">
      <c r="L9101" s="25"/>
      <c r="Q9101" s="17"/>
    </row>
    <row r="9102" spans="12:17" x14ac:dyDescent="0.3">
      <c r="L9102" s="25"/>
      <c r="Q9102" s="17"/>
    </row>
    <row r="9103" spans="12:17" x14ac:dyDescent="0.3">
      <c r="L9103" s="25"/>
      <c r="Q9103" s="17"/>
    </row>
    <row r="9104" spans="12:17" x14ac:dyDescent="0.3">
      <c r="L9104" s="25"/>
      <c r="Q9104" s="17"/>
    </row>
    <row r="9105" spans="12:17" x14ac:dyDescent="0.3">
      <c r="L9105" s="25"/>
      <c r="Q9105" s="17"/>
    </row>
    <row r="9106" spans="12:17" x14ac:dyDescent="0.3">
      <c r="L9106" s="25"/>
      <c r="Q9106" s="17"/>
    </row>
    <row r="9107" spans="12:17" x14ac:dyDescent="0.3">
      <c r="L9107" s="25"/>
      <c r="Q9107" s="17"/>
    </row>
    <row r="9108" spans="12:17" x14ac:dyDescent="0.3">
      <c r="L9108" s="25"/>
      <c r="Q9108" s="17"/>
    </row>
    <row r="9109" spans="12:17" x14ac:dyDescent="0.3">
      <c r="L9109" s="25"/>
      <c r="Q9109" s="17"/>
    </row>
    <row r="9110" spans="12:17" x14ac:dyDescent="0.3">
      <c r="L9110" s="25"/>
      <c r="Q9110" s="17"/>
    </row>
    <row r="9111" spans="12:17" x14ac:dyDescent="0.3">
      <c r="L9111" s="25"/>
      <c r="Q9111" s="17"/>
    </row>
    <row r="9112" spans="12:17" x14ac:dyDescent="0.3">
      <c r="L9112" s="25"/>
      <c r="Q9112" s="17"/>
    </row>
    <row r="9113" spans="12:17" x14ac:dyDescent="0.3">
      <c r="L9113" s="25"/>
      <c r="Q9113" s="17"/>
    </row>
    <row r="9114" spans="12:17" x14ac:dyDescent="0.3">
      <c r="L9114" s="25"/>
      <c r="Q9114" s="17"/>
    </row>
    <row r="9115" spans="12:17" x14ac:dyDescent="0.3">
      <c r="L9115" s="25"/>
      <c r="Q9115" s="17"/>
    </row>
    <row r="9116" spans="12:17" x14ac:dyDescent="0.3">
      <c r="L9116" s="25"/>
      <c r="Q9116" s="17"/>
    </row>
    <row r="9117" spans="12:17" x14ac:dyDescent="0.3">
      <c r="L9117" s="25"/>
      <c r="Q9117" s="17"/>
    </row>
    <row r="9118" spans="12:17" x14ac:dyDescent="0.3">
      <c r="L9118" s="25"/>
      <c r="Q9118" s="17"/>
    </row>
    <row r="9119" spans="12:17" x14ac:dyDescent="0.3">
      <c r="L9119" s="25"/>
      <c r="Q9119" s="17"/>
    </row>
    <row r="9120" spans="12:17" x14ac:dyDescent="0.3">
      <c r="L9120" s="25"/>
      <c r="Q9120" s="17"/>
    </row>
    <row r="9121" spans="12:17" x14ac:dyDescent="0.3">
      <c r="L9121" s="25"/>
      <c r="Q9121" s="17"/>
    </row>
    <row r="9122" spans="12:17" x14ac:dyDescent="0.3">
      <c r="L9122" s="25"/>
      <c r="Q9122" s="17"/>
    </row>
    <row r="9123" spans="12:17" x14ac:dyDescent="0.3">
      <c r="L9123" s="25"/>
      <c r="Q9123" s="17"/>
    </row>
    <row r="9124" spans="12:17" x14ac:dyDescent="0.3">
      <c r="L9124" s="25"/>
      <c r="Q9124" s="17"/>
    </row>
    <row r="9125" spans="12:17" x14ac:dyDescent="0.3">
      <c r="L9125" s="25"/>
      <c r="Q9125" s="17"/>
    </row>
    <row r="9126" spans="12:17" x14ac:dyDescent="0.3">
      <c r="L9126" s="25"/>
      <c r="Q9126" s="17"/>
    </row>
    <row r="9127" spans="12:17" x14ac:dyDescent="0.3">
      <c r="L9127" s="25"/>
      <c r="Q9127" s="17"/>
    </row>
    <row r="9128" spans="12:17" x14ac:dyDescent="0.3">
      <c r="L9128" s="25"/>
      <c r="Q9128" s="17"/>
    </row>
    <row r="9129" spans="12:17" x14ac:dyDescent="0.3">
      <c r="L9129" s="25"/>
      <c r="Q9129" s="17"/>
    </row>
    <row r="9130" spans="12:17" x14ac:dyDescent="0.3">
      <c r="L9130" s="25"/>
      <c r="Q9130" s="17"/>
    </row>
    <row r="9131" spans="12:17" x14ac:dyDescent="0.3">
      <c r="L9131" s="25"/>
      <c r="Q9131" s="17"/>
    </row>
    <row r="9132" spans="12:17" x14ac:dyDescent="0.3">
      <c r="L9132" s="25"/>
      <c r="Q9132" s="17"/>
    </row>
    <row r="9133" spans="12:17" x14ac:dyDescent="0.3">
      <c r="L9133" s="25"/>
      <c r="Q9133" s="17"/>
    </row>
    <row r="9134" spans="12:17" x14ac:dyDescent="0.3">
      <c r="L9134" s="25"/>
      <c r="Q9134" s="17"/>
    </row>
    <row r="9135" spans="12:17" x14ac:dyDescent="0.3">
      <c r="L9135" s="25"/>
      <c r="Q9135" s="17"/>
    </row>
    <row r="9136" spans="12:17" x14ac:dyDescent="0.3">
      <c r="L9136" s="25"/>
      <c r="Q9136" s="17"/>
    </row>
    <row r="9137" spans="12:17" x14ac:dyDescent="0.3">
      <c r="L9137" s="25"/>
      <c r="Q9137" s="17"/>
    </row>
    <row r="9138" spans="12:17" x14ac:dyDescent="0.3">
      <c r="L9138" s="25"/>
      <c r="Q9138" s="17"/>
    </row>
    <row r="9139" spans="12:17" x14ac:dyDescent="0.3">
      <c r="L9139" s="25"/>
      <c r="Q9139" s="17"/>
    </row>
    <row r="9140" spans="12:17" x14ac:dyDescent="0.3">
      <c r="L9140" s="25"/>
      <c r="Q9140" s="17"/>
    </row>
    <row r="9141" spans="12:17" x14ac:dyDescent="0.3">
      <c r="L9141" s="25"/>
      <c r="Q9141" s="17"/>
    </row>
    <row r="9142" spans="12:17" x14ac:dyDescent="0.3">
      <c r="L9142" s="25"/>
      <c r="Q9142" s="17"/>
    </row>
    <row r="9143" spans="12:17" x14ac:dyDescent="0.3">
      <c r="L9143" s="25"/>
      <c r="Q9143" s="17"/>
    </row>
    <row r="9144" spans="12:17" x14ac:dyDescent="0.3">
      <c r="L9144" s="25"/>
      <c r="Q9144" s="17"/>
    </row>
    <row r="9145" spans="12:17" x14ac:dyDescent="0.3">
      <c r="L9145" s="25"/>
      <c r="Q9145" s="17"/>
    </row>
    <row r="9146" spans="12:17" x14ac:dyDescent="0.3">
      <c r="L9146" s="25"/>
      <c r="Q9146" s="17"/>
    </row>
    <row r="9147" spans="12:17" x14ac:dyDescent="0.3">
      <c r="L9147" s="25"/>
      <c r="Q9147" s="17"/>
    </row>
    <row r="9148" spans="12:17" x14ac:dyDescent="0.3">
      <c r="L9148" s="25"/>
      <c r="Q9148" s="17"/>
    </row>
    <row r="9149" spans="12:17" x14ac:dyDescent="0.3">
      <c r="L9149" s="25"/>
      <c r="Q9149" s="17"/>
    </row>
    <row r="9150" spans="12:17" x14ac:dyDescent="0.3">
      <c r="L9150" s="25"/>
      <c r="Q9150" s="17"/>
    </row>
    <row r="9151" spans="12:17" x14ac:dyDescent="0.3">
      <c r="L9151" s="25"/>
      <c r="Q9151" s="17"/>
    </row>
    <row r="9152" spans="12:17" x14ac:dyDescent="0.3">
      <c r="L9152" s="25"/>
      <c r="Q9152" s="17"/>
    </row>
    <row r="9153" spans="12:17" x14ac:dyDescent="0.3">
      <c r="L9153" s="25"/>
      <c r="Q9153" s="17"/>
    </row>
    <row r="9154" spans="12:17" x14ac:dyDescent="0.3">
      <c r="L9154" s="25"/>
      <c r="Q9154" s="17"/>
    </row>
    <row r="9155" spans="12:17" x14ac:dyDescent="0.3">
      <c r="L9155" s="25"/>
      <c r="Q9155" s="17"/>
    </row>
    <row r="9156" spans="12:17" x14ac:dyDescent="0.3">
      <c r="L9156" s="25"/>
      <c r="Q9156" s="17"/>
    </row>
    <row r="9157" spans="12:17" x14ac:dyDescent="0.3">
      <c r="L9157" s="25"/>
      <c r="Q9157" s="17"/>
    </row>
    <row r="9158" spans="12:17" x14ac:dyDescent="0.3">
      <c r="L9158" s="25"/>
      <c r="Q9158" s="17"/>
    </row>
    <row r="9159" spans="12:17" x14ac:dyDescent="0.3">
      <c r="L9159" s="25"/>
      <c r="Q9159" s="17"/>
    </row>
    <row r="9160" spans="12:17" x14ac:dyDescent="0.3">
      <c r="L9160" s="25"/>
      <c r="Q9160" s="17"/>
    </row>
    <row r="9161" spans="12:17" x14ac:dyDescent="0.3">
      <c r="L9161" s="25"/>
      <c r="Q9161" s="17"/>
    </row>
    <row r="9162" spans="12:17" x14ac:dyDescent="0.3">
      <c r="L9162" s="25"/>
      <c r="Q9162" s="17"/>
    </row>
    <row r="9163" spans="12:17" x14ac:dyDescent="0.3">
      <c r="L9163" s="25"/>
      <c r="Q9163" s="17"/>
    </row>
    <row r="9164" spans="12:17" x14ac:dyDescent="0.3">
      <c r="L9164" s="25"/>
      <c r="Q9164" s="17"/>
    </row>
    <row r="9165" spans="12:17" x14ac:dyDescent="0.3">
      <c r="L9165" s="25"/>
      <c r="Q9165" s="17"/>
    </row>
    <row r="9166" spans="12:17" x14ac:dyDescent="0.3">
      <c r="L9166" s="25"/>
      <c r="Q9166" s="17"/>
    </row>
    <row r="9167" spans="12:17" x14ac:dyDescent="0.3">
      <c r="L9167" s="25"/>
      <c r="Q9167" s="17"/>
    </row>
    <row r="9168" spans="12:17" x14ac:dyDescent="0.3">
      <c r="L9168" s="25"/>
      <c r="Q9168" s="17"/>
    </row>
    <row r="9169" spans="12:17" x14ac:dyDescent="0.3">
      <c r="L9169" s="25"/>
      <c r="Q9169" s="17"/>
    </row>
    <row r="9170" spans="12:17" x14ac:dyDescent="0.3">
      <c r="L9170" s="25"/>
      <c r="Q9170" s="17"/>
    </row>
    <row r="9171" spans="12:17" x14ac:dyDescent="0.3">
      <c r="L9171" s="25"/>
      <c r="Q9171" s="17"/>
    </row>
    <row r="9172" spans="12:17" x14ac:dyDescent="0.3">
      <c r="L9172" s="25"/>
      <c r="Q9172" s="17"/>
    </row>
    <row r="9173" spans="12:17" x14ac:dyDescent="0.3">
      <c r="L9173" s="25"/>
      <c r="Q9173" s="17"/>
    </row>
    <row r="9174" spans="12:17" x14ac:dyDescent="0.3">
      <c r="L9174" s="25"/>
      <c r="Q9174" s="17"/>
    </row>
    <row r="9175" spans="12:17" x14ac:dyDescent="0.3">
      <c r="L9175" s="25"/>
      <c r="Q9175" s="17"/>
    </row>
    <row r="9176" spans="12:17" x14ac:dyDescent="0.3">
      <c r="L9176" s="25"/>
      <c r="Q9176" s="17"/>
    </row>
    <row r="9177" spans="12:17" x14ac:dyDescent="0.3">
      <c r="L9177" s="25"/>
      <c r="Q9177" s="17"/>
    </row>
    <row r="9178" spans="12:17" x14ac:dyDescent="0.3">
      <c r="L9178" s="25"/>
      <c r="Q9178" s="17"/>
    </row>
    <row r="9179" spans="12:17" x14ac:dyDescent="0.3">
      <c r="L9179" s="25"/>
      <c r="Q9179" s="17"/>
    </row>
    <row r="9180" spans="12:17" x14ac:dyDescent="0.3">
      <c r="L9180" s="25"/>
      <c r="Q9180" s="17"/>
    </row>
    <row r="9181" spans="12:17" x14ac:dyDescent="0.3">
      <c r="L9181" s="25"/>
      <c r="Q9181" s="17"/>
    </row>
    <row r="9182" spans="12:17" x14ac:dyDescent="0.3">
      <c r="L9182" s="25"/>
      <c r="Q9182" s="17"/>
    </row>
    <row r="9183" spans="12:17" x14ac:dyDescent="0.3">
      <c r="L9183" s="25"/>
      <c r="Q9183" s="17"/>
    </row>
    <row r="9184" spans="12:17" x14ac:dyDescent="0.3">
      <c r="L9184" s="25"/>
      <c r="Q9184" s="17"/>
    </row>
    <row r="9185" spans="12:17" x14ac:dyDescent="0.3">
      <c r="L9185" s="25"/>
      <c r="Q9185" s="17"/>
    </row>
    <row r="9186" spans="12:17" x14ac:dyDescent="0.3">
      <c r="L9186" s="25"/>
      <c r="Q9186" s="17"/>
    </row>
    <row r="9187" spans="12:17" x14ac:dyDescent="0.3">
      <c r="L9187" s="25"/>
      <c r="Q9187" s="17"/>
    </row>
    <row r="9188" spans="12:17" x14ac:dyDescent="0.3">
      <c r="L9188" s="25"/>
      <c r="Q9188" s="17"/>
    </row>
    <row r="9189" spans="12:17" x14ac:dyDescent="0.3">
      <c r="L9189" s="25"/>
      <c r="Q9189" s="17"/>
    </row>
    <row r="9190" spans="12:17" x14ac:dyDescent="0.3">
      <c r="L9190" s="25"/>
      <c r="Q9190" s="17"/>
    </row>
    <row r="9191" spans="12:17" x14ac:dyDescent="0.3">
      <c r="L9191" s="25"/>
      <c r="Q9191" s="17"/>
    </row>
    <row r="9192" spans="12:17" x14ac:dyDescent="0.3">
      <c r="L9192" s="25"/>
      <c r="Q9192" s="17"/>
    </row>
    <row r="9193" spans="12:17" x14ac:dyDescent="0.3">
      <c r="L9193" s="25"/>
      <c r="Q9193" s="17"/>
    </row>
    <row r="9194" spans="12:17" x14ac:dyDescent="0.3">
      <c r="L9194" s="25"/>
      <c r="Q9194" s="17"/>
    </row>
    <row r="9195" spans="12:17" x14ac:dyDescent="0.3">
      <c r="L9195" s="25"/>
      <c r="Q9195" s="17"/>
    </row>
    <row r="9196" spans="12:17" x14ac:dyDescent="0.3">
      <c r="L9196" s="25"/>
      <c r="Q9196" s="17"/>
    </row>
    <row r="9197" spans="12:17" x14ac:dyDescent="0.3">
      <c r="L9197" s="25"/>
      <c r="Q9197" s="17"/>
    </row>
    <row r="9198" spans="12:17" x14ac:dyDescent="0.3">
      <c r="L9198" s="25"/>
      <c r="Q9198" s="17"/>
    </row>
    <row r="9199" spans="12:17" x14ac:dyDescent="0.3">
      <c r="L9199" s="25"/>
      <c r="Q9199" s="17"/>
    </row>
    <row r="9200" spans="12:17" x14ac:dyDescent="0.3">
      <c r="L9200" s="25"/>
      <c r="Q9200" s="17"/>
    </row>
    <row r="9201" spans="12:17" x14ac:dyDescent="0.3">
      <c r="L9201" s="25"/>
      <c r="Q9201" s="17"/>
    </row>
    <row r="9202" spans="12:17" x14ac:dyDescent="0.3">
      <c r="L9202" s="25"/>
      <c r="Q9202" s="17"/>
    </row>
    <row r="9203" spans="12:17" x14ac:dyDescent="0.3">
      <c r="L9203" s="25"/>
      <c r="Q9203" s="17"/>
    </row>
    <row r="9204" spans="12:17" x14ac:dyDescent="0.3">
      <c r="L9204" s="25"/>
      <c r="Q9204" s="17"/>
    </row>
    <row r="9205" spans="12:17" x14ac:dyDescent="0.3">
      <c r="L9205" s="25"/>
      <c r="Q9205" s="17"/>
    </row>
    <row r="9206" spans="12:17" x14ac:dyDescent="0.3">
      <c r="L9206" s="25"/>
      <c r="Q9206" s="17"/>
    </row>
    <row r="9207" spans="12:17" x14ac:dyDescent="0.3">
      <c r="L9207" s="25"/>
      <c r="Q9207" s="17"/>
    </row>
    <row r="9208" spans="12:17" x14ac:dyDescent="0.3">
      <c r="L9208" s="25"/>
      <c r="Q9208" s="17"/>
    </row>
    <row r="9209" spans="12:17" x14ac:dyDescent="0.3">
      <c r="L9209" s="25"/>
      <c r="Q9209" s="17"/>
    </row>
    <row r="9210" spans="12:17" x14ac:dyDescent="0.3">
      <c r="L9210" s="25"/>
      <c r="Q9210" s="17"/>
    </row>
    <row r="9211" spans="12:17" x14ac:dyDescent="0.3">
      <c r="L9211" s="25"/>
      <c r="Q9211" s="17"/>
    </row>
    <row r="9212" spans="12:17" x14ac:dyDescent="0.3">
      <c r="L9212" s="25"/>
      <c r="Q9212" s="17"/>
    </row>
    <row r="9213" spans="12:17" x14ac:dyDescent="0.3">
      <c r="L9213" s="25"/>
      <c r="Q9213" s="17"/>
    </row>
    <row r="9214" spans="12:17" x14ac:dyDescent="0.3">
      <c r="L9214" s="25"/>
      <c r="Q9214" s="17"/>
    </row>
    <row r="9215" spans="12:17" x14ac:dyDescent="0.3">
      <c r="L9215" s="25"/>
      <c r="Q9215" s="17"/>
    </row>
    <row r="9216" spans="12:17" x14ac:dyDescent="0.3">
      <c r="L9216" s="25"/>
      <c r="Q9216" s="17"/>
    </row>
    <row r="9217" spans="12:17" x14ac:dyDescent="0.3">
      <c r="L9217" s="25"/>
      <c r="Q9217" s="17"/>
    </row>
    <row r="9218" spans="12:17" x14ac:dyDescent="0.3">
      <c r="L9218" s="25"/>
      <c r="Q9218" s="17"/>
    </row>
    <row r="9219" spans="12:17" x14ac:dyDescent="0.3">
      <c r="L9219" s="25"/>
      <c r="Q9219" s="17"/>
    </row>
    <row r="9220" spans="12:17" x14ac:dyDescent="0.3">
      <c r="L9220" s="25"/>
      <c r="Q9220" s="17"/>
    </row>
    <row r="9221" spans="12:17" x14ac:dyDescent="0.3">
      <c r="L9221" s="25"/>
      <c r="Q9221" s="17"/>
    </row>
    <row r="9222" spans="12:17" x14ac:dyDescent="0.3">
      <c r="L9222" s="25"/>
      <c r="Q9222" s="17"/>
    </row>
    <row r="9223" spans="12:17" x14ac:dyDescent="0.3">
      <c r="L9223" s="25"/>
      <c r="Q9223" s="17"/>
    </row>
    <row r="9224" spans="12:17" x14ac:dyDescent="0.3">
      <c r="L9224" s="25"/>
      <c r="Q9224" s="17"/>
    </row>
    <row r="9225" spans="12:17" x14ac:dyDescent="0.3">
      <c r="L9225" s="25"/>
      <c r="Q9225" s="17"/>
    </row>
    <row r="9226" spans="12:17" x14ac:dyDescent="0.3">
      <c r="L9226" s="25"/>
      <c r="Q9226" s="17"/>
    </row>
    <row r="9227" spans="12:17" x14ac:dyDescent="0.3">
      <c r="L9227" s="25"/>
      <c r="Q9227" s="17"/>
    </row>
    <row r="9228" spans="12:17" x14ac:dyDescent="0.3">
      <c r="L9228" s="25"/>
      <c r="Q9228" s="17"/>
    </row>
    <row r="9229" spans="12:17" x14ac:dyDescent="0.3">
      <c r="L9229" s="25"/>
      <c r="Q9229" s="17"/>
    </row>
    <row r="9230" spans="12:17" x14ac:dyDescent="0.3">
      <c r="L9230" s="25"/>
      <c r="Q9230" s="17"/>
    </row>
    <row r="9231" spans="12:17" x14ac:dyDescent="0.3">
      <c r="L9231" s="25"/>
      <c r="Q9231" s="17"/>
    </row>
    <row r="9232" spans="12:17" x14ac:dyDescent="0.3">
      <c r="L9232" s="25"/>
      <c r="Q9232" s="17"/>
    </row>
    <row r="9233" spans="12:17" x14ac:dyDescent="0.3">
      <c r="L9233" s="25"/>
      <c r="Q9233" s="17"/>
    </row>
    <row r="9234" spans="12:17" x14ac:dyDescent="0.3">
      <c r="L9234" s="25"/>
      <c r="Q9234" s="17"/>
    </row>
    <row r="9235" spans="12:17" x14ac:dyDescent="0.3">
      <c r="L9235" s="25"/>
      <c r="Q9235" s="17"/>
    </row>
    <row r="9236" spans="12:17" x14ac:dyDescent="0.3">
      <c r="L9236" s="25"/>
      <c r="Q9236" s="17"/>
    </row>
    <row r="9237" spans="12:17" x14ac:dyDescent="0.3">
      <c r="L9237" s="25"/>
      <c r="Q9237" s="17"/>
    </row>
    <row r="9238" spans="12:17" x14ac:dyDescent="0.3">
      <c r="L9238" s="25"/>
      <c r="Q9238" s="17"/>
    </row>
    <row r="9239" spans="12:17" x14ac:dyDescent="0.3">
      <c r="L9239" s="25"/>
      <c r="Q9239" s="17"/>
    </row>
    <row r="9240" spans="12:17" x14ac:dyDescent="0.3">
      <c r="L9240" s="25"/>
      <c r="Q9240" s="17"/>
    </row>
    <row r="9241" spans="12:17" x14ac:dyDescent="0.3">
      <c r="L9241" s="25"/>
      <c r="Q9241" s="17"/>
    </row>
    <row r="9242" spans="12:17" x14ac:dyDescent="0.3">
      <c r="L9242" s="25"/>
      <c r="Q9242" s="17"/>
    </row>
    <row r="9243" spans="12:17" x14ac:dyDescent="0.3">
      <c r="L9243" s="25"/>
      <c r="Q9243" s="17"/>
    </row>
    <row r="9244" spans="12:17" x14ac:dyDescent="0.3">
      <c r="L9244" s="25"/>
      <c r="Q9244" s="17"/>
    </row>
    <row r="9245" spans="12:17" x14ac:dyDescent="0.3">
      <c r="L9245" s="25"/>
      <c r="Q9245" s="17"/>
    </row>
    <row r="9246" spans="12:17" x14ac:dyDescent="0.3">
      <c r="L9246" s="25"/>
      <c r="Q9246" s="17"/>
    </row>
    <row r="9247" spans="12:17" x14ac:dyDescent="0.3">
      <c r="L9247" s="25"/>
      <c r="Q9247" s="17"/>
    </row>
    <row r="9248" spans="12:17" x14ac:dyDescent="0.3">
      <c r="L9248" s="25"/>
      <c r="Q9248" s="17"/>
    </row>
    <row r="9249" spans="12:17" x14ac:dyDescent="0.3">
      <c r="L9249" s="25"/>
      <c r="Q9249" s="17"/>
    </row>
    <row r="9250" spans="12:17" x14ac:dyDescent="0.3">
      <c r="L9250" s="25"/>
      <c r="Q9250" s="17"/>
    </row>
    <row r="9251" spans="12:17" x14ac:dyDescent="0.3">
      <c r="L9251" s="25"/>
      <c r="Q9251" s="17"/>
    </row>
    <row r="9252" spans="12:17" x14ac:dyDescent="0.3">
      <c r="L9252" s="25"/>
      <c r="Q9252" s="17"/>
    </row>
    <row r="9253" spans="12:17" x14ac:dyDescent="0.3">
      <c r="L9253" s="25"/>
      <c r="Q9253" s="17"/>
    </row>
    <row r="9254" spans="12:17" x14ac:dyDescent="0.3">
      <c r="L9254" s="25"/>
      <c r="Q9254" s="17"/>
    </row>
    <row r="9255" spans="12:17" x14ac:dyDescent="0.3">
      <c r="L9255" s="25"/>
      <c r="Q9255" s="17"/>
    </row>
    <row r="9256" spans="12:17" x14ac:dyDescent="0.3">
      <c r="L9256" s="25"/>
      <c r="Q9256" s="17"/>
    </row>
    <row r="9257" spans="12:17" x14ac:dyDescent="0.3">
      <c r="L9257" s="25"/>
      <c r="Q9257" s="17"/>
    </row>
    <row r="9258" spans="12:17" x14ac:dyDescent="0.3">
      <c r="L9258" s="25"/>
      <c r="Q9258" s="17"/>
    </row>
    <row r="9259" spans="12:17" x14ac:dyDescent="0.3">
      <c r="L9259" s="25"/>
      <c r="Q9259" s="17"/>
    </row>
    <row r="9260" spans="12:17" x14ac:dyDescent="0.3">
      <c r="L9260" s="25"/>
      <c r="Q9260" s="17"/>
    </row>
    <row r="9261" spans="12:17" x14ac:dyDescent="0.3">
      <c r="L9261" s="25"/>
      <c r="Q9261" s="17"/>
    </row>
    <row r="9262" spans="12:17" x14ac:dyDescent="0.3">
      <c r="L9262" s="25"/>
      <c r="Q9262" s="17"/>
    </row>
    <row r="9263" spans="12:17" x14ac:dyDescent="0.3">
      <c r="L9263" s="25"/>
      <c r="Q9263" s="17"/>
    </row>
    <row r="9264" spans="12:17" x14ac:dyDescent="0.3">
      <c r="L9264" s="25"/>
      <c r="Q9264" s="17"/>
    </row>
    <row r="9265" spans="12:17" x14ac:dyDescent="0.3">
      <c r="L9265" s="25"/>
      <c r="Q9265" s="17"/>
    </row>
    <row r="9266" spans="12:17" x14ac:dyDescent="0.3">
      <c r="L9266" s="25"/>
      <c r="Q9266" s="17"/>
    </row>
    <row r="9267" spans="12:17" x14ac:dyDescent="0.3">
      <c r="L9267" s="25"/>
      <c r="Q9267" s="17"/>
    </row>
    <row r="9268" spans="12:17" x14ac:dyDescent="0.3">
      <c r="L9268" s="25"/>
      <c r="Q9268" s="17"/>
    </row>
    <row r="9269" spans="12:17" x14ac:dyDescent="0.3">
      <c r="L9269" s="25"/>
      <c r="Q9269" s="17"/>
    </row>
    <row r="9270" spans="12:17" x14ac:dyDescent="0.3">
      <c r="L9270" s="25"/>
      <c r="Q9270" s="17"/>
    </row>
    <row r="9271" spans="12:17" x14ac:dyDescent="0.3">
      <c r="L9271" s="25"/>
      <c r="Q9271" s="17"/>
    </row>
    <row r="9272" spans="12:17" x14ac:dyDescent="0.3">
      <c r="L9272" s="25"/>
      <c r="Q9272" s="17"/>
    </row>
    <row r="9273" spans="12:17" x14ac:dyDescent="0.3">
      <c r="L9273" s="25"/>
      <c r="Q9273" s="17"/>
    </row>
    <row r="9274" spans="12:17" x14ac:dyDescent="0.3">
      <c r="L9274" s="25"/>
      <c r="Q9274" s="17"/>
    </row>
    <row r="9275" spans="12:17" x14ac:dyDescent="0.3">
      <c r="L9275" s="25"/>
      <c r="Q9275" s="17"/>
    </row>
    <row r="9276" spans="12:17" x14ac:dyDescent="0.3">
      <c r="L9276" s="25"/>
      <c r="Q9276" s="17"/>
    </row>
    <row r="9277" spans="12:17" x14ac:dyDescent="0.3">
      <c r="L9277" s="25"/>
      <c r="Q9277" s="17"/>
    </row>
    <row r="9278" spans="12:17" x14ac:dyDescent="0.3">
      <c r="L9278" s="25"/>
      <c r="Q9278" s="17"/>
    </row>
    <row r="9279" spans="12:17" x14ac:dyDescent="0.3">
      <c r="L9279" s="25"/>
      <c r="Q9279" s="17"/>
    </row>
    <row r="9280" spans="12:17" x14ac:dyDescent="0.3">
      <c r="L9280" s="25"/>
      <c r="Q9280" s="17"/>
    </row>
    <row r="9281" spans="12:17" x14ac:dyDescent="0.3">
      <c r="L9281" s="25"/>
      <c r="Q9281" s="17"/>
    </row>
    <row r="9282" spans="12:17" x14ac:dyDescent="0.3">
      <c r="L9282" s="25"/>
      <c r="Q9282" s="17"/>
    </row>
    <row r="9283" spans="12:17" x14ac:dyDescent="0.3">
      <c r="L9283" s="25"/>
      <c r="Q9283" s="17"/>
    </row>
    <row r="9284" spans="12:17" x14ac:dyDescent="0.3">
      <c r="L9284" s="25"/>
      <c r="Q9284" s="17"/>
    </row>
    <row r="9285" spans="12:17" x14ac:dyDescent="0.3">
      <c r="L9285" s="25"/>
      <c r="Q9285" s="17"/>
    </row>
    <row r="9286" spans="12:17" x14ac:dyDescent="0.3">
      <c r="L9286" s="25"/>
      <c r="Q9286" s="17"/>
    </row>
    <row r="9287" spans="12:17" x14ac:dyDescent="0.3">
      <c r="L9287" s="25"/>
      <c r="Q9287" s="17"/>
    </row>
    <row r="9288" spans="12:17" x14ac:dyDescent="0.3">
      <c r="L9288" s="25"/>
      <c r="Q9288" s="17"/>
    </row>
    <row r="9289" spans="12:17" x14ac:dyDescent="0.3">
      <c r="L9289" s="25"/>
      <c r="Q9289" s="17"/>
    </row>
    <row r="9290" spans="12:17" x14ac:dyDescent="0.3">
      <c r="L9290" s="25"/>
      <c r="Q9290" s="17"/>
    </row>
    <row r="9291" spans="12:17" x14ac:dyDescent="0.3">
      <c r="L9291" s="25"/>
      <c r="Q9291" s="17"/>
    </row>
    <row r="9292" spans="12:17" x14ac:dyDescent="0.3">
      <c r="L9292" s="25"/>
      <c r="Q9292" s="17"/>
    </row>
    <row r="9293" spans="12:17" x14ac:dyDescent="0.3">
      <c r="L9293" s="25"/>
      <c r="Q9293" s="17"/>
    </row>
    <row r="9294" spans="12:17" x14ac:dyDescent="0.3">
      <c r="L9294" s="25"/>
      <c r="Q9294" s="17"/>
    </row>
    <row r="9295" spans="12:17" x14ac:dyDescent="0.3">
      <c r="L9295" s="25"/>
      <c r="Q9295" s="17"/>
    </row>
    <row r="9296" spans="12:17" x14ac:dyDescent="0.3">
      <c r="L9296" s="25"/>
      <c r="Q9296" s="17"/>
    </row>
    <row r="9297" spans="12:17" x14ac:dyDescent="0.3">
      <c r="L9297" s="25"/>
      <c r="Q9297" s="17"/>
    </row>
    <row r="9298" spans="12:17" x14ac:dyDescent="0.3">
      <c r="L9298" s="25"/>
      <c r="Q9298" s="17"/>
    </row>
    <row r="9299" spans="12:17" x14ac:dyDescent="0.3">
      <c r="L9299" s="25"/>
      <c r="Q9299" s="17"/>
    </row>
    <row r="9300" spans="12:17" x14ac:dyDescent="0.3">
      <c r="L9300" s="25"/>
      <c r="Q9300" s="17"/>
    </row>
    <row r="9301" spans="12:17" x14ac:dyDescent="0.3">
      <c r="L9301" s="25"/>
      <c r="Q9301" s="17"/>
    </row>
    <row r="9302" spans="12:17" x14ac:dyDescent="0.3">
      <c r="L9302" s="25"/>
      <c r="Q9302" s="17"/>
    </row>
    <row r="9303" spans="12:17" x14ac:dyDescent="0.3">
      <c r="L9303" s="25"/>
      <c r="Q9303" s="17"/>
    </row>
    <row r="9304" spans="12:17" x14ac:dyDescent="0.3">
      <c r="L9304" s="25"/>
      <c r="Q9304" s="17"/>
    </row>
    <row r="9305" spans="12:17" x14ac:dyDescent="0.3">
      <c r="L9305" s="25"/>
      <c r="Q9305" s="17"/>
    </row>
    <row r="9306" spans="12:17" x14ac:dyDescent="0.3">
      <c r="L9306" s="25"/>
      <c r="Q9306" s="17"/>
    </row>
    <row r="9307" spans="12:17" x14ac:dyDescent="0.3">
      <c r="L9307" s="25"/>
      <c r="Q9307" s="17"/>
    </row>
    <row r="9308" spans="12:17" x14ac:dyDescent="0.3">
      <c r="L9308" s="25"/>
      <c r="Q9308" s="17"/>
    </row>
    <row r="9309" spans="12:17" x14ac:dyDescent="0.3">
      <c r="L9309" s="25"/>
      <c r="Q9309" s="17"/>
    </row>
    <row r="9310" spans="12:17" x14ac:dyDescent="0.3">
      <c r="L9310" s="25"/>
      <c r="Q9310" s="17"/>
    </row>
    <row r="9311" spans="12:17" x14ac:dyDescent="0.3">
      <c r="L9311" s="25"/>
      <c r="Q9311" s="17"/>
    </row>
    <row r="9312" spans="12:17" x14ac:dyDescent="0.3">
      <c r="L9312" s="25"/>
      <c r="Q9312" s="17"/>
    </row>
    <row r="9313" spans="12:17" x14ac:dyDescent="0.3">
      <c r="L9313" s="25"/>
      <c r="Q9313" s="17"/>
    </row>
    <row r="9314" spans="12:17" x14ac:dyDescent="0.3">
      <c r="L9314" s="25"/>
      <c r="Q9314" s="17"/>
    </row>
    <row r="9315" spans="12:17" x14ac:dyDescent="0.3">
      <c r="L9315" s="25"/>
      <c r="Q9315" s="17"/>
    </row>
    <row r="9316" spans="12:17" x14ac:dyDescent="0.3">
      <c r="L9316" s="25"/>
      <c r="Q9316" s="17"/>
    </row>
    <row r="9317" spans="12:17" x14ac:dyDescent="0.3">
      <c r="L9317" s="25"/>
      <c r="Q9317" s="17"/>
    </row>
    <row r="9318" spans="12:17" x14ac:dyDescent="0.3">
      <c r="L9318" s="25"/>
      <c r="Q9318" s="17"/>
    </row>
    <row r="9319" spans="12:17" x14ac:dyDescent="0.3">
      <c r="L9319" s="25"/>
      <c r="Q9319" s="17"/>
    </row>
    <row r="9320" spans="12:17" x14ac:dyDescent="0.3">
      <c r="L9320" s="25"/>
      <c r="Q9320" s="17"/>
    </row>
    <row r="9321" spans="12:17" x14ac:dyDescent="0.3">
      <c r="L9321" s="25"/>
      <c r="Q9321" s="17"/>
    </row>
    <row r="9322" spans="12:17" x14ac:dyDescent="0.3">
      <c r="L9322" s="25"/>
      <c r="Q9322" s="17"/>
    </row>
    <row r="9323" spans="12:17" x14ac:dyDescent="0.3">
      <c r="L9323" s="25"/>
      <c r="Q9323" s="17"/>
    </row>
    <row r="9324" spans="12:17" x14ac:dyDescent="0.3">
      <c r="L9324" s="25"/>
      <c r="Q9324" s="17"/>
    </row>
    <row r="9325" spans="12:17" x14ac:dyDescent="0.3">
      <c r="L9325" s="25"/>
      <c r="Q9325" s="17"/>
    </row>
    <row r="9326" spans="12:17" x14ac:dyDescent="0.3">
      <c r="L9326" s="25"/>
      <c r="Q9326" s="17"/>
    </row>
    <row r="9327" spans="12:17" x14ac:dyDescent="0.3">
      <c r="L9327" s="25"/>
      <c r="Q9327" s="17"/>
    </row>
    <row r="9328" spans="12:17" x14ac:dyDescent="0.3">
      <c r="L9328" s="25"/>
      <c r="Q9328" s="17"/>
    </row>
    <row r="9329" spans="12:17" x14ac:dyDescent="0.3">
      <c r="L9329" s="25"/>
      <c r="Q9329" s="17"/>
    </row>
    <row r="9330" spans="12:17" x14ac:dyDescent="0.3">
      <c r="L9330" s="25"/>
      <c r="Q9330" s="17"/>
    </row>
    <row r="9331" spans="12:17" x14ac:dyDescent="0.3">
      <c r="L9331" s="25"/>
      <c r="Q9331" s="17"/>
    </row>
    <row r="9332" spans="12:17" x14ac:dyDescent="0.3">
      <c r="L9332" s="25"/>
      <c r="Q9332" s="17"/>
    </row>
    <row r="9333" spans="12:17" x14ac:dyDescent="0.3">
      <c r="L9333" s="25"/>
      <c r="Q9333" s="17"/>
    </row>
    <row r="9334" spans="12:17" x14ac:dyDescent="0.3">
      <c r="L9334" s="25"/>
      <c r="Q9334" s="17"/>
    </row>
    <row r="9335" spans="12:17" x14ac:dyDescent="0.3">
      <c r="L9335" s="25"/>
      <c r="Q9335" s="17"/>
    </row>
    <row r="9336" spans="12:17" x14ac:dyDescent="0.3">
      <c r="L9336" s="25"/>
      <c r="Q9336" s="17"/>
    </row>
    <row r="9337" spans="12:17" x14ac:dyDescent="0.3">
      <c r="L9337" s="25"/>
      <c r="Q9337" s="17"/>
    </row>
    <row r="9338" spans="12:17" x14ac:dyDescent="0.3">
      <c r="L9338" s="25"/>
      <c r="Q9338" s="17"/>
    </row>
    <row r="9339" spans="12:17" x14ac:dyDescent="0.3">
      <c r="L9339" s="25"/>
      <c r="Q9339" s="17"/>
    </row>
    <row r="9340" spans="12:17" x14ac:dyDescent="0.3">
      <c r="L9340" s="25"/>
      <c r="Q9340" s="17"/>
    </row>
    <row r="9341" spans="12:17" x14ac:dyDescent="0.3">
      <c r="L9341" s="25"/>
      <c r="Q9341" s="17"/>
    </row>
    <row r="9342" spans="12:17" x14ac:dyDescent="0.3">
      <c r="L9342" s="25"/>
      <c r="Q9342" s="17"/>
    </row>
    <row r="9343" spans="12:17" x14ac:dyDescent="0.3">
      <c r="L9343" s="25"/>
      <c r="Q9343" s="17"/>
    </row>
    <row r="9344" spans="12:17" x14ac:dyDescent="0.3">
      <c r="L9344" s="25"/>
      <c r="Q9344" s="17"/>
    </row>
    <row r="9345" spans="12:17" x14ac:dyDescent="0.3">
      <c r="L9345" s="25"/>
      <c r="Q9345" s="17"/>
    </row>
    <row r="9346" spans="12:17" x14ac:dyDescent="0.3">
      <c r="L9346" s="25"/>
      <c r="Q9346" s="17"/>
    </row>
    <row r="9347" spans="12:17" x14ac:dyDescent="0.3">
      <c r="L9347" s="25"/>
      <c r="Q9347" s="17"/>
    </row>
    <row r="9348" spans="12:17" x14ac:dyDescent="0.3">
      <c r="L9348" s="25"/>
      <c r="Q9348" s="17"/>
    </row>
    <row r="9349" spans="12:17" x14ac:dyDescent="0.3">
      <c r="L9349" s="25"/>
      <c r="Q9349" s="17"/>
    </row>
    <row r="9350" spans="12:17" x14ac:dyDescent="0.3">
      <c r="L9350" s="25"/>
      <c r="Q9350" s="17"/>
    </row>
    <row r="9351" spans="12:17" x14ac:dyDescent="0.3">
      <c r="L9351" s="25"/>
      <c r="Q9351" s="17"/>
    </row>
    <row r="9352" spans="12:17" x14ac:dyDescent="0.3">
      <c r="L9352" s="25"/>
      <c r="Q9352" s="17"/>
    </row>
    <row r="9353" spans="12:17" x14ac:dyDescent="0.3">
      <c r="L9353" s="25"/>
      <c r="Q9353" s="17"/>
    </row>
    <row r="9354" spans="12:17" x14ac:dyDescent="0.3">
      <c r="L9354" s="25"/>
      <c r="Q9354" s="17"/>
    </row>
    <row r="9355" spans="12:17" x14ac:dyDescent="0.3">
      <c r="L9355" s="25"/>
      <c r="Q9355" s="17"/>
    </row>
    <row r="9356" spans="12:17" x14ac:dyDescent="0.3">
      <c r="L9356" s="25"/>
      <c r="Q9356" s="17"/>
    </row>
    <row r="9357" spans="12:17" x14ac:dyDescent="0.3">
      <c r="L9357" s="25"/>
      <c r="Q9357" s="17"/>
    </row>
    <row r="9358" spans="12:17" x14ac:dyDescent="0.3">
      <c r="L9358" s="25"/>
      <c r="Q9358" s="17"/>
    </row>
    <row r="9359" spans="12:17" x14ac:dyDescent="0.3">
      <c r="L9359" s="25"/>
      <c r="Q9359" s="17"/>
    </row>
    <row r="9360" spans="12:17" x14ac:dyDescent="0.3">
      <c r="L9360" s="25"/>
      <c r="Q9360" s="17"/>
    </row>
    <row r="9361" spans="12:17" x14ac:dyDescent="0.3">
      <c r="L9361" s="25"/>
      <c r="Q9361" s="17"/>
    </row>
    <row r="9362" spans="12:17" x14ac:dyDescent="0.3">
      <c r="L9362" s="25"/>
      <c r="Q9362" s="17"/>
    </row>
    <row r="9363" spans="12:17" x14ac:dyDescent="0.3">
      <c r="L9363" s="25"/>
      <c r="Q9363" s="17"/>
    </row>
    <row r="9364" spans="12:17" x14ac:dyDescent="0.3">
      <c r="L9364" s="25"/>
      <c r="Q9364" s="17"/>
    </row>
    <row r="9365" spans="12:17" x14ac:dyDescent="0.3">
      <c r="L9365" s="25"/>
      <c r="Q9365" s="17"/>
    </row>
    <row r="9366" spans="12:17" x14ac:dyDescent="0.3">
      <c r="L9366" s="25"/>
      <c r="Q9366" s="17"/>
    </row>
    <row r="9367" spans="12:17" x14ac:dyDescent="0.3">
      <c r="L9367" s="25"/>
      <c r="Q9367" s="17"/>
    </row>
    <row r="9368" spans="12:17" x14ac:dyDescent="0.3">
      <c r="L9368" s="25"/>
      <c r="Q9368" s="17"/>
    </row>
    <row r="9369" spans="12:17" x14ac:dyDescent="0.3">
      <c r="L9369" s="25"/>
      <c r="Q9369" s="17"/>
    </row>
    <row r="9370" spans="12:17" x14ac:dyDescent="0.3">
      <c r="L9370" s="25"/>
      <c r="Q9370" s="17"/>
    </row>
    <row r="9371" spans="12:17" x14ac:dyDescent="0.3">
      <c r="L9371" s="25"/>
      <c r="Q9371" s="17"/>
    </row>
    <row r="9372" spans="12:17" x14ac:dyDescent="0.3">
      <c r="L9372" s="25"/>
      <c r="Q9372" s="17"/>
    </row>
    <row r="9373" spans="12:17" x14ac:dyDescent="0.3">
      <c r="L9373" s="25"/>
      <c r="Q9373" s="17"/>
    </row>
    <row r="9374" spans="12:17" x14ac:dyDescent="0.3">
      <c r="L9374" s="25"/>
      <c r="Q9374" s="17"/>
    </row>
    <row r="9375" spans="12:17" x14ac:dyDescent="0.3">
      <c r="L9375" s="25"/>
      <c r="Q9375" s="17"/>
    </row>
    <row r="9376" spans="12:17" x14ac:dyDescent="0.3">
      <c r="L9376" s="25"/>
      <c r="Q9376" s="17"/>
    </row>
    <row r="9377" spans="12:17" x14ac:dyDescent="0.3">
      <c r="L9377" s="25"/>
      <c r="Q9377" s="17"/>
    </row>
    <row r="9378" spans="12:17" x14ac:dyDescent="0.3">
      <c r="L9378" s="25"/>
      <c r="Q9378" s="17"/>
    </row>
    <row r="9379" spans="12:17" x14ac:dyDescent="0.3">
      <c r="L9379" s="25"/>
      <c r="Q9379" s="17"/>
    </row>
    <row r="9380" spans="12:17" x14ac:dyDescent="0.3">
      <c r="L9380" s="25"/>
      <c r="Q9380" s="17"/>
    </row>
    <row r="9381" spans="12:17" x14ac:dyDescent="0.3">
      <c r="L9381" s="25"/>
      <c r="Q9381" s="17"/>
    </row>
    <row r="9382" spans="12:17" x14ac:dyDescent="0.3">
      <c r="L9382" s="25"/>
      <c r="Q9382" s="17"/>
    </row>
    <row r="9383" spans="12:17" x14ac:dyDescent="0.3">
      <c r="L9383" s="25"/>
      <c r="Q9383" s="17"/>
    </row>
    <row r="9384" spans="12:17" x14ac:dyDescent="0.3">
      <c r="L9384" s="25"/>
      <c r="Q9384" s="17"/>
    </row>
    <row r="9385" spans="12:17" x14ac:dyDescent="0.3">
      <c r="L9385" s="25"/>
      <c r="Q9385" s="17"/>
    </row>
    <row r="9386" spans="12:17" x14ac:dyDescent="0.3">
      <c r="L9386" s="25"/>
      <c r="Q9386" s="17"/>
    </row>
    <row r="9387" spans="12:17" x14ac:dyDescent="0.3">
      <c r="L9387" s="25"/>
      <c r="Q9387" s="17"/>
    </row>
    <row r="9388" spans="12:17" x14ac:dyDescent="0.3">
      <c r="L9388" s="25"/>
      <c r="Q9388" s="17"/>
    </row>
    <row r="9389" spans="12:17" x14ac:dyDescent="0.3">
      <c r="L9389" s="25"/>
      <c r="Q9389" s="17"/>
    </row>
    <row r="9390" spans="12:17" x14ac:dyDescent="0.3">
      <c r="L9390" s="25"/>
      <c r="Q9390" s="17"/>
    </row>
    <row r="9391" spans="12:17" x14ac:dyDescent="0.3">
      <c r="L9391" s="25"/>
      <c r="Q9391" s="17"/>
    </row>
    <row r="9392" spans="12:17" x14ac:dyDescent="0.3">
      <c r="L9392" s="25"/>
      <c r="Q9392" s="17"/>
    </row>
    <row r="9393" spans="12:17" x14ac:dyDescent="0.3">
      <c r="L9393" s="25"/>
      <c r="Q9393" s="17"/>
    </row>
    <row r="9394" spans="12:17" x14ac:dyDescent="0.3">
      <c r="L9394" s="25"/>
      <c r="Q9394" s="17"/>
    </row>
    <row r="9395" spans="12:17" x14ac:dyDescent="0.3">
      <c r="L9395" s="25"/>
      <c r="Q9395" s="17"/>
    </row>
    <row r="9396" spans="12:17" x14ac:dyDescent="0.3">
      <c r="L9396" s="25"/>
      <c r="Q9396" s="17"/>
    </row>
    <row r="9397" spans="12:17" x14ac:dyDescent="0.3">
      <c r="L9397" s="25"/>
      <c r="Q9397" s="17"/>
    </row>
    <row r="9398" spans="12:17" x14ac:dyDescent="0.3">
      <c r="L9398" s="25"/>
      <c r="Q9398" s="17"/>
    </row>
    <row r="9399" spans="12:17" x14ac:dyDescent="0.3">
      <c r="L9399" s="25"/>
      <c r="Q9399" s="17"/>
    </row>
    <row r="9400" spans="12:17" x14ac:dyDescent="0.3">
      <c r="L9400" s="25"/>
      <c r="Q9400" s="17"/>
    </row>
    <row r="9401" spans="12:17" x14ac:dyDescent="0.3">
      <c r="L9401" s="25"/>
      <c r="Q9401" s="17"/>
    </row>
    <row r="9402" spans="12:17" x14ac:dyDescent="0.3">
      <c r="L9402" s="25"/>
      <c r="Q9402" s="17"/>
    </row>
    <row r="9403" spans="12:17" x14ac:dyDescent="0.3">
      <c r="L9403" s="25"/>
      <c r="Q9403" s="17"/>
    </row>
    <row r="9404" spans="12:17" x14ac:dyDescent="0.3">
      <c r="L9404" s="25"/>
      <c r="Q9404" s="17"/>
    </row>
    <row r="9405" spans="12:17" x14ac:dyDescent="0.3">
      <c r="L9405" s="25"/>
      <c r="Q9405" s="17"/>
    </row>
    <row r="9406" spans="12:17" x14ac:dyDescent="0.3">
      <c r="L9406" s="25"/>
      <c r="Q9406" s="17"/>
    </row>
    <row r="9407" spans="12:17" x14ac:dyDescent="0.3">
      <c r="L9407" s="25"/>
      <c r="Q9407" s="17"/>
    </row>
    <row r="9408" spans="12:17" x14ac:dyDescent="0.3">
      <c r="L9408" s="25"/>
      <c r="Q9408" s="17"/>
    </row>
    <row r="9409" spans="12:17" x14ac:dyDescent="0.3">
      <c r="L9409" s="25"/>
      <c r="Q9409" s="17"/>
    </row>
    <row r="9410" spans="12:17" x14ac:dyDescent="0.3">
      <c r="L9410" s="25"/>
      <c r="Q9410" s="17"/>
    </row>
    <row r="9411" spans="12:17" x14ac:dyDescent="0.3">
      <c r="L9411" s="25"/>
      <c r="Q9411" s="17"/>
    </row>
    <row r="9412" spans="12:17" x14ac:dyDescent="0.3">
      <c r="L9412" s="25"/>
      <c r="Q9412" s="17"/>
    </row>
    <row r="9413" spans="12:17" x14ac:dyDescent="0.3">
      <c r="L9413" s="25"/>
      <c r="Q9413" s="17"/>
    </row>
    <row r="9414" spans="12:17" x14ac:dyDescent="0.3">
      <c r="L9414" s="25"/>
      <c r="Q9414" s="17"/>
    </row>
    <row r="9415" spans="12:17" x14ac:dyDescent="0.3">
      <c r="L9415" s="25"/>
      <c r="Q9415" s="17"/>
    </row>
    <row r="9416" spans="12:17" x14ac:dyDescent="0.3">
      <c r="L9416" s="25"/>
      <c r="Q9416" s="17"/>
    </row>
    <row r="9417" spans="12:17" x14ac:dyDescent="0.3">
      <c r="L9417" s="25"/>
      <c r="Q9417" s="17"/>
    </row>
    <row r="9418" spans="12:17" x14ac:dyDescent="0.3">
      <c r="L9418" s="25"/>
      <c r="Q9418" s="17"/>
    </row>
    <row r="9419" spans="12:17" x14ac:dyDescent="0.3">
      <c r="L9419" s="25"/>
      <c r="Q9419" s="17"/>
    </row>
    <row r="9420" spans="12:17" x14ac:dyDescent="0.3">
      <c r="L9420" s="25"/>
      <c r="Q9420" s="17"/>
    </row>
    <row r="9421" spans="12:17" x14ac:dyDescent="0.3">
      <c r="L9421" s="25"/>
      <c r="Q9421" s="17"/>
    </row>
    <row r="9422" spans="12:17" x14ac:dyDescent="0.3">
      <c r="L9422" s="25"/>
      <c r="Q9422" s="17"/>
    </row>
    <row r="9423" spans="12:17" x14ac:dyDescent="0.3">
      <c r="L9423" s="25"/>
      <c r="Q9423" s="17"/>
    </row>
    <row r="9424" spans="12:17" x14ac:dyDescent="0.3">
      <c r="L9424" s="25"/>
      <c r="Q9424" s="17"/>
    </row>
    <row r="9425" spans="12:17" x14ac:dyDescent="0.3">
      <c r="L9425" s="25"/>
      <c r="Q9425" s="17"/>
    </row>
    <row r="9426" spans="12:17" x14ac:dyDescent="0.3">
      <c r="L9426" s="25"/>
      <c r="Q9426" s="17"/>
    </row>
    <row r="9427" spans="12:17" x14ac:dyDescent="0.3">
      <c r="L9427" s="25"/>
      <c r="Q9427" s="17"/>
    </row>
    <row r="9428" spans="12:17" x14ac:dyDescent="0.3">
      <c r="L9428" s="25"/>
      <c r="Q9428" s="17"/>
    </row>
    <row r="9429" spans="12:17" x14ac:dyDescent="0.3">
      <c r="L9429" s="25"/>
      <c r="Q9429" s="17"/>
    </row>
    <row r="9430" spans="12:17" x14ac:dyDescent="0.3">
      <c r="L9430" s="25"/>
      <c r="Q9430" s="17"/>
    </row>
    <row r="9431" spans="12:17" x14ac:dyDescent="0.3">
      <c r="L9431" s="25"/>
      <c r="Q9431" s="17"/>
    </row>
    <row r="9432" spans="12:17" x14ac:dyDescent="0.3">
      <c r="L9432" s="25"/>
      <c r="Q9432" s="17"/>
    </row>
    <row r="9433" spans="12:17" x14ac:dyDescent="0.3">
      <c r="L9433" s="25"/>
      <c r="Q9433" s="17"/>
    </row>
    <row r="9434" spans="12:17" x14ac:dyDescent="0.3">
      <c r="L9434" s="25"/>
      <c r="Q9434" s="17"/>
    </row>
    <row r="9435" spans="12:17" x14ac:dyDescent="0.3">
      <c r="L9435" s="25"/>
      <c r="Q9435" s="17"/>
    </row>
    <row r="9436" spans="12:17" x14ac:dyDescent="0.3">
      <c r="L9436" s="25"/>
      <c r="Q9436" s="17"/>
    </row>
    <row r="9437" spans="12:17" x14ac:dyDescent="0.3">
      <c r="L9437" s="25"/>
      <c r="Q9437" s="17"/>
    </row>
    <row r="9438" spans="12:17" x14ac:dyDescent="0.3">
      <c r="L9438" s="25"/>
      <c r="Q9438" s="17"/>
    </row>
    <row r="9439" spans="12:17" x14ac:dyDescent="0.3">
      <c r="L9439" s="25"/>
      <c r="Q9439" s="17"/>
    </row>
    <row r="9440" spans="12:17" x14ac:dyDescent="0.3">
      <c r="L9440" s="25"/>
      <c r="Q9440" s="17"/>
    </row>
    <row r="9441" spans="12:17" x14ac:dyDescent="0.3">
      <c r="L9441" s="25"/>
      <c r="Q9441" s="17"/>
    </row>
    <row r="9442" spans="12:17" x14ac:dyDescent="0.3">
      <c r="L9442" s="25"/>
      <c r="Q9442" s="17"/>
    </row>
    <row r="9443" spans="12:17" x14ac:dyDescent="0.3">
      <c r="L9443" s="25"/>
      <c r="Q9443" s="17"/>
    </row>
    <row r="9444" spans="12:17" x14ac:dyDescent="0.3">
      <c r="L9444" s="25"/>
      <c r="Q9444" s="17"/>
    </row>
    <row r="9445" spans="12:17" x14ac:dyDescent="0.3">
      <c r="L9445" s="25"/>
      <c r="Q9445" s="17"/>
    </row>
    <row r="9446" spans="12:17" x14ac:dyDescent="0.3">
      <c r="L9446" s="25"/>
      <c r="Q9446" s="17"/>
    </row>
    <row r="9447" spans="12:17" x14ac:dyDescent="0.3">
      <c r="L9447" s="25"/>
      <c r="Q9447" s="17"/>
    </row>
    <row r="9448" spans="12:17" x14ac:dyDescent="0.3">
      <c r="L9448" s="25"/>
      <c r="Q9448" s="17"/>
    </row>
    <row r="9449" spans="12:17" x14ac:dyDescent="0.3">
      <c r="L9449" s="25"/>
      <c r="Q9449" s="17"/>
    </row>
    <row r="9450" spans="12:17" x14ac:dyDescent="0.3">
      <c r="L9450" s="25"/>
      <c r="Q9450" s="17"/>
    </row>
    <row r="9451" spans="12:17" x14ac:dyDescent="0.3">
      <c r="L9451" s="25"/>
      <c r="Q9451" s="17"/>
    </row>
    <row r="9452" spans="12:17" x14ac:dyDescent="0.3">
      <c r="L9452" s="25"/>
      <c r="Q9452" s="17"/>
    </row>
    <row r="9453" spans="12:17" x14ac:dyDescent="0.3">
      <c r="L9453" s="25"/>
      <c r="Q9453" s="17"/>
    </row>
    <row r="9454" spans="12:17" x14ac:dyDescent="0.3">
      <c r="L9454" s="25"/>
      <c r="Q9454" s="17"/>
    </row>
    <row r="9455" spans="12:17" x14ac:dyDescent="0.3">
      <c r="L9455" s="25"/>
      <c r="Q9455" s="17"/>
    </row>
    <row r="9456" spans="12:17" x14ac:dyDescent="0.3">
      <c r="L9456" s="25"/>
      <c r="Q9456" s="17"/>
    </row>
    <row r="9457" spans="12:17" x14ac:dyDescent="0.3">
      <c r="L9457" s="25"/>
      <c r="Q9457" s="17"/>
    </row>
    <row r="9458" spans="12:17" x14ac:dyDescent="0.3">
      <c r="L9458" s="25"/>
      <c r="Q9458" s="17"/>
    </row>
    <row r="9459" spans="12:17" x14ac:dyDescent="0.3">
      <c r="L9459" s="25"/>
      <c r="Q9459" s="17"/>
    </row>
    <row r="9460" spans="12:17" x14ac:dyDescent="0.3">
      <c r="L9460" s="25"/>
      <c r="Q9460" s="17"/>
    </row>
    <row r="9461" spans="12:17" x14ac:dyDescent="0.3">
      <c r="L9461" s="25"/>
      <c r="Q9461" s="17"/>
    </row>
    <row r="9462" spans="12:17" x14ac:dyDescent="0.3">
      <c r="L9462" s="25"/>
      <c r="Q9462" s="17"/>
    </row>
    <row r="9463" spans="12:17" x14ac:dyDescent="0.3">
      <c r="L9463" s="25"/>
      <c r="Q9463" s="17"/>
    </row>
    <row r="9464" spans="12:17" x14ac:dyDescent="0.3">
      <c r="L9464" s="25"/>
      <c r="Q9464" s="17"/>
    </row>
    <row r="9465" spans="12:17" x14ac:dyDescent="0.3">
      <c r="L9465" s="25"/>
      <c r="Q9465" s="17"/>
    </row>
    <row r="9466" spans="12:17" x14ac:dyDescent="0.3">
      <c r="L9466" s="25"/>
      <c r="Q9466" s="17"/>
    </row>
    <row r="9467" spans="12:17" x14ac:dyDescent="0.3">
      <c r="L9467" s="25"/>
      <c r="Q9467" s="17"/>
    </row>
    <row r="9468" spans="12:17" x14ac:dyDescent="0.3">
      <c r="L9468" s="25"/>
      <c r="Q9468" s="17"/>
    </row>
    <row r="9469" spans="12:17" x14ac:dyDescent="0.3">
      <c r="L9469" s="25"/>
      <c r="Q9469" s="17"/>
    </row>
    <row r="9470" spans="12:17" x14ac:dyDescent="0.3">
      <c r="L9470" s="25"/>
      <c r="Q9470" s="17"/>
    </row>
    <row r="9471" spans="12:17" x14ac:dyDescent="0.3">
      <c r="L9471" s="25"/>
      <c r="Q9471" s="17"/>
    </row>
    <row r="9472" spans="12:17" x14ac:dyDescent="0.3">
      <c r="L9472" s="25"/>
      <c r="Q9472" s="17"/>
    </row>
    <row r="9473" spans="12:17" x14ac:dyDescent="0.3">
      <c r="L9473" s="25"/>
      <c r="Q9473" s="17"/>
    </row>
    <row r="9474" spans="12:17" x14ac:dyDescent="0.3">
      <c r="L9474" s="25"/>
      <c r="Q9474" s="17"/>
    </row>
    <row r="9475" spans="12:17" x14ac:dyDescent="0.3">
      <c r="L9475" s="25"/>
      <c r="Q9475" s="17"/>
    </row>
    <row r="9476" spans="12:17" x14ac:dyDescent="0.3">
      <c r="L9476" s="25"/>
      <c r="Q9476" s="17"/>
    </row>
    <row r="9477" spans="12:17" x14ac:dyDescent="0.3">
      <c r="L9477" s="25"/>
      <c r="Q9477" s="17"/>
    </row>
    <row r="9478" spans="12:17" x14ac:dyDescent="0.3">
      <c r="L9478" s="25"/>
      <c r="Q9478" s="17"/>
    </row>
    <row r="9479" spans="12:17" x14ac:dyDescent="0.3">
      <c r="L9479" s="25"/>
      <c r="Q9479" s="17"/>
    </row>
    <row r="9480" spans="12:17" x14ac:dyDescent="0.3">
      <c r="L9480" s="25"/>
      <c r="Q9480" s="17"/>
    </row>
    <row r="9481" spans="12:17" x14ac:dyDescent="0.3">
      <c r="L9481" s="25"/>
      <c r="Q9481" s="17"/>
    </row>
    <row r="9482" spans="12:17" x14ac:dyDescent="0.3">
      <c r="L9482" s="25"/>
      <c r="Q9482" s="17"/>
    </row>
    <row r="9483" spans="12:17" x14ac:dyDescent="0.3">
      <c r="L9483" s="25"/>
      <c r="Q9483" s="17"/>
    </row>
    <row r="9484" spans="12:17" x14ac:dyDescent="0.3">
      <c r="L9484" s="25"/>
      <c r="Q9484" s="17"/>
    </row>
    <row r="9485" spans="12:17" x14ac:dyDescent="0.3">
      <c r="L9485" s="25"/>
      <c r="Q9485" s="17"/>
    </row>
    <row r="9486" spans="12:17" x14ac:dyDescent="0.3">
      <c r="L9486" s="25"/>
      <c r="Q9486" s="17"/>
    </row>
    <row r="9487" spans="12:17" x14ac:dyDescent="0.3">
      <c r="L9487" s="25"/>
      <c r="Q9487" s="17"/>
    </row>
    <row r="9488" spans="12:17" x14ac:dyDescent="0.3">
      <c r="L9488" s="25"/>
      <c r="Q9488" s="17"/>
    </row>
    <row r="9489" spans="12:17" x14ac:dyDescent="0.3">
      <c r="L9489" s="25"/>
      <c r="Q9489" s="17"/>
    </row>
    <row r="9490" spans="12:17" x14ac:dyDescent="0.3">
      <c r="L9490" s="25"/>
      <c r="Q9490" s="17"/>
    </row>
    <row r="9491" spans="12:17" x14ac:dyDescent="0.3">
      <c r="L9491" s="25"/>
      <c r="Q9491" s="17"/>
    </row>
    <row r="9492" spans="12:17" x14ac:dyDescent="0.3">
      <c r="L9492" s="25"/>
      <c r="Q9492" s="17"/>
    </row>
    <row r="9493" spans="12:17" x14ac:dyDescent="0.3">
      <c r="L9493" s="25"/>
      <c r="Q9493" s="17"/>
    </row>
    <row r="9494" spans="12:17" x14ac:dyDescent="0.3">
      <c r="L9494" s="25"/>
      <c r="Q9494" s="17"/>
    </row>
    <row r="9495" spans="12:17" x14ac:dyDescent="0.3">
      <c r="L9495" s="25"/>
      <c r="Q9495" s="17"/>
    </row>
    <row r="9496" spans="12:17" x14ac:dyDescent="0.3">
      <c r="L9496" s="25"/>
      <c r="Q9496" s="17"/>
    </row>
    <row r="9497" spans="12:17" x14ac:dyDescent="0.3">
      <c r="L9497" s="25"/>
      <c r="Q9497" s="17"/>
    </row>
    <row r="9498" spans="12:17" x14ac:dyDescent="0.3">
      <c r="L9498" s="25"/>
      <c r="Q9498" s="17"/>
    </row>
    <row r="9499" spans="12:17" x14ac:dyDescent="0.3">
      <c r="L9499" s="25"/>
      <c r="Q9499" s="17"/>
    </row>
    <row r="9500" spans="12:17" x14ac:dyDescent="0.3">
      <c r="L9500" s="25"/>
      <c r="Q9500" s="17"/>
    </row>
    <row r="9501" spans="12:17" x14ac:dyDescent="0.3">
      <c r="L9501" s="25"/>
      <c r="Q9501" s="17"/>
    </row>
    <row r="9502" spans="12:17" x14ac:dyDescent="0.3">
      <c r="L9502" s="25"/>
      <c r="Q9502" s="17"/>
    </row>
    <row r="9503" spans="12:17" x14ac:dyDescent="0.3">
      <c r="L9503" s="25"/>
      <c r="Q9503" s="17"/>
    </row>
    <row r="9504" spans="12:17" x14ac:dyDescent="0.3">
      <c r="L9504" s="25"/>
      <c r="Q9504" s="17"/>
    </row>
    <row r="9505" spans="12:17" x14ac:dyDescent="0.3">
      <c r="L9505" s="25"/>
      <c r="Q9505" s="17"/>
    </row>
    <row r="9506" spans="12:17" x14ac:dyDescent="0.3">
      <c r="L9506" s="25"/>
      <c r="Q9506" s="17"/>
    </row>
    <row r="9507" spans="12:17" x14ac:dyDescent="0.3">
      <c r="L9507" s="25"/>
      <c r="Q9507" s="17"/>
    </row>
    <row r="9508" spans="12:17" x14ac:dyDescent="0.3">
      <c r="L9508" s="25"/>
      <c r="Q9508" s="17"/>
    </row>
    <row r="9509" spans="12:17" x14ac:dyDescent="0.3">
      <c r="L9509" s="25"/>
      <c r="Q9509" s="17"/>
    </row>
    <row r="9510" spans="12:17" x14ac:dyDescent="0.3">
      <c r="L9510" s="25"/>
      <c r="Q9510" s="17"/>
    </row>
    <row r="9511" spans="12:17" x14ac:dyDescent="0.3">
      <c r="L9511" s="25"/>
      <c r="Q9511" s="17"/>
    </row>
    <row r="9512" spans="12:17" x14ac:dyDescent="0.3">
      <c r="L9512" s="25"/>
      <c r="Q9512" s="17"/>
    </row>
    <row r="9513" spans="12:17" x14ac:dyDescent="0.3">
      <c r="L9513" s="25"/>
      <c r="Q9513" s="17"/>
    </row>
    <row r="9514" spans="12:17" x14ac:dyDescent="0.3">
      <c r="L9514" s="25"/>
      <c r="Q9514" s="17"/>
    </row>
    <row r="9515" spans="12:17" x14ac:dyDescent="0.3">
      <c r="L9515" s="25"/>
      <c r="Q9515" s="17"/>
    </row>
    <row r="9516" spans="12:17" x14ac:dyDescent="0.3">
      <c r="L9516" s="25"/>
      <c r="Q9516" s="17"/>
    </row>
    <row r="9517" spans="12:17" x14ac:dyDescent="0.3">
      <c r="L9517" s="25"/>
      <c r="Q9517" s="17"/>
    </row>
    <row r="9518" spans="12:17" x14ac:dyDescent="0.3">
      <c r="L9518" s="25"/>
      <c r="Q9518" s="17"/>
    </row>
    <row r="9519" spans="12:17" x14ac:dyDescent="0.3">
      <c r="L9519" s="25"/>
      <c r="Q9519" s="17"/>
    </row>
    <row r="9520" spans="12:17" x14ac:dyDescent="0.3">
      <c r="L9520" s="25"/>
      <c r="Q9520" s="17"/>
    </row>
    <row r="9521" spans="12:17" x14ac:dyDescent="0.3">
      <c r="L9521" s="25"/>
      <c r="Q9521" s="17"/>
    </row>
    <row r="9522" spans="12:17" x14ac:dyDescent="0.3">
      <c r="L9522" s="25"/>
      <c r="Q9522" s="17"/>
    </row>
    <row r="9523" spans="12:17" x14ac:dyDescent="0.3">
      <c r="L9523" s="25"/>
      <c r="Q9523" s="17"/>
    </row>
    <row r="9524" spans="12:17" x14ac:dyDescent="0.3">
      <c r="L9524" s="25"/>
      <c r="Q9524" s="17"/>
    </row>
    <row r="9525" spans="12:17" x14ac:dyDescent="0.3">
      <c r="L9525" s="25"/>
      <c r="Q9525" s="17"/>
    </row>
    <row r="9526" spans="12:17" x14ac:dyDescent="0.3">
      <c r="L9526" s="25"/>
      <c r="Q9526" s="17"/>
    </row>
    <row r="9527" spans="12:17" x14ac:dyDescent="0.3">
      <c r="L9527" s="25"/>
      <c r="Q9527" s="17"/>
    </row>
    <row r="9528" spans="12:17" x14ac:dyDescent="0.3">
      <c r="L9528" s="25"/>
      <c r="Q9528" s="17"/>
    </row>
    <row r="9529" spans="12:17" x14ac:dyDescent="0.3">
      <c r="L9529" s="25"/>
      <c r="Q9529" s="17"/>
    </row>
    <row r="9530" spans="12:17" x14ac:dyDescent="0.3">
      <c r="L9530" s="25"/>
      <c r="Q9530" s="17"/>
    </row>
    <row r="9531" spans="12:17" x14ac:dyDescent="0.3">
      <c r="L9531" s="25"/>
      <c r="Q9531" s="17"/>
    </row>
    <row r="9532" spans="12:17" x14ac:dyDescent="0.3">
      <c r="L9532" s="25"/>
      <c r="Q9532" s="17"/>
    </row>
    <row r="9533" spans="12:17" x14ac:dyDescent="0.3">
      <c r="L9533" s="25"/>
      <c r="Q9533" s="17"/>
    </row>
    <row r="9534" spans="12:17" x14ac:dyDescent="0.3">
      <c r="L9534" s="25"/>
      <c r="Q9534" s="17"/>
    </row>
    <row r="9535" spans="12:17" x14ac:dyDescent="0.3">
      <c r="L9535" s="25"/>
      <c r="Q9535" s="17"/>
    </row>
    <row r="9536" spans="12:17" x14ac:dyDescent="0.3">
      <c r="L9536" s="25"/>
      <c r="Q9536" s="17"/>
    </row>
    <row r="9537" spans="12:17" x14ac:dyDescent="0.3">
      <c r="L9537" s="25"/>
      <c r="Q9537" s="17"/>
    </row>
    <row r="9538" spans="12:17" x14ac:dyDescent="0.3">
      <c r="L9538" s="25"/>
      <c r="Q9538" s="17"/>
    </row>
    <row r="9539" spans="12:17" x14ac:dyDescent="0.3">
      <c r="L9539" s="25"/>
      <c r="Q9539" s="17"/>
    </row>
    <row r="9540" spans="12:17" x14ac:dyDescent="0.3">
      <c r="L9540" s="25"/>
      <c r="Q9540" s="17"/>
    </row>
    <row r="9541" spans="12:17" x14ac:dyDescent="0.3">
      <c r="L9541" s="25"/>
      <c r="Q9541" s="17"/>
    </row>
    <row r="9542" spans="12:17" x14ac:dyDescent="0.3">
      <c r="L9542" s="25"/>
      <c r="Q9542" s="17"/>
    </row>
    <row r="9543" spans="12:17" x14ac:dyDescent="0.3">
      <c r="L9543" s="25"/>
      <c r="Q9543" s="17"/>
    </row>
    <row r="9544" spans="12:17" x14ac:dyDescent="0.3">
      <c r="L9544" s="25"/>
      <c r="Q9544" s="17"/>
    </row>
    <row r="9545" spans="12:17" x14ac:dyDescent="0.3">
      <c r="L9545" s="25"/>
      <c r="Q9545" s="17"/>
    </row>
    <row r="9546" spans="12:17" x14ac:dyDescent="0.3">
      <c r="L9546" s="25"/>
      <c r="Q9546" s="17"/>
    </row>
    <row r="9547" spans="12:17" x14ac:dyDescent="0.3">
      <c r="L9547" s="25"/>
      <c r="Q9547" s="17"/>
    </row>
    <row r="9548" spans="12:17" x14ac:dyDescent="0.3">
      <c r="L9548" s="25"/>
      <c r="Q9548" s="17"/>
    </row>
    <row r="9549" spans="12:17" x14ac:dyDescent="0.3">
      <c r="L9549" s="25"/>
      <c r="Q9549" s="17"/>
    </row>
    <row r="9550" spans="12:17" x14ac:dyDescent="0.3">
      <c r="L9550" s="25"/>
      <c r="Q9550" s="17"/>
    </row>
    <row r="9551" spans="12:17" x14ac:dyDescent="0.3">
      <c r="L9551" s="25"/>
      <c r="Q9551" s="17"/>
    </row>
    <row r="9552" spans="12:17" x14ac:dyDescent="0.3">
      <c r="L9552" s="25"/>
      <c r="Q9552" s="17"/>
    </row>
    <row r="9553" spans="12:17" x14ac:dyDescent="0.3">
      <c r="L9553" s="25"/>
      <c r="Q9553" s="17"/>
    </row>
    <row r="9554" spans="12:17" x14ac:dyDescent="0.3">
      <c r="L9554" s="25"/>
      <c r="Q9554" s="17"/>
    </row>
    <row r="9555" spans="12:17" x14ac:dyDescent="0.3">
      <c r="L9555" s="25"/>
      <c r="Q9555" s="17"/>
    </row>
    <row r="9556" spans="12:17" x14ac:dyDescent="0.3">
      <c r="L9556" s="25"/>
      <c r="Q9556" s="17"/>
    </row>
    <row r="9557" spans="12:17" x14ac:dyDescent="0.3">
      <c r="L9557" s="25"/>
      <c r="Q9557" s="17"/>
    </row>
    <row r="9558" spans="12:17" x14ac:dyDescent="0.3">
      <c r="L9558" s="25"/>
      <c r="Q9558" s="17"/>
    </row>
    <row r="9559" spans="12:17" x14ac:dyDescent="0.3">
      <c r="L9559" s="25"/>
      <c r="Q9559" s="17"/>
    </row>
    <row r="9560" spans="12:17" x14ac:dyDescent="0.3">
      <c r="L9560" s="25"/>
      <c r="Q9560" s="17"/>
    </row>
    <row r="9561" spans="12:17" x14ac:dyDescent="0.3">
      <c r="L9561" s="25"/>
      <c r="Q9561" s="17"/>
    </row>
    <row r="9562" spans="12:17" x14ac:dyDescent="0.3">
      <c r="L9562" s="25"/>
      <c r="Q9562" s="17"/>
    </row>
    <row r="9563" spans="12:17" x14ac:dyDescent="0.3">
      <c r="L9563" s="25"/>
      <c r="Q9563" s="17"/>
    </row>
    <row r="9564" spans="12:17" x14ac:dyDescent="0.3">
      <c r="L9564" s="25"/>
      <c r="Q9564" s="17"/>
    </row>
    <row r="9565" spans="12:17" x14ac:dyDescent="0.3">
      <c r="L9565" s="25"/>
      <c r="Q9565" s="17"/>
    </row>
    <row r="9566" spans="12:17" x14ac:dyDescent="0.3">
      <c r="L9566" s="25"/>
      <c r="Q9566" s="17"/>
    </row>
    <row r="9567" spans="12:17" x14ac:dyDescent="0.3">
      <c r="L9567" s="25"/>
      <c r="Q9567" s="17"/>
    </row>
    <row r="9568" spans="12:17" x14ac:dyDescent="0.3">
      <c r="L9568" s="25"/>
      <c r="Q9568" s="17"/>
    </row>
    <row r="9569" spans="12:17" x14ac:dyDescent="0.3">
      <c r="L9569" s="25"/>
      <c r="Q9569" s="17"/>
    </row>
    <row r="9570" spans="12:17" x14ac:dyDescent="0.3">
      <c r="L9570" s="25"/>
      <c r="Q9570" s="17"/>
    </row>
    <row r="9571" spans="12:17" x14ac:dyDescent="0.3">
      <c r="L9571" s="25"/>
      <c r="Q9571" s="17"/>
    </row>
    <row r="9572" spans="12:17" x14ac:dyDescent="0.3">
      <c r="L9572" s="25"/>
      <c r="Q9572" s="17"/>
    </row>
    <row r="9573" spans="12:17" x14ac:dyDescent="0.3">
      <c r="L9573" s="25"/>
      <c r="Q9573" s="17"/>
    </row>
    <row r="9574" spans="12:17" x14ac:dyDescent="0.3">
      <c r="L9574" s="25"/>
      <c r="Q9574" s="17"/>
    </row>
    <row r="9575" spans="12:17" x14ac:dyDescent="0.3">
      <c r="L9575" s="25"/>
      <c r="Q9575" s="17"/>
    </row>
    <row r="9576" spans="12:17" x14ac:dyDescent="0.3">
      <c r="L9576" s="25"/>
      <c r="Q9576" s="17"/>
    </row>
    <row r="9577" spans="12:17" x14ac:dyDescent="0.3">
      <c r="L9577" s="25"/>
      <c r="Q9577" s="17"/>
    </row>
    <row r="9578" spans="12:17" x14ac:dyDescent="0.3">
      <c r="L9578" s="25"/>
      <c r="Q9578" s="17"/>
    </row>
    <row r="9579" spans="12:17" x14ac:dyDescent="0.3">
      <c r="L9579" s="25"/>
      <c r="Q9579" s="17"/>
    </row>
    <row r="9580" spans="12:17" x14ac:dyDescent="0.3">
      <c r="L9580" s="25"/>
      <c r="Q9580" s="17"/>
    </row>
    <row r="9581" spans="12:17" x14ac:dyDescent="0.3">
      <c r="L9581" s="25"/>
      <c r="Q9581" s="17"/>
    </row>
    <row r="9582" spans="12:17" x14ac:dyDescent="0.3">
      <c r="L9582" s="25"/>
      <c r="Q9582" s="17"/>
    </row>
    <row r="9583" spans="12:17" x14ac:dyDescent="0.3">
      <c r="L9583" s="25"/>
      <c r="Q9583" s="17"/>
    </row>
    <row r="9584" spans="12:17" x14ac:dyDescent="0.3">
      <c r="L9584" s="25"/>
      <c r="Q9584" s="17"/>
    </row>
    <row r="9585" spans="12:17" x14ac:dyDescent="0.3">
      <c r="L9585" s="25"/>
      <c r="Q9585" s="17"/>
    </row>
    <row r="9586" spans="12:17" x14ac:dyDescent="0.3">
      <c r="L9586" s="25"/>
      <c r="Q9586" s="17"/>
    </row>
    <row r="9587" spans="12:17" x14ac:dyDescent="0.3">
      <c r="L9587" s="25"/>
      <c r="Q9587" s="17"/>
    </row>
    <row r="9588" spans="12:17" x14ac:dyDescent="0.3">
      <c r="L9588" s="25"/>
      <c r="Q9588" s="17"/>
    </row>
    <row r="9589" spans="12:17" x14ac:dyDescent="0.3">
      <c r="L9589" s="25"/>
      <c r="Q9589" s="17"/>
    </row>
    <row r="9590" spans="12:17" x14ac:dyDescent="0.3">
      <c r="L9590" s="25"/>
      <c r="Q9590" s="17"/>
    </row>
    <row r="9591" spans="12:17" x14ac:dyDescent="0.3">
      <c r="L9591" s="25"/>
      <c r="Q9591" s="17"/>
    </row>
    <row r="9592" spans="12:17" x14ac:dyDescent="0.3">
      <c r="L9592" s="25"/>
      <c r="Q9592" s="17"/>
    </row>
    <row r="9593" spans="12:17" x14ac:dyDescent="0.3">
      <c r="L9593" s="25"/>
      <c r="Q9593" s="17"/>
    </row>
    <row r="9594" spans="12:17" x14ac:dyDescent="0.3">
      <c r="L9594" s="25"/>
      <c r="Q9594" s="17"/>
    </row>
    <row r="9595" spans="12:17" x14ac:dyDescent="0.3">
      <c r="L9595" s="25"/>
      <c r="Q9595" s="17"/>
    </row>
    <row r="9596" spans="12:17" x14ac:dyDescent="0.3">
      <c r="L9596" s="25"/>
      <c r="Q9596" s="17"/>
    </row>
    <row r="9597" spans="12:17" x14ac:dyDescent="0.3">
      <c r="L9597" s="25"/>
      <c r="Q9597" s="17"/>
    </row>
    <row r="9598" spans="12:17" x14ac:dyDescent="0.3">
      <c r="L9598" s="25"/>
      <c r="Q9598" s="17"/>
    </row>
    <row r="9599" spans="12:17" x14ac:dyDescent="0.3">
      <c r="L9599" s="25"/>
      <c r="Q9599" s="17"/>
    </row>
    <row r="9600" spans="12:17" x14ac:dyDescent="0.3">
      <c r="L9600" s="25"/>
      <c r="Q9600" s="17"/>
    </row>
    <row r="9601" spans="12:17" x14ac:dyDescent="0.3">
      <c r="L9601" s="25"/>
      <c r="Q9601" s="17"/>
    </row>
    <row r="9602" spans="12:17" x14ac:dyDescent="0.3">
      <c r="L9602" s="25"/>
      <c r="Q9602" s="17"/>
    </row>
    <row r="9603" spans="12:17" x14ac:dyDescent="0.3">
      <c r="L9603" s="25"/>
      <c r="Q9603" s="17"/>
    </row>
    <row r="9604" spans="12:17" x14ac:dyDescent="0.3">
      <c r="L9604" s="25"/>
      <c r="Q9604" s="17"/>
    </row>
    <row r="9605" spans="12:17" x14ac:dyDescent="0.3">
      <c r="L9605" s="25"/>
      <c r="Q9605" s="17"/>
    </row>
    <row r="9606" spans="12:17" x14ac:dyDescent="0.3">
      <c r="L9606" s="25"/>
      <c r="Q9606" s="17"/>
    </row>
    <row r="9607" spans="12:17" x14ac:dyDescent="0.3">
      <c r="L9607" s="25"/>
      <c r="Q9607" s="17"/>
    </row>
    <row r="9608" spans="12:17" x14ac:dyDescent="0.3">
      <c r="L9608" s="25"/>
      <c r="Q9608" s="17"/>
    </row>
    <row r="9609" spans="12:17" x14ac:dyDescent="0.3">
      <c r="L9609" s="25"/>
      <c r="Q9609" s="17"/>
    </row>
    <row r="9610" spans="12:17" x14ac:dyDescent="0.3">
      <c r="L9610" s="25"/>
      <c r="Q9610" s="17"/>
    </row>
    <row r="9611" spans="12:17" x14ac:dyDescent="0.3">
      <c r="L9611" s="25"/>
      <c r="Q9611" s="17"/>
    </row>
    <row r="9612" spans="12:17" x14ac:dyDescent="0.3">
      <c r="L9612" s="25"/>
      <c r="Q9612" s="17"/>
    </row>
    <row r="9613" spans="12:17" x14ac:dyDescent="0.3">
      <c r="L9613" s="25"/>
      <c r="Q9613" s="17"/>
    </row>
    <row r="9614" spans="12:17" x14ac:dyDescent="0.3">
      <c r="L9614" s="25"/>
      <c r="Q9614" s="17"/>
    </row>
    <row r="9615" spans="12:17" x14ac:dyDescent="0.3">
      <c r="L9615" s="25"/>
      <c r="Q9615" s="17"/>
    </row>
    <row r="9616" spans="12:17" x14ac:dyDescent="0.3">
      <c r="L9616" s="25"/>
      <c r="Q9616" s="17"/>
    </row>
    <row r="9617" spans="12:17" x14ac:dyDescent="0.3">
      <c r="L9617" s="25"/>
      <c r="Q9617" s="17"/>
    </row>
    <row r="9618" spans="12:17" x14ac:dyDescent="0.3">
      <c r="L9618" s="25"/>
      <c r="Q9618" s="17"/>
    </row>
    <row r="9619" spans="12:17" x14ac:dyDescent="0.3">
      <c r="L9619" s="25"/>
      <c r="Q9619" s="17"/>
    </row>
    <row r="9620" spans="12:17" x14ac:dyDescent="0.3">
      <c r="L9620" s="25"/>
      <c r="Q9620" s="17"/>
    </row>
    <row r="9621" spans="12:17" x14ac:dyDescent="0.3">
      <c r="L9621" s="25"/>
      <c r="Q9621" s="17"/>
    </row>
    <row r="9622" spans="12:17" x14ac:dyDescent="0.3">
      <c r="L9622" s="25"/>
      <c r="Q9622" s="17"/>
    </row>
    <row r="9623" spans="12:17" x14ac:dyDescent="0.3">
      <c r="L9623" s="25"/>
      <c r="Q9623" s="17"/>
    </row>
    <row r="9624" spans="12:17" x14ac:dyDescent="0.3">
      <c r="L9624" s="25"/>
      <c r="Q9624" s="17"/>
    </row>
    <row r="9625" spans="12:17" x14ac:dyDescent="0.3">
      <c r="L9625" s="25"/>
      <c r="Q9625" s="17"/>
    </row>
    <row r="9626" spans="12:17" x14ac:dyDescent="0.3">
      <c r="L9626" s="25"/>
      <c r="Q9626" s="17"/>
    </row>
    <row r="9627" spans="12:17" x14ac:dyDescent="0.3">
      <c r="L9627" s="25"/>
      <c r="Q9627" s="17"/>
    </row>
    <row r="9628" spans="12:17" x14ac:dyDescent="0.3">
      <c r="L9628" s="25"/>
      <c r="Q9628" s="17"/>
    </row>
    <row r="9629" spans="12:17" x14ac:dyDescent="0.3">
      <c r="L9629" s="25"/>
      <c r="Q9629" s="17"/>
    </row>
    <row r="9630" spans="12:17" x14ac:dyDescent="0.3">
      <c r="L9630" s="25"/>
      <c r="Q9630" s="17"/>
    </row>
    <row r="9631" spans="12:17" x14ac:dyDescent="0.3">
      <c r="L9631" s="25"/>
      <c r="Q9631" s="17"/>
    </row>
    <row r="9632" spans="12:17" x14ac:dyDescent="0.3">
      <c r="L9632" s="25"/>
      <c r="Q9632" s="17"/>
    </row>
    <row r="9633" spans="12:17" x14ac:dyDescent="0.3">
      <c r="L9633" s="25"/>
      <c r="Q9633" s="17"/>
    </row>
    <row r="9634" spans="12:17" x14ac:dyDescent="0.3">
      <c r="L9634" s="25"/>
      <c r="Q9634" s="17"/>
    </row>
    <row r="9635" spans="12:17" x14ac:dyDescent="0.3">
      <c r="L9635" s="25"/>
      <c r="Q9635" s="17"/>
    </row>
    <row r="9636" spans="12:17" x14ac:dyDescent="0.3">
      <c r="L9636" s="25"/>
      <c r="Q9636" s="17"/>
    </row>
    <row r="9637" spans="12:17" x14ac:dyDescent="0.3">
      <c r="L9637" s="25"/>
      <c r="Q9637" s="17"/>
    </row>
    <row r="9638" spans="12:17" x14ac:dyDescent="0.3">
      <c r="L9638" s="25"/>
      <c r="Q9638" s="17"/>
    </row>
    <row r="9639" spans="12:17" x14ac:dyDescent="0.3">
      <c r="L9639" s="25"/>
      <c r="Q9639" s="17"/>
    </row>
    <row r="9640" spans="12:17" x14ac:dyDescent="0.3">
      <c r="L9640" s="25"/>
      <c r="Q9640" s="17"/>
    </row>
    <row r="9641" spans="12:17" x14ac:dyDescent="0.3">
      <c r="L9641" s="25"/>
      <c r="Q9641" s="17"/>
    </row>
    <row r="9642" spans="12:17" x14ac:dyDescent="0.3">
      <c r="L9642" s="25"/>
      <c r="Q9642" s="17"/>
    </row>
    <row r="9643" spans="12:17" x14ac:dyDescent="0.3">
      <c r="L9643" s="25"/>
      <c r="Q9643" s="17"/>
    </row>
    <row r="9644" spans="12:17" x14ac:dyDescent="0.3">
      <c r="L9644" s="25"/>
      <c r="Q9644" s="17"/>
    </row>
    <row r="9645" spans="12:17" x14ac:dyDescent="0.3">
      <c r="L9645" s="25"/>
      <c r="Q9645" s="17"/>
    </row>
    <row r="9646" spans="12:17" x14ac:dyDescent="0.3">
      <c r="L9646" s="25"/>
      <c r="Q9646" s="17"/>
    </row>
    <row r="9647" spans="12:17" x14ac:dyDescent="0.3">
      <c r="L9647" s="25"/>
      <c r="Q9647" s="17"/>
    </row>
    <row r="9648" spans="12:17" x14ac:dyDescent="0.3">
      <c r="L9648" s="25"/>
      <c r="Q9648" s="17"/>
    </row>
    <row r="9649" spans="12:17" x14ac:dyDescent="0.3">
      <c r="L9649" s="25"/>
      <c r="Q9649" s="17"/>
    </row>
    <row r="9650" spans="12:17" x14ac:dyDescent="0.3">
      <c r="L9650" s="25"/>
      <c r="Q9650" s="17"/>
    </row>
    <row r="9651" spans="12:17" x14ac:dyDescent="0.3">
      <c r="L9651" s="25"/>
      <c r="Q9651" s="17"/>
    </row>
    <row r="9652" spans="12:17" x14ac:dyDescent="0.3">
      <c r="L9652" s="25"/>
      <c r="Q9652" s="17"/>
    </row>
    <row r="9653" spans="12:17" x14ac:dyDescent="0.3">
      <c r="L9653" s="25"/>
      <c r="Q9653" s="17"/>
    </row>
    <row r="9654" spans="12:17" x14ac:dyDescent="0.3">
      <c r="L9654" s="25"/>
      <c r="Q9654" s="17"/>
    </row>
    <row r="9655" spans="12:17" x14ac:dyDescent="0.3">
      <c r="L9655" s="25"/>
      <c r="Q9655" s="17"/>
    </row>
    <row r="9656" spans="12:17" x14ac:dyDescent="0.3">
      <c r="L9656" s="25"/>
      <c r="Q9656" s="17"/>
    </row>
    <row r="9657" spans="12:17" x14ac:dyDescent="0.3">
      <c r="L9657" s="25"/>
      <c r="Q9657" s="17"/>
    </row>
    <row r="9658" spans="12:17" x14ac:dyDescent="0.3">
      <c r="L9658" s="25"/>
      <c r="Q9658" s="17"/>
    </row>
    <row r="9659" spans="12:17" x14ac:dyDescent="0.3">
      <c r="L9659" s="25"/>
      <c r="Q9659" s="17"/>
    </row>
    <row r="9660" spans="12:17" x14ac:dyDescent="0.3">
      <c r="L9660" s="25"/>
      <c r="Q9660" s="17"/>
    </row>
    <row r="9661" spans="12:17" x14ac:dyDescent="0.3">
      <c r="L9661" s="25"/>
      <c r="Q9661" s="17"/>
    </row>
    <row r="9662" spans="12:17" x14ac:dyDescent="0.3">
      <c r="L9662" s="25"/>
      <c r="Q9662" s="17"/>
    </row>
    <row r="9663" spans="12:17" x14ac:dyDescent="0.3">
      <c r="L9663" s="25"/>
      <c r="Q9663" s="17"/>
    </row>
    <row r="9664" spans="12:17" x14ac:dyDescent="0.3">
      <c r="L9664" s="25"/>
      <c r="Q9664" s="17"/>
    </row>
    <row r="9665" spans="12:17" x14ac:dyDescent="0.3">
      <c r="L9665" s="25"/>
      <c r="Q9665" s="17"/>
    </row>
    <row r="9666" spans="12:17" x14ac:dyDescent="0.3">
      <c r="L9666" s="25"/>
      <c r="Q9666" s="17"/>
    </row>
    <row r="9667" spans="12:17" x14ac:dyDescent="0.3">
      <c r="L9667" s="25"/>
      <c r="Q9667" s="17"/>
    </row>
    <row r="9668" spans="12:17" x14ac:dyDescent="0.3">
      <c r="L9668" s="25"/>
      <c r="Q9668" s="17"/>
    </row>
    <row r="9669" spans="12:17" x14ac:dyDescent="0.3">
      <c r="L9669" s="25"/>
      <c r="Q9669" s="17"/>
    </row>
    <row r="9670" spans="12:17" x14ac:dyDescent="0.3">
      <c r="L9670" s="25"/>
      <c r="Q9670" s="17"/>
    </row>
    <row r="9671" spans="12:17" x14ac:dyDescent="0.3">
      <c r="L9671" s="25"/>
      <c r="Q9671" s="17"/>
    </row>
    <row r="9672" spans="12:17" x14ac:dyDescent="0.3">
      <c r="L9672" s="25"/>
      <c r="Q9672" s="17"/>
    </row>
    <row r="9673" spans="12:17" x14ac:dyDescent="0.3">
      <c r="L9673" s="25"/>
      <c r="Q9673" s="17"/>
    </row>
    <row r="9674" spans="12:17" x14ac:dyDescent="0.3">
      <c r="L9674" s="25"/>
      <c r="Q9674" s="17"/>
    </row>
    <row r="9675" spans="12:17" x14ac:dyDescent="0.3">
      <c r="L9675" s="25"/>
      <c r="Q9675" s="17"/>
    </row>
    <row r="9676" spans="12:17" x14ac:dyDescent="0.3">
      <c r="L9676" s="25"/>
      <c r="Q9676" s="17"/>
    </row>
    <row r="9677" spans="12:17" x14ac:dyDescent="0.3">
      <c r="L9677" s="25"/>
      <c r="Q9677" s="17"/>
    </row>
    <row r="9678" spans="12:17" x14ac:dyDescent="0.3">
      <c r="L9678" s="25"/>
      <c r="Q9678" s="17"/>
    </row>
    <row r="9679" spans="12:17" x14ac:dyDescent="0.3">
      <c r="L9679" s="25"/>
      <c r="Q9679" s="17"/>
    </row>
    <row r="9680" spans="12:17" x14ac:dyDescent="0.3">
      <c r="L9680" s="25"/>
      <c r="Q9680" s="17"/>
    </row>
    <row r="9681" spans="12:17" x14ac:dyDescent="0.3">
      <c r="L9681" s="25"/>
      <c r="Q9681" s="17"/>
    </row>
    <row r="9682" spans="12:17" x14ac:dyDescent="0.3">
      <c r="L9682" s="25"/>
      <c r="Q9682" s="17"/>
    </row>
    <row r="9683" spans="12:17" x14ac:dyDescent="0.3">
      <c r="L9683" s="25"/>
      <c r="Q9683" s="17"/>
    </row>
    <row r="9684" spans="12:17" x14ac:dyDescent="0.3">
      <c r="L9684" s="25"/>
      <c r="Q9684" s="17"/>
    </row>
    <row r="9685" spans="12:17" x14ac:dyDescent="0.3">
      <c r="L9685" s="25"/>
      <c r="Q9685" s="17"/>
    </row>
    <row r="9686" spans="12:17" x14ac:dyDescent="0.3">
      <c r="L9686" s="25"/>
      <c r="Q9686" s="17"/>
    </row>
    <row r="9687" spans="12:17" x14ac:dyDescent="0.3">
      <c r="L9687" s="25"/>
      <c r="Q9687" s="17"/>
    </row>
    <row r="9688" spans="12:17" x14ac:dyDescent="0.3">
      <c r="L9688" s="25"/>
      <c r="Q9688" s="17"/>
    </row>
    <row r="9689" spans="12:17" x14ac:dyDescent="0.3">
      <c r="L9689" s="25"/>
      <c r="Q9689" s="17"/>
    </row>
    <row r="9690" spans="12:17" x14ac:dyDescent="0.3">
      <c r="L9690" s="25"/>
      <c r="Q9690" s="17"/>
    </row>
    <row r="9691" spans="12:17" x14ac:dyDescent="0.3">
      <c r="L9691" s="25"/>
      <c r="Q9691" s="17"/>
    </row>
    <row r="9692" spans="12:17" x14ac:dyDescent="0.3">
      <c r="L9692" s="25"/>
      <c r="Q9692" s="17"/>
    </row>
    <row r="9693" spans="12:17" x14ac:dyDescent="0.3">
      <c r="L9693" s="25"/>
      <c r="Q9693" s="17"/>
    </row>
    <row r="9694" spans="12:17" x14ac:dyDescent="0.3">
      <c r="L9694" s="25"/>
      <c r="Q9694" s="17"/>
    </row>
    <row r="9695" spans="12:17" x14ac:dyDescent="0.3">
      <c r="L9695" s="25"/>
      <c r="Q9695" s="17"/>
    </row>
    <row r="9696" spans="12:17" x14ac:dyDescent="0.3">
      <c r="L9696" s="25"/>
      <c r="Q9696" s="17"/>
    </row>
    <row r="9697" spans="12:17" x14ac:dyDescent="0.3">
      <c r="L9697" s="25"/>
      <c r="Q9697" s="17"/>
    </row>
    <row r="9698" spans="12:17" x14ac:dyDescent="0.3">
      <c r="L9698" s="25"/>
      <c r="Q9698" s="17"/>
    </row>
    <row r="9699" spans="12:17" x14ac:dyDescent="0.3">
      <c r="L9699" s="25"/>
      <c r="Q9699" s="17"/>
    </row>
    <row r="9700" spans="12:17" x14ac:dyDescent="0.3">
      <c r="L9700" s="25"/>
      <c r="Q9700" s="17"/>
    </row>
    <row r="9701" spans="12:17" x14ac:dyDescent="0.3">
      <c r="L9701" s="25"/>
      <c r="Q9701" s="17"/>
    </row>
    <row r="9702" spans="12:17" x14ac:dyDescent="0.3">
      <c r="L9702" s="25"/>
      <c r="Q9702" s="17"/>
    </row>
    <row r="9703" spans="12:17" x14ac:dyDescent="0.3">
      <c r="L9703" s="25"/>
      <c r="Q9703" s="17"/>
    </row>
    <row r="9704" spans="12:17" x14ac:dyDescent="0.3">
      <c r="L9704" s="25"/>
      <c r="Q9704" s="17"/>
    </row>
    <row r="9705" spans="12:17" x14ac:dyDescent="0.3">
      <c r="L9705" s="25"/>
      <c r="Q9705" s="17"/>
    </row>
    <row r="9706" spans="12:17" x14ac:dyDescent="0.3">
      <c r="L9706" s="25"/>
      <c r="Q9706" s="17"/>
    </row>
    <row r="9707" spans="12:17" x14ac:dyDescent="0.3">
      <c r="L9707" s="25"/>
      <c r="Q9707" s="17"/>
    </row>
    <row r="9708" spans="12:17" x14ac:dyDescent="0.3">
      <c r="L9708" s="25"/>
      <c r="Q9708" s="17"/>
    </row>
    <row r="9709" spans="12:17" x14ac:dyDescent="0.3">
      <c r="L9709" s="25"/>
      <c r="Q9709" s="17"/>
    </row>
    <row r="9710" spans="12:17" x14ac:dyDescent="0.3">
      <c r="L9710" s="25"/>
      <c r="Q9710" s="17"/>
    </row>
    <row r="9711" spans="12:17" x14ac:dyDescent="0.3">
      <c r="L9711" s="25"/>
      <c r="Q9711" s="17"/>
    </row>
    <row r="9712" spans="12:17" x14ac:dyDescent="0.3">
      <c r="L9712" s="25"/>
      <c r="Q9712" s="17"/>
    </row>
    <row r="9713" spans="12:17" x14ac:dyDescent="0.3">
      <c r="L9713" s="25"/>
      <c r="Q9713" s="17"/>
    </row>
    <row r="9714" spans="12:17" x14ac:dyDescent="0.3">
      <c r="L9714" s="25"/>
      <c r="Q9714" s="17"/>
    </row>
    <row r="9715" spans="12:17" x14ac:dyDescent="0.3">
      <c r="L9715" s="25"/>
      <c r="Q9715" s="17"/>
    </row>
    <row r="9716" spans="12:17" x14ac:dyDescent="0.3">
      <c r="L9716" s="25"/>
      <c r="Q9716" s="17"/>
    </row>
    <row r="9717" spans="12:17" x14ac:dyDescent="0.3">
      <c r="L9717" s="25"/>
      <c r="Q9717" s="17"/>
    </row>
    <row r="9718" spans="12:17" x14ac:dyDescent="0.3">
      <c r="L9718" s="25"/>
      <c r="Q9718" s="17"/>
    </row>
    <row r="9719" spans="12:17" x14ac:dyDescent="0.3">
      <c r="L9719" s="25"/>
      <c r="Q9719" s="17"/>
    </row>
    <row r="9720" spans="12:17" x14ac:dyDescent="0.3">
      <c r="L9720" s="25"/>
      <c r="Q9720" s="17"/>
    </row>
    <row r="9721" spans="12:17" x14ac:dyDescent="0.3">
      <c r="L9721" s="25"/>
      <c r="Q9721" s="17"/>
    </row>
    <row r="9722" spans="12:17" x14ac:dyDescent="0.3">
      <c r="L9722" s="25"/>
      <c r="Q9722" s="17"/>
    </row>
    <row r="9723" spans="12:17" x14ac:dyDescent="0.3">
      <c r="L9723" s="25"/>
      <c r="Q9723" s="17"/>
    </row>
    <row r="9724" spans="12:17" x14ac:dyDescent="0.3">
      <c r="L9724" s="25"/>
      <c r="Q9724" s="17"/>
    </row>
    <row r="9725" spans="12:17" x14ac:dyDescent="0.3">
      <c r="L9725" s="25"/>
      <c r="Q9725" s="17"/>
    </row>
    <row r="9726" spans="12:17" x14ac:dyDescent="0.3">
      <c r="L9726" s="25"/>
      <c r="Q9726" s="17"/>
    </row>
    <row r="9727" spans="12:17" x14ac:dyDescent="0.3">
      <c r="L9727" s="25"/>
      <c r="Q9727" s="17"/>
    </row>
    <row r="9728" spans="12:17" x14ac:dyDescent="0.3">
      <c r="L9728" s="25"/>
      <c r="Q9728" s="17"/>
    </row>
    <row r="9729" spans="12:17" x14ac:dyDescent="0.3">
      <c r="L9729" s="25"/>
      <c r="Q9729" s="17"/>
    </row>
    <row r="9730" spans="12:17" x14ac:dyDescent="0.3">
      <c r="L9730" s="25"/>
      <c r="Q9730" s="17"/>
    </row>
    <row r="9731" spans="12:17" x14ac:dyDescent="0.3">
      <c r="L9731" s="25"/>
      <c r="Q9731" s="17"/>
    </row>
    <row r="9732" spans="12:17" x14ac:dyDescent="0.3">
      <c r="L9732" s="25"/>
      <c r="Q9732" s="17"/>
    </row>
    <row r="9733" spans="12:17" x14ac:dyDescent="0.3">
      <c r="L9733" s="25"/>
      <c r="Q9733" s="17"/>
    </row>
    <row r="9734" spans="12:17" x14ac:dyDescent="0.3">
      <c r="L9734" s="25"/>
      <c r="Q9734" s="17"/>
    </row>
    <row r="9735" spans="12:17" x14ac:dyDescent="0.3">
      <c r="L9735" s="25"/>
      <c r="Q9735" s="17"/>
    </row>
    <row r="9736" spans="12:17" x14ac:dyDescent="0.3">
      <c r="L9736" s="25"/>
      <c r="Q9736" s="17"/>
    </row>
    <row r="9737" spans="12:17" x14ac:dyDescent="0.3">
      <c r="L9737" s="25"/>
      <c r="Q9737" s="17"/>
    </row>
    <row r="9738" spans="12:17" x14ac:dyDescent="0.3">
      <c r="L9738" s="25"/>
      <c r="Q9738" s="17"/>
    </row>
    <row r="9739" spans="12:17" x14ac:dyDescent="0.3">
      <c r="L9739" s="25"/>
      <c r="Q9739" s="17"/>
    </row>
    <row r="9740" spans="12:17" x14ac:dyDescent="0.3">
      <c r="L9740" s="25"/>
      <c r="Q9740" s="17"/>
    </row>
    <row r="9741" spans="12:17" x14ac:dyDescent="0.3">
      <c r="L9741" s="25"/>
      <c r="Q9741" s="17"/>
    </row>
    <row r="9742" spans="12:17" x14ac:dyDescent="0.3">
      <c r="L9742" s="25"/>
      <c r="Q9742" s="17"/>
    </row>
    <row r="9743" spans="12:17" x14ac:dyDescent="0.3">
      <c r="L9743" s="25"/>
      <c r="Q9743" s="17"/>
    </row>
    <row r="9744" spans="12:17" x14ac:dyDescent="0.3">
      <c r="L9744" s="25"/>
      <c r="Q9744" s="17"/>
    </row>
    <row r="9745" spans="12:17" x14ac:dyDescent="0.3">
      <c r="L9745" s="25"/>
      <c r="Q9745" s="17"/>
    </row>
    <row r="9746" spans="12:17" x14ac:dyDescent="0.3">
      <c r="L9746" s="25"/>
      <c r="Q9746" s="17"/>
    </row>
    <row r="9747" spans="12:17" x14ac:dyDescent="0.3">
      <c r="L9747" s="25"/>
      <c r="Q9747" s="17"/>
    </row>
    <row r="9748" spans="12:17" x14ac:dyDescent="0.3">
      <c r="L9748" s="25"/>
      <c r="Q9748" s="17"/>
    </row>
    <row r="9749" spans="12:17" x14ac:dyDescent="0.3">
      <c r="L9749" s="25"/>
      <c r="Q9749" s="17"/>
    </row>
    <row r="9750" spans="12:17" x14ac:dyDescent="0.3">
      <c r="L9750" s="25"/>
      <c r="Q9750" s="17"/>
    </row>
    <row r="9751" spans="12:17" x14ac:dyDescent="0.3">
      <c r="L9751" s="25"/>
      <c r="Q9751" s="17"/>
    </row>
    <row r="9752" spans="12:17" x14ac:dyDescent="0.3">
      <c r="L9752" s="25"/>
      <c r="Q9752" s="17"/>
    </row>
    <row r="9753" spans="12:17" x14ac:dyDescent="0.3">
      <c r="L9753" s="25"/>
      <c r="Q9753" s="17"/>
    </row>
    <row r="9754" spans="12:17" x14ac:dyDescent="0.3">
      <c r="L9754" s="25"/>
      <c r="Q9754" s="17"/>
    </row>
    <row r="9755" spans="12:17" x14ac:dyDescent="0.3">
      <c r="L9755" s="25"/>
      <c r="Q9755" s="17"/>
    </row>
    <row r="9756" spans="12:17" x14ac:dyDescent="0.3">
      <c r="L9756" s="25"/>
      <c r="Q9756" s="17"/>
    </row>
    <row r="9757" spans="12:17" x14ac:dyDescent="0.3">
      <c r="L9757" s="25"/>
      <c r="Q9757" s="17"/>
    </row>
    <row r="9758" spans="12:17" x14ac:dyDescent="0.3">
      <c r="L9758" s="25"/>
      <c r="Q9758" s="17"/>
    </row>
    <row r="9759" spans="12:17" x14ac:dyDescent="0.3">
      <c r="L9759" s="25"/>
      <c r="Q9759" s="17"/>
    </row>
    <row r="9760" spans="12:17" x14ac:dyDescent="0.3">
      <c r="L9760" s="25"/>
      <c r="Q9760" s="17"/>
    </row>
    <row r="9761" spans="12:17" x14ac:dyDescent="0.3">
      <c r="L9761" s="25"/>
      <c r="Q9761" s="17"/>
    </row>
    <row r="9762" spans="12:17" x14ac:dyDescent="0.3">
      <c r="L9762" s="25"/>
      <c r="Q9762" s="17"/>
    </row>
    <row r="9763" spans="12:17" x14ac:dyDescent="0.3">
      <c r="L9763" s="25"/>
      <c r="Q9763" s="17"/>
    </row>
    <row r="9764" spans="12:17" x14ac:dyDescent="0.3">
      <c r="L9764" s="25"/>
      <c r="Q9764" s="17"/>
    </row>
    <row r="9765" spans="12:17" x14ac:dyDescent="0.3">
      <c r="L9765" s="25"/>
      <c r="Q9765" s="17"/>
    </row>
    <row r="9766" spans="12:17" x14ac:dyDescent="0.3">
      <c r="L9766" s="25"/>
      <c r="Q9766" s="17"/>
    </row>
    <row r="9767" spans="12:17" x14ac:dyDescent="0.3">
      <c r="L9767" s="25"/>
      <c r="Q9767" s="17"/>
    </row>
    <row r="9768" spans="12:17" x14ac:dyDescent="0.3">
      <c r="L9768" s="25"/>
      <c r="Q9768" s="17"/>
    </row>
    <row r="9769" spans="12:17" x14ac:dyDescent="0.3">
      <c r="L9769" s="25"/>
      <c r="Q9769" s="17"/>
    </row>
    <row r="9770" spans="12:17" x14ac:dyDescent="0.3">
      <c r="L9770" s="25"/>
      <c r="Q9770" s="17"/>
    </row>
    <row r="9771" spans="12:17" x14ac:dyDescent="0.3">
      <c r="L9771" s="25"/>
      <c r="Q9771" s="17"/>
    </row>
    <row r="9772" spans="12:17" x14ac:dyDescent="0.3">
      <c r="L9772" s="25"/>
      <c r="Q9772" s="17"/>
    </row>
    <row r="9773" spans="12:17" x14ac:dyDescent="0.3">
      <c r="L9773" s="25"/>
      <c r="Q9773" s="17"/>
    </row>
    <row r="9774" spans="12:17" x14ac:dyDescent="0.3">
      <c r="L9774" s="25"/>
      <c r="Q9774" s="17"/>
    </row>
    <row r="9775" spans="12:17" x14ac:dyDescent="0.3">
      <c r="L9775" s="25"/>
      <c r="Q9775" s="17"/>
    </row>
    <row r="9776" spans="12:17" x14ac:dyDescent="0.3">
      <c r="L9776" s="25"/>
      <c r="Q9776" s="17"/>
    </row>
    <row r="9777" spans="12:17" x14ac:dyDescent="0.3">
      <c r="L9777" s="25"/>
      <c r="Q9777" s="17"/>
    </row>
    <row r="9778" spans="12:17" x14ac:dyDescent="0.3">
      <c r="L9778" s="25"/>
      <c r="Q9778" s="17"/>
    </row>
    <row r="9779" spans="12:17" x14ac:dyDescent="0.3">
      <c r="L9779" s="25"/>
      <c r="Q9779" s="17"/>
    </row>
    <row r="9780" spans="12:17" x14ac:dyDescent="0.3">
      <c r="L9780" s="25"/>
      <c r="Q9780" s="17"/>
    </row>
    <row r="9781" spans="12:17" x14ac:dyDescent="0.3">
      <c r="L9781" s="25"/>
      <c r="Q9781" s="17"/>
    </row>
    <row r="9782" spans="12:17" x14ac:dyDescent="0.3">
      <c r="L9782" s="25"/>
      <c r="Q9782" s="17"/>
    </row>
    <row r="9783" spans="12:17" x14ac:dyDescent="0.3">
      <c r="L9783" s="25"/>
      <c r="Q9783" s="17"/>
    </row>
    <row r="9784" spans="12:17" x14ac:dyDescent="0.3">
      <c r="L9784" s="25"/>
      <c r="Q9784" s="17"/>
    </row>
    <row r="9785" spans="12:17" x14ac:dyDescent="0.3">
      <c r="L9785" s="25"/>
      <c r="Q9785" s="17"/>
    </row>
    <row r="9786" spans="12:17" x14ac:dyDescent="0.3">
      <c r="L9786" s="25"/>
      <c r="Q9786" s="17"/>
    </row>
    <row r="9787" spans="12:17" x14ac:dyDescent="0.3">
      <c r="L9787" s="25"/>
      <c r="Q9787" s="17"/>
    </row>
    <row r="9788" spans="12:17" x14ac:dyDescent="0.3">
      <c r="L9788" s="25"/>
      <c r="Q9788" s="17"/>
    </row>
    <row r="9789" spans="12:17" x14ac:dyDescent="0.3">
      <c r="L9789" s="25"/>
      <c r="Q9789" s="17"/>
    </row>
    <row r="9790" spans="12:17" x14ac:dyDescent="0.3">
      <c r="L9790" s="25"/>
      <c r="Q9790" s="17"/>
    </row>
    <row r="9791" spans="12:17" x14ac:dyDescent="0.3">
      <c r="L9791" s="25"/>
      <c r="Q9791" s="17"/>
    </row>
    <row r="9792" spans="12:17" x14ac:dyDescent="0.3">
      <c r="L9792" s="25"/>
      <c r="Q9792" s="17"/>
    </row>
    <row r="9793" spans="12:17" x14ac:dyDescent="0.3">
      <c r="L9793" s="25"/>
      <c r="Q9793" s="17"/>
    </row>
    <row r="9794" spans="12:17" x14ac:dyDescent="0.3">
      <c r="L9794" s="25"/>
      <c r="Q9794" s="17"/>
    </row>
    <row r="9795" spans="12:17" x14ac:dyDescent="0.3">
      <c r="L9795" s="25"/>
      <c r="Q9795" s="17"/>
    </row>
    <row r="9796" spans="12:17" x14ac:dyDescent="0.3">
      <c r="L9796" s="25"/>
      <c r="Q9796" s="17"/>
    </row>
    <row r="9797" spans="12:17" x14ac:dyDescent="0.3">
      <c r="L9797" s="25"/>
      <c r="Q9797" s="17"/>
    </row>
    <row r="9798" spans="12:17" x14ac:dyDescent="0.3">
      <c r="L9798" s="25"/>
      <c r="Q9798" s="17"/>
    </row>
    <row r="9799" spans="12:17" x14ac:dyDescent="0.3">
      <c r="L9799" s="25"/>
      <c r="Q9799" s="17"/>
    </row>
    <row r="9800" spans="12:17" x14ac:dyDescent="0.3">
      <c r="L9800" s="25"/>
      <c r="Q9800" s="17"/>
    </row>
    <row r="9801" spans="12:17" x14ac:dyDescent="0.3">
      <c r="L9801" s="25"/>
      <c r="Q9801" s="17"/>
    </row>
    <row r="9802" spans="12:17" x14ac:dyDescent="0.3">
      <c r="L9802" s="25"/>
      <c r="Q9802" s="17"/>
    </row>
    <row r="9803" spans="12:17" x14ac:dyDescent="0.3">
      <c r="L9803" s="25"/>
      <c r="Q9803" s="17"/>
    </row>
    <row r="9804" spans="12:17" x14ac:dyDescent="0.3">
      <c r="L9804" s="25"/>
      <c r="Q9804" s="17"/>
    </row>
    <row r="9805" spans="12:17" x14ac:dyDescent="0.3">
      <c r="L9805" s="25"/>
      <c r="Q9805" s="17"/>
    </row>
    <row r="9806" spans="12:17" x14ac:dyDescent="0.3">
      <c r="L9806" s="25"/>
      <c r="Q9806" s="17"/>
    </row>
    <row r="9807" spans="12:17" x14ac:dyDescent="0.3">
      <c r="L9807" s="25"/>
      <c r="Q9807" s="17"/>
    </row>
    <row r="9808" spans="12:17" x14ac:dyDescent="0.3">
      <c r="L9808" s="25"/>
      <c r="Q9808" s="17"/>
    </row>
    <row r="9809" spans="12:17" x14ac:dyDescent="0.3">
      <c r="L9809" s="25"/>
      <c r="Q9809" s="17"/>
    </row>
    <row r="9810" spans="12:17" x14ac:dyDescent="0.3">
      <c r="L9810" s="25"/>
      <c r="Q9810" s="17"/>
    </row>
    <row r="9811" spans="12:17" x14ac:dyDescent="0.3">
      <c r="L9811" s="25"/>
      <c r="Q9811" s="17"/>
    </row>
    <row r="9812" spans="12:17" x14ac:dyDescent="0.3">
      <c r="L9812" s="25"/>
      <c r="Q9812" s="17"/>
    </row>
    <row r="9813" spans="12:17" x14ac:dyDescent="0.3">
      <c r="L9813" s="25"/>
      <c r="Q9813" s="17"/>
    </row>
    <row r="9814" spans="12:17" x14ac:dyDescent="0.3">
      <c r="L9814" s="25"/>
      <c r="Q9814" s="17"/>
    </row>
    <row r="9815" spans="12:17" x14ac:dyDescent="0.3">
      <c r="L9815" s="25"/>
      <c r="Q9815" s="17"/>
    </row>
    <row r="9816" spans="12:17" x14ac:dyDescent="0.3">
      <c r="L9816" s="25"/>
      <c r="Q9816" s="17"/>
    </row>
    <row r="9817" spans="12:17" x14ac:dyDescent="0.3">
      <c r="L9817" s="25"/>
      <c r="Q9817" s="17"/>
    </row>
    <row r="9818" spans="12:17" x14ac:dyDescent="0.3">
      <c r="L9818" s="25"/>
      <c r="Q9818" s="17"/>
    </row>
    <row r="9819" spans="12:17" x14ac:dyDescent="0.3">
      <c r="L9819" s="25"/>
      <c r="Q9819" s="17"/>
    </row>
    <row r="9820" spans="12:17" x14ac:dyDescent="0.3">
      <c r="L9820" s="25"/>
      <c r="Q9820" s="17"/>
    </row>
    <row r="9821" spans="12:17" x14ac:dyDescent="0.3">
      <c r="L9821" s="25"/>
      <c r="Q9821" s="17"/>
    </row>
    <row r="9822" spans="12:17" x14ac:dyDescent="0.3">
      <c r="L9822" s="25"/>
      <c r="Q9822" s="17"/>
    </row>
    <row r="9823" spans="12:17" x14ac:dyDescent="0.3">
      <c r="L9823" s="25"/>
      <c r="Q9823" s="17"/>
    </row>
    <row r="9824" spans="12:17" x14ac:dyDescent="0.3">
      <c r="L9824" s="25"/>
      <c r="Q9824" s="17"/>
    </row>
    <row r="9825" spans="12:17" x14ac:dyDescent="0.3">
      <c r="L9825" s="25"/>
      <c r="Q9825" s="17"/>
    </row>
    <row r="9826" spans="12:17" x14ac:dyDescent="0.3">
      <c r="L9826" s="25"/>
      <c r="Q9826" s="17"/>
    </row>
    <row r="9827" spans="12:17" x14ac:dyDescent="0.3">
      <c r="L9827" s="25"/>
      <c r="Q9827" s="17"/>
    </row>
    <row r="9828" spans="12:17" x14ac:dyDescent="0.3">
      <c r="L9828" s="25"/>
      <c r="Q9828" s="17"/>
    </row>
    <row r="9829" spans="12:17" x14ac:dyDescent="0.3">
      <c r="L9829" s="25"/>
      <c r="Q9829" s="17"/>
    </row>
    <row r="9830" spans="12:17" x14ac:dyDescent="0.3">
      <c r="L9830" s="25"/>
      <c r="Q9830" s="17"/>
    </row>
    <row r="9831" spans="12:17" x14ac:dyDescent="0.3">
      <c r="L9831" s="25"/>
      <c r="Q9831" s="17"/>
    </row>
    <row r="9832" spans="12:17" x14ac:dyDescent="0.3">
      <c r="L9832" s="25"/>
      <c r="Q9832" s="17"/>
    </row>
    <row r="9833" spans="12:17" x14ac:dyDescent="0.3">
      <c r="L9833" s="25"/>
      <c r="Q9833" s="17"/>
    </row>
    <row r="9834" spans="12:17" x14ac:dyDescent="0.3">
      <c r="L9834" s="25"/>
      <c r="Q9834" s="17"/>
    </row>
    <row r="9835" spans="12:17" x14ac:dyDescent="0.3">
      <c r="L9835" s="25"/>
      <c r="Q9835" s="17"/>
    </row>
    <row r="9836" spans="12:17" x14ac:dyDescent="0.3">
      <c r="L9836" s="25"/>
      <c r="Q9836" s="17"/>
    </row>
    <row r="9837" spans="12:17" x14ac:dyDescent="0.3">
      <c r="L9837" s="25"/>
      <c r="Q9837" s="17"/>
    </row>
    <row r="9838" spans="12:17" x14ac:dyDescent="0.3">
      <c r="L9838" s="25"/>
      <c r="Q9838" s="17"/>
    </row>
    <row r="9839" spans="12:17" x14ac:dyDescent="0.3">
      <c r="L9839" s="25"/>
      <c r="Q9839" s="17"/>
    </row>
    <row r="9840" spans="12:17" x14ac:dyDescent="0.3">
      <c r="L9840" s="25"/>
      <c r="Q9840" s="17"/>
    </row>
    <row r="9841" spans="12:17" x14ac:dyDescent="0.3">
      <c r="L9841" s="25"/>
      <c r="Q9841" s="17"/>
    </row>
    <row r="9842" spans="12:17" x14ac:dyDescent="0.3">
      <c r="L9842" s="25"/>
      <c r="Q9842" s="17"/>
    </row>
    <row r="9843" spans="12:17" x14ac:dyDescent="0.3">
      <c r="L9843" s="25"/>
      <c r="Q9843" s="17"/>
    </row>
    <row r="9844" spans="12:17" x14ac:dyDescent="0.3">
      <c r="L9844" s="25"/>
      <c r="Q9844" s="17"/>
    </row>
    <row r="9845" spans="12:17" x14ac:dyDescent="0.3">
      <c r="L9845" s="25"/>
      <c r="Q9845" s="17"/>
    </row>
    <row r="9846" spans="12:17" x14ac:dyDescent="0.3">
      <c r="L9846" s="25"/>
      <c r="Q9846" s="17"/>
    </row>
    <row r="9847" spans="12:17" x14ac:dyDescent="0.3">
      <c r="L9847" s="25"/>
      <c r="Q9847" s="17"/>
    </row>
    <row r="9848" spans="12:17" x14ac:dyDescent="0.3">
      <c r="L9848" s="25"/>
      <c r="Q9848" s="17"/>
    </row>
    <row r="9849" spans="12:17" x14ac:dyDescent="0.3">
      <c r="L9849" s="25"/>
      <c r="Q9849" s="17"/>
    </row>
    <row r="9850" spans="12:17" x14ac:dyDescent="0.3">
      <c r="L9850" s="25"/>
      <c r="Q9850" s="17"/>
    </row>
    <row r="9851" spans="12:17" x14ac:dyDescent="0.3">
      <c r="L9851" s="25"/>
      <c r="Q9851" s="17"/>
    </row>
    <row r="9852" spans="12:17" x14ac:dyDescent="0.3">
      <c r="L9852" s="25"/>
      <c r="Q9852" s="17"/>
    </row>
    <row r="9853" spans="12:17" x14ac:dyDescent="0.3">
      <c r="L9853" s="25"/>
      <c r="Q9853" s="17"/>
    </row>
    <row r="9854" spans="12:17" x14ac:dyDescent="0.3">
      <c r="L9854" s="25"/>
      <c r="Q9854" s="17"/>
    </row>
    <row r="9855" spans="12:17" x14ac:dyDescent="0.3">
      <c r="L9855" s="25"/>
      <c r="Q9855" s="17"/>
    </row>
    <row r="9856" spans="12:17" x14ac:dyDescent="0.3">
      <c r="L9856" s="25"/>
      <c r="Q9856" s="17"/>
    </row>
    <row r="9857" spans="12:17" x14ac:dyDescent="0.3">
      <c r="L9857" s="25"/>
      <c r="Q9857" s="17"/>
    </row>
    <row r="9858" spans="12:17" x14ac:dyDescent="0.3">
      <c r="L9858" s="25"/>
      <c r="Q9858" s="17"/>
    </row>
    <row r="9859" spans="12:17" x14ac:dyDescent="0.3">
      <c r="L9859" s="25"/>
      <c r="Q9859" s="17"/>
    </row>
    <row r="9860" spans="12:17" x14ac:dyDescent="0.3">
      <c r="L9860" s="25"/>
      <c r="Q9860" s="17"/>
    </row>
    <row r="9861" spans="12:17" x14ac:dyDescent="0.3">
      <c r="L9861" s="25"/>
      <c r="Q9861" s="17"/>
    </row>
    <row r="9862" spans="12:17" x14ac:dyDescent="0.3">
      <c r="L9862" s="25"/>
      <c r="Q9862" s="17"/>
    </row>
    <row r="9863" spans="12:17" x14ac:dyDescent="0.3">
      <c r="L9863" s="25"/>
      <c r="Q9863" s="17"/>
    </row>
    <row r="9864" spans="12:17" x14ac:dyDescent="0.3">
      <c r="L9864" s="25"/>
      <c r="Q9864" s="17"/>
    </row>
    <row r="9865" spans="12:17" x14ac:dyDescent="0.3">
      <c r="L9865" s="25"/>
      <c r="Q9865" s="17"/>
    </row>
    <row r="9866" spans="12:17" x14ac:dyDescent="0.3">
      <c r="L9866" s="25"/>
      <c r="Q9866" s="17"/>
    </row>
    <row r="9867" spans="12:17" x14ac:dyDescent="0.3">
      <c r="L9867" s="25"/>
      <c r="Q9867" s="17"/>
    </row>
    <row r="9868" spans="12:17" x14ac:dyDescent="0.3">
      <c r="L9868" s="25"/>
      <c r="Q9868" s="17"/>
    </row>
    <row r="9869" spans="12:17" x14ac:dyDescent="0.3">
      <c r="L9869" s="25"/>
      <c r="Q9869" s="17"/>
    </row>
    <row r="9870" spans="12:17" x14ac:dyDescent="0.3">
      <c r="L9870" s="25"/>
      <c r="Q9870" s="17"/>
    </row>
    <row r="9871" spans="12:17" x14ac:dyDescent="0.3">
      <c r="L9871" s="25"/>
      <c r="Q9871" s="17"/>
    </row>
    <row r="9872" spans="12:17" x14ac:dyDescent="0.3">
      <c r="L9872" s="25"/>
      <c r="Q9872" s="17"/>
    </row>
    <row r="9873" spans="12:17" x14ac:dyDescent="0.3">
      <c r="L9873" s="25"/>
      <c r="Q9873" s="17"/>
    </row>
    <row r="9874" spans="12:17" x14ac:dyDescent="0.3">
      <c r="L9874" s="25"/>
      <c r="Q9874" s="17"/>
    </row>
    <row r="9875" spans="12:17" x14ac:dyDescent="0.3">
      <c r="L9875" s="25"/>
      <c r="Q9875" s="17"/>
    </row>
    <row r="9876" spans="12:17" x14ac:dyDescent="0.3">
      <c r="L9876" s="25"/>
      <c r="Q9876" s="17"/>
    </row>
    <row r="9877" spans="12:17" x14ac:dyDescent="0.3">
      <c r="L9877" s="25"/>
      <c r="Q9877" s="17"/>
    </row>
    <row r="9878" spans="12:17" x14ac:dyDescent="0.3">
      <c r="L9878" s="25"/>
      <c r="Q9878" s="17"/>
    </row>
    <row r="9879" spans="12:17" x14ac:dyDescent="0.3">
      <c r="L9879" s="25"/>
      <c r="Q9879" s="17"/>
    </row>
    <row r="9880" spans="12:17" x14ac:dyDescent="0.3">
      <c r="L9880" s="25"/>
      <c r="Q9880" s="17"/>
    </row>
    <row r="9881" spans="12:17" x14ac:dyDescent="0.3">
      <c r="L9881" s="25"/>
      <c r="Q9881" s="17"/>
    </row>
    <row r="9882" spans="12:17" x14ac:dyDescent="0.3">
      <c r="L9882" s="25"/>
      <c r="Q9882" s="17"/>
    </row>
    <row r="9883" spans="12:17" x14ac:dyDescent="0.3">
      <c r="L9883" s="25"/>
      <c r="Q9883" s="17"/>
    </row>
    <row r="9884" spans="12:17" x14ac:dyDescent="0.3">
      <c r="L9884" s="25"/>
      <c r="Q9884" s="17"/>
    </row>
    <row r="9885" spans="12:17" x14ac:dyDescent="0.3">
      <c r="L9885" s="25"/>
      <c r="Q9885" s="17"/>
    </row>
    <row r="9886" spans="12:17" x14ac:dyDescent="0.3">
      <c r="L9886" s="25"/>
      <c r="Q9886" s="17"/>
    </row>
    <row r="9887" spans="12:17" x14ac:dyDescent="0.3">
      <c r="L9887" s="25"/>
      <c r="Q9887" s="17"/>
    </row>
    <row r="9888" spans="12:17" x14ac:dyDescent="0.3">
      <c r="L9888" s="25"/>
      <c r="Q9888" s="17"/>
    </row>
    <row r="9889" spans="12:17" x14ac:dyDescent="0.3">
      <c r="L9889" s="25"/>
      <c r="Q9889" s="17"/>
    </row>
    <row r="9890" spans="12:17" x14ac:dyDescent="0.3">
      <c r="L9890" s="25"/>
      <c r="Q9890" s="17"/>
    </row>
    <row r="9891" spans="12:17" x14ac:dyDescent="0.3">
      <c r="L9891" s="25"/>
      <c r="Q9891" s="17"/>
    </row>
    <row r="9892" spans="12:17" x14ac:dyDescent="0.3">
      <c r="L9892" s="25"/>
      <c r="Q9892" s="17"/>
    </row>
    <row r="9893" spans="12:17" x14ac:dyDescent="0.3">
      <c r="L9893" s="25"/>
      <c r="Q9893" s="17"/>
    </row>
    <row r="9894" spans="12:17" x14ac:dyDescent="0.3">
      <c r="L9894" s="25"/>
      <c r="Q9894" s="17"/>
    </row>
    <row r="9895" spans="12:17" x14ac:dyDescent="0.3">
      <c r="L9895" s="25"/>
      <c r="Q9895" s="17"/>
    </row>
    <row r="9896" spans="12:17" x14ac:dyDescent="0.3">
      <c r="L9896" s="25"/>
      <c r="Q9896" s="17"/>
    </row>
    <row r="9897" spans="12:17" x14ac:dyDescent="0.3">
      <c r="L9897" s="25"/>
      <c r="Q9897" s="17"/>
    </row>
    <row r="9898" spans="12:17" x14ac:dyDescent="0.3">
      <c r="L9898" s="25"/>
      <c r="Q9898" s="17"/>
    </row>
    <row r="9899" spans="12:17" x14ac:dyDescent="0.3">
      <c r="L9899" s="25"/>
      <c r="Q9899" s="17"/>
    </row>
    <row r="9900" spans="12:17" x14ac:dyDescent="0.3">
      <c r="L9900" s="25"/>
      <c r="Q9900" s="17"/>
    </row>
    <row r="9901" spans="12:17" x14ac:dyDescent="0.3">
      <c r="L9901" s="25"/>
      <c r="Q9901" s="17"/>
    </row>
    <row r="9902" spans="12:17" x14ac:dyDescent="0.3">
      <c r="L9902" s="25"/>
      <c r="Q9902" s="17"/>
    </row>
    <row r="9903" spans="12:17" x14ac:dyDescent="0.3">
      <c r="L9903" s="25"/>
      <c r="Q9903" s="17"/>
    </row>
    <row r="9904" spans="12:17" x14ac:dyDescent="0.3">
      <c r="L9904" s="25"/>
      <c r="Q9904" s="17"/>
    </row>
    <row r="9905" spans="12:17" x14ac:dyDescent="0.3">
      <c r="L9905" s="25"/>
      <c r="Q9905" s="17"/>
    </row>
    <row r="9906" spans="12:17" x14ac:dyDescent="0.3">
      <c r="L9906" s="25"/>
      <c r="Q9906" s="17"/>
    </row>
    <row r="9907" spans="12:17" x14ac:dyDescent="0.3">
      <c r="L9907" s="25"/>
      <c r="Q9907" s="17"/>
    </row>
    <row r="9908" spans="12:17" x14ac:dyDescent="0.3">
      <c r="L9908" s="25"/>
      <c r="Q9908" s="17"/>
    </row>
    <row r="9909" spans="12:17" x14ac:dyDescent="0.3">
      <c r="L9909" s="25"/>
      <c r="Q9909" s="17"/>
    </row>
    <row r="9910" spans="12:17" x14ac:dyDescent="0.3">
      <c r="L9910" s="25"/>
      <c r="Q9910" s="17"/>
    </row>
    <row r="9911" spans="12:17" x14ac:dyDescent="0.3">
      <c r="L9911" s="25"/>
      <c r="Q9911" s="17"/>
    </row>
    <row r="9912" spans="12:17" x14ac:dyDescent="0.3">
      <c r="L9912" s="25"/>
      <c r="Q9912" s="17"/>
    </row>
    <row r="9913" spans="12:17" x14ac:dyDescent="0.3">
      <c r="L9913" s="25"/>
      <c r="Q9913" s="17"/>
    </row>
    <row r="9914" spans="12:17" x14ac:dyDescent="0.3">
      <c r="L9914" s="25"/>
      <c r="Q9914" s="17"/>
    </row>
    <row r="9915" spans="12:17" x14ac:dyDescent="0.3">
      <c r="L9915" s="25"/>
      <c r="Q9915" s="17"/>
    </row>
    <row r="9916" spans="12:17" x14ac:dyDescent="0.3">
      <c r="L9916" s="25"/>
      <c r="Q9916" s="17"/>
    </row>
    <row r="9917" spans="12:17" x14ac:dyDescent="0.3">
      <c r="L9917" s="25"/>
      <c r="Q9917" s="17"/>
    </row>
    <row r="9918" spans="12:17" x14ac:dyDescent="0.3">
      <c r="L9918" s="25"/>
      <c r="Q9918" s="17"/>
    </row>
    <row r="9919" spans="12:17" x14ac:dyDescent="0.3">
      <c r="L9919" s="25"/>
      <c r="Q9919" s="17"/>
    </row>
    <row r="9920" spans="12:17" x14ac:dyDescent="0.3">
      <c r="L9920" s="25"/>
      <c r="Q9920" s="17"/>
    </row>
    <row r="9921" spans="12:17" x14ac:dyDescent="0.3">
      <c r="L9921" s="25"/>
      <c r="Q9921" s="17"/>
    </row>
    <row r="9922" spans="12:17" x14ac:dyDescent="0.3">
      <c r="L9922" s="25"/>
      <c r="Q9922" s="17"/>
    </row>
    <row r="9923" spans="12:17" x14ac:dyDescent="0.3">
      <c r="L9923" s="25"/>
      <c r="Q9923" s="17"/>
    </row>
    <row r="9924" spans="12:17" x14ac:dyDescent="0.3">
      <c r="L9924" s="25"/>
      <c r="Q9924" s="17"/>
    </row>
    <row r="9925" spans="12:17" x14ac:dyDescent="0.3">
      <c r="L9925" s="25"/>
      <c r="Q9925" s="17"/>
    </row>
    <row r="9926" spans="12:17" x14ac:dyDescent="0.3">
      <c r="L9926" s="25"/>
      <c r="Q9926" s="17"/>
    </row>
    <row r="9927" spans="12:17" x14ac:dyDescent="0.3">
      <c r="L9927" s="25"/>
      <c r="Q9927" s="17"/>
    </row>
    <row r="9928" spans="12:17" x14ac:dyDescent="0.3">
      <c r="L9928" s="25"/>
      <c r="Q9928" s="17"/>
    </row>
    <row r="9929" spans="12:17" x14ac:dyDescent="0.3">
      <c r="L9929" s="25"/>
      <c r="Q9929" s="17"/>
    </row>
    <row r="9930" spans="12:17" x14ac:dyDescent="0.3">
      <c r="L9930" s="25"/>
      <c r="Q9930" s="17"/>
    </row>
    <row r="9931" spans="12:17" x14ac:dyDescent="0.3">
      <c r="L9931" s="25"/>
      <c r="Q9931" s="17"/>
    </row>
    <row r="9932" spans="12:17" x14ac:dyDescent="0.3">
      <c r="L9932" s="25"/>
      <c r="Q9932" s="17"/>
    </row>
    <row r="9933" spans="12:17" x14ac:dyDescent="0.3">
      <c r="L9933" s="25"/>
      <c r="Q9933" s="17"/>
    </row>
    <row r="9934" spans="12:17" x14ac:dyDescent="0.3">
      <c r="L9934" s="25"/>
      <c r="Q9934" s="17"/>
    </row>
    <row r="9935" spans="12:17" x14ac:dyDescent="0.3">
      <c r="L9935" s="25"/>
      <c r="Q9935" s="17"/>
    </row>
    <row r="9936" spans="12:17" x14ac:dyDescent="0.3">
      <c r="L9936" s="25"/>
      <c r="Q9936" s="17"/>
    </row>
    <row r="9937" spans="12:17" x14ac:dyDescent="0.3">
      <c r="L9937" s="25"/>
      <c r="Q9937" s="17"/>
    </row>
    <row r="9938" spans="12:17" x14ac:dyDescent="0.3">
      <c r="L9938" s="25"/>
      <c r="Q9938" s="17"/>
    </row>
    <row r="9939" spans="12:17" x14ac:dyDescent="0.3">
      <c r="L9939" s="25"/>
      <c r="Q9939" s="17"/>
    </row>
    <row r="9940" spans="12:17" x14ac:dyDescent="0.3">
      <c r="L9940" s="25"/>
      <c r="Q9940" s="17"/>
    </row>
    <row r="9941" spans="12:17" x14ac:dyDescent="0.3">
      <c r="L9941" s="25"/>
      <c r="Q9941" s="17"/>
    </row>
    <row r="9942" spans="12:17" x14ac:dyDescent="0.3">
      <c r="L9942" s="25"/>
      <c r="Q9942" s="17"/>
    </row>
    <row r="9943" spans="12:17" x14ac:dyDescent="0.3">
      <c r="L9943" s="25"/>
      <c r="Q9943" s="17"/>
    </row>
    <row r="9944" spans="12:17" x14ac:dyDescent="0.3">
      <c r="L9944" s="25"/>
      <c r="Q9944" s="17"/>
    </row>
    <row r="9945" spans="12:17" x14ac:dyDescent="0.3">
      <c r="L9945" s="25"/>
      <c r="Q9945" s="17"/>
    </row>
    <row r="9946" spans="12:17" x14ac:dyDescent="0.3">
      <c r="L9946" s="25"/>
      <c r="Q9946" s="17"/>
    </row>
    <row r="9947" spans="12:17" x14ac:dyDescent="0.3">
      <c r="L9947" s="25"/>
      <c r="Q9947" s="17"/>
    </row>
    <row r="9948" spans="12:17" x14ac:dyDescent="0.3">
      <c r="L9948" s="25"/>
      <c r="Q9948" s="17"/>
    </row>
    <row r="9949" spans="12:17" x14ac:dyDescent="0.3">
      <c r="L9949" s="25"/>
      <c r="Q9949" s="17"/>
    </row>
    <row r="9950" spans="12:17" x14ac:dyDescent="0.3">
      <c r="L9950" s="25"/>
      <c r="Q9950" s="17"/>
    </row>
    <row r="9951" spans="12:17" x14ac:dyDescent="0.3">
      <c r="L9951" s="25"/>
      <c r="Q9951" s="17"/>
    </row>
    <row r="9952" spans="12:17" x14ac:dyDescent="0.3">
      <c r="L9952" s="25"/>
      <c r="Q9952" s="17"/>
    </row>
    <row r="9953" spans="12:17" x14ac:dyDescent="0.3">
      <c r="L9953" s="25"/>
      <c r="Q9953" s="17"/>
    </row>
    <row r="9954" spans="12:17" x14ac:dyDescent="0.3">
      <c r="L9954" s="25"/>
      <c r="Q9954" s="17"/>
    </row>
    <row r="9955" spans="12:17" x14ac:dyDescent="0.3">
      <c r="L9955" s="25"/>
      <c r="Q9955" s="17"/>
    </row>
    <row r="9956" spans="12:17" x14ac:dyDescent="0.3">
      <c r="L9956" s="25"/>
      <c r="Q9956" s="17"/>
    </row>
    <row r="9957" spans="12:17" x14ac:dyDescent="0.3">
      <c r="L9957" s="25"/>
      <c r="Q9957" s="17"/>
    </row>
    <row r="9958" spans="12:17" x14ac:dyDescent="0.3">
      <c r="L9958" s="25"/>
      <c r="Q9958" s="17"/>
    </row>
    <row r="9959" spans="12:17" x14ac:dyDescent="0.3">
      <c r="L9959" s="25"/>
      <c r="Q9959" s="17"/>
    </row>
    <row r="9960" spans="12:17" x14ac:dyDescent="0.3">
      <c r="L9960" s="25"/>
      <c r="Q9960" s="17"/>
    </row>
    <row r="9961" spans="12:17" x14ac:dyDescent="0.3">
      <c r="L9961" s="25"/>
      <c r="Q9961" s="17"/>
    </row>
    <row r="9962" spans="12:17" x14ac:dyDescent="0.3">
      <c r="L9962" s="25"/>
      <c r="Q9962" s="17"/>
    </row>
    <row r="9963" spans="12:17" x14ac:dyDescent="0.3">
      <c r="L9963" s="25"/>
      <c r="Q9963" s="17"/>
    </row>
    <row r="9964" spans="12:17" x14ac:dyDescent="0.3">
      <c r="L9964" s="25"/>
      <c r="Q9964" s="17"/>
    </row>
    <row r="9965" spans="12:17" x14ac:dyDescent="0.3">
      <c r="L9965" s="25"/>
      <c r="Q9965" s="17"/>
    </row>
    <row r="9966" spans="12:17" x14ac:dyDescent="0.3">
      <c r="L9966" s="25"/>
      <c r="Q9966" s="17"/>
    </row>
    <row r="9967" spans="12:17" x14ac:dyDescent="0.3">
      <c r="L9967" s="25"/>
      <c r="Q9967" s="17"/>
    </row>
    <row r="9968" spans="12:17" x14ac:dyDescent="0.3">
      <c r="L9968" s="25"/>
      <c r="Q9968" s="17"/>
    </row>
    <row r="9969" spans="12:17" x14ac:dyDescent="0.3">
      <c r="L9969" s="25"/>
      <c r="Q9969" s="17"/>
    </row>
    <row r="9970" spans="12:17" x14ac:dyDescent="0.3">
      <c r="L9970" s="25"/>
      <c r="Q9970" s="17"/>
    </row>
    <row r="9971" spans="12:17" x14ac:dyDescent="0.3">
      <c r="L9971" s="25"/>
      <c r="Q9971" s="17"/>
    </row>
    <row r="9972" spans="12:17" x14ac:dyDescent="0.3">
      <c r="L9972" s="25"/>
      <c r="Q9972" s="17"/>
    </row>
    <row r="9973" spans="12:17" x14ac:dyDescent="0.3">
      <c r="L9973" s="25"/>
      <c r="Q9973" s="17"/>
    </row>
    <row r="9974" spans="12:17" x14ac:dyDescent="0.3">
      <c r="L9974" s="25"/>
      <c r="Q9974" s="17"/>
    </row>
    <row r="9975" spans="12:17" x14ac:dyDescent="0.3">
      <c r="L9975" s="25"/>
      <c r="Q9975" s="17"/>
    </row>
    <row r="9976" spans="12:17" x14ac:dyDescent="0.3">
      <c r="L9976" s="25"/>
      <c r="Q9976" s="17"/>
    </row>
    <row r="9977" spans="12:17" x14ac:dyDescent="0.3">
      <c r="L9977" s="25"/>
      <c r="Q9977" s="17"/>
    </row>
    <row r="9978" spans="12:17" x14ac:dyDescent="0.3">
      <c r="L9978" s="25"/>
      <c r="Q9978" s="17"/>
    </row>
    <row r="9979" spans="12:17" x14ac:dyDescent="0.3">
      <c r="L9979" s="25"/>
      <c r="Q9979" s="17"/>
    </row>
    <row r="9980" spans="12:17" x14ac:dyDescent="0.3">
      <c r="L9980" s="25"/>
      <c r="Q9980" s="17"/>
    </row>
    <row r="9981" spans="12:17" x14ac:dyDescent="0.3">
      <c r="L9981" s="25"/>
      <c r="Q9981" s="17"/>
    </row>
    <row r="9982" spans="12:17" x14ac:dyDescent="0.3">
      <c r="L9982" s="25"/>
      <c r="Q9982" s="17"/>
    </row>
    <row r="9983" spans="12:17" x14ac:dyDescent="0.3">
      <c r="L9983" s="25"/>
      <c r="Q9983" s="17"/>
    </row>
    <row r="9984" spans="12:17" x14ac:dyDescent="0.3">
      <c r="L9984" s="25"/>
      <c r="Q9984" s="17"/>
    </row>
    <row r="9985" spans="12:17" x14ac:dyDescent="0.3">
      <c r="L9985" s="25"/>
      <c r="Q9985" s="17"/>
    </row>
    <row r="9986" spans="12:17" x14ac:dyDescent="0.3">
      <c r="L9986" s="25"/>
      <c r="Q9986" s="17"/>
    </row>
    <row r="9987" spans="12:17" x14ac:dyDescent="0.3">
      <c r="L9987" s="25"/>
      <c r="Q9987" s="17"/>
    </row>
    <row r="9988" spans="12:17" x14ac:dyDescent="0.3">
      <c r="L9988" s="25"/>
      <c r="Q9988" s="17"/>
    </row>
    <row r="9989" spans="12:17" x14ac:dyDescent="0.3">
      <c r="L9989" s="25"/>
      <c r="Q9989" s="17"/>
    </row>
    <row r="9990" spans="12:17" x14ac:dyDescent="0.3">
      <c r="L9990" s="25"/>
      <c r="Q9990" s="17"/>
    </row>
    <row r="9991" spans="12:17" x14ac:dyDescent="0.3">
      <c r="L9991" s="25"/>
      <c r="Q9991" s="17"/>
    </row>
    <row r="9992" spans="12:17" x14ac:dyDescent="0.3">
      <c r="L9992" s="25"/>
      <c r="Q9992" s="17"/>
    </row>
    <row r="9993" spans="12:17" x14ac:dyDescent="0.3">
      <c r="L9993" s="25"/>
      <c r="Q9993" s="17"/>
    </row>
    <row r="9994" spans="12:17" x14ac:dyDescent="0.3">
      <c r="L9994" s="25"/>
      <c r="Q9994" s="17"/>
    </row>
    <row r="9995" spans="12:17" x14ac:dyDescent="0.3">
      <c r="L9995" s="25"/>
      <c r="Q9995" s="17"/>
    </row>
    <row r="9996" spans="12:17" x14ac:dyDescent="0.3">
      <c r="L9996" s="25"/>
      <c r="Q9996" s="17"/>
    </row>
    <row r="9997" spans="12:17" x14ac:dyDescent="0.3">
      <c r="L9997" s="25"/>
      <c r="Q9997" s="17"/>
    </row>
    <row r="9998" spans="12:17" x14ac:dyDescent="0.3">
      <c r="L9998" s="25"/>
      <c r="Q9998" s="17"/>
    </row>
    <row r="9999" spans="12:17" x14ac:dyDescent="0.3">
      <c r="L9999" s="25"/>
      <c r="Q9999" s="17"/>
    </row>
    <row r="10000" spans="12:17" x14ac:dyDescent="0.3">
      <c r="L10000" s="25"/>
      <c r="Q10000" s="17"/>
    </row>
    <row r="10001" spans="12:17" x14ac:dyDescent="0.3">
      <c r="L10001" s="25"/>
      <c r="Q10001" s="17"/>
    </row>
    <row r="10002" spans="12:17" x14ac:dyDescent="0.3">
      <c r="L10002" s="25"/>
      <c r="Q10002" s="17"/>
    </row>
    <row r="10003" spans="12:17" x14ac:dyDescent="0.3">
      <c r="L10003" s="25"/>
      <c r="Q10003" s="17"/>
    </row>
    <row r="10004" spans="12:17" x14ac:dyDescent="0.3">
      <c r="L10004" s="25"/>
      <c r="Q10004" s="17"/>
    </row>
    <row r="10005" spans="12:17" x14ac:dyDescent="0.3">
      <c r="L10005" s="25"/>
      <c r="Q10005" s="17"/>
    </row>
    <row r="10006" spans="12:17" x14ac:dyDescent="0.3">
      <c r="L10006" s="25"/>
      <c r="Q10006" s="17"/>
    </row>
    <row r="10007" spans="12:17" x14ac:dyDescent="0.3">
      <c r="L10007" s="25"/>
      <c r="Q10007" s="17"/>
    </row>
    <row r="10008" spans="12:17" x14ac:dyDescent="0.3">
      <c r="L10008" s="25"/>
      <c r="Q10008" s="17"/>
    </row>
    <row r="10009" spans="12:17" x14ac:dyDescent="0.3">
      <c r="L10009" s="25"/>
      <c r="Q10009" s="17"/>
    </row>
    <row r="10010" spans="12:17" x14ac:dyDescent="0.3">
      <c r="L10010" s="25"/>
      <c r="Q10010" s="17"/>
    </row>
    <row r="10011" spans="12:17" x14ac:dyDescent="0.3">
      <c r="L10011" s="25"/>
      <c r="Q10011" s="17"/>
    </row>
    <row r="10012" spans="12:17" x14ac:dyDescent="0.3">
      <c r="L10012" s="25"/>
      <c r="Q10012" s="17"/>
    </row>
    <row r="10013" spans="12:17" x14ac:dyDescent="0.3">
      <c r="L10013" s="25"/>
      <c r="Q10013" s="17"/>
    </row>
    <row r="10014" spans="12:17" x14ac:dyDescent="0.3">
      <c r="L10014" s="25"/>
      <c r="Q10014" s="17"/>
    </row>
    <row r="10015" spans="12:17" x14ac:dyDescent="0.3">
      <c r="L10015" s="25"/>
      <c r="Q10015" s="17"/>
    </row>
    <row r="10016" spans="12:17" x14ac:dyDescent="0.3">
      <c r="L10016" s="25"/>
      <c r="Q10016" s="17"/>
    </row>
    <row r="10017" spans="12:17" x14ac:dyDescent="0.3">
      <c r="L10017" s="25"/>
      <c r="Q10017" s="17"/>
    </row>
    <row r="10018" spans="12:17" x14ac:dyDescent="0.3">
      <c r="L10018" s="25"/>
      <c r="Q10018" s="17"/>
    </row>
    <row r="10019" spans="12:17" x14ac:dyDescent="0.3">
      <c r="L10019" s="25"/>
      <c r="Q10019" s="17"/>
    </row>
    <row r="10020" spans="12:17" x14ac:dyDescent="0.3">
      <c r="L10020" s="25"/>
      <c r="Q10020" s="17"/>
    </row>
    <row r="10021" spans="12:17" x14ac:dyDescent="0.3">
      <c r="L10021" s="25"/>
      <c r="Q10021" s="17"/>
    </row>
    <row r="10022" spans="12:17" x14ac:dyDescent="0.3">
      <c r="L10022" s="25"/>
      <c r="Q10022" s="17"/>
    </row>
    <row r="10023" spans="12:17" x14ac:dyDescent="0.3">
      <c r="L10023" s="25"/>
      <c r="Q10023" s="17"/>
    </row>
    <row r="10024" spans="12:17" x14ac:dyDescent="0.3">
      <c r="L10024" s="25"/>
      <c r="Q10024" s="17"/>
    </row>
    <row r="10025" spans="12:17" x14ac:dyDescent="0.3">
      <c r="L10025" s="25"/>
      <c r="Q10025" s="17"/>
    </row>
    <row r="10026" spans="12:17" x14ac:dyDescent="0.3">
      <c r="L10026" s="25"/>
      <c r="Q10026" s="17"/>
    </row>
    <row r="10027" spans="12:17" x14ac:dyDescent="0.3">
      <c r="L10027" s="25"/>
      <c r="Q10027" s="17"/>
    </row>
    <row r="10028" spans="12:17" x14ac:dyDescent="0.3">
      <c r="L10028" s="25"/>
      <c r="Q10028" s="17"/>
    </row>
    <row r="10029" spans="12:17" x14ac:dyDescent="0.3">
      <c r="L10029" s="25"/>
      <c r="Q10029" s="17"/>
    </row>
    <row r="10030" spans="12:17" x14ac:dyDescent="0.3">
      <c r="L10030" s="25"/>
      <c r="Q10030" s="17"/>
    </row>
    <row r="10031" spans="12:17" x14ac:dyDescent="0.3">
      <c r="L10031" s="25"/>
      <c r="Q10031" s="17"/>
    </row>
    <row r="10032" spans="12:17" x14ac:dyDescent="0.3">
      <c r="L10032" s="25"/>
      <c r="Q10032" s="17"/>
    </row>
    <row r="10033" spans="12:17" x14ac:dyDescent="0.3">
      <c r="L10033" s="25"/>
      <c r="Q10033" s="17"/>
    </row>
    <row r="10034" spans="12:17" x14ac:dyDescent="0.3">
      <c r="L10034" s="25"/>
      <c r="Q10034" s="17"/>
    </row>
    <row r="10035" spans="12:17" x14ac:dyDescent="0.3">
      <c r="L10035" s="25"/>
      <c r="Q10035" s="17"/>
    </row>
    <row r="10036" spans="12:17" x14ac:dyDescent="0.3">
      <c r="L10036" s="25"/>
      <c r="Q10036" s="17"/>
    </row>
    <row r="10037" spans="12:17" x14ac:dyDescent="0.3">
      <c r="L10037" s="25"/>
      <c r="Q10037" s="17"/>
    </row>
    <row r="10038" spans="12:17" x14ac:dyDescent="0.3">
      <c r="L10038" s="25"/>
      <c r="Q10038" s="17"/>
    </row>
    <row r="10039" spans="12:17" x14ac:dyDescent="0.3">
      <c r="L10039" s="25"/>
      <c r="Q10039" s="17"/>
    </row>
    <row r="10040" spans="12:17" x14ac:dyDescent="0.3">
      <c r="L10040" s="25"/>
      <c r="Q10040" s="17"/>
    </row>
    <row r="10041" spans="12:17" x14ac:dyDescent="0.3">
      <c r="L10041" s="25"/>
      <c r="Q10041" s="17"/>
    </row>
    <row r="10042" spans="12:17" x14ac:dyDescent="0.3">
      <c r="L10042" s="25"/>
      <c r="Q10042" s="17"/>
    </row>
    <row r="10043" spans="12:17" x14ac:dyDescent="0.3">
      <c r="L10043" s="25"/>
      <c r="Q10043" s="17"/>
    </row>
    <row r="10044" spans="12:17" x14ac:dyDescent="0.3">
      <c r="L10044" s="25"/>
      <c r="Q10044" s="17"/>
    </row>
    <row r="10045" spans="12:17" x14ac:dyDescent="0.3">
      <c r="L10045" s="25"/>
      <c r="Q10045" s="17"/>
    </row>
    <row r="10046" spans="12:17" x14ac:dyDescent="0.3">
      <c r="L10046" s="25"/>
      <c r="Q10046" s="17"/>
    </row>
    <row r="10047" spans="12:17" x14ac:dyDescent="0.3">
      <c r="L10047" s="25"/>
      <c r="Q10047" s="17"/>
    </row>
    <row r="10048" spans="12:17" x14ac:dyDescent="0.3">
      <c r="L10048" s="25"/>
      <c r="Q10048" s="17"/>
    </row>
    <row r="10049" spans="12:17" x14ac:dyDescent="0.3">
      <c r="L10049" s="25"/>
      <c r="Q10049" s="17"/>
    </row>
    <row r="10050" spans="12:17" x14ac:dyDescent="0.3">
      <c r="L10050" s="25"/>
      <c r="Q10050" s="17"/>
    </row>
    <row r="10051" spans="12:17" x14ac:dyDescent="0.3">
      <c r="L10051" s="25"/>
      <c r="Q10051" s="17"/>
    </row>
    <row r="10052" spans="12:17" x14ac:dyDescent="0.3">
      <c r="L10052" s="25"/>
      <c r="Q10052" s="17"/>
    </row>
    <row r="10053" spans="12:17" x14ac:dyDescent="0.3">
      <c r="L10053" s="25"/>
      <c r="Q10053" s="17"/>
    </row>
    <row r="10054" spans="12:17" x14ac:dyDescent="0.3">
      <c r="L10054" s="25"/>
      <c r="Q10054" s="17"/>
    </row>
    <row r="10055" spans="12:17" x14ac:dyDescent="0.3">
      <c r="L10055" s="25"/>
      <c r="Q10055" s="17"/>
    </row>
    <row r="10056" spans="12:17" x14ac:dyDescent="0.3">
      <c r="L10056" s="25"/>
      <c r="Q10056" s="17"/>
    </row>
    <row r="10057" spans="12:17" x14ac:dyDescent="0.3">
      <c r="L10057" s="25"/>
      <c r="Q10057" s="17"/>
    </row>
    <row r="10058" spans="12:17" x14ac:dyDescent="0.3">
      <c r="L10058" s="25"/>
      <c r="Q10058" s="17"/>
    </row>
    <row r="10059" spans="12:17" x14ac:dyDescent="0.3">
      <c r="L10059" s="25"/>
      <c r="Q10059" s="17"/>
    </row>
    <row r="10060" spans="12:17" x14ac:dyDescent="0.3">
      <c r="L10060" s="25"/>
      <c r="Q10060" s="17"/>
    </row>
    <row r="10061" spans="12:17" x14ac:dyDescent="0.3">
      <c r="L10061" s="25"/>
      <c r="Q10061" s="17"/>
    </row>
    <row r="10062" spans="12:17" x14ac:dyDescent="0.3">
      <c r="L10062" s="25"/>
      <c r="Q10062" s="17"/>
    </row>
    <row r="10063" spans="12:17" x14ac:dyDescent="0.3">
      <c r="L10063" s="25"/>
      <c r="Q10063" s="17"/>
    </row>
    <row r="10064" spans="12:17" x14ac:dyDescent="0.3">
      <c r="L10064" s="25"/>
      <c r="Q10064" s="17"/>
    </row>
    <row r="10065" spans="12:17" x14ac:dyDescent="0.3">
      <c r="L10065" s="25"/>
      <c r="Q10065" s="17"/>
    </row>
    <row r="10066" spans="12:17" x14ac:dyDescent="0.3">
      <c r="L10066" s="25"/>
      <c r="Q10066" s="17"/>
    </row>
    <row r="10067" spans="12:17" x14ac:dyDescent="0.3">
      <c r="L10067" s="25"/>
      <c r="Q10067" s="17"/>
    </row>
    <row r="10068" spans="12:17" x14ac:dyDescent="0.3">
      <c r="L10068" s="25"/>
      <c r="Q10068" s="17"/>
    </row>
    <row r="10069" spans="12:17" x14ac:dyDescent="0.3">
      <c r="L10069" s="25"/>
      <c r="Q10069" s="17"/>
    </row>
    <row r="10070" spans="12:17" x14ac:dyDescent="0.3">
      <c r="L10070" s="25"/>
      <c r="Q10070" s="17"/>
    </row>
    <row r="10071" spans="12:17" x14ac:dyDescent="0.3">
      <c r="L10071" s="25"/>
      <c r="Q10071" s="17"/>
    </row>
    <row r="10072" spans="12:17" x14ac:dyDescent="0.3">
      <c r="L10072" s="25"/>
      <c r="Q10072" s="17"/>
    </row>
    <row r="10073" spans="12:17" x14ac:dyDescent="0.3">
      <c r="L10073" s="25"/>
      <c r="Q10073" s="17"/>
    </row>
    <row r="10074" spans="12:17" x14ac:dyDescent="0.3">
      <c r="L10074" s="25"/>
      <c r="Q10074" s="17"/>
    </row>
    <row r="10075" spans="12:17" x14ac:dyDescent="0.3">
      <c r="L10075" s="25"/>
      <c r="Q10075" s="17"/>
    </row>
    <row r="10076" spans="12:17" x14ac:dyDescent="0.3">
      <c r="L10076" s="25"/>
      <c r="Q10076" s="17"/>
    </row>
    <row r="10077" spans="12:17" x14ac:dyDescent="0.3">
      <c r="L10077" s="25"/>
      <c r="Q10077" s="17"/>
    </row>
    <row r="10078" spans="12:17" x14ac:dyDescent="0.3">
      <c r="L10078" s="25"/>
      <c r="Q10078" s="17"/>
    </row>
    <row r="10079" spans="12:17" x14ac:dyDescent="0.3">
      <c r="L10079" s="25"/>
      <c r="Q10079" s="17"/>
    </row>
    <row r="10080" spans="12:17" x14ac:dyDescent="0.3">
      <c r="L10080" s="25"/>
      <c r="Q10080" s="17"/>
    </row>
    <row r="10081" spans="12:17" x14ac:dyDescent="0.3">
      <c r="L10081" s="25"/>
      <c r="Q10081" s="17"/>
    </row>
    <row r="10082" spans="12:17" x14ac:dyDescent="0.3">
      <c r="L10082" s="25"/>
      <c r="Q10082" s="17"/>
    </row>
    <row r="10083" spans="12:17" x14ac:dyDescent="0.3">
      <c r="L10083" s="25"/>
      <c r="Q10083" s="17"/>
    </row>
    <row r="10084" spans="12:17" x14ac:dyDescent="0.3">
      <c r="L10084" s="25"/>
      <c r="Q10084" s="17"/>
    </row>
    <row r="10085" spans="12:17" x14ac:dyDescent="0.3">
      <c r="L10085" s="25"/>
      <c r="Q10085" s="17"/>
    </row>
    <row r="10086" spans="12:17" x14ac:dyDescent="0.3">
      <c r="L10086" s="25"/>
      <c r="Q10086" s="17"/>
    </row>
    <row r="10087" spans="12:17" x14ac:dyDescent="0.3">
      <c r="L10087" s="25"/>
      <c r="Q10087" s="17"/>
    </row>
    <row r="10088" spans="12:17" x14ac:dyDescent="0.3">
      <c r="L10088" s="25"/>
      <c r="Q10088" s="17"/>
    </row>
    <row r="10089" spans="12:17" x14ac:dyDescent="0.3">
      <c r="L10089" s="25"/>
      <c r="Q10089" s="17"/>
    </row>
    <row r="10090" spans="12:17" x14ac:dyDescent="0.3">
      <c r="L10090" s="25"/>
      <c r="Q10090" s="17"/>
    </row>
    <row r="10091" spans="12:17" x14ac:dyDescent="0.3">
      <c r="L10091" s="25"/>
      <c r="Q10091" s="17"/>
    </row>
    <row r="10092" spans="12:17" x14ac:dyDescent="0.3">
      <c r="L10092" s="25"/>
      <c r="Q10092" s="17"/>
    </row>
    <row r="10093" spans="12:17" x14ac:dyDescent="0.3">
      <c r="L10093" s="25"/>
      <c r="Q10093" s="17"/>
    </row>
    <row r="10094" spans="12:17" x14ac:dyDescent="0.3">
      <c r="L10094" s="25"/>
      <c r="Q10094" s="17"/>
    </row>
    <row r="10095" spans="12:17" x14ac:dyDescent="0.3">
      <c r="L10095" s="25"/>
      <c r="Q10095" s="17"/>
    </row>
    <row r="10096" spans="12:17" x14ac:dyDescent="0.3">
      <c r="L10096" s="25"/>
      <c r="Q10096" s="17"/>
    </row>
    <row r="10097" spans="12:17" x14ac:dyDescent="0.3">
      <c r="L10097" s="25"/>
      <c r="Q10097" s="17"/>
    </row>
    <row r="10098" spans="12:17" x14ac:dyDescent="0.3">
      <c r="L10098" s="25"/>
      <c r="Q10098" s="17"/>
    </row>
    <row r="10099" spans="12:17" x14ac:dyDescent="0.3">
      <c r="L10099" s="25"/>
      <c r="Q10099" s="17"/>
    </row>
    <row r="10100" spans="12:17" x14ac:dyDescent="0.3">
      <c r="L10100" s="25"/>
      <c r="Q10100" s="17"/>
    </row>
    <row r="10101" spans="12:17" x14ac:dyDescent="0.3">
      <c r="L10101" s="25"/>
      <c r="Q10101" s="17"/>
    </row>
    <row r="10102" spans="12:17" x14ac:dyDescent="0.3">
      <c r="L10102" s="25"/>
      <c r="Q10102" s="17"/>
    </row>
    <row r="10103" spans="12:17" x14ac:dyDescent="0.3">
      <c r="L10103" s="25"/>
      <c r="Q10103" s="17"/>
    </row>
    <row r="10104" spans="12:17" x14ac:dyDescent="0.3">
      <c r="L10104" s="25"/>
      <c r="Q10104" s="17"/>
    </row>
    <row r="10105" spans="12:17" x14ac:dyDescent="0.3">
      <c r="L10105" s="25"/>
      <c r="Q10105" s="17"/>
    </row>
    <row r="10106" spans="12:17" x14ac:dyDescent="0.3">
      <c r="L10106" s="25"/>
      <c r="Q10106" s="17"/>
    </row>
    <row r="10107" spans="12:17" x14ac:dyDescent="0.3">
      <c r="L10107" s="25"/>
      <c r="Q10107" s="17"/>
    </row>
    <row r="10108" spans="12:17" x14ac:dyDescent="0.3">
      <c r="L10108" s="25"/>
      <c r="Q10108" s="17"/>
    </row>
    <row r="10109" spans="12:17" x14ac:dyDescent="0.3">
      <c r="L10109" s="25"/>
      <c r="Q10109" s="17"/>
    </row>
    <row r="10110" spans="12:17" x14ac:dyDescent="0.3">
      <c r="L10110" s="25"/>
      <c r="Q10110" s="17"/>
    </row>
    <row r="10111" spans="12:17" x14ac:dyDescent="0.3">
      <c r="L10111" s="25"/>
      <c r="Q10111" s="17"/>
    </row>
    <row r="10112" spans="12:17" x14ac:dyDescent="0.3">
      <c r="L10112" s="25"/>
      <c r="Q10112" s="17"/>
    </row>
    <row r="10113" spans="12:17" x14ac:dyDescent="0.3">
      <c r="L10113" s="25"/>
      <c r="Q10113" s="17"/>
    </row>
    <row r="10114" spans="12:17" x14ac:dyDescent="0.3">
      <c r="L10114" s="25"/>
      <c r="Q10114" s="17"/>
    </row>
    <row r="10115" spans="12:17" x14ac:dyDescent="0.3">
      <c r="L10115" s="25"/>
      <c r="Q10115" s="17"/>
    </row>
    <row r="10116" spans="12:17" x14ac:dyDescent="0.3">
      <c r="L10116" s="25"/>
      <c r="Q10116" s="17"/>
    </row>
    <row r="10117" spans="12:17" x14ac:dyDescent="0.3">
      <c r="L10117" s="25"/>
      <c r="Q10117" s="17"/>
    </row>
    <row r="10118" spans="12:17" x14ac:dyDescent="0.3">
      <c r="L10118" s="25"/>
      <c r="Q10118" s="17"/>
    </row>
    <row r="10119" spans="12:17" x14ac:dyDescent="0.3">
      <c r="L10119" s="25"/>
      <c r="Q10119" s="17"/>
    </row>
    <row r="10120" spans="12:17" x14ac:dyDescent="0.3">
      <c r="L10120" s="25"/>
      <c r="Q10120" s="17"/>
    </row>
    <row r="10121" spans="12:17" x14ac:dyDescent="0.3">
      <c r="L10121" s="25"/>
      <c r="Q10121" s="17"/>
    </row>
    <row r="10122" spans="12:17" x14ac:dyDescent="0.3">
      <c r="L10122" s="25"/>
      <c r="Q10122" s="17"/>
    </row>
    <row r="10123" spans="12:17" x14ac:dyDescent="0.3">
      <c r="L10123" s="25"/>
      <c r="Q10123" s="17"/>
    </row>
    <row r="10124" spans="12:17" x14ac:dyDescent="0.3">
      <c r="L10124" s="25"/>
      <c r="Q10124" s="17"/>
    </row>
    <row r="10125" spans="12:17" x14ac:dyDescent="0.3">
      <c r="L10125" s="25"/>
      <c r="Q10125" s="17"/>
    </row>
    <row r="10126" spans="12:17" x14ac:dyDescent="0.3">
      <c r="L10126" s="25"/>
      <c r="Q10126" s="17"/>
    </row>
    <row r="10127" spans="12:17" x14ac:dyDescent="0.3">
      <c r="L10127" s="25"/>
      <c r="Q10127" s="17"/>
    </row>
    <row r="10128" spans="12:17" x14ac:dyDescent="0.3">
      <c r="L10128" s="25"/>
      <c r="Q10128" s="17"/>
    </row>
    <row r="10129" spans="12:17" x14ac:dyDescent="0.3">
      <c r="L10129" s="25"/>
      <c r="Q10129" s="17"/>
    </row>
    <row r="10130" spans="12:17" x14ac:dyDescent="0.3">
      <c r="L10130" s="25"/>
      <c r="Q10130" s="17"/>
    </row>
    <row r="10131" spans="12:17" x14ac:dyDescent="0.3">
      <c r="L10131" s="25"/>
      <c r="Q10131" s="17"/>
    </row>
    <row r="10132" spans="12:17" x14ac:dyDescent="0.3">
      <c r="L10132" s="25"/>
      <c r="Q10132" s="17"/>
    </row>
    <row r="10133" spans="12:17" x14ac:dyDescent="0.3">
      <c r="L10133" s="25"/>
      <c r="Q10133" s="17"/>
    </row>
    <row r="10134" spans="12:17" x14ac:dyDescent="0.3">
      <c r="L10134" s="25"/>
      <c r="Q10134" s="17"/>
    </row>
    <row r="10135" spans="12:17" x14ac:dyDescent="0.3">
      <c r="L10135" s="25"/>
      <c r="Q10135" s="17"/>
    </row>
    <row r="10136" spans="12:17" x14ac:dyDescent="0.3">
      <c r="L10136" s="25"/>
      <c r="Q10136" s="17"/>
    </row>
    <row r="10137" spans="12:17" x14ac:dyDescent="0.3">
      <c r="L10137" s="25"/>
      <c r="Q10137" s="17"/>
    </row>
    <row r="10138" spans="12:17" x14ac:dyDescent="0.3">
      <c r="L10138" s="25"/>
      <c r="Q10138" s="17"/>
    </row>
    <row r="10139" spans="12:17" x14ac:dyDescent="0.3">
      <c r="L10139" s="25"/>
      <c r="Q10139" s="17"/>
    </row>
    <row r="10140" spans="12:17" x14ac:dyDescent="0.3">
      <c r="L10140" s="25"/>
      <c r="Q10140" s="17"/>
    </row>
    <row r="10141" spans="12:17" x14ac:dyDescent="0.3">
      <c r="L10141" s="25"/>
      <c r="Q10141" s="17"/>
    </row>
    <row r="10142" spans="12:17" x14ac:dyDescent="0.3">
      <c r="L10142" s="25"/>
      <c r="Q10142" s="17"/>
    </row>
    <row r="10143" spans="12:17" x14ac:dyDescent="0.3">
      <c r="L10143" s="25"/>
      <c r="Q10143" s="17"/>
    </row>
    <row r="10144" spans="12:17" x14ac:dyDescent="0.3">
      <c r="L10144" s="25"/>
      <c r="Q10144" s="17"/>
    </row>
    <row r="10145" spans="12:17" x14ac:dyDescent="0.3">
      <c r="L10145" s="25"/>
      <c r="Q10145" s="17"/>
    </row>
    <row r="10146" spans="12:17" x14ac:dyDescent="0.3">
      <c r="L10146" s="25"/>
      <c r="Q10146" s="17"/>
    </row>
    <row r="10147" spans="12:17" x14ac:dyDescent="0.3">
      <c r="L10147" s="25"/>
      <c r="Q10147" s="17"/>
    </row>
    <row r="10148" spans="12:17" x14ac:dyDescent="0.3">
      <c r="L10148" s="25"/>
      <c r="Q10148" s="17"/>
    </row>
    <row r="10149" spans="12:17" x14ac:dyDescent="0.3">
      <c r="L10149" s="25"/>
      <c r="Q10149" s="17"/>
    </row>
    <row r="10150" spans="12:17" x14ac:dyDescent="0.3">
      <c r="L10150" s="25"/>
      <c r="Q10150" s="17"/>
    </row>
    <row r="10151" spans="12:17" x14ac:dyDescent="0.3">
      <c r="L10151" s="25"/>
      <c r="Q10151" s="17"/>
    </row>
    <row r="10152" spans="12:17" x14ac:dyDescent="0.3">
      <c r="L10152" s="25"/>
      <c r="Q10152" s="17"/>
    </row>
    <row r="10153" spans="12:17" x14ac:dyDescent="0.3">
      <c r="L10153" s="25"/>
      <c r="Q10153" s="17"/>
    </row>
    <row r="10154" spans="12:17" x14ac:dyDescent="0.3">
      <c r="L10154" s="25"/>
      <c r="Q10154" s="17"/>
    </row>
    <row r="10155" spans="12:17" x14ac:dyDescent="0.3">
      <c r="L10155" s="25"/>
      <c r="Q10155" s="17"/>
    </row>
    <row r="10156" spans="12:17" x14ac:dyDescent="0.3">
      <c r="L10156" s="25"/>
      <c r="Q10156" s="17"/>
    </row>
    <row r="10157" spans="12:17" x14ac:dyDescent="0.3">
      <c r="L10157" s="25"/>
      <c r="Q10157" s="17"/>
    </row>
    <row r="10158" spans="12:17" x14ac:dyDescent="0.3">
      <c r="L10158" s="25"/>
      <c r="Q10158" s="17"/>
    </row>
    <row r="10159" spans="12:17" x14ac:dyDescent="0.3">
      <c r="L10159" s="25"/>
      <c r="Q10159" s="17"/>
    </row>
    <row r="10160" spans="12:17" x14ac:dyDescent="0.3">
      <c r="L10160" s="25"/>
      <c r="Q10160" s="17"/>
    </row>
    <row r="10161" spans="12:17" x14ac:dyDescent="0.3">
      <c r="L10161" s="25"/>
      <c r="Q10161" s="17"/>
    </row>
    <row r="10162" spans="12:17" x14ac:dyDescent="0.3">
      <c r="L10162" s="25"/>
      <c r="Q10162" s="17"/>
    </row>
    <row r="10163" spans="12:17" x14ac:dyDescent="0.3">
      <c r="L10163" s="25"/>
      <c r="Q10163" s="17"/>
    </row>
    <row r="10164" spans="12:17" x14ac:dyDescent="0.3">
      <c r="L10164" s="25"/>
      <c r="Q10164" s="17"/>
    </row>
    <row r="10165" spans="12:17" x14ac:dyDescent="0.3">
      <c r="L10165" s="25"/>
      <c r="Q10165" s="17"/>
    </row>
    <row r="10166" spans="12:17" x14ac:dyDescent="0.3">
      <c r="L10166" s="25"/>
      <c r="Q10166" s="17"/>
    </row>
    <row r="10167" spans="12:17" x14ac:dyDescent="0.3">
      <c r="L10167" s="25"/>
      <c r="Q10167" s="17"/>
    </row>
    <row r="10168" spans="12:17" x14ac:dyDescent="0.3">
      <c r="L10168" s="25"/>
      <c r="Q10168" s="17"/>
    </row>
    <row r="10169" spans="12:17" x14ac:dyDescent="0.3">
      <c r="L10169" s="25"/>
      <c r="Q10169" s="17"/>
    </row>
    <row r="10170" spans="12:17" x14ac:dyDescent="0.3">
      <c r="L10170" s="25"/>
      <c r="Q10170" s="17"/>
    </row>
    <row r="10171" spans="12:17" x14ac:dyDescent="0.3">
      <c r="L10171" s="25"/>
      <c r="Q10171" s="17"/>
    </row>
    <row r="10172" spans="12:17" x14ac:dyDescent="0.3">
      <c r="L10172" s="25"/>
      <c r="Q10172" s="17"/>
    </row>
    <row r="10173" spans="12:17" x14ac:dyDescent="0.3">
      <c r="L10173" s="25"/>
      <c r="Q10173" s="17"/>
    </row>
    <row r="10174" spans="12:17" x14ac:dyDescent="0.3">
      <c r="L10174" s="25"/>
      <c r="Q10174" s="17"/>
    </row>
    <row r="10175" spans="12:17" x14ac:dyDescent="0.3">
      <c r="L10175" s="25"/>
      <c r="Q10175" s="17"/>
    </row>
    <row r="10176" spans="12:17" x14ac:dyDescent="0.3">
      <c r="L10176" s="25"/>
      <c r="Q10176" s="17"/>
    </row>
    <row r="10177" spans="12:17" x14ac:dyDescent="0.3">
      <c r="L10177" s="25"/>
      <c r="Q10177" s="17"/>
    </row>
    <row r="10178" spans="12:17" x14ac:dyDescent="0.3">
      <c r="L10178" s="25"/>
      <c r="Q10178" s="17"/>
    </row>
    <row r="10179" spans="12:17" x14ac:dyDescent="0.3">
      <c r="L10179" s="25"/>
      <c r="Q10179" s="17"/>
    </row>
    <row r="10180" spans="12:17" x14ac:dyDescent="0.3">
      <c r="L10180" s="25"/>
      <c r="Q10180" s="17"/>
    </row>
    <row r="10181" spans="12:17" x14ac:dyDescent="0.3">
      <c r="L10181" s="25"/>
      <c r="Q10181" s="17"/>
    </row>
    <row r="10182" spans="12:17" x14ac:dyDescent="0.3">
      <c r="L10182" s="25"/>
      <c r="Q10182" s="17"/>
    </row>
    <row r="10183" spans="12:17" x14ac:dyDescent="0.3">
      <c r="L10183" s="25"/>
      <c r="Q10183" s="17"/>
    </row>
    <row r="10184" spans="12:17" x14ac:dyDescent="0.3">
      <c r="L10184" s="25"/>
      <c r="Q10184" s="17"/>
    </row>
    <row r="10185" spans="12:17" x14ac:dyDescent="0.3">
      <c r="L10185" s="25"/>
      <c r="Q10185" s="17"/>
    </row>
    <row r="10186" spans="12:17" x14ac:dyDescent="0.3">
      <c r="L10186" s="25"/>
      <c r="Q10186" s="17"/>
    </row>
    <row r="10187" spans="12:17" x14ac:dyDescent="0.3">
      <c r="L10187" s="25"/>
      <c r="Q10187" s="17"/>
    </row>
    <row r="10188" spans="12:17" x14ac:dyDescent="0.3">
      <c r="L10188" s="25"/>
      <c r="Q10188" s="17"/>
    </row>
    <row r="10189" spans="12:17" x14ac:dyDescent="0.3">
      <c r="L10189" s="25"/>
      <c r="Q10189" s="17"/>
    </row>
    <row r="10190" spans="12:17" x14ac:dyDescent="0.3">
      <c r="L10190" s="25"/>
      <c r="Q10190" s="17"/>
    </row>
    <row r="10191" spans="12:17" x14ac:dyDescent="0.3">
      <c r="L10191" s="25"/>
      <c r="Q10191" s="17"/>
    </row>
    <row r="10192" spans="12:17" x14ac:dyDescent="0.3">
      <c r="L10192" s="25"/>
      <c r="Q10192" s="17"/>
    </row>
    <row r="10193" spans="12:17" x14ac:dyDescent="0.3">
      <c r="L10193" s="25"/>
      <c r="Q10193" s="17"/>
    </row>
    <row r="10194" spans="12:17" x14ac:dyDescent="0.3">
      <c r="L10194" s="25"/>
      <c r="Q10194" s="17"/>
    </row>
    <row r="10195" spans="12:17" x14ac:dyDescent="0.3">
      <c r="L10195" s="25"/>
      <c r="Q10195" s="17"/>
    </row>
    <row r="10196" spans="12:17" x14ac:dyDescent="0.3">
      <c r="L10196" s="25"/>
      <c r="Q10196" s="17"/>
    </row>
    <row r="10197" spans="12:17" x14ac:dyDescent="0.3">
      <c r="L10197" s="25"/>
      <c r="Q10197" s="17"/>
    </row>
    <row r="10198" spans="12:17" x14ac:dyDescent="0.3">
      <c r="L10198" s="25"/>
      <c r="Q10198" s="17"/>
    </row>
    <row r="10199" spans="12:17" x14ac:dyDescent="0.3">
      <c r="L10199" s="25"/>
      <c r="Q10199" s="17"/>
    </row>
    <row r="10200" spans="12:17" x14ac:dyDescent="0.3">
      <c r="L10200" s="25"/>
      <c r="Q10200" s="17"/>
    </row>
    <row r="10201" spans="12:17" x14ac:dyDescent="0.3">
      <c r="L10201" s="25"/>
      <c r="Q10201" s="17"/>
    </row>
    <row r="10202" spans="12:17" x14ac:dyDescent="0.3">
      <c r="L10202" s="25"/>
      <c r="Q10202" s="17"/>
    </row>
    <row r="10203" spans="12:17" x14ac:dyDescent="0.3">
      <c r="L10203" s="25"/>
      <c r="Q10203" s="17"/>
    </row>
    <row r="10204" spans="12:17" x14ac:dyDescent="0.3">
      <c r="L10204" s="25"/>
      <c r="Q10204" s="17"/>
    </row>
    <row r="10205" spans="12:17" x14ac:dyDescent="0.3">
      <c r="L10205" s="25"/>
      <c r="Q10205" s="17"/>
    </row>
    <row r="10206" spans="12:17" x14ac:dyDescent="0.3">
      <c r="L10206" s="25"/>
      <c r="Q10206" s="17"/>
    </row>
    <row r="10207" spans="12:17" x14ac:dyDescent="0.3">
      <c r="L10207" s="25"/>
      <c r="Q10207" s="17"/>
    </row>
    <row r="10208" spans="12:17" x14ac:dyDescent="0.3">
      <c r="L10208" s="25"/>
      <c r="Q10208" s="17"/>
    </row>
    <row r="10209" spans="12:17" x14ac:dyDescent="0.3">
      <c r="L10209" s="25"/>
      <c r="Q10209" s="17"/>
    </row>
    <row r="10210" spans="12:17" x14ac:dyDescent="0.3">
      <c r="L10210" s="25"/>
      <c r="Q10210" s="17"/>
    </row>
    <row r="10211" spans="12:17" x14ac:dyDescent="0.3">
      <c r="L10211" s="25"/>
      <c r="Q10211" s="17"/>
    </row>
    <row r="10212" spans="12:17" x14ac:dyDescent="0.3">
      <c r="L10212" s="25"/>
      <c r="Q10212" s="17"/>
    </row>
    <row r="10213" spans="12:17" x14ac:dyDescent="0.3">
      <c r="L10213" s="25"/>
      <c r="Q10213" s="17"/>
    </row>
    <row r="10214" spans="12:17" x14ac:dyDescent="0.3">
      <c r="L10214" s="25"/>
      <c r="Q10214" s="17"/>
    </row>
    <row r="10215" spans="12:17" x14ac:dyDescent="0.3">
      <c r="L10215" s="25"/>
      <c r="Q10215" s="17"/>
    </row>
    <row r="10216" spans="12:17" x14ac:dyDescent="0.3">
      <c r="L10216" s="25"/>
      <c r="Q10216" s="17"/>
    </row>
    <row r="10217" spans="12:17" x14ac:dyDescent="0.3">
      <c r="L10217" s="25"/>
      <c r="Q10217" s="17"/>
    </row>
    <row r="10218" spans="12:17" x14ac:dyDescent="0.3">
      <c r="L10218" s="25"/>
      <c r="Q10218" s="17"/>
    </row>
    <row r="10219" spans="12:17" x14ac:dyDescent="0.3">
      <c r="L10219" s="25"/>
      <c r="Q10219" s="17"/>
    </row>
    <row r="10220" spans="12:17" x14ac:dyDescent="0.3">
      <c r="L10220" s="25"/>
      <c r="Q10220" s="17"/>
    </row>
    <row r="10221" spans="12:17" x14ac:dyDescent="0.3">
      <c r="L10221" s="25"/>
      <c r="Q10221" s="17"/>
    </row>
    <row r="10222" spans="12:17" x14ac:dyDescent="0.3">
      <c r="L10222" s="25"/>
      <c r="Q10222" s="17"/>
    </row>
    <row r="10223" spans="12:17" x14ac:dyDescent="0.3">
      <c r="L10223" s="25"/>
      <c r="Q10223" s="17"/>
    </row>
    <row r="10224" spans="12:17" x14ac:dyDescent="0.3">
      <c r="L10224" s="25"/>
      <c r="Q10224" s="17"/>
    </row>
    <row r="10225" spans="12:17" x14ac:dyDescent="0.3">
      <c r="L10225" s="25"/>
      <c r="Q10225" s="17"/>
    </row>
    <row r="10226" spans="12:17" x14ac:dyDescent="0.3">
      <c r="L10226" s="25"/>
      <c r="Q10226" s="17"/>
    </row>
    <row r="10227" spans="12:17" x14ac:dyDescent="0.3">
      <c r="L10227" s="25"/>
      <c r="Q10227" s="17"/>
    </row>
    <row r="10228" spans="12:17" x14ac:dyDescent="0.3">
      <c r="L10228" s="25"/>
      <c r="Q10228" s="17"/>
    </row>
    <row r="10229" spans="12:17" x14ac:dyDescent="0.3">
      <c r="L10229" s="25"/>
      <c r="Q10229" s="17"/>
    </row>
    <row r="10230" spans="12:17" x14ac:dyDescent="0.3">
      <c r="L10230" s="25"/>
      <c r="Q10230" s="17"/>
    </row>
    <row r="10231" spans="12:17" x14ac:dyDescent="0.3">
      <c r="L10231" s="25"/>
      <c r="Q10231" s="17"/>
    </row>
    <row r="10232" spans="12:17" x14ac:dyDescent="0.3">
      <c r="L10232" s="25"/>
      <c r="Q10232" s="17"/>
    </row>
    <row r="10233" spans="12:17" x14ac:dyDescent="0.3">
      <c r="L10233" s="25"/>
      <c r="Q10233" s="17"/>
    </row>
    <row r="10234" spans="12:17" x14ac:dyDescent="0.3">
      <c r="L10234" s="25"/>
      <c r="Q10234" s="17"/>
    </row>
    <row r="10235" spans="12:17" x14ac:dyDescent="0.3">
      <c r="L10235" s="25"/>
      <c r="Q10235" s="17"/>
    </row>
    <row r="10236" spans="12:17" x14ac:dyDescent="0.3">
      <c r="L10236" s="25"/>
      <c r="Q10236" s="17"/>
    </row>
    <row r="10237" spans="12:17" x14ac:dyDescent="0.3">
      <c r="L10237" s="25"/>
      <c r="Q10237" s="17"/>
    </row>
    <row r="10238" spans="12:17" x14ac:dyDescent="0.3">
      <c r="L10238" s="25"/>
      <c r="Q10238" s="17"/>
    </row>
    <row r="10239" spans="12:17" x14ac:dyDescent="0.3">
      <c r="L10239" s="25"/>
      <c r="Q10239" s="17"/>
    </row>
    <row r="10240" spans="12:17" x14ac:dyDescent="0.3">
      <c r="L10240" s="25"/>
      <c r="Q10240" s="17"/>
    </row>
    <row r="10241" spans="12:17" x14ac:dyDescent="0.3">
      <c r="L10241" s="25"/>
      <c r="Q10241" s="17"/>
    </row>
    <row r="10242" spans="12:17" x14ac:dyDescent="0.3">
      <c r="L10242" s="25"/>
      <c r="Q10242" s="17"/>
    </row>
    <row r="10243" spans="12:17" x14ac:dyDescent="0.3">
      <c r="L10243" s="25"/>
      <c r="Q10243" s="17"/>
    </row>
    <row r="10244" spans="12:17" x14ac:dyDescent="0.3">
      <c r="L10244" s="25"/>
      <c r="Q10244" s="17"/>
    </row>
    <row r="10245" spans="12:17" x14ac:dyDescent="0.3">
      <c r="L10245" s="25"/>
      <c r="Q10245" s="17"/>
    </row>
    <row r="10246" spans="12:17" x14ac:dyDescent="0.3">
      <c r="L10246" s="25"/>
      <c r="Q10246" s="17"/>
    </row>
    <row r="10247" spans="12:17" x14ac:dyDescent="0.3">
      <c r="L10247" s="25"/>
      <c r="Q10247" s="17"/>
    </row>
    <row r="10248" spans="12:17" x14ac:dyDescent="0.3">
      <c r="L10248" s="25"/>
      <c r="Q10248" s="17"/>
    </row>
    <row r="10249" spans="12:17" x14ac:dyDescent="0.3">
      <c r="L10249" s="25"/>
      <c r="Q10249" s="17"/>
    </row>
    <row r="10250" spans="12:17" x14ac:dyDescent="0.3">
      <c r="L10250" s="25"/>
      <c r="Q10250" s="17"/>
    </row>
    <row r="10251" spans="12:17" x14ac:dyDescent="0.3">
      <c r="L10251" s="25"/>
      <c r="Q10251" s="17"/>
    </row>
    <row r="10252" spans="12:17" x14ac:dyDescent="0.3">
      <c r="L10252" s="25"/>
      <c r="Q10252" s="17"/>
    </row>
    <row r="10253" spans="12:17" x14ac:dyDescent="0.3">
      <c r="L10253" s="25"/>
      <c r="Q10253" s="17"/>
    </row>
    <row r="10254" spans="12:17" x14ac:dyDescent="0.3">
      <c r="L10254" s="25"/>
      <c r="Q10254" s="17"/>
    </row>
    <row r="10255" spans="12:17" x14ac:dyDescent="0.3">
      <c r="L10255" s="25"/>
      <c r="Q10255" s="17"/>
    </row>
    <row r="10256" spans="12:17" x14ac:dyDescent="0.3">
      <c r="L10256" s="25"/>
      <c r="Q10256" s="17"/>
    </row>
    <row r="10257" spans="12:17" x14ac:dyDescent="0.3">
      <c r="L10257" s="25"/>
      <c r="Q10257" s="17"/>
    </row>
    <row r="10258" spans="12:17" x14ac:dyDescent="0.3">
      <c r="L10258" s="25"/>
      <c r="Q10258" s="17"/>
    </row>
    <row r="10259" spans="12:17" x14ac:dyDescent="0.3">
      <c r="L10259" s="25"/>
      <c r="Q10259" s="17"/>
    </row>
    <row r="10260" spans="12:17" x14ac:dyDescent="0.3">
      <c r="L10260" s="25"/>
      <c r="Q10260" s="17"/>
    </row>
    <row r="10261" spans="12:17" x14ac:dyDescent="0.3">
      <c r="L10261" s="25"/>
      <c r="Q10261" s="17"/>
    </row>
    <row r="10262" spans="12:17" x14ac:dyDescent="0.3">
      <c r="L10262" s="25"/>
      <c r="Q10262" s="17"/>
    </row>
    <row r="10263" spans="12:17" x14ac:dyDescent="0.3">
      <c r="L10263" s="25"/>
      <c r="Q10263" s="17"/>
    </row>
    <row r="10264" spans="12:17" x14ac:dyDescent="0.3">
      <c r="L10264" s="25"/>
      <c r="Q10264" s="17"/>
    </row>
    <row r="10265" spans="12:17" x14ac:dyDescent="0.3">
      <c r="L10265" s="25"/>
      <c r="Q10265" s="17"/>
    </row>
    <row r="10266" spans="12:17" x14ac:dyDescent="0.3">
      <c r="L10266" s="25"/>
      <c r="Q10266" s="17"/>
    </row>
    <row r="10267" spans="12:17" x14ac:dyDescent="0.3">
      <c r="L10267" s="25"/>
      <c r="Q10267" s="17"/>
    </row>
    <row r="10268" spans="12:17" x14ac:dyDescent="0.3">
      <c r="L10268" s="25"/>
      <c r="Q10268" s="17"/>
    </row>
    <row r="10269" spans="12:17" x14ac:dyDescent="0.3">
      <c r="L10269" s="25"/>
      <c r="Q10269" s="17"/>
    </row>
    <row r="10270" spans="12:17" x14ac:dyDescent="0.3">
      <c r="L10270" s="25"/>
      <c r="Q10270" s="17"/>
    </row>
    <row r="10271" spans="12:17" x14ac:dyDescent="0.3">
      <c r="L10271" s="25"/>
      <c r="Q10271" s="17"/>
    </row>
    <row r="10272" spans="12:17" x14ac:dyDescent="0.3">
      <c r="L10272" s="25"/>
      <c r="Q10272" s="17"/>
    </row>
    <row r="10273" spans="12:17" x14ac:dyDescent="0.3">
      <c r="L10273" s="25"/>
      <c r="Q10273" s="17"/>
    </row>
    <row r="10274" spans="12:17" x14ac:dyDescent="0.3">
      <c r="L10274" s="25"/>
      <c r="Q10274" s="17"/>
    </row>
    <row r="10275" spans="12:17" x14ac:dyDescent="0.3">
      <c r="L10275" s="25"/>
      <c r="Q10275" s="17"/>
    </row>
    <row r="10276" spans="12:17" x14ac:dyDescent="0.3">
      <c r="L10276" s="25"/>
      <c r="Q10276" s="17"/>
    </row>
    <row r="10277" spans="12:17" x14ac:dyDescent="0.3">
      <c r="L10277" s="25"/>
      <c r="Q10277" s="17"/>
    </row>
    <row r="10278" spans="12:17" x14ac:dyDescent="0.3">
      <c r="L10278" s="25"/>
      <c r="Q10278" s="17"/>
    </row>
    <row r="10279" spans="12:17" x14ac:dyDescent="0.3">
      <c r="L10279" s="25"/>
      <c r="Q10279" s="17"/>
    </row>
    <row r="10280" spans="12:17" x14ac:dyDescent="0.3">
      <c r="L10280" s="25"/>
      <c r="Q10280" s="17"/>
    </row>
    <row r="10281" spans="12:17" x14ac:dyDescent="0.3">
      <c r="L10281" s="25"/>
      <c r="Q10281" s="17"/>
    </row>
    <row r="10282" spans="12:17" x14ac:dyDescent="0.3">
      <c r="L10282" s="25"/>
      <c r="Q10282" s="17"/>
    </row>
    <row r="10283" spans="12:17" x14ac:dyDescent="0.3">
      <c r="L10283" s="25"/>
      <c r="Q10283" s="17"/>
    </row>
    <row r="10284" spans="12:17" x14ac:dyDescent="0.3">
      <c r="L10284" s="25"/>
      <c r="Q10284" s="17"/>
    </row>
    <row r="10285" spans="12:17" x14ac:dyDescent="0.3">
      <c r="L10285" s="25"/>
      <c r="Q10285" s="17"/>
    </row>
    <row r="10286" spans="12:17" x14ac:dyDescent="0.3">
      <c r="L10286" s="25"/>
      <c r="Q10286" s="17"/>
    </row>
    <row r="10287" spans="12:17" x14ac:dyDescent="0.3">
      <c r="L10287" s="25"/>
      <c r="Q10287" s="17"/>
    </row>
    <row r="10288" spans="12:17" x14ac:dyDescent="0.3">
      <c r="L10288" s="25"/>
      <c r="Q10288" s="17"/>
    </row>
    <row r="10289" spans="12:17" x14ac:dyDescent="0.3">
      <c r="L10289" s="25"/>
      <c r="Q10289" s="17"/>
    </row>
    <row r="10290" spans="12:17" x14ac:dyDescent="0.3">
      <c r="L10290" s="25"/>
      <c r="Q10290" s="17"/>
    </row>
    <row r="10291" spans="12:17" x14ac:dyDescent="0.3">
      <c r="L10291" s="25"/>
      <c r="Q10291" s="17"/>
    </row>
    <row r="10292" spans="12:17" x14ac:dyDescent="0.3">
      <c r="L10292" s="25"/>
      <c r="Q10292" s="17"/>
    </row>
    <row r="10293" spans="12:17" x14ac:dyDescent="0.3">
      <c r="L10293" s="25"/>
      <c r="Q10293" s="17"/>
    </row>
    <row r="10294" spans="12:17" x14ac:dyDescent="0.3">
      <c r="L10294" s="25"/>
      <c r="Q10294" s="17"/>
    </row>
    <row r="10295" spans="12:17" x14ac:dyDescent="0.3">
      <c r="L10295" s="25"/>
      <c r="Q10295" s="17"/>
    </row>
    <row r="10296" spans="12:17" x14ac:dyDescent="0.3">
      <c r="L10296" s="25"/>
      <c r="Q10296" s="17"/>
    </row>
    <row r="10297" spans="12:17" x14ac:dyDescent="0.3">
      <c r="L10297" s="25"/>
      <c r="Q10297" s="17"/>
    </row>
    <row r="10298" spans="12:17" x14ac:dyDescent="0.3">
      <c r="L10298" s="25"/>
      <c r="Q10298" s="17"/>
    </row>
    <row r="10299" spans="12:17" x14ac:dyDescent="0.3">
      <c r="L10299" s="25"/>
      <c r="Q10299" s="17"/>
    </row>
    <row r="10300" spans="12:17" x14ac:dyDescent="0.3">
      <c r="L10300" s="25"/>
      <c r="Q10300" s="17"/>
    </row>
    <row r="10301" spans="12:17" x14ac:dyDescent="0.3">
      <c r="L10301" s="25"/>
      <c r="Q10301" s="17"/>
    </row>
    <row r="10302" spans="12:17" x14ac:dyDescent="0.3">
      <c r="L10302" s="25"/>
      <c r="Q10302" s="17"/>
    </row>
    <row r="10303" spans="12:17" x14ac:dyDescent="0.3">
      <c r="L10303" s="25"/>
      <c r="Q10303" s="17"/>
    </row>
    <row r="10304" spans="12:17" x14ac:dyDescent="0.3">
      <c r="L10304" s="25"/>
      <c r="Q10304" s="17"/>
    </row>
    <row r="10305" spans="12:17" x14ac:dyDescent="0.3">
      <c r="L10305" s="25"/>
      <c r="Q10305" s="17"/>
    </row>
    <row r="10306" spans="12:17" x14ac:dyDescent="0.3">
      <c r="L10306" s="25"/>
      <c r="Q10306" s="17"/>
    </row>
    <row r="10307" spans="12:17" x14ac:dyDescent="0.3">
      <c r="L10307" s="25"/>
      <c r="Q10307" s="17"/>
    </row>
    <row r="10308" spans="12:17" x14ac:dyDescent="0.3">
      <c r="L10308" s="25"/>
      <c r="Q10308" s="17"/>
    </row>
    <row r="10309" spans="12:17" x14ac:dyDescent="0.3">
      <c r="L10309" s="25"/>
      <c r="Q10309" s="17"/>
    </row>
    <row r="10310" spans="12:17" x14ac:dyDescent="0.3">
      <c r="L10310" s="25"/>
      <c r="Q10310" s="17"/>
    </row>
    <row r="10311" spans="12:17" x14ac:dyDescent="0.3">
      <c r="L10311" s="25"/>
      <c r="Q10311" s="17"/>
    </row>
    <row r="10312" spans="12:17" x14ac:dyDescent="0.3">
      <c r="L10312" s="25"/>
      <c r="Q10312" s="17"/>
    </row>
    <row r="10313" spans="12:17" x14ac:dyDescent="0.3">
      <c r="L10313" s="25"/>
      <c r="Q10313" s="17"/>
    </row>
    <row r="10314" spans="12:17" x14ac:dyDescent="0.3">
      <c r="L10314" s="25"/>
      <c r="Q10314" s="17"/>
    </row>
    <row r="10315" spans="12:17" x14ac:dyDescent="0.3">
      <c r="L10315" s="25"/>
      <c r="Q10315" s="17"/>
    </row>
    <row r="10316" spans="12:17" x14ac:dyDescent="0.3">
      <c r="L10316" s="25"/>
      <c r="Q10316" s="17"/>
    </row>
    <row r="10317" spans="12:17" x14ac:dyDescent="0.3">
      <c r="L10317" s="25"/>
      <c r="Q10317" s="17"/>
    </row>
    <row r="10318" spans="12:17" x14ac:dyDescent="0.3">
      <c r="L10318" s="25"/>
      <c r="Q10318" s="17"/>
    </row>
    <row r="10319" spans="12:17" x14ac:dyDescent="0.3">
      <c r="L10319" s="25"/>
      <c r="Q10319" s="17"/>
    </row>
    <row r="10320" spans="12:17" x14ac:dyDescent="0.3">
      <c r="L10320" s="25"/>
      <c r="Q10320" s="17"/>
    </row>
    <row r="10321" spans="12:17" x14ac:dyDescent="0.3">
      <c r="L10321" s="25"/>
      <c r="Q10321" s="17"/>
    </row>
    <row r="10322" spans="12:17" x14ac:dyDescent="0.3">
      <c r="L10322" s="25"/>
      <c r="Q10322" s="17"/>
    </row>
    <row r="10323" spans="12:17" x14ac:dyDescent="0.3">
      <c r="L10323" s="25"/>
      <c r="Q10323" s="17"/>
    </row>
    <row r="10324" spans="12:17" x14ac:dyDescent="0.3">
      <c r="L10324" s="25"/>
      <c r="Q10324" s="17"/>
    </row>
    <row r="10325" spans="12:17" x14ac:dyDescent="0.3">
      <c r="L10325" s="25"/>
      <c r="Q10325" s="17"/>
    </row>
    <row r="10326" spans="12:17" x14ac:dyDescent="0.3">
      <c r="L10326" s="25"/>
      <c r="Q10326" s="17"/>
    </row>
    <row r="10327" spans="12:17" x14ac:dyDescent="0.3">
      <c r="L10327" s="25"/>
      <c r="Q10327" s="17"/>
    </row>
    <row r="10328" spans="12:17" x14ac:dyDescent="0.3">
      <c r="L10328" s="25"/>
      <c r="Q10328" s="17"/>
    </row>
    <row r="10329" spans="12:17" x14ac:dyDescent="0.3">
      <c r="L10329" s="25"/>
      <c r="Q10329" s="17"/>
    </row>
    <row r="10330" spans="12:17" x14ac:dyDescent="0.3">
      <c r="L10330" s="25"/>
      <c r="Q10330" s="17"/>
    </row>
    <row r="10331" spans="12:17" x14ac:dyDescent="0.3">
      <c r="L10331" s="25"/>
      <c r="Q10331" s="17"/>
    </row>
    <row r="10332" spans="12:17" x14ac:dyDescent="0.3">
      <c r="L10332" s="25"/>
      <c r="Q10332" s="17"/>
    </row>
    <row r="10333" spans="12:17" x14ac:dyDescent="0.3">
      <c r="L10333" s="25"/>
      <c r="Q10333" s="17"/>
    </row>
    <row r="10334" spans="12:17" x14ac:dyDescent="0.3">
      <c r="L10334" s="25"/>
      <c r="Q10334" s="17"/>
    </row>
    <row r="10335" spans="12:17" x14ac:dyDescent="0.3">
      <c r="L10335" s="25"/>
      <c r="Q10335" s="17"/>
    </row>
    <row r="10336" spans="12:17" x14ac:dyDescent="0.3">
      <c r="L10336" s="25"/>
      <c r="Q10336" s="17"/>
    </row>
    <row r="10337" spans="12:17" x14ac:dyDescent="0.3">
      <c r="L10337" s="25"/>
      <c r="Q10337" s="17"/>
    </row>
    <row r="10338" spans="12:17" x14ac:dyDescent="0.3">
      <c r="L10338" s="25"/>
      <c r="Q10338" s="17"/>
    </row>
    <row r="10339" spans="12:17" x14ac:dyDescent="0.3">
      <c r="L10339" s="25"/>
      <c r="Q10339" s="17"/>
    </row>
    <row r="10340" spans="12:17" x14ac:dyDescent="0.3">
      <c r="L10340" s="25"/>
      <c r="Q10340" s="17"/>
    </row>
    <row r="10341" spans="12:17" x14ac:dyDescent="0.3">
      <c r="L10341" s="25"/>
      <c r="Q10341" s="17"/>
    </row>
    <row r="10342" spans="12:17" x14ac:dyDescent="0.3">
      <c r="L10342" s="25"/>
      <c r="Q10342" s="17"/>
    </row>
    <row r="10343" spans="12:17" x14ac:dyDescent="0.3">
      <c r="L10343" s="25"/>
      <c r="Q10343" s="17"/>
    </row>
    <row r="10344" spans="12:17" x14ac:dyDescent="0.3">
      <c r="L10344" s="25"/>
      <c r="Q10344" s="17"/>
    </row>
    <row r="10345" spans="12:17" x14ac:dyDescent="0.3">
      <c r="L10345" s="25"/>
      <c r="Q10345" s="17"/>
    </row>
    <row r="10346" spans="12:17" x14ac:dyDescent="0.3">
      <c r="L10346" s="25"/>
      <c r="Q10346" s="17"/>
    </row>
    <row r="10347" spans="12:17" x14ac:dyDescent="0.3">
      <c r="L10347" s="25"/>
      <c r="Q10347" s="17"/>
    </row>
    <row r="10348" spans="12:17" x14ac:dyDescent="0.3">
      <c r="L10348" s="25"/>
      <c r="Q10348" s="17"/>
    </row>
    <row r="10349" spans="12:17" x14ac:dyDescent="0.3">
      <c r="L10349" s="25"/>
      <c r="Q10349" s="17"/>
    </row>
    <row r="10350" spans="12:17" x14ac:dyDescent="0.3">
      <c r="L10350" s="25"/>
      <c r="Q10350" s="17"/>
    </row>
    <row r="10351" spans="12:17" x14ac:dyDescent="0.3">
      <c r="L10351" s="25"/>
      <c r="Q10351" s="17"/>
    </row>
    <row r="10352" spans="12:17" x14ac:dyDescent="0.3">
      <c r="L10352" s="25"/>
      <c r="Q10352" s="17"/>
    </row>
    <row r="10353" spans="12:17" x14ac:dyDescent="0.3">
      <c r="L10353" s="25"/>
      <c r="Q10353" s="17"/>
    </row>
    <row r="10354" spans="12:17" x14ac:dyDescent="0.3">
      <c r="L10354" s="25"/>
      <c r="Q10354" s="17"/>
    </row>
    <row r="10355" spans="12:17" x14ac:dyDescent="0.3">
      <c r="L10355" s="25"/>
      <c r="Q10355" s="17"/>
    </row>
    <row r="10356" spans="12:17" x14ac:dyDescent="0.3">
      <c r="L10356" s="25"/>
      <c r="Q10356" s="17"/>
    </row>
    <row r="10357" spans="12:17" x14ac:dyDescent="0.3">
      <c r="L10357" s="25"/>
      <c r="Q10357" s="17"/>
    </row>
    <row r="10358" spans="12:17" x14ac:dyDescent="0.3">
      <c r="L10358" s="25"/>
      <c r="Q10358" s="17"/>
    </row>
    <row r="10359" spans="12:17" x14ac:dyDescent="0.3">
      <c r="L10359" s="25"/>
      <c r="Q10359" s="17"/>
    </row>
    <row r="10360" spans="12:17" x14ac:dyDescent="0.3">
      <c r="L10360" s="25"/>
      <c r="Q10360" s="17"/>
    </row>
    <row r="10361" spans="12:17" x14ac:dyDescent="0.3">
      <c r="L10361" s="25"/>
      <c r="Q10361" s="17"/>
    </row>
    <row r="10362" spans="12:17" x14ac:dyDescent="0.3">
      <c r="L10362" s="25"/>
      <c r="Q10362" s="17"/>
    </row>
    <row r="10363" spans="12:17" x14ac:dyDescent="0.3">
      <c r="L10363" s="25"/>
      <c r="Q10363" s="17"/>
    </row>
    <row r="10364" spans="12:17" x14ac:dyDescent="0.3">
      <c r="L10364" s="25"/>
      <c r="Q10364" s="17"/>
    </row>
    <row r="10365" spans="12:17" x14ac:dyDescent="0.3">
      <c r="L10365" s="25"/>
      <c r="Q10365" s="17"/>
    </row>
    <row r="10366" spans="12:17" x14ac:dyDescent="0.3">
      <c r="L10366" s="25"/>
      <c r="Q10366" s="17"/>
    </row>
    <row r="10367" spans="12:17" x14ac:dyDescent="0.3">
      <c r="L10367" s="25"/>
      <c r="Q10367" s="17"/>
    </row>
    <row r="10368" spans="12:17" x14ac:dyDescent="0.3">
      <c r="L10368" s="25"/>
      <c r="Q10368" s="17"/>
    </row>
    <row r="10369" spans="12:17" x14ac:dyDescent="0.3">
      <c r="L10369" s="25"/>
      <c r="Q10369" s="17"/>
    </row>
    <row r="10370" spans="12:17" x14ac:dyDescent="0.3">
      <c r="L10370" s="25"/>
      <c r="Q10370" s="17"/>
    </row>
    <row r="10371" spans="12:17" x14ac:dyDescent="0.3">
      <c r="L10371" s="25"/>
      <c r="Q10371" s="17"/>
    </row>
    <row r="10372" spans="12:17" x14ac:dyDescent="0.3">
      <c r="L10372" s="25"/>
      <c r="Q10372" s="17"/>
    </row>
    <row r="10373" spans="12:17" x14ac:dyDescent="0.3">
      <c r="L10373" s="25"/>
      <c r="Q10373" s="17"/>
    </row>
    <row r="10374" spans="12:17" x14ac:dyDescent="0.3">
      <c r="L10374" s="25"/>
      <c r="Q10374" s="17"/>
    </row>
    <row r="10375" spans="12:17" x14ac:dyDescent="0.3">
      <c r="L10375" s="25"/>
      <c r="Q10375" s="17"/>
    </row>
    <row r="10376" spans="12:17" x14ac:dyDescent="0.3">
      <c r="L10376" s="25"/>
      <c r="Q10376" s="17"/>
    </row>
    <row r="10377" spans="12:17" x14ac:dyDescent="0.3">
      <c r="L10377" s="25"/>
      <c r="Q10377" s="17"/>
    </row>
    <row r="10378" spans="12:17" x14ac:dyDescent="0.3">
      <c r="L10378" s="25"/>
      <c r="Q10378" s="17"/>
    </row>
    <row r="10379" spans="12:17" x14ac:dyDescent="0.3">
      <c r="L10379" s="25"/>
      <c r="Q10379" s="17"/>
    </row>
    <row r="10380" spans="12:17" x14ac:dyDescent="0.3">
      <c r="L10380" s="25"/>
      <c r="Q10380" s="17"/>
    </row>
    <row r="10381" spans="12:17" x14ac:dyDescent="0.3">
      <c r="L10381" s="25"/>
      <c r="Q10381" s="17"/>
    </row>
    <row r="10382" spans="12:17" x14ac:dyDescent="0.3">
      <c r="L10382" s="25"/>
      <c r="Q10382" s="17"/>
    </row>
    <row r="10383" spans="12:17" x14ac:dyDescent="0.3">
      <c r="L10383" s="25"/>
      <c r="Q10383" s="17"/>
    </row>
    <row r="10384" spans="12:17" x14ac:dyDescent="0.3">
      <c r="L10384" s="25"/>
      <c r="Q10384" s="17"/>
    </row>
    <row r="10385" spans="12:17" x14ac:dyDescent="0.3">
      <c r="L10385" s="25"/>
      <c r="Q10385" s="17"/>
    </row>
    <row r="10386" spans="12:17" x14ac:dyDescent="0.3">
      <c r="L10386" s="25"/>
      <c r="Q10386" s="17"/>
    </row>
    <row r="10387" spans="12:17" x14ac:dyDescent="0.3">
      <c r="L10387" s="25"/>
      <c r="Q10387" s="17"/>
    </row>
    <row r="10388" spans="12:17" x14ac:dyDescent="0.3">
      <c r="L10388" s="25"/>
      <c r="Q10388" s="17"/>
    </row>
    <row r="10389" spans="12:17" x14ac:dyDescent="0.3">
      <c r="L10389" s="25"/>
      <c r="Q10389" s="17"/>
    </row>
    <row r="10390" spans="12:17" x14ac:dyDescent="0.3">
      <c r="L10390" s="25"/>
      <c r="Q10390" s="17"/>
    </row>
    <row r="10391" spans="12:17" x14ac:dyDescent="0.3">
      <c r="L10391" s="25"/>
      <c r="Q10391" s="17"/>
    </row>
    <row r="10392" spans="12:17" x14ac:dyDescent="0.3">
      <c r="L10392" s="25"/>
      <c r="Q10392" s="17"/>
    </row>
    <row r="10393" spans="12:17" x14ac:dyDescent="0.3">
      <c r="L10393" s="25"/>
      <c r="Q10393" s="17"/>
    </row>
    <row r="10394" spans="12:17" x14ac:dyDescent="0.3">
      <c r="L10394" s="25"/>
      <c r="Q10394" s="17"/>
    </row>
    <row r="10395" spans="12:17" x14ac:dyDescent="0.3">
      <c r="L10395" s="25"/>
      <c r="Q10395" s="17"/>
    </row>
    <row r="10396" spans="12:17" x14ac:dyDescent="0.3">
      <c r="L10396" s="25"/>
      <c r="Q10396" s="17"/>
    </row>
    <row r="10397" spans="12:17" x14ac:dyDescent="0.3">
      <c r="L10397" s="25"/>
      <c r="Q10397" s="17"/>
    </row>
    <row r="10398" spans="12:17" x14ac:dyDescent="0.3">
      <c r="L10398" s="25"/>
      <c r="Q10398" s="17"/>
    </row>
    <row r="10399" spans="12:17" x14ac:dyDescent="0.3">
      <c r="L10399" s="25"/>
      <c r="Q10399" s="17"/>
    </row>
    <row r="10400" spans="12:17" x14ac:dyDescent="0.3">
      <c r="L10400" s="25"/>
      <c r="Q10400" s="17"/>
    </row>
    <row r="10401" spans="12:17" x14ac:dyDescent="0.3">
      <c r="L10401" s="25"/>
      <c r="Q10401" s="17"/>
    </row>
    <row r="10402" spans="12:17" x14ac:dyDescent="0.3">
      <c r="L10402" s="25"/>
      <c r="Q10402" s="17"/>
    </row>
    <row r="10403" spans="12:17" x14ac:dyDescent="0.3">
      <c r="L10403" s="25"/>
      <c r="Q10403" s="17"/>
    </row>
    <row r="10404" spans="12:17" x14ac:dyDescent="0.3">
      <c r="L10404" s="25"/>
      <c r="Q10404" s="17"/>
    </row>
    <row r="10405" spans="12:17" x14ac:dyDescent="0.3">
      <c r="L10405" s="25"/>
      <c r="Q10405" s="17"/>
    </row>
    <row r="10406" spans="12:17" x14ac:dyDescent="0.3">
      <c r="L10406" s="25"/>
      <c r="Q10406" s="17"/>
    </row>
    <row r="10407" spans="12:17" x14ac:dyDescent="0.3">
      <c r="L10407" s="25"/>
      <c r="Q10407" s="17"/>
    </row>
    <row r="10408" spans="12:17" x14ac:dyDescent="0.3">
      <c r="L10408" s="25"/>
      <c r="Q10408" s="17"/>
    </row>
    <row r="10409" spans="12:17" x14ac:dyDescent="0.3">
      <c r="L10409" s="25"/>
      <c r="Q10409" s="17"/>
    </row>
    <row r="10410" spans="12:17" x14ac:dyDescent="0.3">
      <c r="L10410" s="25"/>
      <c r="Q10410" s="17"/>
    </row>
    <row r="10411" spans="12:17" x14ac:dyDescent="0.3">
      <c r="L10411" s="25"/>
      <c r="Q10411" s="17"/>
    </row>
    <row r="10412" spans="12:17" x14ac:dyDescent="0.3">
      <c r="L10412" s="25"/>
      <c r="Q10412" s="17"/>
    </row>
    <row r="10413" spans="12:17" x14ac:dyDescent="0.3">
      <c r="L10413" s="25"/>
      <c r="Q10413" s="17"/>
    </row>
    <row r="10414" spans="12:17" x14ac:dyDescent="0.3">
      <c r="L10414" s="25"/>
      <c r="Q10414" s="17"/>
    </row>
    <row r="10415" spans="12:17" x14ac:dyDescent="0.3">
      <c r="L10415" s="25"/>
      <c r="Q10415" s="17"/>
    </row>
    <row r="10416" spans="12:17" x14ac:dyDescent="0.3">
      <c r="L10416" s="25"/>
      <c r="Q10416" s="17"/>
    </row>
    <row r="10417" spans="12:17" x14ac:dyDescent="0.3">
      <c r="L10417" s="25"/>
      <c r="Q10417" s="17"/>
    </row>
    <row r="10418" spans="12:17" x14ac:dyDescent="0.3">
      <c r="L10418" s="25"/>
      <c r="Q10418" s="17"/>
    </row>
    <row r="10419" spans="12:17" x14ac:dyDescent="0.3">
      <c r="L10419" s="25"/>
      <c r="Q10419" s="17"/>
    </row>
    <row r="10420" spans="12:17" x14ac:dyDescent="0.3">
      <c r="L10420" s="25"/>
      <c r="Q10420" s="17"/>
    </row>
    <row r="10421" spans="12:17" x14ac:dyDescent="0.3">
      <c r="L10421" s="25"/>
      <c r="Q10421" s="17"/>
    </row>
    <row r="10422" spans="12:17" x14ac:dyDescent="0.3">
      <c r="L10422" s="25"/>
      <c r="Q10422" s="17"/>
    </row>
    <row r="10423" spans="12:17" x14ac:dyDescent="0.3">
      <c r="L10423" s="25"/>
      <c r="Q10423" s="17"/>
    </row>
    <row r="10424" spans="12:17" x14ac:dyDescent="0.3">
      <c r="L10424" s="25"/>
      <c r="Q10424" s="17"/>
    </row>
    <row r="10425" spans="12:17" x14ac:dyDescent="0.3">
      <c r="L10425" s="25"/>
      <c r="Q10425" s="17"/>
    </row>
    <row r="10426" spans="12:17" x14ac:dyDescent="0.3">
      <c r="L10426" s="25"/>
      <c r="Q10426" s="17"/>
    </row>
    <row r="10427" spans="12:17" x14ac:dyDescent="0.3">
      <c r="L10427" s="25"/>
      <c r="Q10427" s="17"/>
    </row>
    <row r="10428" spans="12:17" x14ac:dyDescent="0.3">
      <c r="L10428" s="25"/>
      <c r="Q10428" s="17"/>
    </row>
    <row r="10429" spans="12:17" x14ac:dyDescent="0.3">
      <c r="L10429" s="25"/>
      <c r="Q10429" s="17"/>
    </row>
    <row r="10430" spans="12:17" x14ac:dyDescent="0.3">
      <c r="L10430" s="25"/>
      <c r="Q10430" s="17"/>
    </row>
    <row r="10431" spans="12:17" x14ac:dyDescent="0.3">
      <c r="L10431" s="25"/>
      <c r="Q10431" s="17"/>
    </row>
    <row r="10432" spans="12:17" x14ac:dyDescent="0.3">
      <c r="L10432" s="25"/>
      <c r="Q10432" s="17"/>
    </row>
    <row r="10433" spans="12:17" x14ac:dyDescent="0.3">
      <c r="L10433" s="25"/>
      <c r="Q10433" s="17"/>
    </row>
    <row r="10434" spans="12:17" x14ac:dyDescent="0.3">
      <c r="L10434" s="25"/>
      <c r="Q10434" s="17"/>
    </row>
    <row r="10435" spans="12:17" x14ac:dyDescent="0.3">
      <c r="L10435" s="25"/>
      <c r="Q10435" s="17"/>
    </row>
    <row r="10436" spans="12:17" x14ac:dyDescent="0.3">
      <c r="L10436" s="25"/>
      <c r="Q10436" s="17"/>
    </row>
    <row r="10437" spans="12:17" x14ac:dyDescent="0.3">
      <c r="L10437" s="25"/>
      <c r="Q10437" s="17"/>
    </row>
    <row r="10438" spans="12:17" x14ac:dyDescent="0.3">
      <c r="L10438" s="25"/>
      <c r="Q10438" s="17"/>
    </row>
    <row r="10439" spans="12:17" x14ac:dyDescent="0.3">
      <c r="L10439" s="25"/>
      <c r="Q10439" s="17"/>
    </row>
    <row r="10440" spans="12:17" x14ac:dyDescent="0.3">
      <c r="L10440" s="25"/>
      <c r="Q10440" s="17"/>
    </row>
    <row r="10441" spans="12:17" x14ac:dyDescent="0.3">
      <c r="L10441" s="25"/>
      <c r="Q10441" s="17"/>
    </row>
    <row r="10442" spans="12:17" x14ac:dyDescent="0.3">
      <c r="L10442" s="25"/>
      <c r="Q10442" s="17"/>
    </row>
    <row r="10443" spans="12:17" x14ac:dyDescent="0.3">
      <c r="L10443" s="25"/>
      <c r="Q10443" s="17"/>
    </row>
    <row r="10444" spans="12:17" x14ac:dyDescent="0.3">
      <c r="L10444" s="25"/>
      <c r="Q10444" s="17"/>
    </row>
    <row r="10445" spans="12:17" x14ac:dyDescent="0.3">
      <c r="L10445" s="25"/>
      <c r="Q10445" s="17"/>
    </row>
    <row r="10446" spans="12:17" x14ac:dyDescent="0.3">
      <c r="L10446" s="25"/>
      <c r="Q10446" s="17"/>
    </row>
    <row r="10447" spans="12:17" x14ac:dyDescent="0.3">
      <c r="L10447" s="25"/>
      <c r="Q10447" s="17"/>
    </row>
    <row r="10448" spans="12:17" x14ac:dyDescent="0.3">
      <c r="L10448" s="25"/>
      <c r="Q10448" s="17"/>
    </row>
    <row r="10449" spans="12:17" x14ac:dyDescent="0.3">
      <c r="L10449" s="25"/>
      <c r="Q10449" s="17"/>
    </row>
    <row r="10450" spans="12:17" x14ac:dyDescent="0.3">
      <c r="L10450" s="25"/>
      <c r="Q10450" s="17"/>
    </row>
    <row r="10451" spans="12:17" x14ac:dyDescent="0.3">
      <c r="L10451" s="25"/>
      <c r="Q10451" s="17"/>
    </row>
    <row r="10452" spans="12:17" x14ac:dyDescent="0.3">
      <c r="L10452" s="25"/>
      <c r="Q10452" s="17"/>
    </row>
    <row r="10453" spans="12:17" x14ac:dyDescent="0.3">
      <c r="L10453" s="25"/>
      <c r="Q10453" s="17"/>
    </row>
    <row r="10454" spans="12:17" x14ac:dyDescent="0.3">
      <c r="L10454" s="25"/>
      <c r="Q10454" s="17"/>
    </row>
    <row r="10455" spans="12:17" x14ac:dyDescent="0.3">
      <c r="L10455" s="25"/>
      <c r="Q10455" s="17"/>
    </row>
    <row r="10456" spans="12:17" x14ac:dyDescent="0.3">
      <c r="L10456" s="25"/>
      <c r="Q10456" s="17"/>
    </row>
    <row r="10457" spans="12:17" x14ac:dyDescent="0.3">
      <c r="L10457" s="25"/>
      <c r="Q10457" s="17"/>
    </row>
    <row r="10458" spans="12:17" x14ac:dyDescent="0.3">
      <c r="L10458" s="25"/>
      <c r="Q10458" s="17"/>
    </row>
    <row r="10459" spans="12:17" x14ac:dyDescent="0.3">
      <c r="L10459" s="25"/>
      <c r="Q10459" s="17"/>
    </row>
    <row r="10460" spans="12:17" x14ac:dyDescent="0.3">
      <c r="L10460" s="25"/>
      <c r="Q10460" s="17"/>
    </row>
    <row r="10461" spans="12:17" x14ac:dyDescent="0.3">
      <c r="L10461" s="25"/>
      <c r="Q10461" s="17"/>
    </row>
    <row r="10462" spans="12:17" x14ac:dyDescent="0.3">
      <c r="L10462" s="25"/>
      <c r="Q10462" s="17"/>
    </row>
    <row r="10463" spans="12:17" x14ac:dyDescent="0.3">
      <c r="L10463" s="25"/>
      <c r="Q10463" s="17"/>
    </row>
    <row r="10464" spans="12:17" x14ac:dyDescent="0.3">
      <c r="L10464" s="25"/>
      <c r="Q10464" s="17"/>
    </row>
    <row r="10465" spans="12:17" x14ac:dyDescent="0.3">
      <c r="L10465" s="25"/>
      <c r="Q10465" s="17"/>
    </row>
    <row r="10466" spans="12:17" x14ac:dyDescent="0.3">
      <c r="L10466" s="25"/>
      <c r="Q10466" s="17"/>
    </row>
    <row r="10467" spans="12:17" x14ac:dyDescent="0.3">
      <c r="L10467" s="25"/>
      <c r="Q10467" s="17"/>
    </row>
    <row r="10468" spans="12:17" x14ac:dyDescent="0.3">
      <c r="L10468" s="25"/>
      <c r="Q10468" s="17"/>
    </row>
    <row r="10469" spans="12:17" x14ac:dyDescent="0.3">
      <c r="L10469" s="25"/>
      <c r="Q10469" s="17"/>
    </row>
    <row r="10470" spans="12:17" x14ac:dyDescent="0.3">
      <c r="L10470" s="25"/>
      <c r="Q10470" s="17"/>
    </row>
    <row r="10471" spans="12:17" x14ac:dyDescent="0.3">
      <c r="L10471" s="25"/>
      <c r="Q10471" s="17"/>
    </row>
    <row r="10472" spans="12:17" x14ac:dyDescent="0.3">
      <c r="L10472" s="25"/>
      <c r="Q10472" s="17"/>
    </row>
    <row r="10473" spans="12:17" x14ac:dyDescent="0.3">
      <c r="L10473" s="25"/>
      <c r="Q10473" s="17"/>
    </row>
    <row r="10474" spans="12:17" x14ac:dyDescent="0.3">
      <c r="L10474" s="25"/>
      <c r="Q10474" s="17"/>
    </row>
    <row r="10475" spans="12:17" x14ac:dyDescent="0.3">
      <c r="L10475" s="25"/>
      <c r="Q10475" s="17"/>
    </row>
    <row r="10476" spans="12:17" x14ac:dyDescent="0.3">
      <c r="L10476" s="25"/>
      <c r="Q10476" s="17"/>
    </row>
    <row r="10477" spans="12:17" x14ac:dyDescent="0.3">
      <c r="L10477" s="25"/>
      <c r="Q10477" s="17"/>
    </row>
    <row r="10478" spans="12:17" x14ac:dyDescent="0.3">
      <c r="L10478" s="25"/>
      <c r="Q10478" s="17"/>
    </row>
    <row r="10479" spans="12:17" x14ac:dyDescent="0.3">
      <c r="L10479" s="25"/>
      <c r="Q10479" s="17"/>
    </row>
    <row r="10480" spans="12:17" x14ac:dyDescent="0.3">
      <c r="L10480" s="25"/>
      <c r="Q10480" s="17"/>
    </row>
    <row r="10481" spans="12:17" x14ac:dyDescent="0.3">
      <c r="L10481" s="25"/>
      <c r="Q10481" s="17"/>
    </row>
    <row r="10482" spans="12:17" x14ac:dyDescent="0.3">
      <c r="L10482" s="25"/>
      <c r="Q10482" s="17"/>
    </row>
    <row r="10483" spans="12:17" x14ac:dyDescent="0.3">
      <c r="L10483" s="25"/>
      <c r="Q10483" s="17"/>
    </row>
    <row r="10484" spans="12:17" x14ac:dyDescent="0.3">
      <c r="L10484" s="25"/>
      <c r="Q10484" s="17"/>
    </row>
    <row r="10485" spans="12:17" x14ac:dyDescent="0.3">
      <c r="L10485" s="25"/>
      <c r="Q10485" s="17"/>
    </row>
    <row r="10486" spans="12:17" x14ac:dyDescent="0.3">
      <c r="L10486" s="25"/>
      <c r="Q10486" s="17"/>
    </row>
    <row r="10487" spans="12:17" x14ac:dyDescent="0.3">
      <c r="L10487" s="25"/>
      <c r="Q10487" s="17"/>
    </row>
    <row r="10488" spans="12:17" x14ac:dyDescent="0.3">
      <c r="L10488" s="25"/>
      <c r="Q10488" s="17"/>
    </row>
    <row r="10489" spans="12:17" x14ac:dyDescent="0.3">
      <c r="L10489" s="25"/>
      <c r="Q10489" s="17"/>
    </row>
    <row r="10490" spans="12:17" x14ac:dyDescent="0.3">
      <c r="L10490" s="25"/>
      <c r="Q10490" s="17"/>
    </row>
    <row r="10491" spans="12:17" x14ac:dyDescent="0.3">
      <c r="L10491" s="25"/>
      <c r="Q10491" s="17"/>
    </row>
    <row r="10492" spans="12:17" x14ac:dyDescent="0.3">
      <c r="L10492" s="25"/>
      <c r="Q10492" s="17"/>
    </row>
    <row r="10493" spans="12:17" x14ac:dyDescent="0.3">
      <c r="L10493" s="25"/>
      <c r="Q10493" s="17"/>
    </row>
    <row r="10494" spans="12:17" x14ac:dyDescent="0.3">
      <c r="L10494" s="25"/>
      <c r="Q10494" s="17"/>
    </row>
    <row r="10495" spans="12:17" x14ac:dyDescent="0.3">
      <c r="L10495" s="25"/>
      <c r="Q10495" s="17"/>
    </row>
    <row r="10496" spans="12:17" x14ac:dyDescent="0.3">
      <c r="L10496" s="25"/>
      <c r="Q10496" s="17"/>
    </row>
    <row r="10497" spans="12:17" x14ac:dyDescent="0.3">
      <c r="L10497" s="25"/>
      <c r="Q10497" s="17"/>
    </row>
    <row r="10498" spans="12:17" x14ac:dyDescent="0.3">
      <c r="L10498" s="25"/>
      <c r="Q10498" s="17"/>
    </row>
    <row r="10499" spans="12:17" x14ac:dyDescent="0.3">
      <c r="L10499" s="25"/>
      <c r="Q10499" s="17"/>
    </row>
    <row r="10500" spans="12:17" x14ac:dyDescent="0.3">
      <c r="L10500" s="25"/>
      <c r="Q10500" s="17"/>
    </row>
    <row r="10501" spans="12:17" x14ac:dyDescent="0.3">
      <c r="L10501" s="25"/>
      <c r="Q10501" s="17"/>
    </row>
    <row r="10502" spans="12:17" x14ac:dyDescent="0.3">
      <c r="L10502" s="25"/>
      <c r="Q10502" s="17"/>
    </row>
    <row r="10503" spans="12:17" x14ac:dyDescent="0.3">
      <c r="L10503" s="25"/>
      <c r="Q10503" s="17"/>
    </row>
    <row r="10504" spans="12:17" x14ac:dyDescent="0.3">
      <c r="L10504" s="25"/>
      <c r="Q10504" s="17"/>
    </row>
    <row r="10505" spans="12:17" x14ac:dyDescent="0.3">
      <c r="L10505" s="25"/>
      <c r="Q10505" s="17"/>
    </row>
    <row r="10506" spans="12:17" x14ac:dyDescent="0.3">
      <c r="L10506" s="25"/>
      <c r="Q10506" s="17"/>
    </row>
    <row r="10507" spans="12:17" x14ac:dyDescent="0.3">
      <c r="L10507" s="25"/>
      <c r="Q10507" s="17"/>
    </row>
    <row r="10508" spans="12:17" x14ac:dyDescent="0.3">
      <c r="L10508" s="25"/>
      <c r="Q10508" s="17"/>
    </row>
    <row r="10509" spans="12:17" x14ac:dyDescent="0.3">
      <c r="L10509" s="25"/>
      <c r="Q10509" s="17"/>
    </row>
    <row r="10510" spans="12:17" x14ac:dyDescent="0.3">
      <c r="L10510" s="25"/>
      <c r="Q10510" s="17"/>
    </row>
    <row r="10511" spans="12:17" x14ac:dyDescent="0.3">
      <c r="L10511" s="25"/>
      <c r="Q10511" s="17"/>
    </row>
    <row r="10512" spans="12:17" x14ac:dyDescent="0.3">
      <c r="L10512" s="25"/>
      <c r="Q10512" s="17"/>
    </row>
    <row r="10513" spans="12:17" x14ac:dyDescent="0.3">
      <c r="L10513" s="25"/>
      <c r="Q10513" s="17"/>
    </row>
    <row r="10514" spans="12:17" x14ac:dyDescent="0.3">
      <c r="L10514" s="25"/>
      <c r="Q10514" s="17"/>
    </row>
    <row r="10515" spans="12:17" x14ac:dyDescent="0.3">
      <c r="L10515" s="25"/>
      <c r="Q10515" s="17"/>
    </row>
    <row r="10516" spans="12:17" x14ac:dyDescent="0.3">
      <c r="L10516" s="25"/>
      <c r="Q10516" s="17"/>
    </row>
    <row r="10517" spans="12:17" x14ac:dyDescent="0.3">
      <c r="L10517" s="25"/>
      <c r="Q10517" s="17"/>
    </row>
    <row r="10518" spans="12:17" x14ac:dyDescent="0.3">
      <c r="L10518" s="25"/>
      <c r="Q10518" s="17"/>
    </row>
    <row r="10519" spans="12:17" x14ac:dyDescent="0.3">
      <c r="L10519" s="25"/>
      <c r="Q10519" s="17"/>
    </row>
    <row r="10520" spans="12:17" x14ac:dyDescent="0.3">
      <c r="L10520" s="25"/>
      <c r="Q10520" s="17"/>
    </row>
    <row r="10521" spans="12:17" x14ac:dyDescent="0.3">
      <c r="L10521" s="25"/>
      <c r="Q10521" s="17"/>
    </row>
    <row r="10522" spans="12:17" x14ac:dyDescent="0.3">
      <c r="L10522" s="25"/>
      <c r="Q10522" s="17"/>
    </row>
    <row r="10523" spans="12:17" x14ac:dyDescent="0.3">
      <c r="L10523" s="25"/>
      <c r="Q10523" s="17"/>
    </row>
    <row r="10524" spans="12:17" x14ac:dyDescent="0.3">
      <c r="L10524" s="25"/>
      <c r="Q10524" s="17"/>
    </row>
    <row r="10525" spans="12:17" x14ac:dyDescent="0.3">
      <c r="L10525" s="25"/>
      <c r="Q10525" s="17"/>
    </row>
    <row r="10526" spans="12:17" x14ac:dyDescent="0.3">
      <c r="L10526" s="25"/>
      <c r="Q10526" s="17"/>
    </row>
    <row r="10527" spans="12:17" x14ac:dyDescent="0.3">
      <c r="L10527" s="25"/>
      <c r="Q10527" s="17"/>
    </row>
    <row r="10528" spans="12:17" x14ac:dyDescent="0.3">
      <c r="L10528" s="25"/>
      <c r="Q10528" s="17"/>
    </row>
    <row r="10529" spans="12:17" x14ac:dyDescent="0.3">
      <c r="L10529" s="25"/>
      <c r="Q10529" s="17"/>
    </row>
    <row r="10530" spans="12:17" x14ac:dyDescent="0.3">
      <c r="L10530" s="25"/>
      <c r="Q10530" s="17"/>
    </row>
    <row r="10531" spans="12:17" x14ac:dyDescent="0.3">
      <c r="L10531" s="25"/>
      <c r="Q10531" s="17"/>
    </row>
    <row r="10532" spans="12:17" x14ac:dyDescent="0.3">
      <c r="L10532" s="25"/>
      <c r="Q10532" s="17"/>
    </row>
    <row r="10533" spans="12:17" x14ac:dyDescent="0.3">
      <c r="L10533" s="25"/>
      <c r="Q10533" s="17"/>
    </row>
    <row r="10534" spans="12:17" x14ac:dyDescent="0.3">
      <c r="L10534" s="25"/>
      <c r="Q10534" s="17"/>
    </row>
    <row r="10535" spans="12:17" x14ac:dyDescent="0.3">
      <c r="L10535" s="25"/>
      <c r="Q10535" s="17"/>
    </row>
    <row r="10536" spans="12:17" x14ac:dyDescent="0.3">
      <c r="L10536" s="25"/>
      <c r="Q10536" s="17"/>
    </row>
    <row r="10537" spans="12:17" x14ac:dyDescent="0.3">
      <c r="L10537" s="25"/>
      <c r="Q10537" s="17"/>
    </row>
    <row r="10538" spans="12:17" x14ac:dyDescent="0.3">
      <c r="L10538" s="25"/>
      <c r="Q10538" s="17"/>
    </row>
    <row r="10539" spans="12:17" x14ac:dyDescent="0.3">
      <c r="L10539" s="25"/>
      <c r="Q10539" s="17"/>
    </row>
    <row r="10540" spans="12:17" x14ac:dyDescent="0.3">
      <c r="L10540" s="25"/>
      <c r="Q10540" s="17"/>
    </row>
    <row r="10541" spans="12:17" x14ac:dyDescent="0.3">
      <c r="L10541" s="25"/>
      <c r="Q10541" s="17"/>
    </row>
    <row r="10542" spans="12:17" x14ac:dyDescent="0.3">
      <c r="L10542" s="25"/>
      <c r="Q10542" s="17"/>
    </row>
    <row r="10543" spans="12:17" x14ac:dyDescent="0.3">
      <c r="L10543" s="25"/>
      <c r="Q10543" s="17"/>
    </row>
    <row r="10544" spans="12:17" x14ac:dyDescent="0.3">
      <c r="L10544" s="25"/>
      <c r="Q10544" s="17"/>
    </row>
    <row r="10545" spans="12:17" x14ac:dyDescent="0.3">
      <c r="L10545" s="25"/>
      <c r="Q10545" s="17"/>
    </row>
    <row r="10546" spans="12:17" x14ac:dyDescent="0.3">
      <c r="L10546" s="25"/>
      <c r="Q10546" s="17"/>
    </row>
    <row r="10547" spans="12:17" x14ac:dyDescent="0.3">
      <c r="L10547" s="25"/>
      <c r="Q10547" s="17"/>
    </row>
    <row r="10548" spans="12:17" x14ac:dyDescent="0.3">
      <c r="L10548" s="25"/>
      <c r="Q10548" s="17"/>
    </row>
    <row r="10549" spans="12:17" x14ac:dyDescent="0.3">
      <c r="L10549" s="25"/>
      <c r="Q10549" s="17"/>
    </row>
    <row r="10550" spans="12:17" x14ac:dyDescent="0.3">
      <c r="L10550" s="25"/>
      <c r="Q10550" s="17"/>
    </row>
    <row r="10551" spans="12:17" x14ac:dyDescent="0.3">
      <c r="L10551" s="25"/>
      <c r="Q10551" s="17"/>
    </row>
    <row r="10552" spans="12:17" x14ac:dyDescent="0.3">
      <c r="L10552" s="25"/>
      <c r="Q10552" s="17"/>
    </row>
    <row r="10553" spans="12:17" x14ac:dyDescent="0.3">
      <c r="L10553" s="25"/>
      <c r="Q10553" s="17"/>
    </row>
    <row r="10554" spans="12:17" x14ac:dyDescent="0.3">
      <c r="L10554" s="25"/>
      <c r="Q10554" s="17"/>
    </row>
    <row r="10555" spans="12:17" x14ac:dyDescent="0.3">
      <c r="L10555" s="25"/>
      <c r="Q10555" s="17"/>
    </row>
    <row r="10556" spans="12:17" x14ac:dyDescent="0.3">
      <c r="L10556" s="25"/>
      <c r="Q10556" s="17"/>
    </row>
    <row r="10557" spans="12:17" x14ac:dyDescent="0.3">
      <c r="L10557" s="25"/>
      <c r="Q10557" s="17"/>
    </row>
    <row r="10558" spans="12:17" x14ac:dyDescent="0.3">
      <c r="L10558" s="25"/>
      <c r="Q10558" s="17"/>
    </row>
    <row r="10559" spans="12:17" x14ac:dyDescent="0.3">
      <c r="L10559" s="25"/>
      <c r="Q10559" s="17"/>
    </row>
    <row r="10560" spans="12:17" x14ac:dyDescent="0.3">
      <c r="L10560" s="25"/>
      <c r="Q10560" s="17"/>
    </row>
    <row r="10561" spans="12:17" x14ac:dyDescent="0.3">
      <c r="L10561" s="25"/>
      <c r="Q10561" s="17"/>
    </row>
    <row r="10562" spans="12:17" x14ac:dyDescent="0.3">
      <c r="L10562" s="25"/>
      <c r="Q10562" s="17"/>
    </row>
    <row r="10563" spans="12:17" x14ac:dyDescent="0.3">
      <c r="L10563" s="25"/>
      <c r="Q10563" s="17"/>
    </row>
    <row r="10564" spans="12:17" x14ac:dyDescent="0.3">
      <c r="L10564" s="25"/>
      <c r="Q10564" s="17"/>
    </row>
    <row r="10565" spans="12:17" x14ac:dyDescent="0.3">
      <c r="L10565" s="25"/>
      <c r="Q10565" s="17"/>
    </row>
    <row r="10566" spans="12:17" x14ac:dyDescent="0.3">
      <c r="L10566" s="25"/>
      <c r="Q10566" s="17"/>
    </row>
    <row r="10567" spans="12:17" x14ac:dyDescent="0.3">
      <c r="L10567" s="25"/>
      <c r="Q10567" s="17"/>
    </row>
    <row r="10568" spans="12:17" x14ac:dyDescent="0.3">
      <c r="L10568" s="25"/>
      <c r="Q10568" s="17"/>
    </row>
    <row r="10569" spans="12:17" x14ac:dyDescent="0.3">
      <c r="L10569" s="25"/>
      <c r="Q10569" s="17"/>
    </row>
    <row r="10570" spans="12:17" x14ac:dyDescent="0.3">
      <c r="L10570" s="25"/>
      <c r="Q10570" s="17"/>
    </row>
    <row r="10571" spans="12:17" x14ac:dyDescent="0.3">
      <c r="L10571" s="25"/>
      <c r="Q10571" s="17"/>
    </row>
    <row r="10572" spans="12:17" x14ac:dyDescent="0.3">
      <c r="L10572" s="25"/>
      <c r="Q10572" s="17"/>
    </row>
    <row r="10573" spans="12:17" x14ac:dyDescent="0.3">
      <c r="L10573" s="25"/>
      <c r="Q10573" s="17"/>
    </row>
    <row r="10574" spans="12:17" x14ac:dyDescent="0.3">
      <c r="L10574" s="25"/>
      <c r="Q10574" s="17"/>
    </row>
    <row r="10575" spans="12:17" x14ac:dyDescent="0.3">
      <c r="L10575" s="25"/>
      <c r="Q10575" s="17"/>
    </row>
    <row r="10576" spans="12:17" x14ac:dyDescent="0.3">
      <c r="L10576" s="25"/>
      <c r="Q10576" s="17"/>
    </row>
    <row r="10577" spans="12:17" x14ac:dyDescent="0.3">
      <c r="L10577" s="25"/>
      <c r="Q10577" s="17"/>
    </row>
    <row r="10578" spans="12:17" x14ac:dyDescent="0.3">
      <c r="L10578" s="25"/>
      <c r="Q10578" s="17"/>
    </row>
    <row r="10579" spans="12:17" x14ac:dyDescent="0.3">
      <c r="L10579" s="25"/>
      <c r="Q10579" s="17"/>
    </row>
    <row r="10580" spans="12:17" x14ac:dyDescent="0.3">
      <c r="L10580" s="25"/>
      <c r="Q10580" s="17"/>
    </row>
    <row r="10581" spans="12:17" x14ac:dyDescent="0.3">
      <c r="L10581" s="25"/>
      <c r="Q10581" s="17"/>
    </row>
    <row r="10582" spans="12:17" x14ac:dyDescent="0.3">
      <c r="L10582" s="25"/>
      <c r="Q10582" s="17"/>
    </row>
    <row r="10583" spans="12:17" x14ac:dyDescent="0.3">
      <c r="L10583" s="25"/>
      <c r="Q10583" s="17"/>
    </row>
    <row r="10584" spans="12:17" x14ac:dyDescent="0.3">
      <c r="L10584" s="25"/>
      <c r="Q10584" s="17"/>
    </row>
    <row r="10585" spans="12:17" x14ac:dyDescent="0.3">
      <c r="L10585" s="25"/>
      <c r="Q10585" s="17"/>
    </row>
    <row r="10586" spans="12:17" x14ac:dyDescent="0.3">
      <c r="L10586" s="25"/>
      <c r="Q10586" s="17"/>
    </row>
    <row r="10587" spans="12:17" x14ac:dyDescent="0.3">
      <c r="L10587" s="25"/>
      <c r="Q10587" s="17"/>
    </row>
    <row r="10588" spans="12:17" x14ac:dyDescent="0.3">
      <c r="L10588" s="25"/>
      <c r="Q10588" s="17"/>
    </row>
    <row r="10589" spans="12:17" x14ac:dyDescent="0.3">
      <c r="L10589" s="25"/>
      <c r="Q10589" s="17"/>
    </row>
    <row r="10590" spans="12:17" x14ac:dyDescent="0.3">
      <c r="L10590" s="25"/>
      <c r="Q10590" s="17"/>
    </row>
    <row r="10591" spans="12:17" x14ac:dyDescent="0.3">
      <c r="L10591" s="25"/>
      <c r="Q10591" s="17"/>
    </row>
    <row r="10592" spans="12:17" x14ac:dyDescent="0.3">
      <c r="L10592" s="25"/>
      <c r="Q10592" s="17"/>
    </row>
    <row r="10593" spans="12:17" x14ac:dyDescent="0.3">
      <c r="L10593" s="25"/>
      <c r="Q10593" s="17"/>
    </row>
    <row r="10594" spans="12:17" x14ac:dyDescent="0.3">
      <c r="L10594" s="25"/>
      <c r="Q10594" s="17"/>
    </row>
    <row r="10595" spans="12:17" x14ac:dyDescent="0.3">
      <c r="L10595" s="25"/>
      <c r="Q10595" s="17"/>
    </row>
    <row r="10596" spans="12:17" x14ac:dyDescent="0.3">
      <c r="L10596" s="25"/>
      <c r="Q10596" s="17"/>
    </row>
    <row r="10597" spans="12:17" x14ac:dyDescent="0.3">
      <c r="L10597" s="25"/>
      <c r="Q10597" s="17"/>
    </row>
    <row r="10598" spans="12:17" x14ac:dyDescent="0.3">
      <c r="L10598" s="25"/>
      <c r="Q10598" s="17"/>
    </row>
    <row r="10599" spans="12:17" x14ac:dyDescent="0.3">
      <c r="L10599" s="25"/>
      <c r="Q10599" s="17"/>
    </row>
    <row r="10600" spans="12:17" x14ac:dyDescent="0.3">
      <c r="L10600" s="25"/>
      <c r="Q10600" s="17"/>
    </row>
    <row r="10601" spans="12:17" x14ac:dyDescent="0.3">
      <c r="L10601" s="25"/>
      <c r="Q10601" s="17"/>
    </row>
    <row r="10602" spans="12:17" x14ac:dyDescent="0.3">
      <c r="L10602" s="25"/>
      <c r="Q10602" s="17"/>
    </row>
    <row r="10603" spans="12:17" x14ac:dyDescent="0.3">
      <c r="L10603" s="25"/>
      <c r="Q10603" s="17"/>
    </row>
    <row r="10604" spans="12:17" x14ac:dyDescent="0.3">
      <c r="L10604" s="25"/>
      <c r="Q10604" s="17"/>
    </row>
    <row r="10605" spans="12:17" x14ac:dyDescent="0.3">
      <c r="L10605" s="25"/>
      <c r="Q10605" s="17"/>
    </row>
    <row r="10606" spans="12:17" x14ac:dyDescent="0.3">
      <c r="L10606" s="25"/>
      <c r="Q10606" s="17"/>
    </row>
    <row r="10607" spans="12:17" x14ac:dyDescent="0.3">
      <c r="L10607" s="25"/>
      <c r="Q10607" s="17"/>
    </row>
    <row r="10608" spans="12:17" x14ac:dyDescent="0.3">
      <c r="L10608" s="25"/>
      <c r="Q10608" s="17"/>
    </row>
    <row r="10609" spans="12:17" x14ac:dyDescent="0.3">
      <c r="L10609" s="25"/>
      <c r="Q10609" s="17"/>
    </row>
    <row r="10610" spans="12:17" x14ac:dyDescent="0.3">
      <c r="L10610" s="25"/>
      <c r="Q10610" s="17"/>
    </row>
    <row r="10611" spans="12:17" x14ac:dyDescent="0.3">
      <c r="L10611" s="25"/>
      <c r="Q10611" s="17"/>
    </row>
    <row r="10612" spans="12:17" x14ac:dyDescent="0.3">
      <c r="L10612" s="25"/>
      <c r="Q10612" s="17"/>
    </row>
    <row r="10613" spans="12:17" x14ac:dyDescent="0.3">
      <c r="L10613" s="25"/>
      <c r="Q10613" s="17"/>
    </row>
    <row r="10614" spans="12:17" x14ac:dyDescent="0.3">
      <c r="L10614" s="25"/>
      <c r="Q10614" s="17"/>
    </row>
    <row r="10615" spans="12:17" x14ac:dyDescent="0.3">
      <c r="L10615" s="25"/>
      <c r="Q10615" s="17"/>
    </row>
    <row r="10616" spans="12:17" x14ac:dyDescent="0.3">
      <c r="L10616" s="25"/>
      <c r="Q10616" s="17"/>
    </row>
    <row r="10617" spans="12:17" x14ac:dyDescent="0.3">
      <c r="L10617" s="25"/>
      <c r="Q10617" s="17"/>
    </row>
    <row r="10618" spans="12:17" x14ac:dyDescent="0.3">
      <c r="L10618" s="25"/>
      <c r="Q10618" s="17"/>
    </row>
    <row r="10619" spans="12:17" x14ac:dyDescent="0.3">
      <c r="L10619" s="25"/>
      <c r="Q10619" s="17"/>
    </row>
    <row r="10620" spans="12:17" x14ac:dyDescent="0.3">
      <c r="L10620" s="25"/>
      <c r="Q10620" s="17"/>
    </row>
    <row r="10621" spans="12:17" x14ac:dyDescent="0.3">
      <c r="L10621" s="25"/>
      <c r="Q10621" s="17"/>
    </row>
    <row r="10622" spans="12:17" x14ac:dyDescent="0.3">
      <c r="L10622" s="25"/>
      <c r="Q10622" s="17"/>
    </row>
    <row r="10623" spans="12:17" x14ac:dyDescent="0.3">
      <c r="L10623" s="25"/>
      <c r="Q10623" s="17"/>
    </row>
    <row r="10624" spans="12:17" x14ac:dyDescent="0.3">
      <c r="L10624" s="25"/>
      <c r="Q10624" s="17"/>
    </row>
    <row r="10625" spans="12:17" x14ac:dyDescent="0.3">
      <c r="L10625" s="25"/>
      <c r="Q10625" s="17"/>
    </row>
    <row r="10626" spans="12:17" x14ac:dyDescent="0.3">
      <c r="L10626" s="25"/>
      <c r="Q10626" s="17"/>
    </row>
    <row r="10627" spans="12:17" x14ac:dyDescent="0.3">
      <c r="L10627" s="25"/>
      <c r="Q10627" s="17"/>
    </row>
    <row r="10628" spans="12:17" x14ac:dyDescent="0.3">
      <c r="L10628" s="25"/>
      <c r="Q10628" s="17"/>
    </row>
    <row r="10629" spans="12:17" x14ac:dyDescent="0.3">
      <c r="L10629" s="25"/>
      <c r="Q10629" s="17"/>
    </row>
    <row r="10630" spans="12:17" x14ac:dyDescent="0.3">
      <c r="L10630" s="25"/>
      <c r="Q10630" s="17"/>
    </row>
    <row r="10631" spans="12:17" x14ac:dyDescent="0.3">
      <c r="L10631" s="25"/>
      <c r="Q10631" s="17"/>
    </row>
    <row r="10632" spans="12:17" x14ac:dyDescent="0.3">
      <c r="L10632" s="25"/>
      <c r="Q10632" s="17"/>
    </row>
    <row r="10633" spans="12:17" x14ac:dyDescent="0.3">
      <c r="L10633" s="25"/>
      <c r="Q10633" s="17"/>
    </row>
    <row r="10634" spans="12:17" x14ac:dyDescent="0.3">
      <c r="L10634" s="25"/>
      <c r="Q10634" s="17"/>
    </row>
    <row r="10635" spans="12:17" x14ac:dyDescent="0.3">
      <c r="L10635" s="25"/>
      <c r="Q10635" s="17"/>
    </row>
    <row r="10636" spans="12:17" x14ac:dyDescent="0.3">
      <c r="L10636" s="25"/>
      <c r="Q10636" s="17"/>
    </row>
    <row r="10637" spans="12:17" x14ac:dyDescent="0.3">
      <c r="L10637" s="25"/>
      <c r="Q10637" s="17"/>
    </row>
    <row r="10638" spans="12:17" x14ac:dyDescent="0.3">
      <c r="L10638" s="25"/>
      <c r="Q10638" s="17"/>
    </row>
    <row r="10639" spans="12:17" x14ac:dyDescent="0.3">
      <c r="L10639" s="25"/>
      <c r="Q10639" s="17"/>
    </row>
    <row r="10640" spans="12:17" x14ac:dyDescent="0.3">
      <c r="L10640" s="25"/>
      <c r="Q10640" s="17"/>
    </row>
    <row r="10641" spans="12:17" x14ac:dyDescent="0.3">
      <c r="L10641" s="25"/>
      <c r="Q10641" s="17"/>
    </row>
    <row r="10642" spans="12:17" x14ac:dyDescent="0.3">
      <c r="L10642" s="25"/>
      <c r="Q10642" s="17"/>
    </row>
    <row r="10643" spans="12:17" x14ac:dyDescent="0.3">
      <c r="L10643" s="25"/>
      <c r="Q10643" s="17"/>
    </row>
    <row r="10644" spans="12:17" x14ac:dyDescent="0.3">
      <c r="L10644" s="25"/>
      <c r="Q10644" s="17"/>
    </row>
    <row r="10645" spans="12:17" x14ac:dyDescent="0.3">
      <c r="L10645" s="25"/>
      <c r="Q10645" s="17"/>
    </row>
    <row r="10646" spans="12:17" x14ac:dyDescent="0.3">
      <c r="L10646" s="25"/>
      <c r="Q10646" s="17"/>
    </row>
    <row r="10647" spans="12:17" x14ac:dyDescent="0.3">
      <c r="L10647" s="25"/>
      <c r="Q10647" s="17"/>
    </row>
    <row r="10648" spans="12:17" x14ac:dyDescent="0.3">
      <c r="L10648" s="25"/>
      <c r="Q10648" s="17"/>
    </row>
    <row r="10649" spans="12:17" x14ac:dyDescent="0.3">
      <c r="L10649" s="25"/>
      <c r="Q10649" s="17"/>
    </row>
    <row r="10650" spans="12:17" x14ac:dyDescent="0.3">
      <c r="L10650" s="25"/>
      <c r="Q10650" s="17"/>
    </row>
    <row r="10651" spans="12:17" x14ac:dyDescent="0.3">
      <c r="L10651" s="25"/>
      <c r="Q10651" s="17"/>
    </row>
    <row r="10652" spans="12:17" x14ac:dyDescent="0.3">
      <c r="L10652" s="25"/>
      <c r="Q10652" s="17"/>
    </row>
    <row r="10653" spans="12:17" x14ac:dyDescent="0.3">
      <c r="L10653" s="25"/>
      <c r="Q10653" s="17"/>
    </row>
    <row r="10654" spans="12:17" x14ac:dyDescent="0.3">
      <c r="L10654" s="25"/>
      <c r="Q10654" s="17"/>
    </row>
    <row r="10655" spans="12:17" x14ac:dyDescent="0.3">
      <c r="L10655" s="25"/>
      <c r="Q10655" s="17"/>
    </row>
    <row r="10656" spans="12:17" x14ac:dyDescent="0.3">
      <c r="L10656" s="25"/>
      <c r="Q10656" s="17"/>
    </row>
    <row r="10657" spans="12:17" x14ac:dyDescent="0.3">
      <c r="L10657" s="25"/>
      <c r="Q10657" s="17"/>
    </row>
    <row r="10658" spans="12:17" x14ac:dyDescent="0.3">
      <c r="L10658" s="25"/>
      <c r="Q10658" s="17"/>
    </row>
    <row r="10659" spans="12:17" x14ac:dyDescent="0.3">
      <c r="L10659" s="25"/>
      <c r="Q10659" s="17"/>
    </row>
    <row r="10660" spans="12:17" x14ac:dyDescent="0.3">
      <c r="L10660" s="25"/>
      <c r="Q10660" s="17"/>
    </row>
    <row r="10661" spans="12:17" x14ac:dyDescent="0.3">
      <c r="L10661" s="25"/>
      <c r="Q10661" s="17"/>
    </row>
    <row r="10662" spans="12:17" x14ac:dyDescent="0.3">
      <c r="L10662" s="25"/>
      <c r="Q10662" s="17"/>
    </row>
    <row r="10663" spans="12:17" x14ac:dyDescent="0.3">
      <c r="L10663" s="25"/>
      <c r="Q10663" s="17"/>
    </row>
    <row r="10664" spans="12:17" x14ac:dyDescent="0.3">
      <c r="L10664" s="25"/>
      <c r="Q10664" s="17"/>
    </row>
    <row r="10665" spans="12:17" x14ac:dyDescent="0.3">
      <c r="L10665" s="25"/>
      <c r="Q10665" s="17"/>
    </row>
    <row r="10666" spans="12:17" x14ac:dyDescent="0.3">
      <c r="L10666" s="25"/>
      <c r="Q10666" s="17"/>
    </row>
    <row r="10667" spans="12:17" x14ac:dyDescent="0.3">
      <c r="L10667" s="25"/>
      <c r="Q10667" s="17"/>
    </row>
    <row r="10668" spans="12:17" x14ac:dyDescent="0.3">
      <c r="L10668" s="25"/>
      <c r="Q10668" s="17"/>
    </row>
    <row r="10669" spans="12:17" x14ac:dyDescent="0.3">
      <c r="L10669" s="25"/>
      <c r="Q10669" s="17"/>
    </row>
    <row r="10670" spans="12:17" x14ac:dyDescent="0.3">
      <c r="L10670" s="25"/>
      <c r="Q10670" s="17"/>
    </row>
    <row r="10671" spans="12:17" x14ac:dyDescent="0.3">
      <c r="L10671" s="25"/>
      <c r="Q10671" s="17"/>
    </row>
    <row r="10672" spans="12:17" x14ac:dyDescent="0.3">
      <c r="L10672" s="25"/>
      <c r="Q10672" s="17"/>
    </row>
    <row r="10673" spans="12:17" x14ac:dyDescent="0.3">
      <c r="L10673" s="25"/>
      <c r="Q10673" s="17"/>
    </row>
    <row r="10674" spans="12:17" x14ac:dyDescent="0.3">
      <c r="L10674" s="25"/>
      <c r="Q10674" s="17"/>
    </row>
    <row r="10675" spans="12:17" x14ac:dyDescent="0.3">
      <c r="L10675" s="25"/>
      <c r="Q10675" s="17"/>
    </row>
    <row r="10676" spans="12:17" x14ac:dyDescent="0.3">
      <c r="L10676" s="25"/>
      <c r="Q10676" s="17"/>
    </row>
    <row r="10677" spans="12:17" x14ac:dyDescent="0.3">
      <c r="L10677" s="25"/>
      <c r="Q10677" s="17"/>
    </row>
    <row r="10678" spans="12:17" x14ac:dyDescent="0.3">
      <c r="L10678" s="25"/>
      <c r="Q10678" s="17"/>
    </row>
    <row r="10679" spans="12:17" x14ac:dyDescent="0.3">
      <c r="L10679" s="25"/>
      <c r="Q10679" s="17"/>
    </row>
    <row r="10680" spans="12:17" x14ac:dyDescent="0.3">
      <c r="L10680" s="25"/>
      <c r="Q10680" s="17"/>
    </row>
    <row r="10681" spans="12:17" x14ac:dyDescent="0.3">
      <c r="L10681" s="25"/>
      <c r="Q10681" s="17"/>
    </row>
    <row r="10682" spans="12:17" x14ac:dyDescent="0.3">
      <c r="L10682" s="25"/>
      <c r="Q10682" s="17"/>
    </row>
    <row r="10683" spans="12:17" x14ac:dyDescent="0.3">
      <c r="L10683" s="25"/>
      <c r="Q10683" s="17"/>
    </row>
    <row r="10684" spans="12:17" x14ac:dyDescent="0.3">
      <c r="L10684" s="25"/>
      <c r="Q10684" s="17"/>
    </row>
    <row r="10685" spans="12:17" x14ac:dyDescent="0.3">
      <c r="L10685" s="25"/>
      <c r="Q10685" s="17"/>
    </row>
    <row r="10686" spans="12:17" x14ac:dyDescent="0.3">
      <c r="L10686" s="25"/>
      <c r="Q10686" s="17"/>
    </row>
    <row r="10687" spans="12:17" x14ac:dyDescent="0.3">
      <c r="L10687" s="25"/>
      <c r="Q10687" s="17"/>
    </row>
    <row r="10688" spans="12:17" x14ac:dyDescent="0.3">
      <c r="L10688" s="25"/>
      <c r="Q10688" s="17"/>
    </row>
    <row r="10689" spans="12:17" x14ac:dyDescent="0.3">
      <c r="L10689" s="25"/>
      <c r="Q10689" s="17"/>
    </row>
    <row r="10690" spans="12:17" x14ac:dyDescent="0.3">
      <c r="L10690" s="25"/>
      <c r="Q10690" s="17"/>
    </row>
    <row r="10691" spans="12:17" x14ac:dyDescent="0.3">
      <c r="L10691" s="25"/>
      <c r="Q10691" s="17"/>
    </row>
    <row r="10692" spans="12:17" x14ac:dyDescent="0.3">
      <c r="L10692" s="25"/>
      <c r="Q10692" s="17"/>
    </row>
    <row r="10693" spans="12:17" x14ac:dyDescent="0.3">
      <c r="L10693" s="25"/>
      <c r="Q10693" s="17"/>
    </row>
    <row r="10694" spans="12:17" x14ac:dyDescent="0.3">
      <c r="L10694" s="25"/>
      <c r="Q10694" s="17"/>
    </row>
    <row r="10695" spans="12:17" x14ac:dyDescent="0.3">
      <c r="L10695" s="25"/>
      <c r="Q10695" s="17"/>
    </row>
    <row r="10696" spans="12:17" x14ac:dyDescent="0.3">
      <c r="L10696" s="25"/>
      <c r="Q10696" s="17"/>
    </row>
    <row r="10697" spans="12:17" x14ac:dyDescent="0.3">
      <c r="L10697" s="25"/>
      <c r="Q10697" s="17"/>
    </row>
    <row r="10698" spans="12:17" x14ac:dyDescent="0.3">
      <c r="L10698" s="25"/>
      <c r="Q10698" s="17"/>
    </row>
    <row r="10699" spans="12:17" x14ac:dyDescent="0.3">
      <c r="L10699" s="25"/>
      <c r="Q10699" s="17"/>
    </row>
    <row r="10700" spans="12:17" x14ac:dyDescent="0.3">
      <c r="L10700" s="25"/>
      <c r="Q10700" s="17"/>
    </row>
    <row r="10701" spans="12:17" x14ac:dyDescent="0.3">
      <c r="L10701" s="25"/>
      <c r="Q10701" s="17"/>
    </row>
    <row r="10702" spans="12:17" x14ac:dyDescent="0.3">
      <c r="L10702" s="25"/>
      <c r="Q10702" s="17"/>
    </row>
    <row r="10703" spans="12:17" x14ac:dyDescent="0.3">
      <c r="L10703" s="25"/>
      <c r="Q10703" s="17"/>
    </row>
    <row r="10704" spans="12:17" x14ac:dyDescent="0.3">
      <c r="L10704" s="25"/>
      <c r="Q10704" s="17"/>
    </row>
    <row r="10705" spans="12:17" x14ac:dyDescent="0.3">
      <c r="L10705" s="25"/>
      <c r="Q10705" s="17"/>
    </row>
    <row r="10706" spans="12:17" x14ac:dyDescent="0.3">
      <c r="L10706" s="25"/>
      <c r="Q10706" s="17"/>
    </row>
    <row r="10707" spans="12:17" x14ac:dyDescent="0.3">
      <c r="L10707" s="25"/>
      <c r="Q10707" s="17"/>
    </row>
    <row r="10708" spans="12:17" x14ac:dyDescent="0.3">
      <c r="L10708" s="25"/>
      <c r="Q10708" s="17"/>
    </row>
    <row r="10709" spans="12:17" x14ac:dyDescent="0.3">
      <c r="L10709" s="25"/>
      <c r="Q10709" s="17"/>
    </row>
    <row r="10710" spans="12:17" x14ac:dyDescent="0.3">
      <c r="L10710" s="25"/>
      <c r="Q10710" s="17"/>
    </row>
    <row r="10711" spans="12:17" x14ac:dyDescent="0.3">
      <c r="L10711" s="25"/>
      <c r="Q10711" s="17"/>
    </row>
    <row r="10712" spans="12:17" x14ac:dyDescent="0.3">
      <c r="L10712" s="25"/>
      <c r="Q10712" s="17"/>
    </row>
    <row r="10713" spans="12:17" x14ac:dyDescent="0.3">
      <c r="L10713" s="25"/>
      <c r="Q10713" s="17"/>
    </row>
    <row r="10714" spans="12:17" x14ac:dyDescent="0.3">
      <c r="L10714" s="25"/>
      <c r="Q10714" s="17"/>
    </row>
    <row r="10715" spans="12:17" x14ac:dyDescent="0.3">
      <c r="L10715" s="25"/>
      <c r="Q10715" s="17"/>
    </row>
    <row r="10716" spans="12:17" x14ac:dyDescent="0.3">
      <c r="L10716" s="25"/>
      <c r="Q10716" s="17"/>
    </row>
    <row r="10717" spans="12:17" x14ac:dyDescent="0.3">
      <c r="L10717" s="25"/>
      <c r="Q10717" s="17"/>
    </row>
    <row r="10718" spans="12:17" x14ac:dyDescent="0.3">
      <c r="L10718" s="25"/>
      <c r="Q10718" s="17"/>
    </row>
    <row r="10719" spans="12:17" x14ac:dyDescent="0.3">
      <c r="L10719" s="25"/>
      <c r="Q10719" s="17"/>
    </row>
    <row r="10720" spans="12:17" x14ac:dyDescent="0.3">
      <c r="L10720" s="25"/>
      <c r="Q10720" s="17"/>
    </row>
    <row r="10721" spans="12:17" x14ac:dyDescent="0.3">
      <c r="L10721" s="25"/>
      <c r="Q10721" s="17"/>
    </row>
    <row r="10722" spans="12:17" x14ac:dyDescent="0.3">
      <c r="L10722" s="25"/>
      <c r="Q10722" s="17"/>
    </row>
    <row r="10723" spans="12:17" x14ac:dyDescent="0.3">
      <c r="L10723" s="25"/>
      <c r="Q10723" s="17"/>
    </row>
    <row r="10724" spans="12:17" x14ac:dyDescent="0.3">
      <c r="L10724" s="25"/>
      <c r="Q10724" s="17"/>
    </row>
    <row r="10725" spans="12:17" x14ac:dyDescent="0.3">
      <c r="L10725" s="25"/>
      <c r="Q10725" s="17"/>
    </row>
    <row r="10726" spans="12:17" x14ac:dyDescent="0.3">
      <c r="L10726" s="25"/>
      <c r="Q10726" s="17"/>
    </row>
    <row r="10727" spans="12:17" x14ac:dyDescent="0.3">
      <c r="L10727" s="25"/>
      <c r="Q10727" s="17"/>
    </row>
    <row r="10728" spans="12:17" x14ac:dyDescent="0.3">
      <c r="L10728" s="25"/>
      <c r="Q10728" s="17"/>
    </row>
    <row r="10729" spans="12:17" x14ac:dyDescent="0.3">
      <c r="L10729" s="25"/>
      <c r="Q10729" s="17"/>
    </row>
    <row r="10730" spans="12:17" x14ac:dyDescent="0.3">
      <c r="L10730" s="25"/>
      <c r="Q10730" s="17"/>
    </row>
    <row r="10731" spans="12:17" x14ac:dyDescent="0.3">
      <c r="L10731" s="25"/>
      <c r="Q10731" s="17"/>
    </row>
    <row r="10732" spans="12:17" x14ac:dyDescent="0.3">
      <c r="L10732" s="25"/>
      <c r="Q10732" s="17"/>
    </row>
    <row r="10733" spans="12:17" x14ac:dyDescent="0.3">
      <c r="L10733" s="25"/>
      <c r="Q10733" s="17"/>
    </row>
    <row r="10734" spans="12:17" x14ac:dyDescent="0.3">
      <c r="L10734" s="25"/>
      <c r="Q10734" s="17"/>
    </row>
    <row r="10735" spans="12:17" x14ac:dyDescent="0.3">
      <c r="L10735" s="25"/>
      <c r="Q10735" s="17"/>
    </row>
    <row r="10736" spans="12:17" x14ac:dyDescent="0.3">
      <c r="L10736" s="25"/>
      <c r="Q10736" s="17"/>
    </row>
    <row r="10737" spans="12:17" x14ac:dyDescent="0.3">
      <c r="L10737" s="25"/>
      <c r="Q10737" s="17"/>
    </row>
    <row r="10738" spans="12:17" x14ac:dyDescent="0.3">
      <c r="L10738" s="25"/>
      <c r="Q10738" s="17"/>
    </row>
    <row r="10739" spans="12:17" x14ac:dyDescent="0.3">
      <c r="L10739" s="25"/>
      <c r="Q10739" s="17"/>
    </row>
    <row r="10740" spans="12:17" x14ac:dyDescent="0.3">
      <c r="L10740" s="25"/>
      <c r="Q10740" s="17"/>
    </row>
    <row r="10741" spans="12:17" x14ac:dyDescent="0.3">
      <c r="L10741" s="25"/>
      <c r="Q10741" s="17"/>
    </row>
    <row r="10742" spans="12:17" x14ac:dyDescent="0.3">
      <c r="L10742" s="25"/>
      <c r="Q10742" s="17"/>
    </row>
    <row r="10743" spans="12:17" x14ac:dyDescent="0.3">
      <c r="L10743" s="25"/>
      <c r="Q10743" s="17"/>
    </row>
    <row r="10744" spans="12:17" x14ac:dyDescent="0.3">
      <c r="L10744" s="25"/>
      <c r="Q10744" s="17"/>
    </row>
    <row r="10745" spans="12:17" x14ac:dyDescent="0.3">
      <c r="L10745" s="25"/>
      <c r="Q10745" s="17"/>
    </row>
    <row r="10746" spans="12:17" x14ac:dyDescent="0.3">
      <c r="L10746" s="25"/>
      <c r="Q10746" s="17"/>
    </row>
    <row r="10747" spans="12:17" x14ac:dyDescent="0.3">
      <c r="L10747" s="25"/>
      <c r="Q10747" s="17"/>
    </row>
    <row r="10748" spans="12:17" x14ac:dyDescent="0.3">
      <c r="L10748" s="25"/>
      <c r="Q10748" s="17"/>
    </row>
    <row r="10749" spans="12:17" x14ac:dyDescent="0.3">
      <c r="L10749" s="25"/>
      <c r="Q10749" s="17"/>
    </row>
    <row r="10750" spans="12:17" x14ac:dyDescent="0.3">
      <c r="L10750" s="25"/>
      <c r="Q10750" s="17"/>
    </row>
    <row r="10751" spans="12:17" x14ac:dyDescent="0.3">
      <c r="L10751" s="25"/>
      <c r="Q10751" s="17"/>
    </row>
    <row r="10752" spans="12:17" x14ac:dyDescent="0.3">
      <c r="L10752" s="25"/>
      <c r="Q10752" s="17"/>
    </row>
    <row r="10753" spans="12:17" x14ac:dyDescent="0.3">
      <c r="L10753" s="25"/>
      <c r="Q10753" s="17"/>
    </row>
    <row r="10754" spans="12:17" x14ac:dyDescent="0.3">
      <c r="L10754" s="25"/>
      <c r="Q10754" s="17"/>
    </row>
    <row r="10755" spans="12:17" x14ac:dyDescent="0.3">
      <c r="L10755" s="25"/>
      <c r="Q10755" s="17"/>
    </row>
    <row r="10756" spans="12:17" x14ac:dyDescent="0.3">
      <c r="L10756" s="25"/>
      <c r="Q10756" s="17"/>
    </row>
    <row r="10757" spans="12:17" x14ac:dyDescent="0.3">
      <c r="L10757" s="25"/>
      <c r="Q10757" s="17"/>
    </row>
    <row r="10758" spans="12:17" x14ac:dyDescent="0.3">
      <c r="L10758" s="25"/>
      <c r="Q10758" s="17"/>
    </row>
    <row r="10759" spans="12:17" x14ac:dyDescent="0.3">
      <c r="L10759" s="25"/>
      <c r="Q10759" s="17"/>
    </row>
    <row r="10760" spans="12:17" x14ac:dyDescent="0.3">
      <c r="L10760" s="25"/>
      <c r="Q10760" s="17"/>
    </row>
    <row r="10761" spans="12:17" x14ac:dyDescent="0.3">
      <c r="L10761" s="25"/>
      <c r="Q10761" s="17"/>
    </row>
    <row r="10762" spans="12:17" x14ac:dyDescent="0.3">
      <c r="L10762" s="25"/>
      <c r="Q10762" s="17"/>
    </row>
    <row r="10763" spans="12:17" x14ac:dyDescent="0.3">
      <c r="L10763" s="25"/>
      <c r="Q10763" s="17"/>
    </row>
    <row r="10764" spans="12:17" x14ac:dyDescent="0.3">
      <c r="L10764" s="25"/>
      <c r="Q10764" s="17"/>
    </row>
    <row r="10765" spans="12:17" x14ac:dyDescent="0.3">
      <c r="L10765" s="25"/>
      <c r="Q10765" s="17"/>
    </row>
    <row r="10766" spans="12:17" x14ac:dyDescent="0.3">
      <c r="L10766" s="25"/>
      <c r="Q10766" s="17"/>
    </row>
    <row r="10767" spans="12:17" x14ac:dyDescent="0.3">
      <c r="L10767" s="25"/>
      <c r="Q10767" s="17"/>
    </row>
    <row r="10768" spans="12:17" x14ac:dyDescent="0.3">
      <c r="L10768" s="25"/>
      <c r="Q10768" s="17"/>
    </row>
    <row r="10769" spans="12:17" x14ac:dyDescent="0.3">
      <c r="L10769" s="25"/>
      <c r="Q10769" s="17"/>
    </row>
    <row r="10770" spans="12:17" x14ac:dyDescent="0.3">
      <c r="L10770" s="25"/>
      <c r="Q10770" s="17"/>
    </row>
    <row r="10771" spans="12:17" x14ac:dyDescent="0.3">
      <c r="L10771" s="25"/>
      <c r="Q10771" s="17"/>
    </row>
    <row r="10772" spans="12:17" x14ac:dyDescent="0.3">
      <c r="L10772" s="25"/>
      <c r="Q10772" s="17"/>
    </row>
    <row r="10773" spans="12:17" x14ac:dyDescent="0.3">
      <c r="L10773" s="25"/>
      <c r="Q10773" s="17"/>
    </row>
    <row r="10774" spans="12:17" x14ac:dyDescent="0.3">
      <c r="L10774" s="25"/>
      <c r="Q10774" s="17"/>
    </row>
    <row r="10775" spans="12:17" x14ac:dyDescent="0.3">
      <c r="L10775" s="25"/>
      <c r="Q10775" s="17"/>
    </row>
    <row r="10776" spans="12:17" x14ac:dyDescent="0.3">
      <c r="L10776" s="25"/>
      <c r="Q10776" s="17"/>
    </row>
    <row r="10777" spans="12:17" x14ac:dyDescent="0.3">
      <c r="L10777" s="25"/>
      <c r="Q10777" s="17"/>
    </row>
    <row r="10778" spans="12:17" x14ac:dyDescent="0.3">
      <c r="L10778" s="25"/>
      <c r="Q10778" s="17"/>
    </row>
    <row r="10779" spans="12:17" x14ac:dyDescent="0.3">
      <c r="L10779" s="25"/>
      <c r="Q10779" s="17"/>
    </row>
    <row r="10780" spans="12:17" x14ac:dyDescent="0.3">
      <c r="L10780" s="25"/>
      <c r="Q10780" s="17"/>
    </row>
    <row r="10781" spans="12:17" x14ac:dyDescent="0.3">
      <c r="L10781" s="25"/>
      <c r="Q10781" s="17"/>
    </row>
    <row r="10782" spans="12:17" x14ac:dyDescent="0.3">
      <c r="L10782" s="25"/>
      <c r="Q10782" s="17"/>
    </row>
    <row r="10783" spans="12:17" x14ac:dyDescent="0.3">
      <c r="L10783" s="25"/>
      <c r="Q10783" s="17"/>
    </row>
    <row r="10784" spans="12:17" x14ac:dyDescent="0.3">
      <c r="L10784" s="25"/>
      <c r="Q10784" s="17"/>
    </row>
    <row r="10785" spans="12:17" x14ac:dyDescent="0.3">
      <c r="L10785" s="25"/>
      <c r="Q10785" s="17"/>
    </row>
    <row r="10786" spans="12:17" x14ac:dyDescent="0.3">
      <c r="L10786" s="25"/>
      <c r="Q10786" s="17"/>
    </row>
    <row r="10787" spans="12:17" x14ac:dyDescent="0.3">
      <c r="L10787" s="25"/>
      <c r="Q10787" s="17"/>
    </row>
    <row r="10788" spans="12:17" x14ac:dyDescent="0.3">
      <c r="L10788" s="25"/>
      <c r="Q10788" s="17"/>
    </row>
    <row r="10789" spans="12:17" x14ac:dyDescent="0.3">
      <c r="L10789" s="25"/>
      <c r="Q10789" s="17"/>
    </row>
    <row r="10790" spans="12:17" x14ac:dyDescent="0.3">
      <c r="L10790" s="25"/>
      <c r="Q10790" s="17"/>
    </row>
    <row r="10791" spans="12:17" x14ac:dyDescent="0.3">
      <c r="L10791" s="25"/>
      <c r="Q10791" s="17"/>
    </row>
    <row r="10792" spans="12:17" x14ac:dyDescent="0.3">
      <c r="L10792" s="25"/>
      <c r="Q10792" s="17"/>
    </row>
    <row r="10793" spans="12:17" x14ac:dyDescent="0.3">
      <c r="L10793" s="25"/>
      <c r="Q10793" s="17"/>
    </row>
    <row r="10794" spans="12:17" x14ac:dyDescent="0.3">
      <c r="L10794" s="25"/>
      <c r="Q10794" s="17"/>
    </row>
    <row r="10795" spans="12:17" x14ac:dyDescent="0.3">
      <c r="L10795" s="25"/>
      <c r="Q10795" s="17"/>
    </row>
    <row r="10796" spans="12:17" x14ac:dyDescent="0.3">
      <c r="L10796" s="25"/>
      <c r="Q10796" s="17"/>
    </row>
    <row r="10797" spans="12:17" x14ac:dyDescent="0.3">
      <c r="L10797" s="25"/>
      <c r="Q10797" s="17"/>
    </row>
    <row r="10798" spans="12:17" x14ac:dyDescent="0.3">
      <c r="L10798" s="25"/>
      <c r="Q10798" s="17"/>
    </row>
    <row r="10799" spans="12:17" x14ac:dyDescent="0.3">
      <c r="L10799" s="25"/>
      <c r="Q10799" s="17"/>
    </row>
    <row r="10800" spans="12:17" x14ac:dyDescent="0.3">
      <c r="L10800" s="25"/>
      <c r="Q10800" s="17"/>
    </row>
    <row r="10801" spans="12:17" x14ac:dyDescent="0.3">
      <c r="L10801" s="25"/>
      <c r="Q10801" s="17"/>
    </row>
    <row r="10802" spans="12:17" x14ac:dyDescent="0.3">
      <c r="L10802" s="25"/>
      <c r="Q10802" s="17"/>
    </row>
    <row r="10803" spans="12:17" x14ac:dyDescent="0.3">
      <c r="L10803" s="25"/>
      <c r="Q10803" s="17"/>
    </row>
    <row r="10804" spans="12:17" x14ac:dyDescent="0.3">
      <c r="L10804" s="25"/>
      <c r="Q10804" s="17"/>
    </row>
    <row r="10805" spans="12:17" x14ac:dyDescent="0.3">
      <c r="L10805" s="25"/>
      <c r="Q10805" s="17"/>
    </row>
    <row r="10806" spans="12:17" x14ac:dyDescent="0.3">
      <c r="L10806" s="25"/>
      <c r="Q10806" s="17"/>
    </row>
    <row r="10807" spans="12:17" x14ac:dyDescent="0.3">
      <c r="L10807" s="25"/>
      <c r="Q10807" s="17"/>
    </row>
    <row r="10808" spans="12:17" x14ac:dyDescent="0.3">
      <c r="L10808" s="25"/>
      <c r="Q10808" s="17"/>
    </row>
    <row r="10809" spans="12:17" x14ac:dyDescent="0.3">
      <c r="L10809" s="25"/>
      <c r="Q10809" s="17"/>
    </row>
    <row r="10810" spans="12:17" x14ac:dyDescent="0.3">
      <c r="L10810" s="25"/>
      <c r="Q10810" s="17"/>
    </row>
    <row r="10811" spans="12:17" x14ac:dyDescent="0.3">
      <c r="L10811" s="25"/>
      <c r="Q10811" s="17"/>
    </row>
    <row r="10812" spans="12:17" x14ac:dyDescent="0.3">
      <c r="L10812" s="25"/>
      <c r="Q10812" s="17"/>
    </row>
    <row r="10813" spans="12:17" x14ac:dyDescent="0.3">
      <c r="L10813" s="25"/>
      <c r="Q10813" s="17"/>
    </row>
    <row r="10814" spans="12:17" x14ac:dyDescent="0.3">
      <c r="L10814" s="25"/>
      <c r="Q10814" s="17"/>
    </row>
    <row r="10815" spans="12:17" x14ac:dyDescent="0.3">
      <c r="L10815" s="25"/>
      <c r="Q10815" s="17"/>
    </row>
    <row r="10816" spans="12:17" x14ac:dyDescent="0.3">
      <c r="L10816" s="25"/>
      <c r="Q10816" s="17"/>
    </row>
    <row r="10817" spans="12:17" x14ac:dyDescent="0.3">
      <c r="L10817" s="25"/>
      <c r="Q10817" s="17"/>
    </row>
    <row r="10818" spans="12:17" x14ac:dyDescent="0.3">
      <c r="L10818" s="25"/>
      <c r="Q10818" s="17"/>
    </row>
    <row r="10819" spans="12:17" x14ac:dyDescent="0.3">
      <c r="L10819" s="25"/>
      <c r="Q10819" s="17"/>
    </row>
    <row r="10820" spans="12:17" x14ac:dyDescent="0.3">
      <c r="L10820" s="25"/>
      <c r="Q10820" s="17"/>
    </row>
    <row r="10821" spans="12:17" x14ac:dyDescent="0.3">
      <c r="L10821" s="25"/>
      <c r="Q10821" s="17"/>
    </row>
    <row r="10822" spans="12:17" x14ac:dyDescent="0.3">
      <c r="L10822" s="25"/>
      <c r="Q10822" s="17"/>
    </row>
    <row r="10823" spans="12:17" x14ac:dyDescent="0.3">
      <c r="L10823" s="25"/>
      <c r="Q10823" s="17"/>
    </row>
    <row r="10824" spans="12:17" x14ac:dyDescent="0.3">
      <c r="L10824" s="25"/>
      <c r="Q10824" s="17"/>
    </row>
    <row r="10825" spans="12:17" x14ac:dyDescent="0.3">
      <c r="L10825" s="25"/>
      <c r="Q10825" s="17"/>
    </row>
    <row r="10826" spans="12:17" x14ac:dyDescent="0.3">
      <c r="L10826" s="25"/>
      <c r="Q10826" s="17"/>
    </row>
    <row r="10827" spans="12:17" x14ac:dyDescent="0.3">
      <c r="L10827" s="25"/>
      <c r="Q10827" s="17"/>
    </row>
    <row r="10828" spans="12:17" x14ac:dyDescent="0.3">
      <c r="L10828" s="25"/>
      <c r="Q10828" s="17"/>
    </row>
    <row r="10829" spans="12:17" x14ac:dyDescent="0.3">
      <c r="L10829" s="25"/>
      <c r="Q10829" s="17"/>
    </row>
    <row r="10830" spans="12:17" x14ac:dyDescent="0.3">
      <c r="L10830" s="25"/>
      <c r="Q10830" s="17"/>
    </row>
    <row r="10831" spans="12:17" x14ac:dyDescent="0.3">
      <c r="L10831" s="25"/>
      <c r="Q10831" s="17"/>
    </row>
    <row r="10832" spans="12:17" x14ac:dyDescent="0.3">
      <c r="L10832" s="25"/>
      <c r="Q10832" s="17"/>
    </row>
    <row r="10833" spans="12:17" x14ac:dyDescent="0.3">
      <c r="L10833" s="25"/>
      <c r="Q10833" s="17"/>
    </row>
    <row r="10834" spans="12:17" x14ac:dyDescent="0.3">
      <c r="L10834" s="25"/>
      <c r="Q10834" s="17"/>
    </row>
    <row r="10835" spans="12:17" x14ac:dyDescent="0.3">
      <c r="L10835" s="25"/>
      <c r="Q10835" s="17"/>
    </row>
    <row r="10836" spans="12:17" x14ac:dyDescent="0.3">
      <c r="L10836" s="25"/>
      <c r="Q10836" s="17"/>
    </row>
    <row r="10837" spans="12:17" x14ac:dyDescent="0.3">
      <c r="L10837" s="25"/>
      <c r="Q10837" s="17"/>
    </row>
    <row r="10838" spans="12:17" x14ac:dyDescent="0.3">
      <c r="L10838" s="25"/>
      <c r="Q10838" s="17"/>
    </row>
    <row r="10839" spans="12:17" x14ac:dyDescent="0.3">
      <c r="L10839" s="25"/>
      <c r="Q10839" s="17"/>
    </row>
    <row r="10840" spans="12:17" x14ac:dyDescent="0.3">
      <c r="L10840" s="25"/>
      <c r="Q10840" s="17"/>
    </row>
    <row r="10841" spans="12:17" x14ac:dyDescent="0.3">
      <c r="L10841" s="25"/>
      <c r="Q10841" s="17"/>
    </row>
    <row r="10842" spans="12:17" x14ac:dyDescent="0.3">
      <c r="L10842" s="25"/>
      <c r="Q10842" s="17"/>
    </row>
    <row r="10843" spans="12:17" x14ac:dyDescent="0.3">
      <c r="L10843" s="25"/>
      <c r="Q10843" s="17"/>
    </row>
    <row r="10844" spans="12:17" x14ac:dyDescent="0.3">
      <c r="L10844" s="25"/>
      <c r="Q10844" s="17"/>
    </row>
    <row r="10845" spans="12:17" x14ac:dyDescent="0.3">
      <c r="L10845" s="25"/>
      <c r="Q10845" s="17"/>
    </row>
    <row r="10846" spans="12:17" x14ac:dyDescent="0.3">
      <c r="L10846" s="25"/>
      <c r="Q10846" s="17"/>
    </row>
    <row r="10847" spans="12:17" x14ac:dyDescent="0.3">
      <c r="L10847" s="25"/>
      <c r="Q10847" s="17"/>
    </row>
    <row r="10848" spans="12:17" x14ac:dyDescent="0.3">
      <c r="L10848" s="25"/>
      <c r="Q10848" s="17"/>
    </row>
    <row r="10849" spans="12:17" x14ac:dyDescent="0.3">
      <c r="L10849" s="25"/>
      <c r="Q10849" s="17"/>
    </row>
    <row r="10850" spans="12:17" x14ac:dyDescent="0.3">
      <c r="L10850" s="25"/>
      <c r="Q10850" s="17"/>
    </row>
    <row r="10851" spans="12:17" x14ac:dyDescent="0.3">
      <c r="L10851" s="25"/>
      <c r="Q10851" s="17"/>
    </row>
    <row r="10852" spans="12:17" x14ac:dyDescent="0.3">
      <c r="L10852" s="25"/>
      <c r="Q10852" s="17"/>
    </row>
    <row r="10853" spans="12:17" x14ac:dyDescent="0.3">
      <c r="L10853" s="25"/>
      <c r="Q10853" s="17"/>
    </row>
    <row r="10854" spans="12:17" x14ac:dyDescent="0.3">
      <c r="L10854" s="25"/>
      <c r="Q10854" s="17"/>
    </row>
    <row r="10855" spans="12:17" x14ac:dyDescent="0.3">
      <c r="L10855" s="25"/>
      <c r="Q10855" s="17"/>
    </row>
    <row r="10856" spans="12:17" x14ac:dyDescent="0.3">
      <c r="L10856" s="25"/>
      <c r="Q10856" s="17"/>
    </row>
    <row r="10857" spans="12:17" x14ac:dyDescent="0.3">
      <c r="L10857" s="25"/>
      <c r="Q10857" s="17"/>
    </row>
    <row r="10858" spans="12:17" x14ac:dyDescent="0.3">
      <c r="L10858" s="25"/>
      <c r="Q10858" s="17"/>
    </row>
    <row r="10859" spans="12:17" x14ac:dyDescent="0.3">
      <c r="L10859" s="25"/>
      <c r="Q10859" s="17"/>
    </row>
    <row r="10860" spans="12:17" x14ac:dyDescent="0.3">
      <c r="L10860" s="25"/>
      <c r="Q10860" s="17"/>
    </row>
    <row r="10861" spans="12:17" x14ac:dyDescent="0.3">
      <c r="L10861" s="25"/>
      <c r="Q10861" s="17"/>
    </row>
    <row r="10862" spans="12:17" x14ac:dyDescent="0.3">
      <c r="L10862" s="25"/>
      <c r="Q10862" s="17"/>
    </row>
    <row r="10863" spans="12:17" x14ac:dyDescent="0.3">
      <c r="L10863" s="25"/>
      <c r="Q10863" s="17"/>
    </row>
    <row r="10864" spans="12:17" x14ac:dyDescent="0.3">
      <c r="L10864" s="25"/>
      <c r="Q10864" s="17"/>
    </row>
    <row r="10865" spans="12:17" x14ac:dyDescent="0.3">
      <c r="L10865" s="25"/>
      <c r="Q10865" s="17"/>
    </row>
    <row r="10866" spans="12:17" x14ac:dyDescent="0.3">
      <c r="L10866" s="25"/>
      <c r="Q10866" s="17"/>
    </row>
    <row r="10867" spans="12:17" x14ac:dyDescent="0.3">
      <c r="L10867" s="25"/>
      <c r="Q10867" s="17"/>
    </row>
    <row r="10868" spans="12:17" x14ac:dyDescent="0.3">
      <c r="L10868" s="25"/>
      <c r="Q10868" s="17"/>
    </row>
    <row r="10869" spans="12:17" x14ac:dyDescent="0.3">
      <c r="L10869" s="25"/>
      <c r="Q10869" s="17"/>
    </row>
    <row r="10870" spans="12:17" x14ac:dyDescent="0.3">
      <c r="L10870" s="25"/>
      <c r="Q10870" s="17"/>
    </row>
    <row r="10871" spans="12:17" x14ac:dyDescent="0.3">
      <c r="L10871" s="25"/>
      <c r="Q10871" s="17"/>
    </row>
    <row r="10872" spans="12:17" x14ac:dyDescent="0.3">
      <c r="L10872" s="25"/>
      <c r="Q10872" s="17"/>
    </row>
    <row r="10873" spans="12:17" x14ac:dyDescent="0.3">
      <c r="L10873" s="25"/>
      <c r="Q10873" s="17"/>
    </row>
    <row r="10874" spans="12:17" x14ac:dyDescent="0.3">
      <c r="L10874" s="25"/>
      <c r="Q10874" s="17"/>
    </row>
    <row r="10875" spans="12:17" x14ac:dyDescent="0.3">
      <c r="L10875" s="25"/>
      <c r="Q10875" s="17"/>
    </row>
    <row r="10876" spans="12:17" x14ac:dyDescent="0.3">
      <c r="L10876" s="25"/>
      <c r="Q10876" s="17"/>
    </row>
    <row r="10877" spans="12:17" x14ac:dyDescent="0.3">
      <c r="L10877" s="25"/>
      <c r="Q10877" s="17"/>
    </row>
    <row r="10878" spans="12:17" x14ac:dyDescent="0.3">
      <c r="L10878" s="25"/>
      <c r="Q10878" s="17"/>
    </row>
    <row r="10879" spans="12:17" x14ac:dyDescent="0.3">
      <c r="L10879" s="25"/>
      <c r="Q10879" s="17"/>
    </row>
    <row r="10880" spans="12:17" x14ac:dyDescent="0.3">
      <c r="L10880" s="25"/>
      <c r="Q10880" s="17"/>
    </row>
    <row r="10881" spans="12:17" x14ac:dyDescent="0.3">
      <c r="L10881" s="25"/>
      <c r="Q10881" s="17"/>
    </row>
    <row r="10882" spans="12:17" x14ac:dyDescent="0.3">
      <c r="L10882" s="25"/>
      <c r="Q10882" s="17"/>
    </row>
    <row r="10883" spans="12:17" x14ac:dyDescent="0.3">
      <c r="L10883" s="25"/>
      <c r="Q10883" s="17"/>
    </row>
    <row r="10884" spans="12:17" x14ac:dyDescent="0.3">
      <c r="L10884" s="25"/>
      <c r="Q10884" s="17"/>
    </row>
    <row r="10885" spans="12:17" x14ac:dyDescent="0.3">
      <c r="L10885" s="25"/>
      <c r="Q10885" s="17"/>
    </row>
    <row r="10886" spans="12:17" x14ac:dyDescent="0.3">
      <c r="L10886" s="25"/>
      <c r="Q10886" s="17"/>
    </row>
    <row r="10887" spans="12:17" x14ac:dyDescent="0.3">
      <c r="L10887" s="25"/>
      <c r="Q10887" s="17"/>
    </row>
    <row r="10888" spans="12:17" x14ac:dyDescent="0.3">
      <c r="L10888" s="25"/>
      <c r="Q10888" s="17"/>
    </row>
    <row r="10889" spans="12:17" x14ac:dyDescent="0.3">
      <c r="L10889" s="25"/>
      <c r="Q10889" s="17"/>
    </row>
    <row r="10890" spans="12:17" x14ac:dyDescent="0.3">
      <c r="L10890" s="25"/>
      <c r="Q10890" s="17"/>
    </row>
    <row r="10891" spans="12:17" x14ac:dyDescent="0.3">
      <c r="L10891" s="25"/>
      <c r="Q10891" s="17"/>
    </row>
    <row r="10892" spans="12:17" x14ac:dyDescent="0.3">
      <c r="L10892" s="25"/>
      <c r="Q10892" s="17"/>
    </row>
    <row r="10893" spans="12:17" x14ac:dyDescent="0.3">
      <c r="L10893" s="25"/>
      <c r="Q10893" s="17"/>
    </row>
    <row r="10894" spans="12:17" x14ac:dyDescent="0.3">
      <c r="L10894" s="25"/>
      <c r="Q10894" s="17"/>
    </row>
    <row r="10895" spans="12:17" x14ac:dyDescent="0.3">
      <c r="L10895" s="25"/>
      <c r="Q10895" s="17"/>
    </row>
    <row r="10896" spans="12:17" x14ac:dyDescent="0.3">
      <c r="L10896" s="25"/>
      <c r="Q10896" s="17"/>
    </row>
    <row r="10897" spans="12:17" x14ac:dyDescent="0.3">
      <c r="L10897" s="25"/>
      <c r="Q10897" s="17"/>
    </row>
    <row r="10898" spans="12:17" x14ac:dyDescent="0.3">
      <c r="L10898" s="25"/>
      <c r="Q10898" s="17"/>
    </row>
    <row r="10899" spans="12:17" x14ac:dyDescent="0.3">
      <c r="L10899" s="25"/>
      <c r="Q10899" s="17"/>
    </row>
    <row r="10900" spans="12:17" x14ac:dyDescent="0.3">
      <c r="L10900" s="25"/>
      <c r="Q10900" s="17"/>
    </row>
    <row r="10901" spans="12:17" x14ac:dyDescent="0.3">
      <c r="L10901" s="25"/>
      <c r="Q10901" s="17"/>
    </row>
    <row r="10902" spans="12:17" x14ac:dyDescent="0.3">
      <c r="L10902" s="25"/>
      <c r="Q10902" s="17"/>
    </row>
    <row r="10903" spans="12:17" x14ac:dyDescent="0.3">
      <c r="L10903" s="25"/>
      <c r="Q10903" s="17"/>
    </row>
    <row r="10904" spans="12:17" x14ac:dyDescent="0.3">
      <c r="L10904" s="25"/>
      <c r="Q10904" s="17"/>
    </row>
    <row r="10905" spans="12:17" x14ac:dyDescent="0.3">
      <c r="L10905" s="25"/>
      <c r="Q10905" s="17"/>
    </row>
    <row r="10906" spans="12:17" x14ac:dyDescent="0.3">
      <c r="L10906" s="25"/>
      <c r="Q10906" s="17"/>
    </row>
    <row r="10907" spans="12:17" x14ac:dyDescent="0.3">
      <c r="L10907" s="25"/>
      <c r="Q10907" s="17"/>
    </row>
    <row r="10908" spans="12:17" x14ac:dyDescent="0.3">
      <c r="L10908" s="25"/>
      <c r="Q10908" s="17"/>
    </row>
    <row r="10909" spans="12:17" x14ac:dyDescent="0.3">
      <c r="L10909" s="25"/>
      <c r="Q10909" s="17"/>
    </row>
    <row r="10910" spans="12:17" x14ac:dyDescent="0.3">
      <c r="L10910" s="25"/>
      <c r="Q10910" s="17"/>
    </row>
    <row r="10911" spans="12:17" x14ac:dyDescent="0.3">
      <c r="L10911" s="25"/>
      <c r="Q10911" s="17"/>
    </row>
    <row r="10912" spans="12:17" x14ac:dyDescent="0.3">
      <c r="L10912" s="25"/>
      <c r="Q10912" s="17"/>
    </row>
    <row r="10913" spans="12:17" x14ac:dyDescent="0.3">
      <c r="L10913" s="25"/>
      <c r="Q10913" s="17"/>
    </row>
    <row r="10914" spans="12:17" x14ac:dyDescent="0.3">
      <c r="L10914" s="25"/>
      <c r="Q10914" s="17"/>
    </row>
    <row r="10915" spans="12:17" x14ac:dyDescent="0.3">
      <c r="L10915" s="25"/>
      <c r="Q10915" s="17"/>
    </row>
    <row r="10916" spans="12:17" x14ac:dyDescent="0.3">
      <c r="L10916" s="25"/>
      <c r="Q10916" s="17"/>
    </row>
    <row r="10917" spans="12:17" x14ac:dyDescent="0.3">
      <c r="L10917" s="25"/>
      <c r="Q10917" s="17"/>
    </row>
    <row r="10918" spans="12:17" x14ac:dyDescent="0.3">
      <c r="L10918" s="25"/>
      <c r="Q10918" s="17"/>
    </row>
    <row r="10919" spans="12:17" x14ac:dyDescent="0.3">
      <c r="L10919" s="25"/>
      <c r="Q10919" s="17"/>
    </row>
    <row r="10920" spans="12:17" x14ac:dyDescent="0.3">
      <c r="L10920" s="25"/>
      <c r="Q10920" s="17"/>
    </row>
    <row r="10921" spans="12:17" x14ac:dyDescent="0.3">
      <c r="L10921" s="25"/>
      <c r="Q10921" s="17"/>
    </row>
    <row r="10922" spans="12:17" x14ac:dyDescent="0.3">
      <c r="L10922" s="25"/>
      <c r="Q10922" s="17"/>
    </row>
    <row r="10923" spans="12:17" x14ac:dyDescent="0.3">
      <c r="L10923" s="25"/>
      <c r="Q10923" s="17"/>
    </row>
    <row r="10924" spans="12:17" x14ac:dyDescent="0.3">
      <c r="L10924" s="25"/>
      <c r="Q10924" s="17"/>
    </row>
    <row r="10925" spans="12:17" x14ac:dyDescent="0.3">
      <c r="L10925" s="25"/>
      <c r="Q10925" s="17"/>
    </row>
    <row r="10926" spans="12:17" x14ac:dyDescent="0.3">
      <c r="L10926" s="25"/>
      <c r="Q10926" s="17"/>
    </row>
    <row r="10927" spans="12:17" x14ac:dyDescent="0.3">
      <c r="L10927" s="25"/>
      <c r="Q10927" s="17"/>
    </row>
    <row r="10928" spans="12:17" x14ac:dyDescent="0.3">
      <c r="L10928" s="25"/>
      <c r="Q10928" s="17"/>
    </row>
    <row r="10929" spans="12:17" x14ac:dyDescent="0.3">
      <c r="L10929" s="25"/>
      <c r="Q10929" s="17"/>
    </row>
    <row r="10930" spans="12:17" x14ac:dyDescent="0.3">
      <c r="L10930" s="25"/>
      <c r="Q10930" s="17"/>
    </row>
    <row r="10931" spans="12:17" x14ac:dyDescent="0.3">
      <c r="L10931" s="25"/>
      <c r="Q10931" s="17"/>
    </row>
    <row r="10932" spans="12:17" x14ac:dyDescent="0.3">
      <c r="L10932" s="25"/>
      <c r="Q10932" s="17"/>
    </row>
    <row r="10933" spans="12:17" x14ac:dyDescent="0.3">
      <c r="L10933" s="25"/>
      <c r="Q10933" s="17"/>
    </row>
    <row r="10934" spans="12:17" x14ac:dyDescent="0.3">
      <c r="L10934" s="25"/>
      <c r="Q10934" s="17"/>
    </row>
    <row r="10935" spans="12:17" x14ac:dyDescent="0.3">
      <c r="L10935" s="25"/>
      <c r="Q10935" s="17"/>
    </row>
    <row r="10936" spans="12:17" x14ac:dyDescent="0.3">
      <c r="L10936" s="25"/>
      <c r="Q10936" s="17"/>
    </row>
    <row r="10937" spans="12:17" x14ac:dyDescent="0.3">
      <c r="L10937" s="25"/>
      <c r="Q10937" s="17"/>
    </row>
    <row r="10938" spans="12:17" x14ac:dyDescent="0.3">
      <c r="L10938" s="25"/>
      <c r="Q10938" s="17"/>
    </row>
    <row r="10939" spans="12:17" x14ac:dyDescent="0.3">
      <c r="L10939" s="25"/>
      <c r="Q10939" s="17"/>
    </row>
    <row r="10940" spans="12:17" x14ac:dyDescent="0.3">
      <c r="L10940" s="25"/>
      <c r="Q10940" s="17"/>
    </row>
    <row r="10941" spans="12:17" x14ac:dyDescent="0.3">
      <c r="L10941" s="25"/>
      <c r="Q10941" s="17"/>
    </row>
    <row r="10942" spans="12:17" x14ac:dyDescent="0.3">
      <c r="L10942" s="25"/>
      <c r="Q10942" s="17"/>
    </row>
    <row r="10943" spans="12:17" x14ac:dyDescent="0.3">
      <c r="L10943" s="25"/>
      <c r="Q10943" s="17"/>
    </row>
    <row r="10944" spans="12:17" x14ac:dyDescent="0.3">
      <c r="L10944" s="25"/>
      <c r="Q10944" s="17"/>
    </row>
    <row r="10945" spans="12:17" x14ac:dyDescent="0.3">
      <c r="L10945" s="25"/>
      <c r="Q10945" s="17"/>
    </row>
    <row r="10946" spans="12:17" x14ac:dyDescent="0.3">
      <c r="L10946" s="25"/>
      <c r="Q10946" s="17"/>
    </row>
    <row r="10947" spans="12:17" x14ac:dyDescent="0.3">
      <c r="L10947" s="25"/>
      <c r="Q10947" s="17"/>
    </row>
    <row r="10948" spans="12:17" x14ac:dyDescent="0.3">
      <c r="L10948" s="25"/>
      <c r="Q10948" s="17"/>
    </row>
    <row r="10949" spans="12:17" x14ac:dyDescent="0.3">
      <c r="L10949" s="25"/>
      <c r="Q10949" s="17"/>
    </row>
    <row r="10950" spans="12:17" x14ac:dyDescent="0.3">
      <c r="L10950" s="25"/>
      <c r="Q10950" s="17"/>
    </row>
    <row r="10951" spans="12:17" x14ac:dyDescent="0.3">
      <c r="L10951" s="25"/>
      <c r="Q10951" s="17"/>
    </row>
    <row r="10952" spans="12:17" x14ac:dyDescent="0.3">
      <c r="L10952" s="25"/>
      <c r="Q10952" s="17"/>
    </row>
    <row r="10953" spans="12:17" x14ac:dyDescent="0.3">
      <c r="L10953" s="25"/>
      <c r="Q10953" s="17"/>
    </row>
    <row r="10954" spans="12:17" x14ac:dyDescent="0.3">
      <c r="L10954" s="25"/>
      <c r="Q10954" s="17"/>
    </row>
    <row r="10955" spans="12:17" x14ac:dyDescent="0.3">
      <c r="L10955" s="25"/>
      <c r="Q10955" s="17"/>
    </row>
    <row r="10956" spans="12:17" x14ac:dyDescent="0.3">
      <c r="L10956" s="25"/>
      <c r="Q10956" s="17"/>
    </row>
    <row r="10957" spans="12:17" x14ac:dyDescent="0.3">
      <c r="L10957" s="25"/>
      <c r="Q10957" s="17"/>
    </row>
    <row r="10958" spans="12:17" x14ac:dyDescent="0.3">
      <c r="L10958" s="25"/>
      <c r="Q10958" s="17"/>
    </row>
    <row r="10959" spans="12:17" x14ac:dyDescent="0.3">
      <c r="L10959" s="25"/>
      <c r="Q10959" s="17"/>
    </row>
    <row r="10960" spans="12:17" x14ac:dyDescent="0.3">
      <c r="L10960" s="25"/>
      <c r="Q10960" s="17"/>
    </row>
    <row r="10961" spans="12:17" x14ac:dyDescent="0.3">
      <c r="L10961" s="25"/>
      <c r="Q10961" s="17"/>
    </row>
    <row r="10962" spans="12:17" x14ac:dyDescent="0.3">
      <c r="L10962" s="25"/>
      <c r="Q10962" s="17"/>
    </row>
    <row r="10963" spans="12:17" x14ac:dyDescent="0.3">
      <c r="L10963" s="25"/>
      <c r="Q10963" s="17"/>
    </row>
    <row r="10964" spans="12:17" x14ac:dyDescent="0.3">
      <c r="L10964" s="25"/>
      <c r="Q10964" s="17"/>
    </row>
    <row r="10965" spans="12:17" x14ac:dyDescent="0.3">
      <c r="L10965" s="25"/>
      <c r="Q10965" s="17"/>
    </row>
    <row r="10966" spans="12:17" x14ac:dyDescent="0.3">
      <c r="L10966" s="25"/>
      <c r="Q10966" s="17"/>
    </row>
    <row r="10967" spans="12:17" x14ac:dyDescent="0.3">
      <c r="L10967" s="25"/>
      <c r="Q10967" s="17"/>
    </row>
    <row r="10968" spans="12:17" x14ac:dyDescent="0.3">
      <c r="L10968" s="25"/>
      <c r="Q10968" s="17"/>
    </row>
    <row r="10969" spans="12:17" x14ac:dyDescent="0.3">
      <c r="L10969" s="25"/>
      <c r="Q10969" s="17"/>
    </row>
    <row r="10970" spans="12:17" x14ac:dyDescent="0.3">
      <c r="L10970" s="25"/>
      <c r="Q10970" s="17"/>
    </row>
    <row r="10971" spans="12:17" x14ac:dyDescent="0.3">
      <c r="L10971" s="25"/>
      <c r="Q10971" s="17"/>
    </row>
    <row r="10972" spans="12:17" x14ac:dyDescent="0.3">
      <c r="L10972" s="25"/>
      <c r="Q10972" s="17"/>
    </row>
    <row r="10973" spans="12:17" x14ac:dyDescent="0.3">
      <c r="L10973" s="25"/>
      <c r="Q10973" s="17"/>
    </row>
    <row r="10974" spans="12:17" x14ac:dyDescent="0.3">
      <c r="L10974" s="25"/>
      <c r="Q10974" s="17"/>
    </row>
    <row r="10975" spans="12:17" x14ac:dyDescent="0.3">
      <c r="L10975" s="25"/>
      <c r="Q10975" s="17"/>
    </row>
    <row r="10976" spans="12:17" x14ac:dyDescent="0.3">
      <c r="L10976" s="25"/>
      <c r="Q10976" s="17"/>
    </row>
    <row r="10977" spans="12:17" x14ac:dyDescent="0.3">
      <c r="L10977" s="25"/>
      <c r="Q10977" s="17"/>
    </row>
    <row r="10978" spans="12:17" x14ac:dyDescent="0.3">
      <c r="L10978" s="25"/>
      <c r="Q10978" s="17"/>
    </row>
    <row r="10979" spans="12:17" x14ac:dyDescent="0.3">
      <c r="L10979" s="25"/>
      <c r="Q10979" s="17"/>
    </row>
    <row r="10980" spans="12:17" x14ac:dyDescent="0.3">
      <c r="L10980" s="25"/>
      <c r="Q10980" s="17"/>
    </row>
    <row r="10981" spans="12:17" x14ac:dyDescent="0.3">
      <c r="L10981" s="25"/>
      <c r="Q10981" s="17"/>
    </row>
    <row r="10982" spans="12:17" x14ac:dyDescent="0.3">
      <c r="L10982" s="25"/>
      <c r="Q10982" s="17"/>
    </row>
    <row r="10983" spans="12:17" x14ac:dyDescent="0.3">
      <c r="L10983" s="25"/>
      <c r="Q10983" s="17"/>
    </row>
    <row r="10984" spans="12:17" x14ac:dyDescent="0.3">
      <c r="L10984" s="25"/>
      <c r="Q10984" s="17"/>
    </row>
    <row r="10985" spans="12:17" x14ac:dyDescent="0.3">
      <c r="L10985" s="25"/>
      <c r="Q10985" s="17"/>
    </row>
    <row r="10986" spans="12:17" x14ac:dyDescent="0.3">
      <c r="L10986" s="25"/>
      <c r="Q10986" s="17"/>
    </row>
    <row r="10987" spans="12:17" x14ac:dyDescent="0.3">
      <c r="L10987" s="25"/>
      <c r="Q10987" s="17"/>
    </row>
    <row r="10988" spans="12:17" x14ac:dyDescent="0.3">
      <c r="L10988" s="25"/>
      <c r="Q10988" s="17"/>
    </row>
    <row r="10989" spans="12:17" x14ac:dyDescent="0.3">
      <c r="L10989" s="25"/>
      <c r="Q10989" s="17"/>
    </row>
    <row r="10990" spans="12:17" x14ac:dyDescent="0.3">
      <c r="L10990" s="25"/>
      <c r="Q10990" s="17"/>
    </row>
    <row r="10991" spans="12:17" x14ac:dyDescent="0.3">
      <c r="L10991" s="25"/>
      <c r="Q10991" s="17"/>
    </row>
    <row r="10992" spans="12:17" x14ac:dyDescent="0.3">
      <c r="L10992" s="25"/>
      <c r="Q10992" s="17"/>
    </row>
    <row r="10993" spans="12:17" x14ac:dyDescent="0.3">
      <c r="L10993" s="25"/>
      <c r="Q10993" s="17"/>
    </row>
    <row r="10994" spans="12:17" x14ac:dyDescent="0.3">
      <c r="L10994" s="25"/>
      <c r="Q10994" s="17"/>
    </row>
    <row r="10995" spans="12:17" x14ac:dyDescent="0.3">
      <c r="L10995" s="25"/>
      <c r="Q10995" s="17"/>
    </row>
    <row r="10996" spans="12:17" x14ac:dyDescent="0.3">
      <c r="L10996" s="25"/>
      <c r="Q10996" s="17"/>
    </row>
    <row r="10997" spans="12:17" x14ac:dyDescent="0.3">
      <c r="L10997" s="25"/>
      <c r="Q10997" s="17"/>
    </row>
    <row r="10998" spans="12:17" x14ac:dyDescent="0.3">
      <c r="L10998" s="25"/>
      <c r="Q10998" s="17"/>
    </row>
    <row r="10999" spans="12:17" x14ac:dyDescent="0.3">
      <c r="L10999" s="25"/>
      <c r="Q10999" s="17"/>
    </row>
    <row r="11000" spans="12:17" x14ac:dyDescent="0.3">
      <c r="L11000" s="25"/>
      <c r="Q11000" s="17"/>
    </row>
    <row r="11001" spans="12:17" x14ac:dyDescent="0.3">
      <c r="L11001" s="25"/>
      <c r="Q11001" s="17"/>
    </row>
    <row r="11002" spans="12:17" x14ac:dyDescent="0.3">
      <c r="L11002" s="25"/>
      <c r="Q11002" s="17"/>
    </row>
    <row r="11003" spans="12:17" x14ac:dyDescent="0.3">
      <c r="L11003" s="25"/>
      <c r="Q11003" s="17"/>
    </row>
    <row r="11004" spans="12:17" x14ac:dyDescent="0.3">
      <c r="L11004" s="25"/>
      <c r="Q11004" s="17"/>
    </row>
    <row r="11005" spans="12:17" x14ac:dyDescent="0.3">
      <c r="L11005" s="25"/>
      <c r="Q11005" s="17"/>
    </row>
    <row r="11006" spans="12:17" x14ac:dyDescent="0.3">
      <c r="L11006" s="25"/>
      <c r="Q11006" s="17"/>
    </row>
    <row r="11007" spans="12:17" x14ac:dyDescent="0.3">
      <c r="L11007" s="25"/>
      <c r="Q11007" s="17"/>
    </row>
    <row r="11008" spans="12:17" x14ac:dyDescent="0.3">
      <c r="L11008" s="25"/>
      <c r="Q11008" s="17"/>
    </row>
    <row r="11009" spans="12:17" x14ac:dyDescent="0.3">
      <c r="L11009" s="25"/>
      <c r="Q11009" s="17"/>
    </row>
    <row r="11010" spans="12:17" x14ac:dyDescent="0.3">
      <c r="L11010" s="25"/>
      <c r="Q11010" s="17"/>
    </row>
    <row r="11011" spans="12:17" x14ac:dyDescent="0.3">
      <c r="L11011" s="25"/>
      <c r="Q11011" s="17"/>
    </row>
    <row r="11012" spans="12:17" x14ac:dyDescent="0.3">
      <c r="L11012" s="25"/>
      <c r="Q11012" s="17"/>
    </row>
    <row r="11013" spans="12:17" x14ac:dyDescent="0.3">
      <c r="L11013" s="25"/>
      <c r="Q11013" s="17"/>
    </row>
    <row r="11014" spans="12:17" x14ac:dyDescent="0.3">
      <c r="L11014" s="25"/>
      <c r="Q11014" s="17"/>
    </row>
    <row r="11015" spans="12:17" x14ac:dyDescent="0.3">
      <c r="L11015" s="25"/>
      <c r="Q11015" s="17"/>
    </row>
    <row r="11016" spans="12:17" x14ac:dyDescent="0.3">
      <c r="L11016" s="25"/>
      <c r="Q11016" s="17"/>
    </row>
    <row r="11017" spans="12:17" x14ac:dyDescent="0.3">
      <c r="L11017" s="25"/>
      <c r="Q11017" s="17"/>
    </row>
    <row r="11018" spans="12:17" x14ac:dyDescent="0.3">
      <c r="L11018" s="25"/>
      <c r="Q11018" s="17"/>
    </row>
    <row r="11019" spans="12:17" x14ac:dyDescent="0.3">
      <c r="L11019" s="25"/>
      <c r="Q11019" s="17"/>
    </row>
    <row r="11020" spans="12:17" x14ac:dyDescent="0.3">
      <c r="L11020" s="25"/>
      <c r="Q11020" s="17"/>
    </row>
    <row r="11021" spans="12:17" x14ac:dyDescent="0.3">
      <c r="L11021" s="25"/>
      <c r="Q11021" s="17"/>
    </row>
    <row r="11022" spans="12:17" x14ac:dyDescent="0.3">
      <c r="L11022" s="25"/>
      <c r="Q11022" s="17"/>
    </row>
    <row r="11023" spans="12:17" x14ac:dyDescent="0.3">
      <c r="L11023" s="25"/>
      <c r="Q11023" s="17"/>
    </row>
    <row r="11024" spans="12:17" x14ac:dyDescent="0.3">
      <c r="L11024" s="25"/>
      <c r="Q11024" s="17"/>
    </row>
    <row r="11025" spans="12:17" x14ac:dyDescent="0.3">
      <c r="L11025" s="25"/>
      <c r="Q11025" s="17"/>
    </row>
    <row r="11026" spans="12:17" x14ac:dyDescent="0.3">
      <c r="L11026" s="25"/>
      <c r="Q11026" s="17"/>
    </row>
    <row r="11027" spans="12:17" x14ac:dyDescent="0.3">
      <c r="L11027" s="25"/>
      <c r="Q11027" s="17"/>
    </row>
    <row r="11028" spans="12:17" x14ac:dyDescent="0.3">
      <c r="L11028" s="25"/>
      <c r="Q11028" s="17"/>
    </row>
    <row r="11029" spans="12:17" x14ac:dyDescent="0.3">
      <c r="L11029" s="25"/>
      <c r="Q11029" s="17"/>
    </row>
    <row r="11030" spans="12:17" x14ac:dyDescent="0.3">
      <c r="L11030" s="25"/>
      <c r="Q11030" s="17"/>
    </row>
    <row r="11031" spans="12:17" x14ac:dyDescent="0.3">
      <c r="L11031" s="25"/>
      <c r="Q11031" s="17"/>
    </row>
    <row r="11032" spans="12:17" x14ac:dyDescent="0.3">
      <c r="L11032" s="25"/>
      <c r="Q11032" s="17"/>
    </row>
    <row r="11033" spans="12:17" x14ac:dyDescent="0.3">
      <c r="L11033" s="25"/>
      <c r="Q11033" s="17"/>
    </row>
    <row r="11034" spans="12:17" x14ac:dyDescent="0.3">
      <c r="L11034" s="25"/>
      <c r="Q11034" s="17"/>
    </row>
    <row r="11035" spans="12:17" x14ac:dyDescent="0.3">
      <c r="L11035" s="25"/>
      <c r="Q11035" s="17"/>
    </row>
    <row r="11036" spans="12:17" x14ac:dyDescent="0.3">
      <c r="L11036" s="25"/>
      <c r="Q11036" s="17"/>
    </row>
    <row r="11037" spans="12:17" x14ac:dyDescent="0.3">
      <c r="L11037" s="25"/>
      <c r="Q11037" s="17"/>
    </row>
    <row r="11038" spans="12:17" x14ac:dyDescent="0.3">
      <c r="L11038" s="25"/>
      <c r="Q11038" s="17"/>
    </row>
    <row r="11039" spans="12:17" x14ac:dyDescent="0.3">
      <c r="L11039" s="25"/>
      <c r="Q11039" s="17"/>
    </row>
    <row r="11040" spans="12:17" x14ac:dyDescent="0.3">
      <c r="L11040" s="25"/>
      <c r="Q11040" s="17"/>
    </row>
    <row r="11041" spans="12:17" x14ac:dyDescent="0.3">
      <c r="L11041" s="25"/>
      <c r="Q11041" s="17"/>
    </row>
    <row r="11042" spans="12:17" x14ac:dyDescent="0.3">
      <c r="L11042" s="25"/>
      <c r="Q11042" s="17"/>
    </row>
    <row r="11043" spans="12:17" x14ac:dyDescent="0.3">
      <c r="L11043" s="25"/>
      <c r="Q11043" s="17"/>
    </row>
    <row r="11044" spans="12:17" x14ac:dyDescent="0.3">
      <c r="L11044" s="25"/>
      <c r="Q11044" s="17"/>
    </row>
    <row r="11045" spans="12:17" x14ac:dyDescent="0.3">
      <c r="L11045" s="25"/>
      <c r="Q11045" s="17"/>
    </row>
    <row r="11046" spans="12:17" x14ac:dyDescent="0.3">
      <c r="L11046" s="25"/>
      <c r="Q11046" s="17"/>
    </row>
    <row r="11047" spans="12:17" x14ac:dyDescent="0.3">
      <c r="L11047" s="25"/>
      <c r="Q11047" s="17"/>
    </row>
    <row r="11048" spans="12:17" x14ac:dyDescent="0.3">
      <c r="L11048" s="25"/>
      <c r="Q11048" s="17"/>
    </row>
    <row r="11049" spans="12:17" x14ac:dyDescent="0.3">
      <c r="L11049" s="25"/>
      <c r="Q11049" s="17"/>
    </row>
    <row r="11050" spans="12:17" x14ac:dyDescent="0.3">
      <c r="L11050" s="25"/>
      <c r="Q11050" s="17"/>
    </row>
    <row r="11051" spans="12:17" x14ac:dyDescent="0.3">
      <c r="L11051" s="25"/>
      <c r="Q11051" s="17"/>
    </row>
    <row r="11052" spans="12:17" x14ac:dyDescent="0.3">
      <c r="L11052" s="25"/>
      <c r="Q11052" s="17"/>
    </row>
    <row r="11053" spans="12:17" x14ac:dyDescent="0.3">
      <c r="L11053" s="25"/>
      <c r="Q11053" s="17"/>
    </row>
    <row r="11054" spans="12:17" x14ac:dyDescent="0.3">
      <c r="L11054" s="25"/>
      <c r="Q11054" s="17"/>
    </row>
    <row r="11055" spans="12:17" x14ac:dyDescent="0.3">
      <c r="L11055" s="25"/>
      <c r="Q11055" s="17"/>
    </row>
    <row r="11056" spans="12:17" x14ac:dyDescent="0.3">
      <c r="L11056" s="25"/>
      <c r="Q11056" s="17"/>
    </row>
    <row r="11057" spans="12:17" x14ac:dyDescent="0.3">
      <c r="L11057" s="25"/>
      <c r="Q11057" s="17"/>
    </row>
    <row r="11058" spans="12:17" x14ac:dyDescent="0.3">
      <c r="L11058" s="25"/>
      <c r="Q11058" s="17"/>
    </row>
    <row r="11059" spans="12:17" x14ac:dyDescent="0.3">
      <c r="L11059" s="25"/>
      <c r="Q11059" s="17"/>
    </row>
    <row r="11060" spans="12:17" x14ac:dyDescent="0.3">
      <c r="L11060" s="25"/>
      <c r="Q11060" s="17"/>
    </row>
    <row r="11061" spans="12:17" x14ac:dyDescent="0.3">
      <c r="L11061" s="25"/>
      <c r="Q11061" s="17"/>
    </row>
    <row r="11062" spans="12:17" x14ac:dyDescent="0.3">
      <c r="L11062" s="25"/>
      <c r="Q11062" s="17"/>
    </row>
    <row r="11063" spans="12:17" x14ac:dyDescent="0.3">
      <c r="L11063" s="25"/>
      <c r="Q11063" s="17"/>
    </row>
    <row r="11064" spans="12:17" x14ac:dyDescent="0.3">
      <c r="L11064" s="25"/>
      <c r="Q11064" s="17"/>
    </row>
    <row r="11065" spans="12:17" x14ac:dyDescent="0.3">
      <c r="L11065" s="25"/>
      <c r="Q11065" s="17"/>
    </row>
    <row r="11066" spans="12:17" x14ac:dyDescent="0.3">
      <c r="L11066" s="25"/>
      <c r="Q11066" s="17"/>
    </row>
    <row r="11067" spans="12:17" x14ac:dyDescent="0.3">
      <c r="L11067" s="25"/>
      <c r="Q11067" s="17"/>
    </row>
    <row r="11068" spans="12:17" x14ac:dyDescent="0.3">
      <c r="L11068" s="25"/>
      <c r="Q11068" s="17"/>
    </row>
    <row r="11069" spans="12:17" x14ac:dyDescent="0.3">
      <c r="L11069" s="25"/>
      <c r="Q11069" s="17"/>
    </row>
    <row r="11070" spans="12:17" x14ac:dyDescent="0.3">
      <c r="L11070" s="25"/>
      <c r="Q11070" s="17"/>
    </row>
    <row r="11071" spans="12:17" x14ac:dyDescent="0.3">
      <c r="L11071" s="25"/>
      <c r="Q11071" s="17"/>
    </row>
    <row r="11072" spans="12:17" x14ac:dyDescent="0.3">
      <c r="L11072" s="25"/>
      <c r="Q11072" s="17"/>
    </row>
    <row r="11073" spans="12:17" x14ac:dyDescent="0.3">
      <c r="L11073" s="25"/>
      <c r="Q11073" s="17"/>
    </row>
    <row r="11074" spans="12:17" x14ac:dyDescent="0.3">
      <c r="L11074" s="25"/>
      <c r="Q11074" s="17"/>
    </row>
    <row r="11075" spans="12:17" x14ac:dyDescent="0.3">
      <c r="L11075" s="25"/>
      <c r="Q11075" s="17"/>
    </row>
    <row r="11076" spans="12:17" x14ac:dyDescent="0.3">
      <c r="L11076" s="25"/>
      <c r="Q11076" s="17"/>
    </row>
    <row r="11077" spans="12:17" x14ac:dyDescent="0.3">
      <c r="L11077" s="25"/>
      <c r="Q11077" s="17"/>
    </row>
    <row r="11078" spans="12:17" x14ac:dyDescent="0.3">
      <c r="L11078" s="25"/>
      <c r="Q11078" s="17"/>
    </row>
    <row r="11079" spans="12:17" x14ac:dyDescent="0.3">
      <c r="L11079" s="25"/>
      <c r="Q11079" s="17"/>
    </row>
    <row r="11080" spans="12:17" x14ac:dyDescent="0.3">
      <c r="L11080" s="25"/>
      <c r="Q11080" s="17"/>
    </row>
    <row r="11081" spans="12:17" x14ac:dyDescent="0.3">
      <c r="L11081" s="25"/>
      <c r="Q11081" s="17"/>
    </row>
    <row r="11082" spans="12:17" x14ac:dyDescent="0.3">
      <c r="L11082" s="25"/>
      <c r="Q11082" s="17"/>
    </row>
    <row r="11083" spans="12:17" x14ac:dyDescent="0.3">
      <c r="L11083" s="25"/>
      <c r="Q11083" s="17"/>
    </row>
    <row r="11084" spans="12:17" x14ac:dyDescent="0.3">
      <c r="L11084" s="25"/>
      <c r="Q11084" s="17"/>
    </row>
    <row r="11085" spans="12:17" x14ac:dyDescent="0.3">
      <c r="L11085" s="25"/>
      <c r="Q11085" s="17"/>
    </row>
    <row r="11086" spans="12:17" x14ac:dyDescent="0.3">
      <c r="L11086" s="25"/>
      <c r="Q11086" s="17"/>
    </row>
    <row r="11087" spans="12:17" x14ac:dyDescent="0.3">
      <c r="L11087" s="25"/>
      <c r="Q11087" s="17"/>
    </row>
    <row r="11088" spans="12:17" x14ac:dyDescent="0.3">
      <c r="L11088" s="25"/>
      <c r="Q11088" s="17"/>
    </row>
    <row r="11089" spans="12:17" x14ac:dyDescent="0.3">
      <c r="L11089" s="25"/>
      <c r="Q11089" s="17"/>
    </row>
    <row r="11090" spans="12:17" x14ac:dyDescent="0.3">
      <c r="L11090" s="25"/>
      <c r="Q11090" s="17"/>
    </row>
    <row r="11091" spans="12:17" x14ac:dyDescent="0.3">
      <c r="L11091" s="25"/>
      <c r="Q11091" s="17"/>
    </row>
    <row r="11092" spans="12:17" x14ac:dyDescent="0.3">
      <c r="L11092" s="25"/>
      <c r="Q11092" s="17"/>
    </row>
    <row r="11093" spans="12:17" x14ac:dyDescent="0.3">
      <c r="L11093" s="25"/>
      <c r="Q11093" s="17"/>
    </row>
    <row r="11094" spans="12:17" x14ac:dyDescent="0.3">
      <c r="L11094" s="25"/>
      <c r="Q11094" s="17"/>
    </row>
    <row r="11095" spans="12:17" x14ac:dyDescent="0.3">
      <c r="L11095" s="25"/>
      <c r="Q11095" s="17"/>
    </row>
    <row r="11096" spans="12:17" x14ac:dyDescent="0.3">
      <c r="L11096" s="25"/>
      <c r="Q11096" s="17"/>
    </row>
    <row r="11097" spans="12:17" x14ac:dyDescent="0.3">
      <c r="L11097" s="25"/>
      <c r="Q11097" s="17"/>
    </row>
    <row r="11098" spans="12:17" x14ac:dyDescent="0.3">
      <c r="L11098" s="25"/>
      <c r="Q11098" s="17"/>
    </row>
    <row r="11099" spans="12:17" x14ac:dyDescent="0.3">
      <c r="L11099" s="25"/>
      <c r="Q11099" s="17"/>
    </row>
    <row r="11100" spans="12:17" x14ac:dyDescent="0.3">
      <c r="L11100" s="25"/>
      <c r="Q11100" s="17"/>
    </row>
    <row r="11101" spans="12:17" x14ac:dyDescent="0.3">
      <c r="L11101" s="25"/>
      <c r="Q11101" s="17"/>
    </row>
    <row r="11102" spans="12:17" x14ac:dyDescent="0.3">
      <c r="L11102" s="25"/>
      <c r="Q11102" s="17"/>
    </row>
    <row r="11103" spans="12:17" x14ac:dyDescent="0.3">
      <c r="L11103" s="25"/>
      <c r="Q11103" s="17"/>
    </row>
    <row r="11104" spans="12:17" x14ac:dyDescent="0.3">
      <c r="L11104" s="25"/>
      <c r="Q11104" s="17"/>
    </row>
    <row r="11105" spans="12:17" x14ac:dyDescent="0.3">
      <c r="L11105" s="25"/>
      <c r="Q11105" s="17"/>
    </row>
    <row r="11106" spans="12:17" x14ac:dyDescent="0.3">
      <c r="L11106" s="25"/>
      <c r="Q11106" s="17"/>
    </row>
    <row r="11107" spans="12:17" x14ac:dyDescent="0.3">
      <c r="L11107" s="25"/>
      <c r="Q11107" s="17"/>
    </row>
    <row r="11108" spans="12:17" x14ac:dyDescent="0.3">
      <c r="L11108" s="25"/>
      <c r="Q11108" s="17"/>
    </row>
    <row r="11109" spans="12:17" x14ac:dyDescent="0.3">
      <c r="L11109" s="25"/>
      <c r="Q11109" s="17"/>
    </row>
    <row r="11110" spans="12:17" x14ac:dyDescent="0.3">
      <c r="L11110" s="25"/>
      <c r="Q11110" s="17"/>
    </row>
    <row r="11111" spans="12:17" x14ac:dyDescent="0.3">
      <c r="L11111" s="25"/>
      <c r="Q11111" s="17"/>
    </row>
    <row r="11112" spans="12:17" x14ac:dyDescent="0.3">
      <c r="L11112" s="25"/>
      <c r="Q11112" s="17"/>
    </row>
    <row r="11113" spans="12:17" x14ac:dyDescent="0.3">
      <c r="L11113" s="25"/>
      <c r="Q11113" s="17"/>
    </row>
    <row r="11114" spans="12:17" x14ac:dyDescent="0.3">
      <c r="L11114" s="25"/>
      <c r="Q11114" s="17"/>
    </row>
    <row r="11115" spans="12:17" x14ac:dyDescent="0.3">
      <c r="L11115" s="25"/>
      <c r="Q11115" s="17"/>
    </row>
    <row r="11116" spans="12:17" x14ac:dyDescent="0.3">
      <c r="L11116" s="25"/>
      <c r="Q11116" s="17"/>
    </row>
    <row r="11117" spans="12:17" x14ac:dyDescent="0.3">
      <c r="L11117" s="25"/>
      <c r="Q11117" s="17"/>
    </row>
    <row r="11118" spans="12:17" x14ac:dyDescent="0.3">
      <c r="L11118" s="25"/>
      <c r="Q11118" s="17"/>
    </row>
    <row r="11119" spans="12:17" x14ac:dyDescent="0.3">
      <c r="L11119" s="25"/>
      <c r="Q11119" s="17"/>
    </row>
    <row r="11120" spans="12:17" x14ac:dyDescent="0.3">
      <c r="L11120" s="25"/>
      <c r="Q11120" s="17"/>
    </row>
    <row r="11121" spans="12:17" x14ac:dyDescent="0.3">
      <c r="L11121" s="25"/>
      <c r="Q11121" s="17"/>
    </row>
    <row r="11122" spans="12:17" x14ac:dyDescent="0.3">
      <c r="L11122" s="25"/>
      <c r="Q11122" s="17"/>
    </row>
    <row r="11123" spans="12:17" x14ac:dyDescent="0.3">
      <c r="L11123" s="25"/>
      <c r="Q11123" s="17"/>
    </row>
    <row r="11124" spans="12:17" x14ac:dyDescent="0.3">
      <c r="L11124" s="25"/>
      <c r="Q11124" s="17"/>
    </row>
    <row r="11125" spans="12:17" x14ac:dyDescent="0.3">
      <c r="L11125" s="25"/>
      <c r="Q11125" s="17"/>
    </row>
    <row r="11126" spans="12:17" x14ac:dyDescent="0.3">
      <c r="L11126" s="25"/>
      <c r="Q11126" s="17"/>
    </row>
    <row r="11127" spans="12:17" x14ac:dyDescent="0.3">
      <c r="L11127" s="25"/>
      <c r="Q11127" s="17"/>
    </row>
    <row r="11128" spans="12:17" x14ac:dyDescent="0.3">
      <c r="L11128" s="25"/>
      <c r="Q11128" s="17"/>
    </row>
    <row r="11129" spans="12:17" x14ac:dyDescent="0.3">
      <c r="L11129" s="25"/>
      <c r="Q11129" s="17"/>
    </row>
    <row r="11130" spans="12:17" x14ac:dyDescent="0.3">
      <c r="L11130" s="25"/>
      <c r="Q11130" s="17"/>
    </row>
    <row r="11131" spans="12:17" x14ac:dyDescent="0.3">
      <c r="L11131" s="25"/>
      <c r="Q11131" s="17"/>
    </row>
    <row r="11132" spans="12:17" x14ac:dyDescent="0.3">
      <c r="L11132" s="25"/>
      <c r="Q11132" s="17"/>
    </row>
    <row r="11133" spans="12:17" x14ac:dyDescent="0.3">
      <c r="L11133" s="25"/>
      <c r="Q11133" s="17"/>
    </row>
    <row r="11134" spans="12:17" x14ac:dyDescent="0.3">
      <c r="L11134" s="25"/>
      <c r="Q11134" s="17"/>
    </row>
    <row r="11135" spans="12:17" x14ac:dyDescent="0.3">
      <c r="L11135" s="25"/>
      <c r="Q11135" s="17"/>
    </row>
    <row r="11136" spans="12:17" x14ac:dyDescent="0.3">
      <c r="L11136" s="25"/>
      <c r="Q11136" s="17"/>
    </row>
    <row r="11137" spans="12:17" x14ac:dyDescent="0.3">
      <c r="L11137" s="25"/>
      <c r="Q11137" s="17"/>
    </row>
    <row r="11138" spans="12:17" x14ac:dyDescent="0.3">
      <c r="L11138" s="25"/>
      <c r="Q11138" s="17"/>
    </row>
    <row r="11139" spans="12:17" x14ac:dyDescent="0.3">
      <c r="L11139" s="25"/>
      <c r="Q11139" s="17"/>
    </row>
    <row r="11140" spans="12:17" x14ac:dyDescent="0.3">
      <c r="L11140" s="25"/>
      <c r="Q11140" s="17"/>
    </row>
    <row r="11141" spans="12:17" x14ac:dyDescent="0.3">
      <c r="L11141" s="25"/>
      <c r="Q11141" s="17"/>
    </row>
    <row r="11142" spans="12:17" x14ac:dyDescent="0.3">
      <c r="L11142" s="25"/>
      <c r="Q11142" s="17"/>
    </row>
    <row r="11143" spans="12:17" x14ac:dyDescent="0.3">
      <c r="L11143" s="25"/>
      <c r="Q11143" s="17"/>
    </row>
    <row r="11144" spans="12:17" x14ac:dyDescent="0.3">
      <c r="L11144" s="25"/>
      <c r="Q11144" s="17"/>
    </row>
    <row r="11145" spans="12:17" x14ac:dyDescent="0.3">
      <c r="L11145" s="25"/>
      <c r="Q11145" s="17"/>
    </row>
    <row r="11146" spans="12:17" x14ac:dyDescent="0.3">
      <c r="L11146" s="25"/>
      <c r="Q11146" s="17"/>
    </row>
    <row r="11147" spans="12:17" x14ac:dyDescent="0.3">
      <c r="L11147" s="25"/>
      <c r="Q11147" s="17"/>
    </row>
    <row r="11148" spans="12:17" x14ac:dyDescent="0.3">
      <c r="L11148" s="25"/>
      <c r="Q11148" s="17"/>
    </row>
    <row r="11149" spans="12:17" x14ac:dyDescent="0.3">
      <c r="L11149" s="25"/>
      <c r="Q11149" s="17"/>
    </row>
    <row r="11150" spans="12:17" x14ac:dyDescent="0.3">
      <c r="L11150" s="25"/>
      <c r="Q11150" s="17"/>
    </row>
    <row r="11151" spans="12:17" x14ac:dyDescent="0.3">
      <c r="L11151" s="25"/>
      <c r="Q11151" s="17"/>
    </row>
    <row r="11152" spans="12:17" x14ac:dyDescent="0.3">
      <c r="L11152" s="25"/>
      <c r="Q11152" s="17"/>
    </row>
    <row r="11153" spans="12:17" x14ac:dyDescent="0.3">
      <c r="L11153" s="25"/>
      <c r="Q11153" s="17"/>
    </row>
    <row r="11154" spans="12:17" x14ac:dyDescent="0.3">
      <c r="L11154" s="25"/>
      <c r="Q11154" s="17"/>
    </row>
    <row r="11155" spans="12:17" x14ac:dyDescent="0.3">
      <c r="L11155" s="25"/>
      <c r="Q11155" s="17"/>
    </row>
    <row r="11156" spans="12:17" x14ac:dyDescent="0.3">
      <c r="L11156" s="25"/>
      <c r="Q11156" s="17"/>
    </row>
    <row r="11157" spans="12:17" x14ac:dyDescent="0.3">
      <c r="L11157" s="25"/>
      <c r="Q11157" s="17"/>
    </row>
    <row r="11158" spans="12:17" x14ac:dyDescent="0.3">
      <c r="L11158" s="25"/>
      <c r="Q11158" s="17"/>
    </row>
    <row r="11159" spans="12:17" x14ac:dyDescent="0.3">
      <c r="L11159" s="25"/>
      <c r="Q11159" s="17"/>
    </row>
    <row r="11160" spans="12:17" x14ac:dyDescent="0.3">
      <c r="L11160" s="25"/>
      <c r="Q11160" s="17"/>
    </row>
    <row r="11161" spans="12:17" x14ac:dyDescent="0.3">
      <c r="L11161" s="25"/>
      <c r="Q11161" s="17"/>
    </row>
    <row r="11162" spans="12:17" x14ac:dyDescent="0.3">
      <c r="L11162" s="25"/>
      <c r="Q11162" s="17"/>
    </row>
    <row r="11163" spans="12:17" x14ac:dyDescent="0.3">
      <c r="L11163" s="25"/>
      <c r="Q11163" s="17"/>
    </row>
    <row r="11164" spans="12:17" x14ac:dyDescent="0.3">
      <c r="L11164" s="25"/>
      <c r="Q11164" s="17"/>
    </row>
    <row r="11165" spans="12:17" x14ac:dyDescent="0.3">
      <c r="L11165" s="25"/>
      <c r="Q11165" s="17"/>
    </row>
    <row r="11166" spans="12:17" x14ac:dyDescent="0.3">
      <c r="L11166" s="25"/>
      <c r="Q11166" s="17"/>
    </row>
    <row r="11167" spans="12:17" x14ac:dyDescent="0.3">
      <c r="L11167" s="25"/>
      <c r="Q11167" s="17"/>
    </row>
    <row r="11168" spans="12:17" x14ac:dyDescent="0.3">
      <c r="L11168" s="25"/>
      <c r="Q11168" s="17"/>
    </row>
    <row r="11169" spans="12:17" x14ac:dyDescent="0.3">
      <c r="L11169" s="25"/>
      <c r="Q11169" s="17"/>
    </row>
    <row r="11170" spans="12:17" x14ac:dyDescent="0.3">
      <c r="L11170" s="25"/>
      <c r="Q11170" s="17"/>
    </row>
    <row r="11171" spans="12:17" x14ac:dyDescent="0.3">
      <c r="L11171" s="25"/>
      <c r="Q11171" s="17"/>
    </row>
    <row r="11172" spans="12:17" x14ac:dyDescent="0.3">
      <c r="L11172" s="25"/>
      <c r="Q11172" s="17"/>
    </row>
    <row r="11173" spans="12:17" x14ac:dyDescent="0.3">
      <c r="L11173" s="25"/>
      <c r="Q11173" s="17"/>
    </row>
    <row r="11174" spans="12:17" x14ac:dyDescent="0.3">
      <c r="L11174" s="25"/>
      <c r="Q11174" s="17"/>
    </row>
    <row r="11175" spans="12:17" x14ac:dyDescent="0.3">
      <c r="L11175" s="25"/>
      <c r="Q11175" s="17"/>
    </row>
    <row r="11176" spans="12:17" x14ac:dyDescent="0.3">
      <c r="L11176" s="25"/>
      <c r="Q11176" s="17"/>
    </row>
    <row r="11177" spans="12:17" x14ac:dyDescent="0.3">
      <c r="L11177" s="25"/>
      <c r="Q11177" s="17"/>
    </row>
    <row r="11178" spans="12:17" x14ac:dyDescent="0.3">
      <c r="L11178" s="25"/>
      <c r="Q11178" s="17"/>
    </row>
    <row r="11179" spans="12:17" x14ac:dyDescent="0.3">
      <c r="L11179" s="25"/>
      <c r="Q11179" s="17"/>
    </row>
    <row r="11180" spans="12:17" x14ac:dyDescent="0.3">
      <c r="L11180" s="25"/>
      <c r="Q11180" s="17"/>
    </row>
    <row r="11181" spans="12:17" x14ac:dyDescent="0.3">
      <c r="L11181" s="25"/>
      <c r="Q11181" s="17"/>
    </row>
    <row r="11182" spans="12:17" x14ac:dyDescent="0.3">
      <c r="L11182" s="25"/>
      <c r="Q11182" s="17"/>
    </row>
    <row r="11183" spans="12:17" x14ac:dyDescent="0.3">
      <c r="L11183" s="25"/>
      <c r="Q11183" s="17"/>
    </row>
    <row r="11184" spans="12:17" x14ac:dyDescent="0.3">
      <c r="L11184" s="25"/>
      <c r="Q11184" s="17"/>
    </row>
    <row r="11185" spans="12:17" x14ac:dyDescent="0.3">
      <c r="L11185" s="25"/>
      <c r="Q11185" s="17"/>
    </row>
    <row r="11186" spans="12:17" x14ac:dyDescent="0.3">
      <c r="L11186" s="25"/>
      <c r="Q11186" s="17"/>
    </row>
    <row r="11187" spans="12:17" x14ac:dyDescent="0.3">
      <c r="L11187" s="25"/>
      <c r="Q11187" s="17"/>
    </row>
    <row r="11188" spans="12:17" x14ac:dyDescent="0.3">
      <c r="L11188" s="25"/>
      <c r="Q11188" s="17"/>
    </row>
    <row r="11189" spans="12:17" x14ac:dyDescent="0.3">
      <c r="L11189" s="25"/>
      <c r="Q11189" s="17"/>
    </row>
    <row r="11190" spans="12:17" x14ac:dyDescent="0.3">
      <c r="L11190" s="25"/>
      <c r="Q11190" s="17"/>
    </row>
    <row r="11191" spans="12:17" x14ac:dyDescent="0.3">
      <c r="L11191" s="25"/>
      <c r="Q11191" s="17"/>
    </row>
    <row r="11192" spans="12:17" x14ac:dyDescent="0.3">
      <c r="L11192" s="25"/>
      <c r="Q11192" s="17"/>
    </row>
    <row r="11193" spans="12:17" x14ac:dyDescent="0.3">
      <c r="L11193" s="25"/>
      <c r="Q11193" s="17"/>
    </row>
    <row r="11194" spans="12:17" x14ac:dyDescent="0.3">
      <c r="L11194" s="25"/>
      <c r="Q11194" s="17"/>
    </row>
    <row r="11195" spans="12:17" x14ac:dyDescent="0.3">
      <c r="L11195" s="25"/>
      <c r="Q11195" s="17"/>
    </row>
    <row r="11196" spans="12:17" x14ac:dyDescent="0.3">
      <c r="L11196" s="25"/>
      <c r="Q11196" s="17"/>
    </row>
    <row r="11197" spans="12:17" x14ac:dyDescent="0.3">
      <c r="L11197" s="25"/>
      <c r="Q11197" s="17"/>
    </row>
    <row r="11198" spans="12:17" x14ac:dyDescent="0.3">
      <c r="L11198" s="25"/>
      <c r="Q11198" s="17"/>
    </row>
    <row r="11199" spans="12:17" x14ac:dyDescent="0.3">
      <c r="L11199" s="25"/>
      <c r="Q11199" s="17"/>
    </row>
    <row r="11200" spans="12:17" x14ac:dyDescent="0.3">
      <c r="L11200" s="25"/>
      <c r="Q11200" s="17"/>
    </row>
    <row r="11201" spans="12:17" x14ac:dyDescent="0.3">
      <c r="L11201" s="25"/>
      <c r="Q11201" s="17"/>
    </row>
    <row r="11202" spans="12:17" x14ac:dyDescent="0.3">
      <c r="L11202" s="25"/>
      <c r="Q11202" s="17"/>
    </row>
    <row r="11203" spans="12:17" x14ac:dyDescent="0.3">
      <c r="L11203" s="25"/>
      <c r="Q11203" s="17"/>
    </row>
    <row r="11204" spans="12:17" x14ac:dyDescent="0.3">
      <c r="L11204" s="25"/>
      <c r="Q11204" s="17"/>
    </row>
    <row r="11205" spans="12:17" x14ac:dyDescent="0.3">
      <c r="L11205" s="25"/>
      <c r="Q11205" s="17"/>
    </row>
    <row r="11206" spans="12:17" x14ac:dyDescent="0.3">
      <c r="L11206" s="25"/>
      <c r="Q11206" s="17"/>
    </row>
    <row r="11207" spans="12:17" x14ac:dyDescent="0.3">
      <c r="L11207" s="25"/>
      <c r="Q11207" s="17"/>
    </row>
    <row r="11208" spans="12:17" x14ac:dyDescent="0.3">
      <c r="L11208" s="25"/>
      <c r="Q11208" s="17"/>
    </row>
    <row r="11209" spans="12:17" x14ac:dyDescent="0.3">
      <c r="L11209" s="25"/>
      <c r="Q11209" s="17"/>
    </row>
    <row r="11210" spans="12:17" x14ac:dyDescent="0.3">
      <c r="L11210" s="25"/>
      <c r="Q11210" s="17"/>
    </row>
    <row r="11211" spans="12:17" x14ac:dyDescent="0.3">
      <c r="L11211" s="25"/>
      <c r="Q11211" s="17"/>
    </row>
    <row r="11212" spans="12:17" x14ac:dyDescent="0.3">
      <c r="L11212" s="25"/>
      <c r="Q11212" s="17"/>
    </row>
    <row r="11213" spans="12:17" x14ac:dyDescent="0.3">
      <c r="L11213" s="25"/>
      <c r="Q11213" s="17"/>
    </row>
    <row r="11214" spans="12:17" x14ac:dyDescent="0.3">
      <c r="L11214" s="25"/>
      <c r="Q11214" s="17"/>
    </row>
    <row r="11215" spans="12:17" x14ac:dyDescent="0.3">
      <c r="L11215" s="25"/>
      <c r="Q11215" s="17"/>
    </row>
    <row r="11216" spans="12:17" x14ac:dyDescent="0.3">
      <c r="L11216" s="25"/>
      <c r="Q11216" s="17"/>
    </row>
    <row r="11217" spans="12:17" x14ac:dyDescent="0.3">
      <c r="L11217" s="25"/>
      <c r="Q11217" s="17"/>
    </row>
    <row r="11218" spans="12:17" x14ac:dyDescent="0.3">
      <c r="L11218" s="25"/>
      <c r="Q11218" s="17"/>
    </row>
    <row r="11219" spans="12:17" x14ac:dyDescent="0.3">
      <c r="L11219" s="25"/>
      <c r="Q11219" s="17"/>
    </row>
    <row r="11220" spans="12:17" x14ac:dyDescent="0.3">
      <c r="L11220" s="25"/>
      <c r="Q11220" s="17"/>
    </row>
    <row r="11221" spans="12:17" x14ac:dyDescent="0.3">
      <c r="L11221" s="25"/>
      <c r="Q11221" s="17"/>
    </row>
    <row r="11222" spans="12:17" x14ac:dyDescent="0.3">
      <c r="L11222" s="25"/>
      <c r="Q11222" s="17"/>
    </row>
    <row r="11223" spans="12:17" x14ac:dyDescent="0.3">
      <c r="L11223" s="25"/>
      <c r="Q11223" s="17"/>
    </row>
    <row r="11224" spans="12:17" x14ac:dyDescent="0.3">
      <c r="L11224" s="25"/>
      <c r="Q11224" s="17"/>
    </row>
    <row r="11225" spans="12:17" x14ac:dyDescent="0.3">
      <c r="L11225" s="25"/>
      <c r="Q11225" s="17"/>
    </row>
    <row r="11226" spans="12:17" x14ac:dyDescent="0.3">
      <c r="L11226" s="25"/>
      <c r="Q11226" s="17"/>
    </row>
    <row r="11227" spans="12:17" x14ac:dyDescent="0.3">
      <c r="L11227" s="25"/>
      <c r="Q11227" s="17"/>
    </row>
    <row r="11228" spans="12:17" x14ac:dyDescent="0.3">
      <c r="L11228" s="25"/>
      <c r="Q11228" s="17"/>
    </row>
    <row r="11229" spans="12:17" x14ac:dyDescent="0.3">
      <c r="L11229" s="25"/>
      <c r="Q11229" s="17"/>
    </row>
    <row r="11230" spans="12:17" x14ac:dyDescent="0.3">
      <c r="L11230" s="25"/>
      <c r="Q11230" s="17"/>
    </row>
    <row r="11231" spans="12:17" x14ac:dyDescent="0.3">
      <c r="L11231" s="25"/>
      <c r="Q11231" s="17"/>
    </row>
    <row r="11232" spans="12:17" x14ac:dyDescent="0.3">
      <c r="L11232" s="25"/>
      <c r="Q11232" s="17"/>
    </row>
    <row r="11233" spans="12:17" x14ac:dyDescent="0.3">
      <c r="L11233" s="25"/>
      <c r="Q11233" s="17"/>
    </row>
    <row r="11234" spans="12:17" x14ac:dyDescent="0.3">
      <c r="L11234" s="25"/>
      <c r="Q11234" s="17"/>
    </row>
    <row r="11235" spans="12:17" x14ac:dyDescent="0.3">
      <c r="L11235" s="25"/>
      <c r="Q11235" s="17"/>
    </row>
    <row r="11236" spans="12:17" x14ac:dyDescent="0.3">
      <c r="L11236" s="25"/>
      <c r="Q11236" s="17"/>
    </row>
    <row r="11237" spans="12:17" x14ac:dyDescent="0.3">
      <c r="L11237" s="25"/>
      <c r="Q11237" s="17"/>
    </row>
    <row r="11238" spans="12:17" x14ac:dyDescent="0.3">
      <c r="L11238" s="25"/>
      <c r="Q11238" s="17"/>
    </row>
    <row r="11239" spans="12:17" x14ac:dyDescent="0.3">
      <c r="L11239" s="25"/>
      <c r="Q11239" s="17"/>
    </row>
    <row r="11240" spans="12:17" x14ac:dyDescent="0.3">
      <c r="L11240" s="25"/>
      <c r="Q11240" s="17"/>
    </row>
    <row r="11241" spans="12:17" x14ac:dyDescent="0.3">
      <c r="L11241" s="25"/>
      <c r="Q11241" s="17"/>
    </row>
    <row r="11242" spans="12:17" x14ac:dyDescent="0.3">
      <c r="L11242" s="25"/>
      <c r="Q11242" s="17"/>
    </row>
    <row r="11243" spans="12:17" x14ac:dyDescent="0.3">
      <c r="L11243" s="25"/>
      <c r="Q11243" s="17"/>
    </row>
    <row r="11244" spans="12:17" x14ac:dyDescent="0.3">
      <c r="L11244" s="25"/>
      <c r="Q11244" s="17"/>
    </row>
    <row r="11245" spans="12:17" x14ac:dyDescent="0.3">
      <c r="L11245" s="25"/>
      <c r="Q11245" s="17"/>
    </row>
    <row r="11246" spans="12:17" x14ac:dyDescent="0.3">
      <c r="L11246" s="25"/>
      <c r="Q11246" s="17"/>
    </row>
    <row r="11247" spans="12:17" x14ac:dyDescent="0.3">
      <c r="L11247" s="25"/>
      <c r="Q11247" s="17"/>
    </row>
    <row r="11248" spans="12:17" x14ac:dyDescent="0.3">
      <c r="L11248" s="25"/>
      <c r="Q11248" s="17"/>
    </row>
    <row r="11249" spans="12:17" x14ac:dyDescent="0.3">
      <c r="L11249" s="25"/>
      <c r="Q11249" s="17"/>
    </row>
    <row r="11250" spans="12:17" x14ac:dyDescent="0.3">
      <c r="L11250" s="25"/>
      <c r="Q11250" s="17"/>
    </row>
    <row r="11251" spans="12:17" x14ac:dyDescent="0.3">
      <c r="L11251" s="25"/>
      <c r="Q11251" s="17"/>
    </row>
    <row r="11252" spans="12:17" x14ac:dyDescent="0.3">
      <c r="L11252" s="25"/>
      <c r="Q11252" s="17"/>
    </row>
    <row r="11253" spans="12:17" x14ac:dyDescent="0.3">
      <c r="L11253" s="25"/>
      <c r="Q11253" s="17"/>
    </row>
    <row r="11254" spans="12:17" x14ac:dyDescent="0.3">
      <c r="L11254" s="25"/>
      <c r="Q11254" s="17"/>
    </row>
    <row r="11255" spans="12:17" x14ac:dyDescent="0.3">
      <c r="L11255" s="25"/>
      <c r="Q11255" s="17"/>
    </row>
    <row r="11256" spans="12:17" x14ac:dyDescent="0.3">
      <c r="L11256" s="25"/>
      <c r="Q11256" s="17"/>
    </row>
    <row r="11257" spans="12:17" x14ac:dyDescent="0.3">
      <c r="L11257" s="25"/>
      <c r="Q11257" s="17"/>
    </row>
    <row r="11258" spans="12:17" x14ac:dyDescent="0.3">
      <c r="L11258" s="25"/>
      <c r="Q11258" s="17"/>
    </row>
    <row r="11259" spans="12:17" x14ac:dyDescent="0.3">
      <c r="L11259" s="25"/>
      <c r="Q11259" s="17"/>
    </row>
    <row r="11260" spans="12:17" x14ac:dyDescent="0.3">
      <c r="L11260" s="25"/>
      <c r="Q11260" s="17"/>
    </row>
    <row r="11261" spans="12:17" x14ac:dyDescent="0.3">
      <c r="L11261" s="25"/>
      <c r="Q11261" s="17"/>
    </row>
    <row r="11262" spans="12:17" x14ac:dyDescent="0.3">
      <c r="L11262" s="25"/>
      <c r="Q11262" s="17"/>
    </row>
    <row r="11263" spans="12:17" x14ac:dyDescent="0.3">
      <c r="L11263" s="25"/>
      <c r="Q11263" s="17"/>
    </row>
    <row r="11264" spans="12:17" x14ac:dyDescent="0.3">
      <c r="L11264" s="25"/>
      <c r="Q11264" s="17"/>
    </row>
    <row r="11265" spans="12:17" x14ac:dyDescent="0.3">
      <c r="L11265" s="25"/>
      <c r="Q11265" s="17"/>
    </row>
    <row r="11266" spans="12:17" x14ac:dyDescent="0.3">
      <c r="L11266" s="25"/>
      <c r="Q11266" s="17"/>
    </row>
    <row r="11267" spans="12:17" x14ac:dyDescent="0.3">
      <c r="L11267" s="25"/>
      <c r="Q11267" s="17"/>
    </row>
    <row r="11268" spans="12:17" x14ac:dyDescent="0.3">
      <c r="L11268" s="25"/>
      <c r="Q11268" s="17"/>
    </row>
    <row r="11269" spans="12:17" x14ac:dyDescent="0.3">
      <c r="L11269" s="25"/>
      <c r="Q11269" s="17"/>
    </row>
    <row r="11270" spans="12:17" x14ac:dyDescent="0.3">
      <c r="L11270" s="25"/>
      <c r="Q11270" s="17"/>
    </row>
    <row r="11271" spans="12:17" x14ac:dyDescent="0.3">
      <c r="L11271" s="25"/>
      <c r="Q11271" s="17"/>
    </row>
    <row r="11272" spans="12:17" x14ac:dyDescent="0.3">
      <c r="L11272" s="25"/>
      <c r="Q11272" s="17"/>
    </row>
    <row r="11273" spans="12:17" x14ac:dyDescent="0.3">
      <c r="L11273" s="25"/>
      <c r="Q11273" s="17"/>
    </row>
    <row r="11274" spans="12:17" x14ac:dyDescent="0.3">
      <c r="L11274" s="25"/>
      <c r="Q11274" s="17"/>
    </row>
    <row r="11275" spans="12:17" x14ac:dyDescent="0.3">
      <c r="L11275" s="25"/>
      <c r="Q11275" s="17"/>
    </row>
    <row r="11276" spans="12:17" x14ac:dyDescent="0.3">
      <c r="L11276" s="25"/>
      <c r="Q11276" s="17"/>
    </row>
    <row r="11277" spans="12:17" x14ac:dyDescent="0.3">
      <c r="L11277" s="25"/>
      <c r="Q11277" s="17"/>
    </row>
    <row r="11278" spans="12:17" x14ac:dyDescent="0.3">
      <c r="L11278" s="25"/>
      <c r="Q11278" s="17"/>
    </row>
    <row r="11279" spans="12:17" x14ac:dyDescent="0.3">
      <c r="L11279" s="25"/>
      <c r="Q11279" s="17"/>
    </row>
    <row r="11280" spans="12:17" x14ac:dyDescent="0.3">
      <c r="L11280" s="25"/>
      <c r="Q11280" s="17"/>
    </row>
    <row r="11281" spans="12:17" x14ac:dyDescent="0.3">
      <c r="L11281" s="25"/>
      <c r="Q11281" s="17"/>
    </row>
    <row r="11282" spans="12:17" x14ac:dyDescent="0.3">
      <c r="L11282" s="25"/>
      <c r="Q11282" s="17"/>
    </row>
    <row r="11283" spans="12:17" x14ac:dyDescent="0.3">
      <c r="L11283" s="25"/>
      <c r="Q11283" s="17"/>
    </row>
    <row r="11284" spans="12:17" x14ac:dyDescent="0.3">
      <c r="L11284" s="25"/>
      <c r="Q11284" s="17"/>
    </row>
    <row r="11285" spans="12:17" x14ac:dyDescent="0.3">
      <c r="L11285" s="25"/>
      <c r="Q11285" s="17"/>
    </row>
    <row r="11286" spans="12:17" x14ac:dyDescent="0.3">
      <c r="L11286" s="25"/>
      <c r="Q11286" s="17"/>
    </row>
    <row r="11287" spans="12:17" x14ac:dyDescent="0.3">
      <c r="L11287" s="25"/>
      <c r="Q11287" s="17"/>
    </row>
    <row r="11288" spans="12:17" x14ac:dyDescent="0.3">
      <c r="L11288" s="25"/>
      <c r="Q11288" s="17"/>
    </row>
    <row r="11289" spans="12:17" x14ac:dyDescent="0.3">
      <c r="L11289" s="25"/>
      <c r="Q11289" s="17"/>
    </row>
    <row r="11290" spans="12:17" x14ac:dyDescent="0.3">
      <c r="L11290" s="25"/>
      <c r="Q11290" s="17"/>
    </row>
    <row r="11291" spans="12:17" x14ac:dyDescent="0.3">
      <c r="L11291" s="25"/>
      <c r="Q11291" s="17"/>
    </row>
    <row r="11292" spans="12:17" x14ac:dyDescent="0.3">
      <c r="L11292" s="25"/>
      <c r="Q11292" s="17"/>
    </row>
    <row r="11293" spans="12:17" x14ac:dyDescent="0.3">
      <c r="L11293" s="25"/>
      <c r="Q11293" s="17"/>
    </row>
    <row r="11294" spans="12:17" x14ac:dyDescent="0.3">
      <c r="L11294" s="25"/>
      <c r="Q11294" s="17"/>
    </row>
    <row r="11295" spans="12:17" x14ac:dyDescent="0.3">
      <c r="L11295" s="25"/>
      <c r="Q11295" s="17"/>
    </row>
    <row r="11296" spans="12:17" x14ac:dyDescent="0.3">
      <c r="L11296" s="25"/>
      <c r="Q11296" s="17"/>
    </row>
    <row r="11297" spans="12:17" x14ac:dyDescent="0.3">
      <c r="L11297" s="25"/>
      <c r="Q11297" s="17"/>
    </row>
    <row r="11298" spans="12:17" x14ac:dyDescent="0.3">
      <c r="L11298" s="25"/>
      <c r="Q11298" s="17"/>
    </row>
    <row r="11299" spans="12:17" x14ac:dyDescent="0.3">
      <c r="L11299" s="25"/>
      <c r="Q11299" s="17"/>
    </row>
    <row r="11300" spans="12:17" x14ac:dyDescent="0.3">
      <c r="L11300" s="25"/>
      <c r="Q11300" s="17"/>
    </row>
    <row r="11301" spans="12:17" x14ac:dyDescent="0.3">
      <c r="L11301" s="25"/>
      <c r="Q11301" s="17"/>
    </row>
    <row r="11302" spans="12:17" x14ac:dyDescent="0.3">
      <c r="L11302" s="25"/>
      <c r="Q11302" s="17"/>
    </row>
    <row r="11303" spans="12:17" x14ac:dyDescent="0.3">
      <c r="L11303" s="25"/>
      <c r="Q11303" s="17"/>
    </row>
    <row r="11304" spans="12:17" x14ac:dyDescent="0.3">
      <c r="L11304" s="25"/>
      <c r="Q11304" s="17"/>
    </row>
    <row r="11305" spans="12:17" x14ac:dyDescent="0.3">
      <c r="L11305" s="25"/>
      <c r="Q11305" s="17"/>
    </row>
    <row r="11306" spans="12:17" x14ac:dyDescent="0.3">
      <c r="L11306" s="25"/>
      <c r="Q11306" s="17"/>
    </row>
    <row r="11307" spans="12:17" x14ac:dyDescent="0.3">
      <c r="L11307" s="25"/>
      <c r="Q11307" s="17"/>
    </row>
    <row r="11308" spans="12:17" x14ac:dyDescent="0.3">
      <c r="L11308" s="25"/>
      <c r="Q11308" s="17"/>
    </row>
    <row r="11309" spans="12:17" x14ac:dyDescent="0.3">
      <c r="L11309" s="25"/>
      <c r="Q11309" s="17"/>
    </row>
    <row r="11310" spans="12:17" x14ac:dyDescent="0.3">
      <c r="L11310" s="25"/>
      <c r="Q11310" s="17"/>
    </row>
    <row r="11311" spans="12:17" x14ac:dyDescent="0.3">
      <c r="L11311" s="25"/>
      <c r="Q11311" s="17"/>
    </row>
    <row r="11312" spans="12:17" x14ac:dyDescent="0.3">
      <c r="L11312" s="25"/>
      <c r="Q11312" s="17"/>
    </row>
    <row r="11313" spans="12:17" x14ac:dyDescent="0.3">
      <c r="L11313" s="25"/>
      <c r="Q11313" s="17"/>
    </row>
    <row r="11314" spans="12:17" x14ac:dyDescent="0.3">
      <c r="L11314" s="25"/>
      <c r="Q11314" s="17"/>
    </row>
    <row r="11315" spans="12:17" x14ac:dyDescent="0.3">
      <c r="L11315" s="25"/>
      <c r="Q11315" s="17"/>
    </row>
    <row r="11316" spans="12:17" x14ac:dyDescent="0.3">
      <c r="L11316" s="25"/>
      <c r="Q11316" s="17"/>
    </row>
    <row r="11317" spans="12:17" x14ac:dyDescent="0.3">
      <c r="L11317" s="25"/>
      <c r="Q11317" s="17"/>
    </row>
    <row r="11318" spans="12:17" x14ac:dyDescent="0.3">
      <c r="L11318" s="25"/>
      <c r="Q11318" s="17"/>
    </row>
    <row r="11319" spans="12:17" x14ac:dyDescent="0.3">
      <c r="L11319" s="25"/>
      <c r="Q11319" s="17"/>
    </row>
    <row r="11320" spans="12:17" x14ac:dyDescent="0.3">
      <c r="L11320" s="25"/>
      <c r="Q11320" s="17"/>
    </row>
    <row r="11321" spans="12:17" x14ac:dyDescent="0.3">
      <c r="L11321" s="25"/>
      <c r="Q11321" s="17"/>
    </row>
    <row r="11322" spans="12:17" x14ac:dyDescent="0.3">
      <c r="L11322" s="25"/>
      <c r="Q11322" s="17"/>
    </row>
    <row r="11323" spans="12:17" x14ac:dyDescent="0.3">
      <c r="L11323" s="25"/>
      <c r="Q11323" s="17"/>
    </row>
    <row r="11324" spans="12:17" x14ac:dyDescent="0.3">
      <c r="L11324" s="25"/>
      <c r="Q11324" s="17"/>
    </row>
    <row r="11325" spans="12:17" x14ac:dyDescent="0.3">
      <c r="L11325" s="25"/>
      <c r="Q11325" s="17"/>
    </row>
    <row r="11326" spans="12:17" x14ac:dyDescent="0.3">
      <c r="L11326" s="25"/>
      <c r="Q11326" s="17"/>
    </row>
    <row r="11327" spans="12:17" x14ac:dyDescent="0.3">
      <c r="L11327" s="25"/>
      <c r="Q11327" s="17"/>
    </row>
    <row r="11328" spans="12:17" x14ac:dyDescent="0.3">
      <c r="L11328" s="25"/>
      <c r="Q11328" s="17"/>
    </row>
    <row r="11329" spans="12:17" x14ac:dyDescent="0.3">
      <c r="L11329" s="25"/>
      <c r="Q11329" s="17"/>
    </row>
    <row r="11330" spans="12:17" x14ac:dyDescent="0.3">
      <c r="L11330" s="25"/>
      <c r="Q11330" s="17"/>
    </row>
    <row r="11331" spans="12:17" x14ac:dyDescent="0.3">
      <c r="L11331" s="25"/>
      <c r="Q11331" s="17"/>
    </row>
    <row r="11332" spans="12:17" x14ac:dyDescent="0.3">
      <c r="L11332" s="25"/>
      <c r="Q11332" s="17"/>
    </row>
    <row r="11333" spans="12:17" x14ac:dyDescent="0.3">
      <c r="L11333" s="25"/>
      <c r="Q11333" s="17"/>
    </row>
    <row r="11334" spans="12:17" x14ac:dyDescent="0.3">
      <c r="L11334" s="25"/>
      <c r="Q11334" s="17"/>
    </row>
    <row r="11335" spans="12:17" x14ac:dyDescent="0.3">
      <c r="L11335" s="25"/>
      <c r="Q11335" s="17"/>
    </row>
    <row r="11336" spans="12:17" x14ac:dyDescent="0.3">
      <c r="L11336" s="25"/>
      <c r="Q11336" s="17"/>
    </row>
    <row r="11337" spans="12:17" x14ac:dyDescent="0.3">
      <c r="L11337" s="25"/>
      <c r="Q11337" s="17"/>
    </row>
    <row r="11338" spans="12:17" x14ac:dyDescent="0.3">
      <c r="L11338" s="25"/>
      <c r="Q11338" s="17"/>
    </row>
    <row r="11339" spans="12:17" x14ac:dyDescent="0.3">
      <c r="L11339" s="25"/>
      <c r="Q11339" s="17"/>
    </row>
    <row r="11340" spans="12:17" x14ac:dyDescent="0.3">
      <c r="L11340" s="25"/>
      <c r="Q11340" s="17"/>
    </row>
    <row r="11341" spans="12:17" x14ac:dyDescent="0.3">
      <c r="L11341" s="25"/>
      <c r="Q11341" s="17"/>
    </row>
    <row r="11342" spans="12:17" x14ac:dyDescent="0.3">
      <c r="L11342" s="25"/>
      <c r="Q11342" s="17"/>
    </row>
    <row r="11343" spans="12:17" x14ac:dyDescent="0.3">
      <c r="L11343" s="25"/>
      <c r="Q11343" s="17"/>
    </row>
    <row r="11344" spans="12:17" x14ac:dyDescent="0.3">
      <c r="L11344" s="25"/>
      <c r="Q11344" s="17"/>
    </row>
    <row r="11345" spans="12:17" x14ac:dyDescent="0.3">
      <c r="L11345" s="25"/>
      <c r="Q11345" s="17"/>
    </row>
    <row r="11346" spans="12:17" x14ac:dyDescent="0.3">
      <c r="L11346" s="25"/>
      <c r="Q11346" s="17"/>
    </row>
    <row r="11347" spans="12:17" x14ac:dyDescent="0.3">
      <c r="L11347" s="25"/>
      <c r="Q11347" s="17"/>
    </row>
    <row r="11348" spans="12:17" x14ac:dyDescent="0.3">
      <c r="L11348" s="25"/>
      <c r="Q11348" s="17"/>
    </row>
    <row r="11349" spans="12:17" x14ac:dyDescent="0.3">
      <c r="L11349" s="25"/>
      <c r="Q11349" s="17"/>
    </row>
    <row r="11350" spans="12:17" x14ac:dyDescent="0.3">
      <c r="L11350" s="25"/>
      <c r="Q11350" s="17"/>
    </row>
    <row r="11351" spans="12:17" x14ac:dyDescent="0.3">
      <c r="L11351" s="25"/>
      <c r="Q11351" s="17"/>
    </row>
    <row r="11352" spans="12:17" x14ac:dyDescent="0.3">
      <c r="L11352" s="25"/>
      <c r="Q11352" s="17"/>
    </row>
    <row r="11353" spans="12:17" x14ac:dyDescent="0.3">
      <c r="L11353" s="25"/>
      <c r="Q11353" s="17"/>
    </row>
    <row r="11354" spans="12:17" x14ac:dyDescent="0.3">
      <c r="L11354" s="25"/>
      <c r="Q11354" s="17"/>
    </row>
    <row r="11355" spans="12:17" x14ac:dyDescent="0.3">
      <c r="L11355" s="25"/>
      <c r="Q11355" s="17"/>
    </row>
    <row r="11356" spans="12:17" x14ac:dyDescent="0.3">
      <c r="L11356" s="25"/>
      <c r="Q11356" s="17"/>
    </row>
    <row r="11357" spans="12:17" x14ac:dyDescent="0.3">
      <c r="L11357" s="25"/>
      <c r="Q11357" s="17"/>
    </row>
    <row r="11358" spans="12:17" x14ac:dyDescent="0.3">
      <c r="L11358" s="25"/>
      <c r="Q11358" s="17"/>
    </row>
    <row r="11359" spans="12:17" x14ac:dyDescent="0.3">
      <c r="L11359" s="25"/>
      <c r="Q11359" s="17"/>
    </row>
    <row r="11360" spans="12:17" x14ac:dyDescent="0.3">
      <c r="L11360" s="25"/>
      <c r="Q11360" s="17"/>
    </row>
    <row r="11361" spans="12:17" x14ac:dyDescent="0.3">
      <c r="L11361" s="25"/>
      <c r="Q11361" s="17"/>
    </row>
    <row r="11362" spans="12:17" x14ac:dyDescent="0.3">
      <c r="L11362" s="25"/>
      <c r="Q11362" s="17"/>
    </row>
    <row r="11363" spans="12:17" x14ac:dyDescent="0.3">
      <c r="L11363" s="25"/>
      <c r="Q11363" s="17"/>
    </row>
    <row r="11364" spans="12:17" x14ac:dyDescent="0.3">
      <c r="L11364" s="25"/>
      <c r="Q11364" s="17"/>
    </row>
    <row r="11365" spans="12:17" x14ac:dyDescent="0.3">
      <c r="L11365" s="25"/>
      <c r="Q11365" s="17"/>
    </row>
    <row r="11366" spans="12:17" x14ac:dyDescent="0.3">
      <c r="L11366" s="25"/>
      <c r="Q11366" s="17"/>
    </row>
    <row r="11367" spans="12:17" x14ac:dyDescent="0.3">
      <c r="L11367" s="25"/>
      <c r="Q11367" s="17"/>
    </row>
    <row r="11368" spans="12:17" x14ac:dyDescent="0.3">
      <c r="L11368" s="25"/>
      <c r="Q11368" s="17"/>
    </row>
    <row r="11369" spans="12:17" x14ac:dyDescent="0.3">
      <c r="L11369" s="25"/>
      <c r="Q11369" s="17"/>
    </row>
    <row r="11370" spans="12:17" x14ac:dyDescent="0.3">
      <c r="L11370" s="25"/>
      <c r="Q11370" s="17"/>
    </row>
    <row r="11371" spans="12:17" x14ac:dyDescent="0.3">
      <c r="L11371" s="25"/>
      <c r="Q11371" s="17"/>
    </row>
    <row r="11372" spans="12:17" x14ac:dyDescent="0.3">
      <c r="L11372" s="25"/>
      <c r="Q11372" s="17"/>
    </row>
    <row r="11373" spans="12:17" x14ac:dyDescent="0.3">
      <c r="L11373" s="25"/>
      <c r="Q11373" s="17"/>
    </row>
    <row r="11374" spans="12:17" x14ac:dyDescent="0.3">
      <c r="L11374" s="25"/>
      <c r="Q11374" s="17"/>
    </row>
    <row r="11375" spans="12:17" x14ac:dyDescent="0.3">
      <c r="L11375" s="25"/>
      <c r="Q11375" s="17"/>
    </row>
    <row r="11376" spans="12:17" x14ac:dyDescent="0.3">
      <c r="L11376" s="25"/>
      <c r="Q11376" s="17"/>
    </row>
    <row r="11377" spans="12:17" x14ac:dyDescent="0.3">
      <c r="L11377" s="25"/>
      <c r="Q11377" s="17"/>
    </row>
    <row r="11378" spans="12:17" x14ac:dyDescent="0.3">
      <c r="L11378" s="25"/>
      <c r="Q11378" s="17"/>
    </row>
    <row r="11379" spans="12:17" x14ac:dyDescent="0.3">
      <c r="L11379" s="25"/>
      <c r="Q11379" s="17"/>
    </row>
    <row r="11380" spans="12:17" x14ac:dyDescent="0.3">
      <c r="L11380" s="25"/>
      <c r="Q11380" s="17"/>
    </row>
    <row r="11381" spans="12:17" x14ac:dyDescent="0.3">
      <c r="L11381" s="25"/>
      <c r="Q11381" s="17"/>
    </row>
    <row r="11382" spans="12:17" x14ac:dyDescent="0.3">
      <c r="L11382" s="25"/>
      <c r="Q11382" s="17"/>
    </row>
    <row r="11383" spans="12:17" x14ac:dyDescent="0.3">
      <c r="L11383" s="25"/>
      <c r="Q11383" s="17"/>
    </row>
    <row r="11384" spans="12:17" x14ac:dyDescent="0.3">
      <c r="L11384" s="25"/>
      <c r="Q11384" s="17"/>
    </row>
    <row r="11385" spans="12:17" x14ac:dyDescent="0.3">
      <c r="L11385" s="25"/>
      <c r="Q11385" s="17"/>
    </row>
    <row r="11386" spans="12:17" x14ac:dyDescent="0.3">
      <c r="L11386" s="25"/>
      <c r="Q11386" s="17"/>
    </row>
    <row r="11387" spans="12:17" x14ac:dyDescent="0.3">
      <c r="L11387" s="25"/>
      <c r="Q11387" s="17"/>
    </row>
    <row r="11388" spans="12:17" x14ac:dyDescent="0.3">
      <c r="L11388" s="25"/>
      <c r="Q11388" s="17"/>
    </row>
    <row r="11389" spans="12:17" x14ac:dyDescent="0.3">
      <c r="L11389" s="25"/>
      <c r="Q11389" s="17"/>
    </row>
    <row r="11390" spans="12:17" x14ac:dyDescent="0.3">
      <c r="L11390" s="25"/>
      <c r="Q11390" s="17"/>
    </row>
    <row r="11391" spans="12:17" x14ac:dyDescent="0.3">
      <c r="L11391" s="25"/>
      <c r="Q11391" s="17"/>
    </row>
    <row r="11392" spans="12:17" x14ac:dyDescent="0.3">
      <c r="L11392" s="25"/>
      <c r="Q11392" s="17"/>
    </row>
    <row r="11393" spans="12:17" x14ac:dyDescent="0.3">
      <c r="L11393" s="25"/>
      <c r="Q11393" s="17"/>
    </row>
    <row r="11394" spans="12:17" x14ac:dyDescent="0.3">
      <c r="L11394" s="25"/>
      <c r="Q11394" s="17"/>
    </row>
    <row r="11395" spans="12:17" x14ac:dyDescent="0.3">
      <c r="L11395" s="25"/>
      <c r="Q11395" s="17"/>
    </row>
    <row r="11396" spans="12:17" x14ac:dyDescent="0.3">
      <c r="L11396" s="25"/>
      <c r="Q11396" s="17"/>
    </row>
    <row r="11397" spans="12:17" x14ac:dyDescent="0.3">
      <c r="L11397" s="25"/>
      <c r="Q11397" s="17"/>
    </row>
    <row r="11398" spans="12:17" x14ac:dyDescent="0.3">
      <c r="L11398" s="25"/>
      <c r="Q11398" s="17"/>
    </row>
    <row r="11399" spans="12:17" x14ac:dyDescent="0.3">
      <c r="L11399" s="25"/>
      <c r="Q11399" s="17"/>
    </row>
    <row r="11400" spans="12:17" x14ac:dyDescent="0.3">
      <c r="L11400" s="25"/>
      <c r="Q11400" s="17"/>
    </row>
    <row r="11401" spans="12:17" x14ac:dyDescent="0.3">
      <c r="L11401" s="25"/>
      <c r="Q11401" s="17"/>
    </row>
    <row r="11402" spans="12:17" x14ac:dyDescent="0.3">
      <c r="L11402" s="25"/>
      <c r="Q11402" s="17"/>
    </row>
    <row r="11403" spans="12:17" x14ac:dyDescent="0.3">
      <c r="L11403" s="25"/>
      <c r="Q11403" s="17"/>
    </row>
    <row r="11404" spans="12:17" x14ac:dyDescent="0.3">
      <c r="L11404" s="25"/>
      <c r="Q11404" s="17"/>
    </row>
    <row r="11405" spans="12:17" x14ac:dyDescent="0.3">
      <c r="L11405" s="25"/>
      <c r="Q11405" s="17"/>
    </row>
    <row r="11406" spans="12:17" x14ac:dyDescent="0.3">
      <c r="L11406" s="25"/>
      <c r="Q11406" s="17"/>
    </row>
    <row r="11407" spans="12:17" x14ac:dyDescent="0.3">
      <c r="L11407" s="25"/>
      <c r="Q11407" s="17"/>
    </row>
    <row r="11408" spans="12:17" x14ac:dyDescent="0.3">
      <c r="L11408" s="25"/>
      <c r="Q11408" s="17"/>
    </row>
    <row r="11409" spans="12:17" x14ac:dyDescent="0.3">
      <c r="L11409" s="25"/>
      <c r="Q11409" s="17"/>
    </row>
    <row r="11410" spans="12:17" x14ac:dyDescent="0.3">
      <c r="L11410" s="25"/>
      <c r="Q11410" s="17"/>
    </row>
    <row r="11411" spans="12:17" x14ac:dyDescent="0.3">
      <c r="L11411" s="25"/>
      <c r="Q11411" s="17"/>
    </row>
    <row r="11412" spans="12:17" x14ac:dyDescent="0.3">
      <c r="L11412" s="25"/>
      <c r="Q11412" s="17"/>
    </row>
    <row r="11413" spans="12:17" x14ac:dyDescent="0.3">
      <c r="L11413" s="25"/>
      <c r="Q11413" s="17"/>
    </row>
    <row r="11414" spans="12:17" x14ac:dyDescent="0.3">
      <c r="L11414" s="25"/>
      <c r="Q11414" s="17"/>
    </row>
    <row r="11415" spans="12:17" x14ac:dyDescent="0.3">
      <c r="L11415" s="25"/>
      <c r="Q11415" s="17"/>
    </row>
    <row r="11416" spans="12:17" x14ac:dyDescent="0.3">
      <c r="L11416" s="25"/>
      <c r="Q11416" s="17"/>
    </row>
    <row r="11417" spans="12:17" x14ac:dyDescent="0.3">
      <c r="L11417" s="25"/>
      <c r="Q11417" s="17"/>
    </row>
    <row r="11418" spans="12:17" x14ac:dyDescent="0.3">
      <c r="L11418" s="25"/>
      <c r="Q11418" s="17"/>
    </row>
    <row r="11419" spans="12:17" x14ac:dyDescent="0.3">
      <c r="L11419" s="25"/>
      <c r="Q11419" s="17"/>
    </row>
    <row r="11420" spans="12:17" x14ac:dyDescent="0.3">
      <c r="L11420" s="25"/>
      <c r="Q11420" s="17"/>
    </row>
    <row r="11421" spans="12:17" x14ac:dyDescent="0.3">
      <c r="L11421" s="25"/>
      <c r="Q11421" s="17"/>
    </row>
    <row r="11422" spans="12:17" x14ac:dyDescent="0.3">
      <c r="L11422" s="25"/>
      <c r="Q11422" s="17"/>
    </row>
    <row r="11423" spans="12:17" x14ac:dyDescent="0.3">
      <c r="L11423" s="25"/>
      <c r="Q11423" s="17"/>
    </row>
    <row r="11424" spans="12:17" x14ac:dyDescent="0.3">
      <c r="L11424" s="25"/>
      <c r="Q11424" s="17"/>
    </row>
    <row r="11425" spans="12:17" x14ac:dyDescent="0.3">
      <c r="L11425" s="25"/>
      <c r="Q11425" s="17"/>
    </row>
    <row r="11426" spans="12:17" x14ac:dyDescent="0.3">
      <c r="L11426" s="25"/>
      <c r="Q11426" s="17"/>
    </row>
    <row r="11427" spans="12:17" x14ac:dyDescent="0.3">
      <c r="L11427" s="25"/>
      <c r="Q11427" s="17"/>
    </row>
    <row r="11428" spans="12:17" x14ac:dyDescent="0.3">
      <c r="L11428" s="25"/>
      <c r="Q11428" s="17"/>
    </row>
    <row r="11429" spans="12:17" x14ac:dyDescent="0.3">
      <c r="L11429" s="25"/>
      <c r="Q11429" s="17"/>
    </row>
    <row r="11430" spans="12:17" x14ac:dyDescent="0.3">
      <c r="L11430" s="25"/>
      <c r="Q11430" s="17"/>
    </row>
    <row r="11431" spans="12:17" x14ac:dyDescent="0.3">
      <c r="L11431" s="25"/>
      <c r="Q11431" s="17"/>
    </row>
    <row r="11432" spans="12:17" x14ac:dyDescent="0.3">
      <c r="L11432" s="25"/>
      <c r="Q11432" s="17"/>
    </row>
    <row r="11433" spans="12:17" x14ac:dyDescent="0.3">
      <c r="L11433" s="25"/>
      <c r="Q11433" s="17"/>
    </row>
    <row r="11434" spans="12:17" x14ac:dyDescent="0.3">
      <c r="L11434" s="25"/>
      <c r="Q11434" s="17"/>
    </row>
    <row r="11435" spans="12:17" x14ac:dyDescent="0.3">
      <c r="L11435" s="25"/>
      <c r="Q11435" s="17"/>
    </row>
    <row r="11436" spans="12:17" x14ac:dyDescent="0.3">
      <c r="L11436" s="25"/>
      <c r="Q11436" s="17"/>
    </row>
    <row r="11437" spans="12:17" x14ac:dyDescent="0.3">
      <c r="L11437" s="25"/>
      <c r="Q11437" s="17"/>
    </row>
    <row r="11438" spans="12:17" x14ac:dyDescent="0.3">
      <c r="L11438" s="25"/>
      <c r="Q11438" s="17"/>
    </row>
    <row r="11439" spans="12:17" x14ac:dyDescent="0.3">
      <c r="L11439" s="25"/>
      <c r="Q11439" s="17"/>
    </row>
    <row r="11440" spans="12:17" x14ac:dyDescent="0.3">
      <c r="L11440" s="25"/>
      <c r="Q11440" s="17"/>
    </row>
    <row r="11441" spans="12:17" x14ac:dyDescent="0.3">
      <c r="L11441" s="25"/>
      <c r="Q11441" s="17"/>
    </row>
    <row r="11442" spans="12:17" x14ac:dyDescent="0.3">
      <c r="L11442" s="25"/>
      <c r="Q11442" s="17"/>
    </row>
    <row r="11443" spans="12:17" x14ac:dyDescent="0.3">
      <c r="L11443" s="25"/>
      <c r="Q11443" s="17"/>
    </row>
    <row r="11444" spans="12:17" x14ac:dyDescent="0.3">
      <c r="L11444" s="25"/>
      <c r="Q11444" s="17"/>
    </row>
    <row r="11445" spans="12:17" x14ac:dyDescent="0.3">
      <c r="L11445" s="25"/>
      <c r="Q11445" s="17"/>
    </row>
    <row r="11446" spans="12:17" x14ac:dyDescent="0.3">
      <c r="L11446" s="25"/>
      <c r="Q11446" s="17"/>
    </row>
    <row r="11447" spans="12:17" x14ac:dyDescent="0.3">
      <c r="L11447" s="25"/>
      <c r="Q11447" s="17"/>
    </row>
    <row r="11448" spans="12:17" x14ac:dyDescent="0.3">
      <c r="L11448" s="25"/>
      <c r="Q11448" s="17"/>
    </row>
    <row r="11449" spans="12:17" x14ac:dyDescent="0.3">
      <c r="L11449" s="25"/>
      <c r="Q11449" s="17"/>
    </row>
    <row r="11450" spans="12:17" x14ac:dyDescent="0.3">
      <c r="L11450" s="25"/>
      <c r="Q11450" s="17"/>
    </row>
    <row r="11451" spans="12:17" x14ac:dyDescent="0.3">
      <c r="L11451" s="25"/>
      <c r="Q11451" s="17"/>
    </row>
    <row r="11452" spans="12:17" x14ac:dyDescent="0.3">
      <c r="L11452" s="25"/>
      <c r="Q11452" s="17"/>
    </row>
    <row r="11453" spans="12:17" x14ac:dyDescent="0.3">
      <c r="L11453" s="25"/>
      <c r="Q11453" s="17"/>
    </row>
    <row r="11454" spans="12:17" x14ac:dyDescent="0.3">
      <c r="L11454" s="25"/>
      <c r="Q11454" s="17"/>
    </row>
    <row r="11455" spans="12:17" x14ac:dyDescent="0.3">
      <c r="L11455" s="25"/>
      <c r="Q11455" s="17"/>
    </row>
    <row r="11456" spans="12:17" x14ac:dyDescent="0.3">
      <c r="L11456" s="25"/>
      <c r="Q11456" s="17"/>
    </row>
    <row r="11457" spans="12:17" x14ac:dyDescent="0.3">
      <c r="L11457" s="25"/>
      <c r="Q11457" s="17"/>
    </row>
    <row r="11458" spans="12:17" x14ac:dyDescent="0.3">
      <c r="L11458" s="25"/>
      <c r="Q11458" s="17"/>
    </row>
    <row r="11459" spans="12:17" x14ac:dyDescent="0.3">
      <c r="L11459" s="25"/>
      <c r="Q11459" s="17"/>
    </row>
    <row r="11460" spans="12:17" x14ac:dyDescent="0.3">
      <c r="L11460" s="25"/>
      <c r="Q11460" s="17"/>
    </row>
    <row r="11461" spans="12:17" x14ac:dyDescent="0.3">
      <c r="L11461" s="25"/>
      <c r="Q11461" s="17"/>
    </row>
    <row r="11462" spans="12:17" x14ac:dyDescent="0.3">
      <c r="L11462" s="25"/>
      <c r="Q11462" s="17"/>
    </row>
    <row r="11463" spans="12:17" x14ac:dyDescent="0.3">
      <c r="L11463" s="25"/>
      <c r="Q11463" s="17"/>
    </row>
    <row r="11464" spans="12:17" x14ac:dyDescent="0.3">
      <c r="L11464" s="25"/>
      <c r="Q11464" s="17"/>
    </row>
    <row r="11465" spans="12:17" x14ac:dyDescent="0.3">
      <c r="L11465" s="25"/>
      <c r="Q11465" s="17"/>
    </row>
    <row r="11466" spans="12:17" x14ac:dyDescent="0.3">
      <c r="L11466" s="25"/>
      <c r="Q11466" s="17"/>
    </row>
    <row r="11467" spans="12:17" x14ac:dyDescent="0.3">
      <c r="L11467" s="25"/>
      <c r="Q11467" s="17"/>
    </row>
    <row r="11468" spans="12:17" x14ac:dyDescent="0.3">
      <c r="L11468" s="25"/>
      <c r="Q11468" s="17"/>
    </row>
    <row r="11469" spans="12:17" x14ac:dyDescent="0.3">
      <c r="L11469" s="25"/>
      <c r="Q11469" s="17"/>
    </row>
    <row r="11470" spans="12:17" x14ac:dyDescent="0.3">
      <c r="L11470" s="25"/>
      <c r="Q11470" s="17"/>
    </row>
    <row r="11471" spans="12:17" x14ac:dyDescent="0.3">
      <c r="L11471" s="25"/>
      <c r="Q11471" s="17"/>
    </row>
    <row r="11472" spans="12:17" x14ac:dyDescent="0.3">
      <c r="L11472" s="25"/>
      <c r="Q11472" s="17"/>
    </row>
    <row r="11473" spans="12:17" x14ac:dyDescent="0.3">
      <c r="L11473" s="25"/>
      <c r="Q11473" s="17"/>
    </row>
    <row r="11474" spans="12:17" x14ac:dyDescent="0.3">
      <c r="L11474" s="25"/>
      <c r="Q11474" s="17"/>
    </row>
    <row r="11475" spans="12:17" x14ac:dyDescent="0.3">
      <c r="L11475" s="25"/>
      <c r="Q11475" s="17"/>
    </row>
    <row r="11476" spans="12:17" x14ac:dyDescent="0.3">
      <c r="L11476" s="25"/>
      <c r="Q11476" s="17"/>
    </row>
    <row r="11477" spans="12:17" x14ac:dyDescent="0.3">
      <c r="L11477" s="25"/>
      <c r="Q11477" s="17"/>
    </row>
    <row r="11478" spans="12:17" x14ac:dyDescent="0.3">
      <c r="L11478" s="25"/>
      <c r="Q11478" s="17"/>
    </row>
    <row r="11479" spans="12:17" x14ac:dyDescent="0.3">
      <c r="L11479" s="25"/>
      <c r="Q11479" s="17"/>
    </row>
    <row r="11480" spans="12:17" x14ac:dyDescent="0.3">
      <c r="L11480" s="25"/>
      <c r="Q11480" s="17"/>
    </row>
    <row r="11481" spans="12:17" x14ac:dyDescent="0.3">
      <c r="L11481" s="25"/>
      <c r="Q11481" s="17"/>
    </row>
    <row r="11482" spans="12:17" x14ac:dyDescent="0.3">
      <c r="L11482" s="25"/>
      <c r="Q11482" s="17"/>
    </row>
    <row r="11483" spans="12:17" x14ac:dyDescent="0.3">
      <c r="L11483" s="25"/>
      <c r="Q11483" s="17"/>
    </row>
    <row r="11484" spans="12:17" x14ac:dyDescent="0.3">
      <c r="L11484" s="25"/>
      <c r="Q11484" s="17"/>
    </row>
    <row r="11485" spans="12:17" x14ac:dyDescent="0.3">
      <c r="L11485" s="25"/>
      <c r="Q11485" s="17"/>
    </row>
    <row r="11486" spans="12:17" x14ac:dyDescent="0.3">
      <c r="L11486" s="25"/>
      <c r="Q11486" s="17"/>
    </row>
    <row r="11487" spans="12:17" x14ac:dyDescent="0.3">
      <c r="L11487" s="25"/>
      <c r="Q11487" s="17"/>
    </row>
    <row r="11488" spans="12:17" x14ac:dyDescent="0.3">
      <c r="L11488" s="25"/>
      <c r="Q11488" s="17"/>
    </row>
    <row r="11489" spans="12:17" x14ac:dyDescent="0.3">
      <c r="L11489" s="25"/>
      <c r="Q11489" s="17"/>
    </row>
    <row r="11490" spans="12:17" x14ac:dyDescent="0.3">
      <c r="L11490" s="25"/>
      <c r="Q11490" s="17"/>
    </row>
    <row r="11491" spans="12:17" x14ac:dyDescent="0.3">
      <c r="L11491" s="25"/>
      <c r="Q11491" s="17"/>
    </row>
    <row r="11492" spans="12:17" x14ac:dyDescent="0.3">
      <c r="L11492" s="25"/>
      <c r="Q11492" s="17"/>
    </row>
    <row r="11493" spans="12:17" x14ac:dyDescent="0.3">
      <c r="L11493" s="25"/>
      <c r="Q11493" s="17"/>
    </row>
    <row r="11494" spans="12:17" x14ac:dyDescent="0.3">
      <c r="L11494" s="25"/>
      <c r="Q11494" s="17"/>
    </row>
    <row r="11495" spans="12:17" x14ac:dyDescent="0.3">
      <c r="L11495" s="25"/>
      <c r="Q11495" s="17"/>
    </row>
    <row r="11496" spans="12:17" x14ac:dyDescent="0.3">
      <c r="L11496" s="25"/>
      <c r="Q11496" s="17"/>
    </row>
    <row r="11497" spans="12:17" x14ac:dyDescent="0.3">
      <c r="L11497" s="25"/>
      <c r="Q11497" s="17"/>
    </row>
    <row r="11498" spans="12:17" x14ac:dyDescent="0.3">
      <c r="L11498" s="25"/>
      <c r="Q11498" s="17"/>
    </row>
    <row r="11499" spans="12:17" x14ac:dyDescent="0.3">
      <c r="L11499" s="25"/>
      <c r="Q11499" s="17"/>
    </row>
    <row r="11500" spans="12:17" x14ac:dyDescent="0.3">
      <c r="L11500" s="25"/>
      <c r="Q11500" s="17"/>
    </row>
    <row r="11501" spans="12:17" x14ac:dyDescent="0.3">
      <c r="L11501" s="25"/>
      <c r="Q11501" s="17"/>
    </row>
    <row r="11502" spans="12:17" x14ac:dyDescent="0.3">
      <c r="L11502" s="25"/>
      <c r="Q11502" s="17"/>
    </row>
    <row r="11503" spans="12:17" x14ac:dyDescent="0.3">
      <c r="L11503" s="25"/>
      <c r="Q11503" s="17"/>
    </row>
    <row r="11504" spans="12:17" x14ac:dyDescent="0.3">
      <c r="L11504" s="25"/>
      <c r="Q11504" s="17"/>
    </row>
    <row r="11505" spans="12:17" x14ac:dyDescent="0.3">
      <c r="L11505" s="25"/>
      <c r="Q11505" s="17"/>
    </row>
    <row r="11506" spans="12:17" x14ac:dyDescent="0.3">
      <c r="L11506" s="25"/>
      <c r="Q11506" s="17"/>
    </row>
    <row r="11507" spans="12:17" x14ac:dyDescent="0.3">
      <c r="L11507" s="25"/>
      <c r="Q11507" s="17"/>
    </row>
    <row r="11508" spans="12:17" x14ac:dyDescent="0.3">
      <c r="L11508" s="25"/>
      <c r="Q11508" s="17"/>
    </row>
    <row r="11509" spans="12:17" x14ac:dyDescent="0.3">
      <c r="L11509" s="25"/>
      <c r="Q11509" s="17"/>
    </row>
    <row r="11510" spans="12:17" x14ac:dyDescent="0.3">
      <c r="L11510" s="25"/>
      <c r="Q11510" s="17"/>
    </row>
    <row r="11511" spans="12:17" x14ac:dyDescent="0.3">
      <c r="L11511" s="25"/>
      <c r="Q11511" s="17"/>
    </row>
    <row r="11512" spans="12:17" x14ac:dyDescent="0.3">
      <c r="L11512" s="25"/>
      <c r="Q11512" s="17"/>
    </row>
    <row r="11513" spans="12:17" x14ac:dyDescent="0.3">
      <c r="L11513" s="25"/>
      <c r="Q11513" s="17"/>
    </row>
    <row r="11514" spans="12:17" x14ac:dyDescent="0.3">
      <c r="L11514" s="25"/>
      <c r="Q11514" s="17"/>
    </row>
    <row r="11515" spans="12:17" x14ac:dyDescent="0.3">
      <c r="L11515" s="25"/>
      <c r="Q11515" s="17"/>
    </row>
    <row r="11516" spans="12:17" x14ac:dyDescent="0.3">
      <c r="L11516" s="25"/>
      <c r="Q11516" s="17"/>
    </row>
    <row r="11517" spans="12:17" x14ac:dyDescent="0.3">
      <c r="L11517" s="25"/>
      <c r="Q11517" s="17"/>
    </row>
    <row r="11518" spans="12:17" x14ac:dyDescent="0.3">
      <c r="L11518" s="25"/>
      <c r="Q11518" s="17"/>
    </row>
    <row r="11519" spans="12:17" x14ac:dyDescent="0.3">
      <c r="L11519" s="25"/>
      <c r="Q11519" s="17"/>
    </row>
    <row r="11520" spans="12:17" x14ac:dyDescent="0.3">
      <c r="L11520" s="25"/>
      <c r="Q11520" s="17"/>
    </row>
    <row r="11521" spans="12:17" x14ac:dyDescent="0.3">
      <c r="L11521" s="25"/>
      <c r="Q11521" s="17"/>
    </row>
    <row r="11522" spans="12:17" x14ac:dyDescent="0.3">
      <c r="L11522" s="25"/>
      <c r="Q11522" s="17"/>
    </row>
    <row r="11523" spans="12:17" x14ac:dyDescent="0.3">
      <c r="L11523" s="25"/>
      <c r="Q11523" s="17"/>
    </row>
    <row r="11524" spans="12:17" x14ac:dyDescent="0.3">
      <c r="L11524" s="25"/>
      <c r="Q11524" s="17"/>
    </row>
    <row r="11525" spans="12:17" x14ac:dyDescent="0.3">
      <c r="L11525" s="25"/>
      <c r="Q11525" s="17"/>
    </row>
    <row r="11526" spans="12:17" x14ac:dyDescent="0.3">
      <c r="L11526" s="25"/>
      <c r="Q11526" s="17"/>
    </row>
    <row r="11527" spans="12:17" x14ac:dyDescent="0.3">
      <c r="L11527" s="25"/>
      <c r="Q11527" s="17"/>
    </row>
    <row r="11528" spans="12:17" x14ac:dyDescent="0.3">
      <c r="L11528" s="25"/>
      <c r="Q11528" s="17"/>
    </row>
    <row r="11529" spans="12:17" x14ac:dyDescent="0.3">
      <c r="L11529" s="25"/>
      <c r="Q11529" s="17"/>
    </row>
    <row r="11530" spans="12:17" x14ac:dyDescent="0.3">
      <c r="L11530" s="25"/>
      <c r="Q11530" s="17"/>
    </row>
    <row r="11531" spans="12:17" x14ac:dyDescent="0.3">
      <c r="L11531" s="25"/>
      <c r="Q11531" s="17"/>
    </row>
    <row r="11532" spans="12:17" x14ac:dyDescent="0.3">
      <c r="L11532" s="25"/>
      <c r="Q11532" s="17"/>
    </row>
    <row r="11533" spans="12:17" x14ac:dyDescent="0.3">
      <c r="L11533" s="25"/>
      <c r="Q11533" s="17"/>
    </row>
    <row r="11534" spans="12:17" x14ac:dyDescent="0.3">
      <c r="L11534" s="25"/>
      <c r="Q11534" s="17"/>
    </row>
    <row r="11535" spans="12:17" x14ac:dyDescent="0.3">
      <c r="L11535" s="25"/>
      <c r="Q11535" s="17"/>
    </row>
    <row r="11536" spans="12:17" x14ac:dyDescent="0.3">
      <c r="L11536" s="25"/>
      <c r="Q11536" s="17"/>
    </row>
    <row r="11537" spans="12:17" x14ac:dyDescent="0.3">
      <c r="L11537" s="25"/>
      <c r="Q11537" s="17"/>
    </row>
    <row r="11538" spans="12:17" x14ac:dyDescent="0.3">
      <c r="L11538" s="25"/>
      <c r="Q11538" s="17"/>
    </row>
    <row r="11539" spans="12:17" x14ac:dyDescent="0.3">
      <c r="L11539" s="25"/>
      <c r="Q11539" s="17"/>
    </row>
    <row r="11540" spans="12:17" x14ac:dyDescent="0.3">
      <c r="L11540" s="25"/>
      <c r="Q11540" s="17"/>
    </row>
    <row r="11541" spans="12:17" x14ac:dyDescent="0.3">
      <c r="L11541" s="25"/>
      <c r="Q11541" s="17"/>
    </row>
    <row r="11542" spans="12:17" x14ac:dyDescent="0.3">
      <c r="L11542" s="25"/>
      <c r="Q11542" s="17"/>
    </row>
    <row r="11543" spans="12:17" x14ac:dyDescent="0.3">
      <c r="L11543" s="25"/>
      <c r="Q11543" s="17"/>
    </row>
    <row r="11544" spans="12:17" x14ac:dyDescent="0.3">
      <c r="L11544" s="25"/>
      <c r="Q11544" s="17"/>
    </row>
    <row r="11545" spans="12:17" x14ac:dyDescent="0.3">
      <c r="L11545" s="25"/>
      <c r="Q11545" s="17"/>
    </row>
    <row r="11546" spans="12:17" x14ac:dyDescent="0.3">
      <c r="L11546" s="25"/>
      <c r="Q11546" s="17"/>
    </row>
    <row r="11547" spans="12:17" x14ac:dyDescent="0.3">
      <c r="L11547" s="25"/>
      <c r="Q11547" s="17"/>
    </row>
    <row r="11548" spans="12:17" x14ac:dyDescent="0.3">
      <c r="L11548" s="25"/>
      <c r="Q11548" s="17"/>
    </row>
    <row r="11549" spans="12:17" x14ac:dyDescent="0.3">
      <c r="L11549" s="25"/>
      <c r="Q11549" s="17"/>
    </row>
    <row r="11550" spans="12:17" x14ac:dyDescent="0.3">
      <c r="L11550" s="25"/>
      <c r="Q11550" s="17"/>
    </row>
    <row r="11551" spans="12:17" x14ac:dyDescent="0.3">
      <c r="L11551" s="25"/>
      <c r="Q11551" s="17"/>
    </row>
    <row r="11552" spans="12:17" x14ac:dyDescent="0.3">
      <c r="L11552" s="25"/>
      <c r="Q11552" s="17"/>
    </row>
    <row r="11553" spans="12:17" x14ac:dyDescent="0.3">
      <c r="L11553" s="25"/>
      <c r="Q11553" s="17"/>
    </row>
    <row r="11554" spans="12:17" x14ac:dyDescent="0.3">
      <c r="L11554" s="25"/>
      <c r="Q11554" s="17"/>
    </row>
    <row r="11555" spans="12:17" x14ac:dyDescent="0.3">
      <c r="L11555" s="25"/>
      <c r="Q11555" s="17"/>
    </row>
    <row r="11556" spans="12:17" x14ac:dyDescent="0.3">
      <c r="L11556" s="25"/>
      <c r="Q11556" s="17"/>
    </row>
    <row r="11557" spans="12:17" x14ac:dyDescent="0.3">
      <c r="L11557" s="25"/>
      <c r="Q11557" s="17"/>
    </row>
    <row r="11558" spans="12:17" x14ac:dyDescent="0.3">
      <c r="L11558" s="25"/>
      <c r="Q11558" s="17"/>
    </row>
    <row r="11559" spans="12:17" x14ac:dyDescent="0.3">
      <c r="L11559" s="25"/>
      <c r="Q11559" s="17"/>
    </row>
    <row r="11560" spans="12:17" x14ac:dyDescent="0.3">
      <c r="L11560" s="25"/>
      <c r="Q11560" s="17"/>
    </row>
    <row r="11561" spans="12:17" x14ac:dyDescent="0.3">
      <c r="L11561" s="25"/>
      <c r="Q11561" s="17"/>
    </row>
    <row r="11562" spans="12:17" x14ac:dyDescent="0.3">
      <c r="L11562" s="25"/>
      <c r="Q11562" s="17"/>
    </row>
    <row r="11563" spans="12:17" x14ac:dyDescent="0.3">
      <c r="L11563" s="25"/>
      <c r="Q11563" s="17"/>
    </row>
    <row r="11564" spans="12:17" x14ac:dyDescent="0.3">
      <c r="L11564" s="25"/>
      <c r="Q11564" s="17"/>
    </row>
    <row r="11565" spans="12:17" x14ac:dyDescent="0.3">
      <c r="L11565" s="25"/>
      <c r="Q11565" s="17"/>
    </row>
    <row r="11566" spans="12:17" x14ac:dyDescent="0.3">
      <c r="L11566" s="25"/>
      <c r="Q11566" s="17"/>
    </row>
    <row r="11567" spans="12:17" x14ac:dyDescent="0.3">
      <c r="L11567" s="25"/>
      <c r="Q11567" s="17"/>
    </row>
    <row r="11568" spans="12:17" x14ac:dyDescent="0.3">
      <c r="L11568" s="25"/>
      <c r="Q11568" s="17"/>
    </row>
    <row r="11569" spans="12:17" x14ac:dyDescent="0.3">
      <c r="L11569" s="25"/>
      <c r="Q11569" s="17"/>
    </row>
    <row r="11570" spans="12:17" x14ac:dyDescent="0.3">
      <c r="L11570" s="25"/>
      <c r="Q11570" s="17"/>
    </row>
    <row r="11571" spans="12:17" x14ac:dyDescent="0.3">
      <c r="L11571" s="25"/>
      <c r="Q11571" s="17"/>
    </row>
    <row r="11572" spans="12:17" x14ac:dyDescent="0.3">
      <c r="L11572" s="25"/>
      <c r="Q11572" s="17"/>
    </row>
    <row r="11573" spans="12:17" x14ac:dyDescent="0.3">
      <c r="L11573" s="25"/>
      <c r="Q11573" s="17"/>
    </row>
    <row r="11574" spans="12:17" x14ac:dyDescent="0.3">
      <c r="L11574" s="25"/>
      <c r="Q11574" s="17"/>
    </row>
    <row r="11575" spans="12:17" x14ac:dyDescent="0.3">
      <c r="L11575" s="25"/>
      <c r="Q11575" s="17"/>
    </row>
    <row r="11576" spans="12:17" x14ac:dyDescent="0.3">
      <c r="L11576" s="25"/>
      <c r="Q11576" s="17"/>
    </row>
    <row r="11577" spans="12:17" x14ac:dyDescent="0.3">
      <c r="L11577" s="25"/>
      <c r="Q11577" s="17"/>
    </row>
    <row r="11578" spans="12:17" x14ac:dyDescent="0.3">
      <c r="L11578" s="25"/>
      <c r="Q11578" s="17"/>
    </row>
    <row r="11579" spans="12:17" x14ac:dyDescent="0.3">
      <c r="L11579" s="25"/>
      <c r="Q11579" s="17"/>
    </row>
    <row r="11580" spans="12:17" x14ac:dyDescent="0.3">
      <c r="L11580" s="25"/>
      <c r="Q11580" s="17"/>
    </row>
    <row r="11581" spans="12:17" x14ac:dyDescent="0.3">
      <c r="L11581" s="25"/>
      <c r="Q11581" s="17"/>
    </row>
    <row r="11582" spans="12:17" x14ac:dyDescent="0.3">
      <c r="L11582" s="25"/>
      <c r="Q11582" s="17"/>
    </row>
    <row r="11583" spans="12:17" x14ac:dyDescent="0.3">
      <c r="L11583" s="25"/>
      <c r="Q11583" s="17"/>
    </row>
    <row r="11584" spans="12:17" x14ac:dyDescent="0.3">
      <c r="L11584" s="25"/>
      <c r="Q11584" s="17"/>
    </row>
    <row r="11585" spans="12:17" x14ac:dyDescent="0.3">
      <c r="L11585" s="25"/>
      <c r="Q11585" s="17"/>
    </row>
    <row r="11586" spans="12:17" x14ac:dyDescent="0.3">
      <c r="L11586" s="25"/>
      <c r="Q11586" s="17"/>
    </row>
    <row r="11587" spans="12:17" x14ac:dyDescent="0.3">
      <c r="L11587" s="25"/>
      <c r="Q11587" s="17"/>
    </row>
    <row r="11588" spans="12:17" x14ac:dyDescent="0.3">
      <c r="L11588" s="25"/>
      <c r="Q11588" s="17"/>
    </row>
    <row r="11589" spans="12:17" x14ac:dyDescent="0.3">
      <c r="L11589" s="25"/>
      <c r="Q11589" s="17"/>
    </row>
    <row r="11590" spans="12:17" x14ac:dyDescent="0.3">
      <c r="L11590" s="25"/>
      <c r="Q11590" s="17"/>
    </row>
    <row r="11591" spans="12:17" x14ac:dyDescent="0.3">
      <c r="L11591" s="25"/>
      <c r="Q11591" s="17"/>
    </row>
    <row r="11592" spans="12:17" x14ac:dyDescent="0.3">
      <c r="L11592" s="25"/>
      <c r="Q11592" s="17"/>
    </row>
    <row r="11593" spans="12:17" x14ac:dyDescent="0.3">
      <c r="L11593" s="25"/>
      <c r="Q11593" s="17"/>
    </row>
    <row r="11594" spans="12:17" x14ac:dyDescent="0.3">
      <c r="L11594" s="25"/>
      <c r="Q11594" s="17"/>
    </row>
    <row r="11595" spans="12:17" x14ac:dyDescent="0.3">
      <c r="L11595" s="25"/>
      <c r="Q11595" s="17"/>
    </row>
    <row r="11596" spans="12:17" x14ac:dyDescent="0.3">
      <c r="L11596" s="25"/>
      <c r="Q11596" s="17"/>
    </row>
    <row r="11597" spans="12:17" x14ac:dyDescent="0.3">
      <c r="L11597" s="25"/>
      <c r="Q11597" s="17"/>
    </row>
    <row r="11598" spans="12:17" x14ac:dyDescent="0.3">
      <c r="L11598" s="25"/>
      <c r="Q11598" s="17"/>
    </row>
    <row r="11599" spans="12:17" x14ac:dyDescent="0.3">
      <c r="L11599" s="25"/>
      <c r="Q11599" s="17"/>
    </row>
    <row r="11600" spans="12:17" x14ac:dyDescent="0.3">
      <c r="L11600" s="25"/>
      <c r="Q11600" s="17"/>
    </row>
    <row r="11601" spans="12:17" x14ac:dyDescent="0.3">
      <c r="L11601" s="25"/>
      <c r="Q11601" s="17"/>
    </row>
    <row r="11602" spans="12:17" x14ac:dyDescent="0.3">
      <c r="L11602" s="25"/>
      <c r="Q11602" s="17"/>
    </row>
    <row r="11603" spans="12:17" x14ac:dyDescent="0.3">
      <c r="L11603" s="25"/>
      <c r="Q11603" s="17"/>
    </row>
    <row r="11604" spans="12:17" x14ac:dyDescent="0.3">
      <c r="L11604" s="25"/>
      <c r="Q11604" s="17"/>
    </row>
    <row r="11605" spans="12:17" x14ac:dyDescent="0.3">
      <c r="L11605" s="25"/>
      <c r="Q11605" s="17"/>
    </row>
    <row r="11606" spans="12:17" x14ac:dyDescent="0.3">
      <c r="L11606" s="25"/>
      <c r="Q11606" s="17"/>
    </row>
    <row r="11607" spans="12:17" x14ac:dyDescent="0.3">
      <c r="L11607" s="25"/>
      <c r="Q11607" s="17"/>
    </row>
    <row r="11608" spans="12:17" x14ac:dyDescent="0.3">
      <c r="L11608" s="25"/>
      <c r="Q11608" s="17"/>
    </row>
    <row r="11609" spans="12:17" x14ac:dyDescent="0.3">
      <c r="L11609" s="25"/>
      <c r="Q11609" s="17"/>
    </row>
    <row r="11610" spans="12:17" x14ac:dyDescent="0.3">
      <c r="L11610" s="25"/>
      <c r="Q11610" s="17"/>
    </row>
    <row r="11611" spans="12:17" x14ac:dyDescent="0.3">
      <c r="L11611" s="25"/>
      <c r="Q11611" s="17"/>
    </row>
    <row r="11612" spans="12:17" x14ac:dyDescent="0.3">
      <c r="L11612" s="25"/>
      <c r="Q11612" s="17"/>
    </row>
    <row r="11613" spans="12:17" x14ac:dyDescent="0.3">
      <c r="L11613" s="25"/>
      <c r="Q11613" s="17"/>
    </row>
    <row r="11614" spans="12:17" x14ac:dyDescent="0.3">
      <c r="L11614" s="25"/>
      <c r="Q11614" s="17"/>
    </row>
    <row r="11615" spans="12:17" x14ac:dyDescent="0.3">
      <c r="L11615" s="25"/>
      <c r="Q11615" s="17"/>
    </row>
    <row r="11616" spans="12:17" x14ac:dyDescent="0.3">
      <c r="L11616" s="25"/>
      <c r="Q11616" s="17"/>
    </row>
    <row r="11617" spans="12:17" x14ac:dyDescent="0.3">
      <c r="L11617" s="25"/>
      <c r="Q11617" s="17"/>
    </row>
    <row r="11618" spans="12:17" x14ac:dyDescent="0.3">
      <c r="L11618" s="25"/>
      <c r="Q11618" s="17"/>
    </row>
    <row r="11619" spans="12:17" x14ac:dyDescent="0.3">
      <c r="L11619" s="25"/>
      <c r="Q11619" s="17"/>
    </row>
    <row r="11620" spans="12:17" x14ac:dyDescent="0.3">
      <c r="L11620" s="25"/>
      <c r="Q11620" s="17"/>
    </row>
    <row r="11621" spans="12:17" x14ac:dyDescent="0.3">
      <c r="L11621" s="25"/>
      <c r="Q11621" s="17"/>
    </row>
    <row r="11622" spans="12:17" x14ac:dyDescent="0.3">
      <c r="L11622" s="25"/>
      <c r="Q11622" s="17"/>
    </row>
    <row r="11623" spans="12:17" x14ac:dyDescent="0.3">
      <c r="L11623" s="25"/>
      <c r="Q11623" s="17"/>
    </row>
    <row r="11624" spans="12:17" x14ac:dyDescent="0.3">
      <c r="L11624" s="25"/>
      <c r="Q11624" s="17"/>
    </row>
    <row r="11625" spans="12:17" x14ac:dyDescent="0.3">
      <c r="L11625" s="25"/>
      <c r="Q11625" s="17"/>
    </row>
    <row r="11626" spans="12:17" x14ac:dyDescent="0.3">
      <c r="L11626" s="25"/>
      <c r="Q11626" s="17"/>
    </row>
    <row r="11627" spans="12:17" x14ac:dyDescent="0.3">
      <c r="L11627" s="25"/>
      <c r="Q11627" s="17"/>
    </row>
    <row r="11628" spans="12:17" x14ac:dyDescent="0.3">
      <c r="L11628" s="25"/>
      <c r="Q11628" s="17"/>
    </row>
    <row r="11629" spans="12:17" x14ac:dyDescent="0.3">
      <c r="L11629" s="25"/>
      <c r="Q11629" s="17"/>
    </row>
    <row r="11630" spans="12:17" x14ac:dyDescent="0.3">
      <c r="L11630" s="25"/>
      <c r="Q11630" s="17"/>
    </row>
    <row r="11631" spans="12:17" x14ac:dyDescent="0.3">
      <c r="L11631" s="25"/>
      <c r="Q11631" s="17"/>
    </row>
    <row r="11632" spans="12:17" x14ac:dyDescent="0.3">
      <c r="L11632" s="25"/>
      <c r="Q11632" s="17"/>
    </row>
    <row r="11633" spans="12:17" x14ac:dyDescent="0.3">
      <c r="L11633" s="25"/>
      <c r="Q11633" s="17"/>
    </row>
    <row r="11634" spans="12:17" x14ac:dyDescent="0.3">
      <c r="L11634" s="25"/>
      <c r="Q11634" s="17"/>
    </row>
    <row r="11635" spans="12:17" x14ac:dyDescent="0.3">
      <c r="L11635" s="25"/>
      <c r="Q11635" s="17"/>
    </row>
    <row r="11636" spans="12:17" x14ac:dyDescent="0.3">
      <c r="L11636" s="25"/>
      <c r="Q11636" s="17"/>
    </row>
    <row r="11637" spans="12:17" x14ac:dyDescent="0.3">
      <c r="L11637" s="25"/>
      <c r="Q11637" s="17"/>
    </row>
    <row r="11638" spans="12:17" x14ac:dyDescent="0.3">
      <c r="L11638" s="25"/>
      <c r="Q11638" s="17"/>
    </row>
    <row r="11639" spans="12:17" x14ac:dyDescent="0.3">
      <c r="L11639" s="25"/>
      <c r="Q11639" s="17"/>
    </row>
    <row r="11640" spans="12:17" x14ac:dyDescent="0.3">
      <c r="L11640" s="25"/>
      <c r="Q11640" s="17"/>
    </row>
    <row r="11641" spans="12:17" x14ac:dyDescent="0.3">
      <c r="L11641" s="25"/>
      <c r="Q11641" s="17"/>
    </row>
    <row r="11642" spans="12:17" x14ac:dyDescent="0.3">
      <c r="L11642" s="25"/>
      <c r="Q11642" s="17"/>
    </row>
    <row r="11643" spans="12:17" x14ac:dyDescent="0.3">
      <c r="L11643" s="25"/>
      <c r="Q11643" s="17"/>
    </row>
    <row r="11644" spans="12:17" x14ac:dyDescent="0.3">
      <c r="L11644" s="25"/>
      <c r="Q11644" s="17"/>
    </row>
    <row r="11645" spans="12:17" x14ac:dyDescent="0.3">
      <c r="L11645" s="25"/>
      <c r="Q11645" s="17"/>
    </row>
    <row r="11646" spans="12:17" x14ac:dyDescent="0.3">
      <c r="L11646" s="25"/>
      <c r="Q11646" s="17"/>
    </row>
    <row r="11647" spans="12:17" x14ac:dyDescent="0.3">
      <c r="L11647" s="25"/>
      <c r="Q11647" s="17"/>
    </row>
    <row r="11648" spans="12:17" x14ac:dyDescent="0.3">
      <c r="L11648" s="25"/>
      <c r="Q11648" s="17"/>
    </row>
    <row r="11649" spans="12:17" x14ac:dyDescent="0.3">
      <c r="L11649" s="25"/>
      <c r="Q11649" s="17"/>
    </row>
    <row r="11650" spans="12:17" x14ac:dyDescent="0.3">
      <c r="L11650" s="25"/>
      <c r="Q11650" s="17"/>
    </row>
    <row r="11651" spans="12:17" x14ac:dyDescent="0.3">
      <c r="L11651" s="25"/>
      <c r="Q11651" s="17"/>
    </row>
    <row r="11652" spans="12:17" x14ac:dyDescent="0.3">
      <c r="L11652" s="25"/>
      <c r="Q11652" s="17"/>
    </row>
    <row r="11653" spans="12:17" x14ac:dyDescent="0.3">
      <c r="L11653" s="25"/>
      <c r="Q11653" s="17"/>
    </row>
    <row r="11654" spans="12:17" x14ac:dyDescent="0.3">
      <c r="L11654" s="25"/>
      <c r="Q11654" s="17"/>
    </row>
    <row r="11655" spans="12:17" x14ac:dyDescent="0.3">
      <c r="L11655" s="25"/>
      <c r="Q11655" s="17"/>
    </row>
    <row r="11656" spans="12:17" x14ac:dyDescent="0.3">
      <c r="L11656" s="25"/>
      <c r="Q11656" s="17"/>
    </row>
    <row r="11657" spans="12:17" x14ac:dyDescent="0.3">
      <c r="L11657" s="25"/>
      <c r="Q11657" s="17"/>
    </row>
    <row r="11658" spans="12:17" x14ac:dyDescent="0.3">
      <c r="L11658" s="25"/>
      <c r="Q11658" s="17"/>
    </row>
    <row r="11659" spans="12:17" x14ac:dyDescent="0.3">
      <c r="L11659" s="25"/>
      <c r="Q11659" s="17"/>
    </row>
    <row r="11660" spans="12:17" x14ac:dyDescent="0.3">
      <c r="L11660" s="25"/>
      <c r="Q11660" s="17"/>
    </row>
    <row r="11661" spans="12:17" x14ac:dyDescent="0.3">
      <c r="L11661" s="25"/>
      <c r="Q11661" s="17"/>
    </row>
    <row r="11662" spans="12:17" x14ac:dyDescent="0.3">
      <c r="L11662" s="25"/>
      <c r="Q11662" s="17"/>
    </row>
    <row r="11663" spans="12:17" x14ac:dyDescent="0.3">
      <c r="L11663" s="25"/>
      <c r="Q11663" s="17"/>
    </row>
    <row r="11664" spans="12:17" x14ac:dyDescent="0.3">
      <c r="L11664" s="25"/>
      <c r="Q11664" s="17"/>
    </row>
    <row r="11665" spans="12:17" x14ac:dyDescent="0.3">
      <c r="L11665" s="25"/>
      <c r="Q11665" s="17"/>
    </row>
    <row r="11666" spans="12:17" x14ac:dyDescent="0.3">
      <c r="L11666" s="25"/>
      <c r="Q11666" s="17"/>
    </row>
    <row r="11667" spans="12:17" x14ac:dyDescent="0.3">
      <c r="L11667" s="25"/>
      <c r="Q11667" s="17"/>
    </row>
    <row r="11668" spans="12:17" x14ac:dyDescent="0.3">
      <c r="L11668" s="25"/>
      <c r="Q11668" s="17"/>
    </row>
    <row r="11669" spans="12:17" x14ac:dyDescent="0.3">
      <c r="L11669" s="25"/>
      <c r="Q11669" s="17"/>
    </row>
    <row r="11670" spans="12:17" x14ac:dyDescent="0.3">
      <c r="L11670" s="25"/>
      <c r="Q11670" s="17"/>
    </row>
    <row r="11671" spans="12:17" x14ac:dyDescent="0.3">
      <c r="L11671" s="25"/>
      <c r="Q11671" s="17"/>
    </row>
    <row r="11672" spans="12:17" x14ac:dyDescent="0.3">
      <c r="L11672" s="25"/>
      <c r="Q11672" s="17"/>
    </row>
    <row r="11673" spans="12:17" x14ac:dyDescent="0.3">
      <c r="L11673" s="25"/>
      <c r="Q11673" s="17"/>
    </row>
    <row r="11674" spans="12:17" x14ac:dyDescent="0.3">
      <c r="L11674" s="25"/>
      <c r="Q11674" s="17"/>
    </row>
    <row r="11675" spans="12:17" x14ac:dyDescent="0.3">
      <c r="L11675" s="25"/>
      <c r="Q11675" s="17"/>
    </row>
    <row r="11676" spans="12:17" x14ac:dyDescent="0.3">
      <c r="L11676" s="25"/>
      <c r="Q11676" s="17"/>
    </row>
    <row r="11677" spans="12:17" x14ac:dyDescent="0.3">
      <c r="L11677" s="25"/>
      <c r="Q11677" s="17"/>
    </row>
    <row r="11678" spans="12:17" x14ac:dyDescent="0.3">
      <c r="L11678" s="25"/>
      <c r="Q11678" s="17"/>
    </row>
    <row r="11679" spans="12:17" x14ac:dyDescent="0.3">
      <c r="L11679" s="25"/>
      <c r="Q11679" s="17"/>
    </row>
    <row r="11680" spans="12:17" x14ac:dyDescent="0.3">
      <c r="L11680" s="25"/>
      <c r="Q11680" s="17"/>
    </row>
    <row r="11681" spans="12:17" x14ac:dyDescent="0.3">
      <c r="L11681" s="25"/>
      <c r="Q11681" s="17"/>
    </row>
    <row r="11682" spans="12:17" x14ac:dyDescent="0.3">
      <c r="L11682" s="25"/>
      <c r="Q11682" s="17"/>
    </row>
    <row r="11683" spans="12:17" x14ac:dyDescent="0.3">
      <c r="L11683" s="25"/>
      <c r="Q11683" s="17"/>
    </row>
    <row r="11684" spans="12:17" x14ac:dyDescent="0.3">
      <c r="L11684" s="25"/>
      <c r="Q11684" s="17"/>
    </row>
    <row r="11685" spans="12:17" x14ac:dyDescent="0.3">
      <c r="L11685" s="25"/>
      <c r="Q11685" s="17"/>
    </row>
    <row r="11686" spans="12:17" x14ac:dyDescent="0.3">
      <c r="L11686" s="25"/>
      <c r="Q11686" s="17"/>
    </row>
    <row r="11687" spans="12:17" x14ac:dyDescent="0.3">
      <c r="L11687" s="25"/>
      <c r="Q11687" s="17"/>
    </row>
    <row r="11688" spans="12:17" x14ac:dyDescent="0.3">
      <c r="L11688" s="25"/>
      <c r="Q11688" s="17"/>
    </row>
    <row r="11689" spans="12:17" x14ac:dyDescent="0.3">
      <c r="L11689" s="25"/>
      <c r="Q11689" s="17"/>
    </row>
    <row r="11690" spans="12:17" x14ac:dyDescent="0.3">
      <c r="L11690" s="25"/>
      <c r="Q11690" s="17"/>
    </row>
    <row r="11691" spans="12:17" x14ac:dyDescent="0.3">
      <c r="L11691" s="25"/>
      <c r="Q11691" s="17"/>
    </row>
    <row r="11692" spans="12:17" x14ac:dyDescent="0.3">
      <c r="L11692" s="25"/>
      <c r="Q11692" s="17"/>
    </row>
    <row r="11693" spans="12:17" x14ac:dyDescent="0.3">
      <c r="L11693" s="25"/>
      <c r="Q11693" s="17"/>
    </row>
    <row r="11694" spans="12:17" x14ac:dyDescent="0.3">
      <c r="L11694" s="25"/>
      <c r="Q11694" s="17"/>
    </row>
    <row r="11695" spans="12:17" x14ac:dyDescent="0.3">
      <c r="L11695" s="25"/>
      <c r="Q11695" s="17"/>
    </row>
    <row r="11696" spans="12:17" x14ac:dyDescent="0.3">
      <c r="L11696" s="25"/>
      <c r="Q11696" s="17"/>
    </row>
    <row r="11697" spans="12:17" x14ac:dyDescent="0.3">
      <c r="L11697" s="25"/>
      <c r="Q11697" s="17"/>
    </row>
    <row r="11698" spans="12:17" x14ac:dyDescent="0.3">
      <c r="L11698" s="25"/>
      <c r="Q11698" s="17"/>
    </row>
    <row r="11699" spans="12:17" x14ac:dyDescent="0.3">
      <c r="L11699" s="25"/>
      <c r="Q11699" s="17"/>
    </row>
    <row r="11700" spans="12:17" x14ac:dyDescent="0.3">
      <c r="L11700" s="25"/>
      <c r="Q11700" s="17"/>
    </row>
    <row r="11701" spans="12:17" x14ac:dyDescent="0.3">
      <c r="L11701" s="25"/>
      <c r="Q11701" s="17"/>
    </row>
    <row r="11702" spans="12:17" x14ac:dyDescent="0.3">
      <c r="L11702" s="25"/>
      <c r="Q11702" s="17"/>
    </row>
    <row r="11703" spans="12:17" x14ac:dyDescent="0.3">
      <c r="L11703" s="25"/>
      <c r="Q11703" s="17"/>
    </row>
    <row r="11704" spans="12:17" x14ac:dyDescent="0.3">
      <c r="L11704" s="25"/>
      <c r="Q11704" s="17"/>
    </row>
    <row r="11705" spans="12:17" x14ac:dyDescent="0.3">
      <c r="L11705" s="25"/>
      <c r="Q11705" s="17"/>
    </row>
    <row r="11706" spans="12:17" x14ac:dyDescent="0.3">
      <c r="L11706" s="25"/>
      <c r="Q11706" s="17"/>
    </row>
    <row r="11707" spans="12:17" x14ac:dyDescent="0.3">
      <c r="L11707" s="25"/>
      <c r="Q11707" s="17"/>
    </row>
    <row r="11708" spans="12:17" x14ac:dyDescent="0.3">
      <c r="L11708" s="25"/>
      <c r="Q11708" s="17"/>
    </row>
    <row r="11709" spans="12:17" x14ac:dyDescent="0.3">
      <c r="L11709" s="25"/>
      <c r="Q11709" s="17"/>
    </row>
    <row r="11710" spans="12:17" x14ac:dyDescent="0.3">
      <c r="L11710" s="25"/>
      <c r="Q11710" s="17"/>
    </row>
    <row r="11711" spans="12:17" x14ac:dyDescent="0.3">
      <c r="L11711" s="25"/>
      <c r="Q11711" s="17"/>
    </row>
    <row r="11712" spans="12:17" x14ac:dyDescent="0.3">
      <c r="L11712" s="25"/>
      <c r="Q11712" s="17"/>
    </row>
    <row r="11713" spans="12:17" x14ac:dyDescent="0.3">
      <c r="L11713" s="25"/>
      <c r="Q11713" s="17"/>
    </row>
    <row r="11714" spans="12:17" x14ac:dyDescent="0.3">
      <c r="L11714" s="25"/>
      <c r="Q11714" s="17"/>
    </row>
    <row r="11715" spans="12:17" x14ac:dyDescent="0.3">
      <c r="L11715" s="25"/>
      <c r="Q11715" s="17"/>
    </row>
    <row r="11716" spans="12:17" x14ac:dyDescent="0.3">
      <c r="L11716" s="25"/>
      <c r="Q11716" s="17"/>
    </row>
    <row r="11717" spans="12:17" x14ac:dyDescent="0.3">
      <c r="L11717" s="25"/>
      <c r="Q11717" s="17"/>
    </row>
    <row r="11718" spans="12:17" x14ac:dyDescent="0.3">
      <c r="L11718" s="25"/>
      <c r="Q11718" s="17"/>
    </row>
    <row r="11719" spans="12:17" x14ac:dyDescent="0.3">
      <c r="L11719" s="25"/>
      <c r="Q11719" s="17"/>
    </row>
    <row r="11720" spans="12:17" x14ac:dyDescent="0.3">
      <c r="L11720" s="25"/>
      <c r="Q11720" s="17"/>
    </row>
    <row r="11721" spans="12:17" x14ac:dyDescent="0.3">
      <c r="L11721" s="25"/>
      <c r="Q11721" s="17"/>
    </row>
    <row r="11722" spans="12:17" x14ac:dyDescent="0.3">
      <c r="L11722" s="25"/>
      <c r="Q11722" s="17"/>
    </row>
    <row r="11723" spans="12:17" x14ac:dyDescent="0.3">
      <c r="L11723" s="25"/>
      <c r="Q11723" s="17"/>
    </row>
    <row r="11724" spans="12:17" x14ac:dyDescent="0.3">
      <c r="L11724" s="25"/>
      <c r="Q11724" s="17"/>
    </row>
    <row r="11725" spans="12:17" x14ac:dyDescent="0.3">
      <c r="L11725" s="25"/>
      <c r="Q11725" s="17"/>
    </row>
    <row r="11726" spans="12:17" x14ac:dyDescent="0.3">
      <c r="L11726" s="25"/>
      <c r="Q11726" s="17"/>
    </row>
    <row r="11727" spans="12:17" x14ac:dyDescent="0.3">
      <c r="L11727" s="25"/>
      <c r="Q11727" s="17"/>
    </row>
    <row r="11728" spans="12:17" x14ac:dyDescent="0.3">
      <c r="L11728" s="25"/>
      <c r="Q11728" s="17"/>
    </row>
    <row r="11729" spans="12:17" x14ac:dyDescent="0.3">
      <c r="L11729" s="25"/>
      <c r="Q11729" s="17"/>
    </row>
    <row r="11730" spans="12:17" x14ac:dyDescent="0.3">
      <c r="L11730" s="25"/>
      <c r="Q11730" s="17"/>
    </row>
    <row r="11731" spans="12:17" x14ac:dyDescent="0.3">
      <c r="L11731" s="25"/>
      <c r="Q11731" s="17"/>
    </row>
    <row r="11732" spans="12:17" x14ac:dyDescent="0.3">
      <c r="L11732" s="25"/>
      <c r="Q11732" s="17"/>
    </row>
    <row r="11733" spans="12:17" x14ac:dyDescent="0.3">
      <c r="L11733" s="25"/>
      <c r="Q11733" s="17"/>
    </row>
    <row r="11734" spans="12:17" x14ac:dyDescent="0.3">
      <c r="L11734" s="25"/>
      <c r="Q11734" s="17"/>
    </row>
    <row r="11735" spans="12:17" x14ac:dyDescent="0.3">
      <c r="L11735" s="25"/>
      <c r="Q11735" s="17"/>
    </row>
    <row r="11736" spans="12:17" x14ac:dyDescent="0.3">
      <c r="L11736" s="25"/>
      <c r="Q11736" s="17"/>
    </row>
    <row r="11737" spans="12:17" x14ac:dyDescent="0.3">
      <c r="L11737" s="25"/>
      <c r="Q11737" s="17"/>
    </row>
    <row r="11738" spans="12:17" x14ac:dyDescent="0.3">
      <c r="L11738" s="25"/>
      <c r="Q11738" s="17"/>
    </row>
    <row r="11739" spans="12:17" x14ac:dyDescent="0.3">
      <c r="L11739" s="25"/>
      <c r="Q11739" s="17"/>
    </row>
    <row r="11740" spans="12:17" x14ac:dyDescent="0.3">
      <c r="L11740" s="25"/>
      <c r="Q11740" s="17"/>
    </row>
    <row r="11741" spans="12:17" x14ac:dyDescent="0.3">
      <c r="L11741" s="25"/>
      <c r="Q11741" s="17"/>
    </row>
    <row r="11742" spans="12:17" x14ac:dyDescent="0.3">
      <c r="L11742" s="25"/>
      <c r="Q11742" s="17"/>
    </row>
    <row r="11743" spans="12:17" x14ac:dyDescent="0.3">
      <c r="L11743" s="25"/>
      <c r="Q11743" s="17"/>
    </row>
    <row r="11744" spans="12:17" x14ac:dyDescent="0.3">
      <c r="L11744" s="25"/>
      <c r="Q11744" s="17"/>
    </row>
    <row r="11745" spans="12:17" x14ac:dyDescent="0.3">
      <c r="L11745" s="25"/>
      <c r="Q11745" s="17"/>
    </row>
    <row r="11746" spans="12:17" x14ac:dyDescent="0.3">
      <c r="L11746" s="25"/>
      <c r="Q11746" s="17"/>
    </row>
    <row r="11747" spans="12:17" x14ac:dyDescent="0.3">
      <c r="L11747" s="25"/>
      <c r="Q11747" s="17"/>
    </row>
    <row r="11748" spans="12:17" x14ac:dyDescent="0.3">
      <c r="L11748" s="25"/>
      <c r="Q11748" s="17"/>
    </row>
    <row r="11749" spans="12:17" x14ac:dyDescent="0.3">
      <c r="L11749" s="25"/>
      <c r="Q11749" s="17"/>
    </row>
    <row r="11750" spans="12:17" x14ac:dyDescent="0.3">
      <c r="L11750" s="25"/>
      <c r="Q11750" s="17"/>
    </row>
    <row r="11751" spans="12:17" x14ac:dyDescent="0.3">
      <c r="L11751" s="25"/>
      <c r="Q11751" s="17"/>
    </row>
    <row r="11752" spans="12:17" x14ac:dyDescent="0.3">
      <c r="L11752" s="25"/>
      <c r="Q11752" s="17"/>
    </row>
    <row r="11753" spans="12:17" x14ac:dyDescent="0.3">
      <c r="L11753" s="25"/>
      <c r="Q11753" s="17"/>
    </row>
    <row r="11754" spans="12:17" x14ac:dyDescent="0.3">
      <c r="L11754" s="25"/>
      <c r="Q11754" s="17"/>
    </row>
    <row r="11755" spans="12:17" x14ac:dyDescent="0.3">
      <c r="L11755" s="25"/>
      <c r="Q11755" s="17"/>
    </row>
    <row r="11756" spans="12:17" x14ac:dyDescent="0.3">
      <c r="L11756" s="25"/>
      <c r="Q11756" s="17"/>
    </row>
    <row r="11757" spans="12:17" x14ac:dyDescent="0.3">
      <c r="L11757" s="25"/>
      <c r="Q11757" s="17"/>
    </row>
    <row r="11758" spans="12:17" x14ac:dyDescent="0.3">
      <c r="L11758" s="25"/>
      <c r="Q11758" s="17"/>
    </row>
    <row r="11759" spans="12:17" x14ac:dyDescent="0.3">
      <c r="L11759" s="25"/>
      <c r="Q11759" s="17"/>
    </row>
    <row r="11760" spans="12:17" x14ac:dyDescent="0.3">
      <c r="L11760" s="25"/>
      <c r="Q11760" s="17"/>
    </row>
    <row r="11761" spans="12:17" x14ac:dyDescent="0.3">
      <c r="L11761" s="25"/>
      <c r="Q11761" s="17"/>
    </row>
    <row r="11762" spans="12:17" x14ac:dyDescent="0.3">
      <c r="L11762" s="25"/>
      <c r="Q11762" s="17"/>
    </row>
    <row r="11763" spans="12:17" x14ac:dyDescent="0.3">
      <c r="L11763" s="25"/>
      <c r="Q11763" s="17"/>
    </row>
    <row r="11764" spans="12:17" x14ac:dyDescent="0.3">
      <c r="L11764" s="25"/>
      <c r="Q11764" s="17"/>
    </row>
    <row r="11765" spans="12:17" x14ac:dyDescent="0.3">
      <c r="L11765" s="25"/>
      <c r="Q11765" s="17"/>
    </row>
    <row r="11766" spans="12:17" x14ac:dyDescent="0.3">
      <c r="L11766" s="25"/>
      <c r="Q11766" s="17"/>
    </row>
    <row r="11767" spans="12:17" x14ac:dyDescent="0.3">
      <c r="L11767" s="25"/>
      <c r="Q11767" s="17"/>
    </row>
    <row r="11768" spans="12:17" x14ac:dyDescent="0.3">
      <c r="L11768" s="25"/>
      <c r="Q11768" s="17"/>
    </row>
    <row r="11769" spans="12:17" x14ac:dyDescent="0.3">
      <c r="L11769" s="25"/>
      <c r="Q11769" s="17"/>
    </row>
    <row r="11770" spans="12:17" x14ac:dyDescent="0.3">
      <c r="L11770" s="25"/>
      <c r="Q11770" s="17"/>
    </row>
    <row r="11771" spans="12:17" x14ac:dyDescent="0.3">
      <c r="L11771" s="25"/>
      <c r="Q11771" s="17"/>
    </row>
    <row r="11772" spans="12:17" x14ac:dyDescent="0.3">
      <c r="L11772" s="25"/>
      <c r="Q11772" s="17"/>
    </row>
    <row r="11773" spans="12:17" x14ac:dyDescent="0.3">
      <c r="L11773" s="25"/>
      <c r="Q11773" s="17"/>
    </row>
    <row r="11774" spans="12:17" x14ac:dyDescent="0.3">
      <c r="L11774" s="25"/>
      <c r="Q11774" s="17"/>
    </row>
    <row r="11775" spans="12:17" x14ac:dyDescent="0.3">
      <c r="L11775" s="25"/>
      <c r="Q11775" s="17"/>
    </row>
    <row r="11776" spans="12:17" x14ac:dyDescent="0.3">
      <c r="L11776" s="25"/>
      <c r="Q11776" s="17"/>
    </row>
    <row r="11777" spans="12:17" x14ac:dyDescent="0.3">
      <c r="L11777" s="25"/>
      <c r="Q11777" s="17"/>
    </row>
    <row r="11778" spans="12:17" x14ac:dyDescent="0.3">
      <c r="L11778" s="25"/>
      <c r="Q11778" s="17"/>
    </row>
    <row r="11779" spans="12:17" x14ac:dyDescent="0.3">
      <c r="L11779" s="25"/>
      <c r="Q11779" s="17"/>
    </row>
    <row r="11780" spans="12:17" x14ac:dyDescent="0.3">
      <c r="L11780" s="25"/>
      <c r="Q11780" s="17"/>
    </row>
    <row r="11781" spans="12:17" x14ac:dyDescent="0.3">
      <c r="L11781" s="25"/>
      <c r="Q11781" s="17"/>
    </row>
    <row r="11782" spans="12:17" x14ac:dyDescent="0.3">
      <c r="L11782" s="25"/>
      <c r="Q11782" s="17"/>
    </row>
    <row r="11783" spans="12:17" x14ac:dyDescent="0.3">
      <c r="L11783" s="25"/>
      <c r="Q11783" s="17"/>
    </row>
    <row r="11784" spans="12:17" x14ac:dyDescent="0.3">
      <c r="L11784" s="25"/>
      <c r="Q11784" s="17"/>
    </row>
    <row r="11785" spans="12:17" x14ac:dyDescent="0.3">
      <c r="L11785" s="25"/>
      <c r="Q11785" s="17"/>
    </row>
    <row r="11786" spans="12:17" x14ac:dyDescent="0.3">
      <c r="L11786" s="25"/>
      <c r="Q11786" s="17"/>
    </row>
    <row r="11787" spans="12:17" x14ac:dyDescent="0.3">
      <c r="L11787" s="25"/>
      <c r="Q11787" s="17"/>
    </row>
    <row r="11788" spans="12:17" x14ac:dyDescent="0.3">
      <c r="L11788" s="25"/>
      <c r="Q11788" s="17"/>
    </row>
    <row r="11789" spans="12:17" x14ac:dyDescent="0.3">
      <c r="L11789" s="25"/>
      <c r="Q11789" s="17"/>
    </row>
    <row r="11790" spans="12:17" x14ac:dyDescent="0.3">
      <c r="L11790" s="25"/>
      <c r="Q11790" s="17"/>
    </row>
    <row r="11791" spans="12:17" x14ac:dyDescent="0.3">
      <c r="L11791" s="25"/>
      <c r="Q11791" s="17"/>
    </row>
    <row r="11792" spans="12:17" x14ac:dyDescent="0.3">
      <c r="L11792" s="25"/>
      <c r="Q11792" s="17"/>
    </row>
    <row r="11793" spans="12:17" x14ac:dyDescent="0.3">
      <c r="L11793" s="25"/>
      <c r="Q11793" s="17"/>
    </row>
    <row r="11794" spans="12:17" x14ac:dyDescent="0.3">
      <c r="L11794" s="25"/>
      <c r="Q11794" s="17"/>
    </row>
    <row r="11795" spans="12:17" x14ac:dyDescent="0.3">
      <c r="L11795" s="25"/>
      <c r="Q11795" s="17"/>
    </row>
    <row r="11796" spans="12:17" x14ac:dyDescent="0.3">
      <c r="L11796" s="25"/>
      <c r="Q11796" s="17"/>
    </row>
    <row r="11797" spans="12:17" x14ac:dyDescent="0.3">
      <c r="L11797" s="25"/>
      <c r="Q11797" s="17"/>
    </row>
    <row r="11798" spans="12:17" x14ac:dyDescent="0.3">
      <c r="L11798" s="25"/>
      <c r="Q11798" s="17"/>
    </row>
    <row r="11799" spans="12:17" x14ac:dyDescent="0.3">
      <c r="L11799" s="25"/>
      <c r="Q11799" s="17"/>
    </row>
    <row r="11800" spans="12:17" x14ac:dyDescent="0.3">
      <c r="L11800" s="25"/>
      <c r="Q11800" s="17"/>
    </row>
    <row r="11801" spans="12:17" x14ac:dyDescent="0.3">
      <c r="L11801" s="25"/>
      <c r="Q11801" s="17"/>
    </row>
    <row r="11802" spans="12:17" x14ac:dyDescent="0.3">
      <c r="L11802" s="25"/>
      <c r="Q11802" s="17"/>
    </row>
    <row r="11803" spans="12:17" x14ac:dyDescent="0.3">
      <c r="L11803" s="25"/>
      <c r="Q11803" s="17"/>
    </row>
    <row r="11804" spans="12:17" x14ac:dyDescent="0.3">
      <c r="L11804" s="25"/>
      <c r="Q11804" s="17"/>
    </row>
    <row r="11805" spans="12:17" x14ac:dyDescent="0.3">
      <c r="L11805" s="25"/>
      <c r="Q11805" s="17"/>
    </row>
    <row r="11806" spans="12:17" x14ac:dyDescent="0.3">
      <c r="L11806" s="25"/>
      <c r="Q11806" s="17"/>
    </row>
    <row r="11807" spans="12:17" x14ac:dyDescent="0.3">
      <c r="L11807" s="25"/>
      <c r="Q11807" s="17"/>
    </row>
    <row r="11808" spans="12:17" x14ac:dyDescent="0.3">
      <c r="L11808" s="25"/>
      <c r="Q11808" s="17"/>
    </row>
    <row r="11809" spans="12:17" x14ac:dyDescent="0.3">
      <c r="L11809" s="25"/>
      <c r="Q11809" s="17"/>
    </row>
    <row r="11810" spans="12:17" x14ac:dyDescent="0.3">
      <c r="L11810" s="25"/>
      <c r="Q11810" s="17"/>
    </row>
    <row r="11811" spans="12:17" x14ac:dyDescent="0.3">
      <c r="L11811" s="25"/>
      <c r="Q11811" s="17"/>
    </row>
    <row r="11812" spans="12:17" x14ac:dyDescent="0.3">
      <c r="L11812" s="25"/>
      <c r="Q11812" s="17"/>
    </row>
    <row r="11813" spans="12:17" x14ac:dyDescent="0.3">
      <c r="L11813" s="25"/>
      <c r="Q11813" s="17"/>
    </row>
    <row r="11814" spans="12:17" x14ac:dyDescent="0.3">
      <c r="L11814" s="25"/>
      <c r="Q11814" s="17"/>
    </row>
    <row r="11815" spans="12:17" x14ac:dyDescent="0.3">
      <c r="L11815" s="25"/>
      <c r="Q11815" s="17"/>
    </row>
    <row r="11816" spans="12:17" x14ac:dyDescent="0.3">
      <c r="L11816" s="25"/>
      <c r="Q11816" s="17"/>
    </row>
    <row r="11817" spans="12:17" x14ac:dyDescent="0.3">
      <c r="L11817" s="25"/>
      <c r="Q11817" s="17"/>
    </row>
    <row r="11818" spans="12:17" x14ac:dyDescent="0.3">
      <c r="L11818" s="25"/>
      <c r="Q11818" s="17"/>
    </row>
    <row r="11819" spans="12:17" x14ac:dyDescent="0.3">
      <c r="L11819" s="25"/>
      <c r="Q11819" s="17"/>
    </row>
    <row r="11820" spans="12:17" x14ac:dyDescent="0.3">
      <c r="L11820" s="25"/>
      <c r="Q11820" s="17"/>
    </row>
    <row r="11821" spans="12:17" x14ac:dyDescent="0.3">
      <c r="L11821" s="25"/>
      <c r="Q11821" s="17"/>
    </row>
    <row r="11822" spans="12:17" x14ac:dyDescent="0.3">
      <c r="L11822" s="25"/>
      <c r="Q11822" s="17"/>
    </row>
    <row r="11823" spans="12:17" x14ac:dyDescent="0.3">
      <c r="L11823" s="25"/>
      <c r="Q11823" s="17"/>
    </row>
    <row r="11824" spans="12:17" x14ac:dyDescent="0.3">
      <c r="L11824" s="25"/>
      <c r="Q11824" s="17"/>
    </row>
    <row r="11825" spans="12:17" x14ac:dyDescent="0.3">
      <c r="L11825" s="25"/>
      <c r="Q11825" s="17"/>
    </row>
    <row r="11826" spans="12:17" x14ac:dyDescent="0.3">
      <c r="L11826" s="25"/>
      <c r="Q11826" s="17"/>
    </row>
    <row r="11827" spans="12:17" x14ac:dyDescent="0.3">
      <c r="L11827" s="25"/>
      <c r="Q11827" s="17"/>
    </row>
    <row r="11828" spans="12:17" x14ac:dyDescent="0.3">
      <c r="L11828" s="25"/>
      <c r="Q11828" s="17"/>
    </row>
    <row r="11829" spans="12:17" x14ac:dyDescent="0.3">
      <c r="L11829" s="25"/>
      <c r="Q11829" s="17"/>
    </row>
    <row r="11830" spans="12:17" x14ac:dyDescent="0.3">
      <c r="L11830" s="25"/>
      <c r="Q11830" s="17"/>
    </row>
    <row r="11831" spans="12:17" x14ac:dyDescent="0.3">
      <c r="L11831" s="25"/>
      <c r="Q11831" s="17"/>
    </row>
    <row r="11832" spans="12:17" x14ac:dyDescent="0.3">
      <c r="L11832" s="25"/>
      <c r="Q11832" s="17"/>
    </row>
    <row r="11833" spans="12:17" x14ac:dyDescent="0.3">
      <c r="L11833" s="25"/>
      <c r="Q11833" s="17"/>
    </row>
    <row r="11834" spans="12:17" x14ac:dyDescent="0.3">
      <c r="L11834" s="25"/>
      <c r="Q11834" s="17"/>
    </row>
    <row r="11835" spans="12:17" x14ac:dyDescent="0.3">
      <c r="L11835" s="25"/>
      <c r="Q11835" s="17"/>
    </row>
    <row r="11836" spans="12:17" x14ac:dyDescent="0.3">
      <c r="L11836" s="25"/>
      <c r="Q11836" s="17"/>
    </row>
    <row r="11837" spans="12:17" x14ac:dyDescent="0.3">
      <c r="L11837" s="25"/>
      <c r="Q11837" s="17"/>
    </row>
    <row r="11838" spans="12:17" x14ac:dyDescent="0.3">
      <c r="L11838" s="25"/>
      <c r="Q11838" s="17"/>
    </row>
    <row r="11839" spans="12:17" x14ac:dyDescent="0.3">
      <c r="L11839" s="25"/>
      <c r="Q11839" s="17"/>
    </row>
    <row r="11840" spans="12:17" x14ac:dyDescent="0.3">
      <c r="L11840" s="25"/>
      <c r="Q11840" s="17"/>
    </row>
    <row r="11841" spans="12:17" x14ac:dyDescent="0.3">
      <c r="L11841" s="25"/>
      <c r="Q11841" s="17"/>
    </row>
    <row r="11842" spans="12:17" x14ac:dyDescent="0.3">
      <c r="L11842" s="25"/>
      <c r="Q11842" s="17"/>
    </row>
    <row r="11843" spans="12:17" x14ac:dyDescent="0.3">
      <c r="L11843" s="25"/>
      <c r="Q11843" s="17"/>
    </row>
    <row r="11844" spans="12:17" x14ac:dyDescent="0.3">
      <c r="L11844" s="25"/>
      <c r="Q11844" s="17"/>
    </row>
    <row r="11845" spans="12:17" x14ac:dyDescent="0.3">
      <c r="L11845" s="25"/>
      <c r="Q11845" s="17"/>
    </row>
    <row r="11846" spans="12:17" x14ac:dyDescent="0.3">
      <c r="L11846" s="25"/>
      <c r="Q11846" s="17"/>
    </row>
    <row r="11847" spans="12:17" x14ac:dyDescent="0.3">
      <c r="L11847" s="25"/>
      <c r="Q11847" s="17"/>
    </row>
    <row r="11848" spans="12:17" x14ac:dyDescent="0.3">
      <c r="L11848" s="25"/>
      <c r="Q11848" s="17"/>
    </row>
    <row r="11849" spans="12:17" x14ac:dyDescent="0.3">
      <c r="L11849" s="25"/>
      <c r="Q11849" s="17"/>
    </row>
    <row r="11850" spans="12:17" x14ac:dyDescent="0.3">
      <c r="L11850" s="25"/>
      <c r="Q11850" s="17"/>
    </row>
    <row r="11851" spans="12:17" x14ac:dyDescent="0.3">
      <c r="L11851" s="25"/>
      <c r="Q11851" s="17"/>
    </row>
    <row r="11852" spans="12:17" x14ac:dyDescent="0.3">
      <c r="L11852" s="25"/>
      <c r="Q11852" s="17"/>
    </row>
    <row r="11853" spans="12:17" x14ac:dyDescent="0.3">
      <c r="L11853" s="25"/>
      <c r="Q11853" s="17"/>
    </row>
    <row r="11854" spans="12:17" x14ac:dyDescent="0.3">
      <c r="L11854" s="25"/>
      <c r="Q11854" s="17"/>
    </row>
    <row r="11855" spans="12:17" x14ac:dyDescent="0.3">
      <c r="L11855" s="25"/>
      <c r="Q11855" s="17"/>
    </row>
    <row r="11856" spans="12:17" x14ac:dyDescent="0.3">
      <c r="L11856" s="25"/>
      <c r="Q11856" s="17"/>
    </row>
    <row r="11857" spans="12:17" x14ac:dyDescent="0.3">
      <c r="L11857" s="25"/>
      <c r="Q11857" s="17"/>
    </row>
    <row r="11858" spans="12:17" x14ac:dyDescent="0.3">
      <c r="L11858" s="25"/>
      <c r="Q11858" s="17"/>
    </row>
    <row r="11859" spans="12:17" x14ac:dyDescent="0.3">
      <c r="L11859" s="25"/>
      <c r="Q11859" s="17"/>
    </row>
    <row r="11860" spans="12:17" x14ac:dyDescent="0.3">
      <c r="L11860" s="25"/>
      <c r="Q11860" s="17"/>
    </row>
    <row r="11861" spans="12:17" x14ac:dyDescent="0.3">
      <c r="L11861" s="25"/>
      <c r="Q11861" s="17"/>
    </row>
    <row r="11862" spans="12:17" x14ac:dyDescent="0.3">
      <c r="L11862" s="25"/>
      <c r="Q11862" s="17"/>
    </row>
    <row r="11863" spans="12:17" x14ac:dyDescent="0.3">
      <c r="L11863" s="25"/>
      <c r="Q11863" s="17"/>
    </row>
    <row r="11864" spans="12:17" x14ac:dyDescent="0.3">
      <c r="L11864" s="25"/>
      <c r="Q11864" s="17"/>
    </row>
    <row r="11865" spans="12:17" x14ac:dyDescent="0.3">
      <c r="L11865" s="25"/>
      <c r="Q11865" s="17"/>
    </row>
    <row r="11866" spans="12:17" x14ac:dyDescent="0.3">
      <c r="L11866" s="25"/>
      <c r="Q11866" s="17"/>
    </row>
    <row r="11867" spans="12:17" x14ac:dyDescent="0.3">
      <c r="L11867" s="25"/>
      <c r="Q11867" s="17"/>
    </row>
    <row r="11868" spans="12:17" x14ac:dyDescent="0.3">
      <c r="L11868" s="25"/>
      <c r="Q11868" s="17"/>
    </row>
    <row r="11869" spans="12:17" x14ac:dyDescent="0.3">
      <c r="L11869" s="25"/>
      <c r="Q11869" s="17"/>
    </row>
    <row r="11870" spans="12:17" x14ac:dyDescent="0.3">
      <c r="L11870" s="25"/>
      <c r="Q11870" s="17"/>
    </row>
    <row r="11871" spans="12:17" x14ac:dyDescent="0.3">
      <c r="L11871" s="25"/>
      <c r="Q11871" s="17"/>
    </row>
    <row r="11872" spans="12:17" x14ac:dyDescent="0.3">
      <c r="L11872" s="25"/>
      <c r="Q11872" s="17"/>
    </row>
    <row r="11873" spans="12:17" x14ac:dyDescent="0.3">
      <c r="L11873" s="25"/>
      <c r="Q11873" s="17"/>
    </row>
    <row r="11874" spans="12:17" x14ac:dyDescent="0.3">
      <c r="L11874" s="25"/>
      <c r="Q11874" s="17"/>
    </row>
    <row r="11875" spans="12:17" x14ac:dyDescent="0.3">
      <c r="L11875" s="25"/>
      <c r="Q11875" s="17"/>
    </row>
    <row r="11876" spans="12:17" x14ac:dyDescent="0.3">
      <c r="L11876" s="25"/>
      <c r="Q11876" s="17"/>
    </row>
    <row r="11877" spans="12:17" x14ac:dyDescent="0.3">
      <c r="L11877" s="25"/>
      <c r="Q11877" s="17"/>
    </row>
    <row r="11878" spans="12:17" x14ac:dyDescent="0.3">
      <c r="L11878" s="25"/>
      <c r="Q11878" s="17"/>
    </row>
    <row r="11879" spans="12:17" x14ac:dyDescent="0.3">
      <c r="L11879" s="25"/>
      <c r="Q11879" s="17"/>
    </row>
    <row r="11880" spans="12:17" x14ac:dyDescent="0.3">
      <c r="L11880" s="25"/>
      <c r="Q11880" s="17"/>
    </row>
    <row r="11881" spans="12:17" x14ac:dyDescent="0.3">
      <c r="L11881" s="25"/>
      <c r="Q11881" s="17"/>
    </row>
    <row r="11882" spans="12:17" x14ac:dyDescent="0.3">
      <c r="L11882" s="25"/>
      <c r="Q11882" s="17"/>
    </row>
    <row r="11883" spans="12:17" x14ac:dyDescent="0.3">
      <c r="L11883" s="25"/>
      <c r="Q11883" s="17"/>
    </row>
    <row r="11884" spans="12:17" x14ac:dyDescent="0.3">
      <c r="L11884" s="25"/>
      <c r="Q11884" s="17"/>
    </row>
    <row r="11885" spans="12:17" x14ac:dyDescent="0.3">
      <c r="L11885" s="25"/>
      <c r="Q11885" s="17"/>
    </row>
    <row r="11886" spans="12:17" x14ac:dyDescent="0.3">
      <c r="L11886" s="25"/>
      <c r="Q11886" s="17"/>
    </row>
    <row r="11887" spans="12:17" x14ac:dyDescent="0.3">
      <c r="L11887" s="25"/>
      <c r="Q11887" s="17"/>
    </row>
    <row r="11888" spans="12:17" x14ac:dyDescent="0.3">
      <c r="L11888" s="25"/>
      <c r="Q11888" s="17"/>
    </row>
    <row r="11889" spans="12:17" x14ac:dyDescent="0.3">
      <c r="L11889" s="25"/>
      <c r="Q11889" s="17"/>
    </row>
    <row r="11890" spans="12:17" x14ac:dyDescent="0.3">
      <c r="L11890" s="25"/>
      <c r="Q11890" s="17"/>
    </row>
    <row r="11891" spans="12:17" x14ac:dyDescent="0.3">
      <c r="L11891" s="25"/>
      <c r="Q11891" s="17"/>
    </row>
    <row r="11892" spans="12:17" x14ac:dyDescent="0.3">
      <c r="L11892" s="25"/>
      <c r="Q11892" s="17"/>
    </row>
    <row r="11893" spans="12:17" x14ac:dyDescent="0.3">
      <c r="L11893" s="25"/>
      <c r="Q11893" s="17"/>
    </row>
    <row r="11894" spans="12:17" x14ac:dyDescent="0.3">
      <c r="L11894" s="25"/>
      <c r="Q11894" s="17"/>
    </row>
    <row r="11895" spans="12:17" x14ac:dyDescent="0.3">
      <c r="L11895" s="25"/>
      <c r="Q11895" s="17"/>
    </row>
    <row r="11896" spans="12:17" x14ac:dyDescent="0.3">
      <c r="L11896" s="25"/>
      <c r="Q11896" s="17"/>
    </row>
    <row r="11897" spans="12:17" x14ac:dyDescent="0.3">
      <c r="L11897" s="25"/>
      <c r="Q11897" s="17"/>
    </row>
    <row r="11898" spans="12:17" x14ac:dyDescent="0.3">
      <c r="L11898" s="25"/>
      <c r="Q11898" s="17"/>
    </row>
    <row r="11899" spans="12:17" x14ac:dyDescent="0.3">
      <c r="L11899" s="25"/>
      <c r="Q11899" s="17"/>
    </row>
    <row r="11900" spans="12:17" x14ac:dyDescent="0.3">
      <c r="L11900" s="25"/>
      <c r="Q11900" s="17"/>
    </row>
    <row r="11901" spans="12:17" x14ac:dyDescent="0.3">
      <c r="L11901" s="25"/>
      <c r="Q11901" s="17"/>
    </row>
    <row r="11902" spans="12:17" x14ac:dyDescent="0.3">
      <c r="L11902" s="25"/>
      <c r="Q11902" s="17"/>
    </row>
    <row r="11903" spans="12:17" x14ac:dyDescent="0.3">
      <c r="L11903" s="25"/>
      <c r="Q11903" s="17"/>
    </row>
    <row r="11904" spans="12:17" x14ac:dyDescent="0.3">
      <c r="L11904" s="25"/>
      <c r="Q11904" s="17"/>
    </row>
    <row r="11905" spans="12:17" x14ac:dyDescent="0.3">
      <c r="L11905" s="25"/>
      <c r="Q11905" s="17"/>
    </row>
    <row r="11906" spans="12:17" x14ac:dyDescent="0.3">
      <c r="L11906" s="25"/>
      <c r="Q11906" s="17"/>
    </row>
    <row r="11907" spans="12:17" x14ac:dyDescent="0.3">
      <c r="L11907" s="25"/>
      <c r="Q11907" s="17"/>
    </row>
    <row r="11908" spans="12:17" x14ac:dyDescent="0.3">
      <c r="L11908" s="25"/>
      <c r="Q11908" s="17"/>
    </row>
    <row r="11909" spans="12:17" x14ac:dyDescent="0.3">
      <c r="L11909" s="25"/>
      <c r="Q11909" s="17"/>
    </row>
    <row r="11910" spans="12:17" x14ac:dyDescent="0.3">
      <c r="L11910" s="25"/>
      <c r="Q11910" s="17"/>
    </row>
    <row r="11911" spans="12:17" x14ac:dyDescent="0.3">
      <c r="L11911" s="25"/>
      <c r="Q11911" s="17"/>
    </row>
    <row r="11912" spans="12:17" x14ac:dyDescent="0.3">
      <c r="L11912" s="25"/>
      <c r="Q11912" s="17"/>
    </row>
    <row r="11913" spans="12:17" x14ac:dyDescent="0.3">
      <c r="L11913" s="25"/>
      <c r="Q11913" s="17"/>
    </row>
    <row r="11914" spans="12:17" x14ac:dyDescent="0.3">
      <c r="L11914" s="25"/>
      <c r="Q11914" s="17"/>
    </row>
    <row r="11915" spans="12:17" x14ac:dyDescent="0.3">
      <c r="L11915" s="25"/>
      <c r="Q11915" s="17"/>
    </row>
    <row r="11916" spans="12:17" x14ac:dyDescent="0.3">
      <c r="L11916" s="25"/>
      <c r="Q11916" s="17"/>
    </row>
    <row r="11917" spans="12:17" x14ac:dyDescent="0.3">
      <c r="L11917" s="25"/>
      <c r="Q11917" s="17"/>
    </row>
    <row r="11918" spans="12:17" x14ac:dyDescent="0.3">
      <c r="L11918" s="25"/>
      <c r="Q11918" s="17"/>
    </row>
    <row r="11919" spans="12:17" x14ac:dyDescent="0.3">
      <c r="L11919" s="25"/>
      <c r="Q11919" s="17"/>
    </row>
    <row r="11920" spans="12:17" x14ac:dyDescent="0.3">
      <c r="L11920" s="25"/>
      <c r="Q11920" s="17"/>
    </row>
    <row r="11921" spans="12:17" x14ac:dyDescent="0.3">
      <c r="L11921" s="25"/>
      <c r="Q11921" s="17"/>
    </row>
    <row r="11922" spans="12:17" x14ac:dyDescent="0.3">
      <c r="L11922" s="25"/>
      <c r="Q11922" s="17"/>
    </row>
    <row r="11923" spans="12:17" x14ac:dyDescent="0.3">
      <c r="L11923" s="25"/>
      <c r="Q11923" s="17"/>
    </row>
    <row r="11924" spans="12:17" x14ac:dyDescent="0.3">
      <c r="L11924" s="25"/>
      <c r="Q11924" s="17"/>
    </row>
    <row r="11925" spans="12:17" x14ac:dyDescent="0.3">
      <c r="L11925" s="25"/>
      <c r="Q11925" s="17"/>
    </row>
    <row r="11926" spans="12:17" x14ac:dyDescent="0.3">
      <c r="L11926" s="25"/>
      <c r="Q11926" s="17"/>
    </row>
    <row r="11927" spans="12:17" x14ac:dyDescent="0.3">
      <c r="L11927" s="25"/>
      <c r="Q11927" s="17"/>
    </row>
    <row r="11928" spans="12:17" x14ac:dyDescent="0.3">
      <c r="L11928" s="25"/>
      <c r="Q11928" s="17"/>
    </row>
    <row r="11929" spans="12:17" x14ac:dyDescent="0.3">
      <c r="L11929" s="25"/>
      <c r="Q11929" s="17"/>
    </row>
    <row r="11930" spans="12:17" x14ac:dyDescent="0.3">
      <c r="L11930" s="25"/>
      <c r="Q11930" s="17"/>
    </row>
    <row r="11931" spans="12:17" x14ac:dyDescent="0.3">
      <c r="L11931" s="25"/>
      <c r="Q11931" s="17"/>
    </row>
    <row r="11932" spans="12:17" x14ac:dyDescent="0.3">
      <c r="L11932" s="25"/>
      <c r="Q11932" s="17"/>
    </row>
    <row r="11933" spans="12:17" x14ac:dyDescent="0.3">
      <c r="L11933" s="25"/>
      <c r="Q11933" s="17"/>
    </row>
    <row r="11934" spans="12:17" x14ac:dyDescent="0.3">
      <c r="L11934" s="25"/>
      <c r="Q11934" s="17"/>
    </row>
    <row r="11935" spans="12:17" x14ac:dyDescent="0.3">
      <c r="L11935" s="25"/>
      <c r="Q11935" s="17"/>
    </row>
    <row r="11936" spans="12:17" x14ac:dyDescent="0.3">
      <c r="L11936" s="25"/>
      <c r="Q11936" s="17"/>
    </row>
    <row r="11937" spans="12:17" x14ac:dyDescent="0.3">
      <c r="L11937" s="25"/>
      <c r="Q11937" s="17"/>
    </row>
    <row r="11938" spans="12:17" x14ac:dyDescent="0.3">
      <c r="L11938" s="25"/>
      <c r="Q11938" s="17"/>
    </row>
    <row r="11939" spans="12:17" x14ac:dyDescent="0.3">
      <c r="L11939" s="25"/>
      <c r="Q11939" s="17"/>
    </row>
    <row r="11940" spans="12:17" x14ac:dyDescent="0.3">
      <c r="L11940" s="25"/>
      <c r="Q11940" s="17"/>
    </row>
    <row r="11941" spans="12:17" x14ac:dyDescent="0.3">
      <c r="L11941" s="25"/>
      <c r="Q11941" s="17"/>
    </row>
    <row r="11942" spans="12:17" x14ac:dyDescent="0.3">
      <c r="L11942" s="25"/>
      <c r="Q11942" s="17"/>
    </row>
    <row r="11943" spans="12:17" x14ac:dyDescent="0.3">
      <c r="L11943" s="25"/>
      <c r="Q11943" s="17"/>
    </row>
    <row r="11944" spans="12:17" x14ac:dyDescent="0.3">
      <c r="L11944" s="25"/>
      <c r="Q11944" s="17"/>
    </row>
    <row r="11945" spans="12:17" x14ac:dyDescent="0.3">
      <c r="L11945" s="25"/>
      <c r="Q11945" s="17"/>
    </row>
    <row r="11946" spans="12:17" x14ac:dyDescent="0.3">
      <c r="L11946" s="25"/>
      <c r="Q11946" s="17"/>
    </row>
    <row r="11947" spans="12:17" x14ac:dyDescent="0.3">
      <c r="L11947" s="25"/>
      <c r="Q11947" s="17"/>
    </row>
    <row r="11948" spans="12:17" x14ac:dyDescent="0.3">
      <c r="L11948" s="25"/>
      <c r="Q11948" s="17"/>
    </row>
    <row r="11949" spans="12:17" x14ac:dyDescent="0.3">
      <c r="L11949" s="25"/>
      <c r="Q11949" s="17"/>
    </row>
    <row r="11950" spans="12:17" x14ac:dyDescent="0.3">
      <c r="L11950" s="25"/>
      <c r="Q11950" s="17"/>
    </row>
    <row r="11951" spans="12:17" x14ac:dyDescent="0.3">
      <c r="L11951" s="25"/>
      <c r="Q11951" s="17"/>
    </row>
    <row r="11952" spans="12:17" x14ac:dyDescent="0.3">
      <c r="L11952" s="25"/>
      <c r="Q11952" s="17"/>
    </row>
    <row r="11953" spans="12:17" x14ac:dyDescent="0.3">
      <c r="L11953" s="25"/>
      <c r="Q11953" s="17"/>
    </row>
    <row r="11954" spans="12:17" x14ac:dyDescent="0.3">
      <c r="L11954" s="25"/>
      <c r="Q11954" s="17"/>
    </row>
    <row r="11955" spans="12:17" x14ac:dyDescent="0.3">
      <c r="L11955" s="25"/>
      <c r="Q11955" s="17"/>
    </row>
    <row r="11956" spans="12:17" x14ac:dyDescent="0.3">
      <c r="L11956" s="25"/>
      <c r="Q11956" s="17"/>
    </row>
    <row r="11957" spans="12:17" x14ac:dyDescent="0.3">
      <c r="L11957" s="25"/>
      <c r="Q11957" s="17"/>
    </row>
    <row r="11958" spans="12:17" x14ac:dyDescent="0.3">
      <c r="L11958" s="25"/>
      <c r="Q11958" s="17"/>
    </row>
    <row r="11959" spans="12:17" x14ac:dyDescent="0.3">
      <c r="L11959" s="25"/>
      <c r="Q11959" s="17"/>
    </row>
    <row r="11960" spans="12:17" x14ac:dyDescent="0.3">
      <c r="L11960" s="25"/>
      <c r="Q11960" s="17"/>
    </row>
    <row r="11961" spans="12:17" x14ac:dyDescent="0.3">
      <c r="L11961" s="25"/>
      <c r="Q11961" s="17"/>
    </row>
    <row r="11962" spans="12:17" x14ac:dyDescent="0.3">
      <c r="L11962" s="25"/>
      <c r="Q11962" s="17"/>
    </row>
    <row r="11963" spans="12:17" x14ac:dyDescent="0.3">
      <c r="L11963" s="25"/>
      <c r="Q11963" s="17"/>
    </row>
    <row r="11964" spans="12:17" x14ac:dyDescent="0.3">
      <c r="L11964" s="25"/>
      <c r="Q11964" s="17"/>
    </row>
    <row r="11965" spans="12:17" x14ac:dyDescent="0.3">
      <c r="L11965" s="25"/>
      <c r="Q11965" s="17"/>
    </row>
    <row r="11966" spans="12:17" x14ac:dyDescent="0.3">
      <c r="L11966" s="25"/>
      <c r="Q11966" s="17"/>
    </row>
    <row r="11967" spans="12:17" x14ac:dyDescent="0.3">
      <c r="L11967" s="25"/>
      <c r="Q11967" s="17"/>
    </row>
    <row r="11968" spans="12:17" x14ac:dyDescent="0.3">
      <c r="L11968" s="25"/>
      <c r="Q11968" s="17"/>
    </row>
    <row r="11969" spans="12:17" x14ac:dyDescent="0.3">
      <c r="L11969" s="25"/>
      <c r="Q11969" s="17"/>
    </row>
    <row r="11970" spans="12:17" x14ac:dyDescent="0.3">
      <c r="L11970" s="25"/>
      <c r="Q11970" s="17"/>
    </row>
    <row r="11971" spans="12:17" x14ac:dyDescent="0.3">
      <c r="L11971" s="25"/>
      <c r="Q11971" s="17"/>
    </row>
    <row r="11972" spans="12:17" x14ac:dyDescent="0.3">
      <c r="L11972" s="25"/>
      <c r="Q11972" s="17"/>
    </row>
    <row r="11973" spans="12:17" x14ac:dyDescent="0.3">
      <c r="L11973" s="25"/>
      <c r="Q11973" s="17"/>
    </row>
    <row r="11974" spans="12:17" x14ac:dyDescent="0.3">
      <c r="L11974" s="25"/>
      <c r="Q11974" s="17"/>
    </row>
    <row r="11975" spans="12:17" x14ac:dyDescent="0.3">
      <c r="L11975" s="25"/>
      <c r="Q11975" s="17"/>
    </row>
    <row r="11976" spans="12:17" x14ac:dyDescent="0.3">
      <c r="L11976" s="25"/>
      <c r="Q11976" s="17"/>
    </row>
    <row r="11977" spans="12:17" x14ac:dyDescent="0.3">
      <c r="L11977" s="25"/>
      <c r="Q11977" s="17"/>
    </row>
    <row r="11978" spans="12:17" x14ac:dyDescent="0.3">
      <c r="L11978" s="25"/>
      <c r="Q11978" s="17"/>
    </row>
    <row r="11979" spans="12:17" x14ac:dyDescent="0.3">
      <c r="L11979" s="25"/>
      <c r="Q11979" s="17"/>
    </row>
    <row r="11980" spans="12:17" x14ac:dyDescent="0.3">
      <c r="L11980" s="25"/>
      <c r="Q11980" s="17"/>
    </row>
    <row r="11981" spans="12:17" x14ac:dyDescent="0.3">
      <c r="L11981" s="25"/>
      <c r="Q11981" s="17"/>
    </row>
    <row r="11982" spans="12:17" x14ac:dyDescent="0.3">
      <c r="L11982" s="25"/>
      <c r="Q11982" s="17"/>
    </row>
    <row r="11983" spans="12:17" x14ac:dyDescent="0.3">
      <c r="L11983" s="25"/>
      <c r="Q11983" s="17"/>
    </row>
    <row r="11984" spans="12:17" x14ac:dyDescent="0.3">
      <c r="L11984" s="25"/>
      <c r="Q11984" s="17"/>
    </row>
    <row r="11985" spans="12:17" x14ac:dyDescent="0.3">
      <c r="L11985" s="25"/>
      <c r="Q11985" s="17"/>
    </row>
    <row r="11986" spans="12:17" x14ac:dyDescent="0.3">
      <c r="L11986" s="25"/>
      <c r="Q11986" s="17"/>
    </row>
    <row r="11987" spans="12:17" x14ac:dyDescent="0.3">
      <c r="L11987" s="25"/>
      <c r="Q11987" s="17"/>
    </row>
    <row r="11988" spans="12:17" x14ac:dyDescent="0.3">
      <c r="L11988" s="25"/>
      <c r="Q11988" s="17"/>
    </row>
    <row r="11989" spans="12:17" x14ac:dyDescent="0.3">
      <c r="L11989" s="25"/>
      <c r="Q11989" s="17"/>
    </row>
    <row r="11990" spans="12:17" x14ac:dyDescent="0.3">
      <c r="L11990" s="25"/>
      <c r="Q11990" s="17"/>
    </row>
    <row r="11991" spans="12:17" x14ac:dyDescent="0.3">
      <c r="L11991" s="25"/>
      <c r="Q11991" s="17"/>
    </row>
    <row r="11992" spans="12:17" x14ac:dyDescent="0.3">
      <c r="L11992" s="25"/>
      <c r="Q11992" s="17"/>
    </row>
    <row r="11993" spans="12:17" x14ac:dyDescent="0.3">
      <c r="L11993" s="25"/>
      <c r="Q11993" s="17"/>
    </row>
    <row r="11994" spans="12:17" x14ac:dyDescent="0.3">
      <c r="L11994" s="25"/>
      <c r="Q11994" s="17"/>
    </row>
    <row r="11995" spans="12:17" x14ac:dyDescent="0.3">
      <c r="L11995" s="25"/>
      <c r="Q11995" s="17"/>
    </row>
    <row r="11996" spans="12:17" x14ac:dyDescent="0.3">
      <c r="L11996" s="25"/>
      <c r="Q11996" s="17"/>
    </row>
    <row r="11997" spans="12:17" x14ac:dyDescent="0.3">
      <c r="L11997" s="25"/>
      <c r="Q11997" s="17"/>
    </row>
    <row r="11998" spans="12:17" x14ac:dyDescent="0.3">
      <c r="L11998" s="25"/>
      <c r="Q11998" s="17"/>
    </row>
    <row r="11999" spans="12:17" x14ac:dyDescent="0.3">
      <c r="L11999" s="25"/>
      <c r="Q11999" s="17"/>
    </row>
    <row r="12000" spans="12:17" x14ac:dyDescent="0.3">
      <c r="L12000" s="25"/>
      <c r="Q12000" s="17"/>
    </row>
    <row r="12001" spans="12:17" x14ac:dyDescent="0.3">
      <c r="L12001" s="25"/>
      <c r="Q12001" s="17"/>
    </row>
    <row r="12002" spans="12:17" x14ac:dyDescent="0.3">
      <c r="L12002" s="25"/>
      <c r="Q12002" s="17"/>
    </row>
    <row r="12003" spans="12:17" x14ac:dyDescent="0.3">
      <c r="L12003" s="25"/>
      <c r="Q12003" s="17"/>
    </row>
    <row r="12004" spans="12:17" x14ac:dyDescent="0.3">
      <c r="L12004" s="25"/>
      <c r="Q12004" s="17"/>
    </row>
    <row r="12005" spans="12:17" x14ac:dyDescent="0.3">
      <c r="L12005" s="25"/>
      <c r="Q12005" s="17"/>
    </row>
    <row r="12006" spans="12:17" x14ac:dyDescent="0.3">
      <c r="L12006" s="25"/>
      <c r="Q12006" s="17"/>
    </row>
    <row r="12007" spans="12:17" x14ac:dyDescent="0.3">
      <c r="L12007" s="25"/>
      <c r="Q12007" s="17"/>
    </row>
    <row r="12008" spans="12:17" x14ac:dyDescent="0.3">
      <c r="L12008" s="25"/>
      <c r="Q12008" s="17"/>
    </row>
    <row r="12009" spans="12:17" x14ac:dyDescent="0.3">
      <c r="L12009" s="25"/>
      <c r="Q12009" s="17"/>
    </row>
    <row r="12010" spans="12:17" x14ac:dyDescent="0.3">
      <c r="L12010" s="25"/>
      <c r="Q12010" s="17"/>
    </row>
    <row r="12011" spans="12:17" x14ac:dyDescent="0.3">
      <c r="L12011" s="25"/>
      <c r="Q12011" s="17"/>
    </row>
    <row r="12012" spans="12:17" x14ac:dyDescent="0.3">
      <c r="L12012" s="25"/>
      <c r="Q12012" s="17"/>
    </row>
    <row r="12013" spans="12:17" x14ac:dyDescent="0.3">
      <c r="L12013" s="25"/>
      <c r="Q12013" s="17"/>
    </row>
    <row r="12014" spans="12:17" x14ac:dyDescent="0.3">
      <c r="L12014" s="25"/>
      <c r="Q12014" s="17"/>
    </row>
    <row r="12015" spans="12:17" x14ac:dyDescent="0.3">
      <c r="L12015" s="25"/>
      <c r="Q12015" s="17"/>
    </row>
    <row r="12016" spans="12:17" x14ac:dyDescent="0.3">
      <c r="L12016" s="25"/>
      <c r="Q12016" s="17"/>
    </row>
    <row r="12017" spans="12:17" x14ac:dyDescent="0.3">
      <c r="L12017" s="25"/>
      <c r="Q12017" s="17"/>
    </row>
    <row r="12018" spans="12:17" x14ac:dyDescent="0.3">
      <c r="L12018" s="25"/>
      <c r="Q12018" s="17"/>
    </row>
    <row r="12019" spans="12:17" x14ac:dyDescent="0.3">
      <c r="L12019" s="25"/>
      <c r="Q12019" s="17"/>
    </row>
    <row r="12020" spans="12:17" x14ac:dyDescent="0.3">
      <c r="L12020" s="25"/>
      <c r="Q12020" s="17"/>
    </row>
    <row r="12021" spans="12:17" x14ac:dyDescent="0.3">
      <c r="L12021" s="25"/>
      <c r="Q12021" s="17"/>
    </row>
    <row r="12022" spans="12:17" x14ac:dyDescent="0.3">
      <c r="L12022" s="25"/>
      <c r="Q12022" s="17"/>
    </row>
    <row r="12023" spans="12:17" x14ac:dyDescent="0.3">
      <c r="L12023" s="25"/>
      <c r="Q12023" s="17"/>
    </row>
    <row r="12024" spans="12:17" x14ac:dyDescent="0.3">
      <c r="L12024" s="25"/>
      <c r="Q12024" s="17"/>
    </row>
    <row r="12025" spans="12:17" x14ac:dyDescent="0.3">
      <c r="L12025" s="25"/>
      <c r="Q12025" s="17"/>
    </row>
    <row r="12026" spans="12:17" x14ac:dyDescent="0.3">
      <c r="L12026" s="25"/>
      <c r="Q12026" s="17"/>
    </row>
    <row r="12027" spans="12:17" x14ac:dyDescent="0.3">
      <c r="L12027" s="25"/>
      <c r="Q12027" s="17"/>
    </row>
    <row r="12028" spans="12:17" x14ac:dyDescent="0.3">
      <c r="L12028" s="25"/>
      <c r="Q12028" s="17"/>
    </row>
    <row r="12029" spans="12:17" x14ac:dyDescent="0.3">
      <c r="L12029" s="25"/>
      <c r="Q12029" s="17"/>
    </row>
    <row r="12030" spans="12:17" x14ac:dyDescent="0.3">
      <c r="L12030" s="25"/>
      <c r="Q12030" s="17"/>
    </row>
    <row r="12031" spans="12:17" x14ac:dyDescent="0.3">
      <c r="L12031" s="25"/>
      <c r="Q12031" s="17"/>
    </row>
    <row r="12032" spans="12:17" x14ac:dyDescent="0.3">
      <c r="L12032" s="25"/>
      <c r="Q12032" s="17"/>
    </row>
    <row r="12033" spans="12:17" x14ac:dyDescent="0.3">
      <c r="L12033" s="25"/>
      <c r="Q12033" s="17"/>
    </row>
    <row r="12034" spans="12:17" x14ac:dyDescent="0.3">
      <c r="L12034" s="25"/>
      <c r="Q12034" s="17"/>
    </row>
    <row r="12035" spans="12:17" x14ac:dyDescent="0.3">
      <c r="L12035" s="25"/>
      <c r="Q12035" s="17"/>
    </row>
    <row r="12036" spans="12:17" x14ac:dyDescent="0.3">
      <c r="L12036" s="25"/>
      <c r="Q12036" s="17"/>
    </row>
    <row r="12037" spans="12:17" x14ac:dyDescent="0.3">
      <c r="L12037" s="25"/>
      <c r="Q12037" s="17"/>
    </row>
    <row r="12038" spans="12:17" x14ac:dyDescent="0.3">
      <c r="L12038" s="25"/>
      <c r="Q12038" s="17"/>
    </row>
    <row r="12039" spans="12:17" x14ac:dyDescent="0.3">
      <c r="L12039" s="25"/>
      <c r="Q12039" s="17"/>
    </row>
    <row r="12040" spans="12:17" x14ac:dyDescent="0.3">
      <c r="L12040" s="25"/>
      <c r="Q12040" s="17"/>
    </row>
    <row r="12041" spans="12:17" x14ac:dyDescent="0.3">
      <c r="L12041" s="25"/>
      <c r="Q12041" s="17"/>
    </row>
    <row r="12042" spans="12:17" x14ac:dyDescent="0.3">
      <c r="L12042" s="25"/>
      <c r="Q12042" s="17"/>
    </row>
    <row r="12043" spans="12:17" x14ac:dyDescent="0.3">
      <c r="L12043" s="25"/>
      <c r="Q12043" s="17"/>
    </row>
    <row r="12044" spans="12:17" x14ac:dyDescent="0.3">
      <c r="L12044" s="25"/>
      <c r="Q12044" s="17"/>
    </row>
    <row r="12045" spans="12:17" x14ac:dyDescent="0.3">
      <c r="L12045" s="25"/>
      <c r="Q12045" s="17"/>
    </row>
    <row r="12046" spans="12:17" x14ac:dyDescent="0.3">
      <c r="L12046" s="25"/>
      <c r="Q12046" s="17"/>
    </row>
    <row r="12047" spans="12:17" x14ac:dyDescent="0.3">
      <c r="L12047" s="25"/>
      <c r="Q12047" s="17"/>
    </row>
    <row r="12048" spans="12:17" x14ac:dyDescent="0.3">
      <c r="L12048" s="25"/>
      <c r="Q12048" s="17"/>
    </row>
    <row r="12049" spans="12:17" x14ac:dyDescent="0.3">
      <c r="L12049" s="25"/>
      <c r="Q12049" s="17"/>
    </row>
    <row r="12050" spans="12:17" x14ac:dyDescent="0.3">
      <c r="L12050" s="25"/>
      <c r="Q12050" s="17"/>
    </row>
    <row r="12051" spans="12:17" x14ac:dyDescent="0.3">
      <c r="L12051" s="25"/>
      <c r="Q12051" s="17"/>
    </row>
    <row r="12052" spans="12:17" x14ac:dyDescent="0.3">
      <c r="L12052" s="25"/>
      <c r="Q12052" s="17"/>
    </row>
    <row r="12053" spans="12:17" x14ac:dyDescent="0.3">
      <c r="L12053" s="25"/>
      <c r="Q12053" s="17"/>
    </row>
    <row r="12054" spans="12:17" x14ac:dyDescent="0.3">
      <c r="L12054" s="25"/>
      <c r="Q12054" s="17"/>
    </row>
    <row r="12055" spans="12:17" x14ac:dyDescent="0.3">
      <c r="L12055" s="25"/>
      <c r="Q12055" s="17"/>
    </row>
    <row r="12056" spans="12:17" x14ac:dyDescent="0.3">
      <c r="L12056" s="25"/>
      <c r="Q12056" s="17"/>
    </row>
    <row r="12057" spans="12:17" x14ac:dyDescent="0.3">
      <c r="L12057" s="25"/>
      <c r="Q12057" s="17"/>
    </row>
    <row r="12058" spans="12:17" x14ac:dyDescent="0.3">
      <c r="L12058" s="25"/>
      <c r="Q12058" s="17"/>
    </row>
    <row r="12059" spans="12:17" x14ac:dyDescent="0.3">
      <c r="L12059" s="25"/>
      <c r="Q12059" s="17"/>
    </row>
    <row r="12060" spans="12:17" x14ac:dyDescent="0.3">
      <c r="L12060" s="25"/>
      <c r="Q12060" s="17"/>
    </row>
    <row r="12061" spans="12:17" x14ac:dyDescent="0.3">
      <c r="L12061" s="25"/>
      <c r="Q12061" s="17"/>
    </row>
    <row r="12062" spans="12:17" x14ac:dyDescent="0.3">
      <c r="L12062" s="25"/>
      <c r="Q12062" s="17"/>
    </row>
    <row r="12063" spans="12:17" x14ac:dyDescent="0.3">
      <c r="L12063" s="25"/>
      <c r="Q12063" s="17"/>
    </row>
    <row r="12064" spans="12:17" x14ac:dyDescent="0.3">
      <c r="L12064" s="25"/>
      <c r="Q12064" s="17"/>
    </row>
    <row r="12065" spans="12:17" x14ac:dyDescent="0.3">
      <c r="L12065" s="25"/>
      <c r="Q12065" s="17"/>
    </row>
    <row r="12066" spans="12:17" x14ac:dyDescent="0.3">
      <c r="L12066" s="25"/>
      <c r="Q12066" s="17"/>
    </row>
    <row r="12067" spans="12:17" x14ac:dyDescent="0.3">
      <c r="L12067" s="25"/>
      <c r="Q12067" s="17"/>
    </row>
    <row r="12068" spans="12:17" x14ac:dyDescent="0.3">
      <c r="L12068" s="25"/>
      <c r="Q12068" s="17"/>
    </row>
    <row r="12069" spans="12:17" x14ac:dyDescent="0.3">
      <c r="L12069" s="25"/>
      <c r="Q12069" s="17"/>
    </row>
    <row r="12070" spans="12:17" x14ac:dyDescent="0.3">
      <c r="L12070" s="25"/>
      <c r="Q12070" s="17"/>
    </row>
    <row r="12071" spans="12:17" x14ac:dyDescent="0.3">
      <c r="L12071" s="25"/>
      <c r="Q12071" s="17"/>
    </row>
    <row r="12072" spans="12:17" x14ac:dyDescent="0.3">
      <c r="L12072" s="25"/>
      <c r="Q12072" s="17"/>
    </row>
    <row r="12073" spans="12:17" x14ac:dyDescent="0.3">
      <c r="L12073" s="25"/>
      <c r="Q12073" s="17"/>
    </row>
    <row r="12074" spans="12:17" x14ac:dyDescent="0.3">
      <c r="L12074" s="25"/>
      <c r="Q12074" s="17"/>
    </row>
    <row r="12075" spans="12:17" x14ac:dyDescent="0.3">
      <c r="L12075" s="25"/>
      <c r="Q12075" s="17"/>
    </row>
    <row r="12076" spans="12:17" x14ac:dyDescent="0.3">
      <c r="L12076" s="25"/>
      <c r="Q12076" s="17"/>
    </row>
    <row r="12077" spans="12:17" x14ac:dyDescent="0.3">
      <c r="L12077" s="25"/>
      <c r="Q12077" s="17"/>
    </row>
    <row r="12078" spans="12:17" x14ac:dyDescent="0.3">
      <c r="L12078" s="25"/>
      <c r="Q12078" s="17"/>
    </row>
    <row r="12079" spans="12:17" x14ac:dyDescent="0.3">
      <c r="L12079" s="25"/>
      <c r="Q12079" s="17"/>
    </row>
    <row r="12080" spans="12:17" x14ac:dyDescent="0.3">
      <c r="L12080" s="25"/>
      <c r="Q12080" s="17"/>
    </row>
    <row r="12081" spans="12:17" x14ac:dyDescent="0.3">
      <c r="L12081" s="25"/>
      <c r="Q12081" s="17"/>
    </row>
    <row r="12082" spans="12:17" x14ac:dyDescent="0.3">
      <c r="L12082" s="25"/>
      <c r="Q12082" s="17"/>
    </row>
    <row r="12083" spans="12:17" x14ac:dyDescent="0.3">
      <c r="L12083" s="25"/>
      <c r="Q12083" s="17"/>
    </row>
    <row r="12084" spans="12:17" x14ac:dyDescent="0.3">
      <c r="L12084" s="25"/>
      <c r="Q12084" s="17"/>
    </row>
    <row r="12085" spans="12:17" x14ac:dyDescent="0.3">
      <c r="L12085" s="25"/>
      <c r="Q12085" s="17"/>
    </row>
    <row r="12086" spans="12:17" x14ac:dyDescent="0.3">
      <c r="L12086" s="25"/>
      <c r="Q12086" s="17"/>
    </row>
    <row r="12087" spans="12:17" x14ac:dyDescent="0.3">
      <c r="L12087" s="25"/>
      <c r="Q12087" s="17"/>
    </row>
    <row r="12088" spans="12:17" x14ac:dyDescent="0.3">
      <c r="L12088" s="25"/>
      <c r="Q12088" s="17"/>
    </row>
    <row r="12089" spans="12:17" x14ac:dyDescent="0.3">
      <c r="L12089" s="25"/>
      <c r="Q12089" s="17"/>
    </row>
    <row r="12090" spans="12:17" x14ac:dyDescent="0.3">
      <c r="L12090" s="25"/>
      <c r="Q12090" s="17"/>
    </row>
    <row r="12091" spans="12:17" x14ac:dyDescent="0.3">
      <c r="L12091" s="25"/>
      <c r="Q12091" s="17"/>
    </row>
    <row r="12092" spans="12:17" x14ac:dyDescent="0.3">
      <c r="L12092" s="25"/>
      <c r="Q12092" s="17"/>
    </row>
    <row r="12093" spans="12:17" x14ac:dyDescent="0.3">
      <c r="L12093" s="25"/>
      <c r="Q12093" s="17"/>
    </row>
    <row r="12094" spans="12:17" x14ac:dyDescent="0.3">
      <c r="L12094" s="25"/>
      <c r="Q12094" s="17"/>
    </row>
    <row r="12095" spans="12:17" x14ac:dyDescent="0.3">
      <c r="L12095" s="25"/>
      <c r="Q12095" s="17"/>
    </row>
    <row r="12096" spans="12:17" x14ac:dyDescent="0.3">
      <c r="L12096" s="25"/>
      <c r="Q12096" s="17"/>
    </row>
    <row r="12097" spans="12:17" x14ac:dyDescent="0.3">
      <c r="L12097" s="25"/>
      <c r="Q12097" s="17"/>
    </row>
    <row r="12098" spans="12:17" x14ac:dyDescent="0.3">
      <c r="L12098" s="25"/>
      <c r="Q12098" s="17"/>
    </row>
    <row r="12099" spans="12:17" x14ac:dyDescent="0.3">
      <c r="L12099" s="25"/>
      <c r="Q12099" s="17"/>
    </row>
    <row r="12100" spans="12:17" x14ac:dyDescent="0.3">
      <c r="L12100" s="25"/>
      <c r="Q12100" s="17"/>
    </row>
    <row r="12101" spans="12:17" x14ac:dyDescent="0.3">
      <c r="L12101" s="25"/>
      <c r="Q12101" s="17"/>
    </row>
    <row r="12102" spans="12:17" x14ac:dyDescent="0.3">
      <c r="L12102" s="25"/>
      <c r="Q12102" s="17"/>
    </row>
    <row r="12103" spans="12:17" x14ac:dyDescent="0.3">
      <c r="L12103" s="25"/>
      <c r="Q12103" s="17"/>
    </row>
    <row r="12104" spans="12:17" x14ac:dyDescent="0.3">
      <c r="L12104" s="25"/>
      <c r="Q12104" s="17"/>
    </row>
    <row r="12105" spans="12:17" x14ac:dyDescent="0.3">
      <c r="L12105" s="25"/>
      <c r="Q12105" s="17"/>
    </row>
    <row r="12106" spans="12:17" x14ac:dyDescent="0.3">
      <c r="L12106" s="25"/>
      <c r="Q12106" s="17"/>
    </row>
    <row r="12107" spans="12:17" x14ac:dyDescent="0.3">
      <c r="L12107" s="25"/>
      <c r="Q12107" s="17"/>
    </row>
    <row r="12108" spans="12:17" x14ac:dyDescent="0.3">
      <c r="L12108" s="25"/>
      <c r="Q12108" s="17"/>
    </row>
    <row r="12109" spans="12:17" x14ac:dyDescent="0.3">
      <c r="L12109" s="25"/>
      <c r="Q12109" s="17"/>
    </row>
    <row r="12110" spans="12:17" x14ac:dyDescent="0.3">
      <c r="L12110" s="25"/>
      <c r="Q12110" s="17"/>
    </row>
    <row r="12111" spans="12:17" x14ac:dyDescent="0.3">
      <c r="L12111" s="25"/>
      <c r="Q12111" s="17"/>
    </row>
    <row r="12112" spans="12:17" x14ac:dyDescent="0.3">
      <c r="L12112" s="25"/>
      <c r="Q12112" s="17"/>
    </row>
    <row r="12113" spans="12:17" x14ac:dyDescent="0.3">
      <c r="L12113" s="25"/>
      <c r="Q12113" s="17"/>
    </row>
    <row r="12114" spans="12:17" x14ac:dyDescent="0.3">
      <c r="L12114" s="25"/>
      <c r="Q12114" s="17"/>
    </row>
    <row r="12115" spans="12:17" x14ac:dyDescent="0.3">
      <c r="L12115" s="25"/>
      <c r="Q12115" s="17"/>
    </row>
    <row r="12116" spans="12:17" x14ac:dyDescent="0.3">
      <c r="L12116" s="25"/>
      <c r="Q12116" s="17"/>
    </row>
    <row r="12117" spans="12:17" x14ac:dyDescent="0.3">
      <c r="L12117" s="25"/>
      <c r="Q12117" s="17"/>
    </row>
    <row r="12118" spans="12:17" x14ac:dyDescent="0.3">
      <c r="L12118" s="25"/>
      <c r="Q12118" s="17"/>
    </row>
    <row r="12119" spans="12:17" x14ac:dyDescent="0.3">
      <c r="L12119" s="25"/>
      <c r="Q12119" s="17"/>
    </row>
    <row r="12120" spans="12:17" x14ac:dyDescent="0.3">
      <c r="L12120" s="25"/>
      <c r="Q12120" s="17"/>
    </row>
    <row r="12121" spans="12:17" x14ac:dyDescent="0.3">
      <c r="L12121" s="25"/>
      <c r="Q12121" s="17"/>
    </row>
    <row r="12122" spans="12:17" x14ac:dyDescent="0.3">
      <c r="L12122" s="25"/>
      <c r="Q12122" s="17"/>
    </row>
    <row r="12123" spans="12:17" x14ac:dyDescent="0.3">
      <c r="L12123" s="25"/>
      <c r="Q12123" s="17"/>
    </row>
    <row r="12124" spans="12:17" x14ac:dyDescent="0.3">
      <c r="L12124" s="25"/>
      <c r="Q12124" s="17"/>
    </row>
    <row r="12125" spans="12:17" x14ac:dyDescent="0.3">
      <c r="L12125" s="25"/>
      <c r="Q12125" s="17"/>
    </row>
    <row r="12126" spans="12:17" x14ac:dyDescent="0.3">
      <c r="L12126" s="25"/>
      <c r="Q12126" s="17"/>
    </row>
    <row r="12127" spans="12:17" x14ac:dyDescent="0.3">
      <c r="L12127" s="25"/>
      <c r="Q12127" s="17"/>
    </row>
    <row r="12128" spans="12:17" x14ac:dyDescent="0.3">
      <c r="L12128" s="25"/>
      <c r="Q12128" s="17"/>
    </row>
    <row r="12129" spans="12:17" x14ac:dyDescent="0.3">
      <c r="L12129" s="25"/>
      <c r="Q12129" s="17"/>
    </row>
    <row r="12130" spans="12:17" x14ac:dyDescent="0.3">
      <c r="L12130" s="25"/>
      <c r="Q12130" s="17"/>
    </row>
    <row r="12131" spans="12:17" x14ac:dyDescent="0.3">
      <c r="L12131" s="25"/>
      <c r="Q12131" s="17"/>
    </row>
    <row r="12132" spans="12:17" x14ac:dyDescent="0.3">
      <c r="L12132" s="25"/>
      <c r="Q12132" s="17"/>
    </row>
    <row r="12133" spans="12:17" x14ac:dyDescent="0.3">
      <c r="L12133" s="25"/>
      <c r="Q12133" s="17"/>
    </row>
    <row r="12134" spans="12:17" x14ac:dyDescent="0.3">
      <c r="L12134" s="25"/>
      <c r="Q12134" s="17"/>
    </row>
    <row r="12135" spans="12:17" x14ac:dyDescent="0.3">
      <c r="L12135" s="25"/>
      <c r="Q12135" s="17"/>
    </row>
    <row r="12136" spans="12:17" x14ac:dyDescent="0.3">
      <c r="L12136" s="25"/>
      <c r="Q12136" s="17"/>
    </row>
    <row r="12137" spans="12:17" x14ac:dyDescent="0.3">
      <c r="L12137" s="25"/>
      <c r="Q12137" s="17"/>
    </row>
    <row r="12138" spans="12:17" x14ac:dyDescent="0.3">
      <c r="L12138" s="25"/>
      <c r="Q12138" s="17"/>
    </row>
    <row r="12139" spans="12:17" x14ac:dyDescent="0.3">
      <c r="L12139" s="25"/>
      <c r="Q12139" s="17"/>
    </row>
    <row r="12140" spans="12:17" x14ac:dyDescent="0.3">
      <c r="L12140" s="25"/>
      <c r="Q12140" s="17"/>
    </row>
    <row r="12141" spans="12:17" x14ac:dyDescent="0.3">
      <c r="L12141" s="25"/>
      <c r="Q12141" s="17"/>
    </row>
    <row r="12142" spans="12:17" x14ac:dyDescent="0.3">
      <c r="L12142" s="25"/>
      <c r="Q12142" s="17"/>
    </row>
    <row r="12143" spans="12:17" x14ac:dyDescent="0.3">
      <c r="L12143" s="25"/>
      <c r="Q12143" s="17"/>
    </row>
    <row r="12144" spans="12:17" x14ac:dyDescent="0.3">
      <c r="L12144" s="25"/>
      <c r="Q12144" s="17"/>
    </row>
    <row r="12145" spans="12:17" x14ac:dyDescent="0.3">
      <c r="L12145" s="25"/>
      <c r="Q12145" s="17"/>
    </row>
    <row r="12146" spans="12:17" x14ac:dyDescent="0.3">
      <c r="L12146" s="25"/>
      <c r="Q12146" s="17"/>
    </row>
    <row r="12147" spans="12:17" x14ac:dyDescent="0.3">
      <c r="L12147" s="25"/>
      <c r="Q12147" s="17"/>
    </row>
    <row r="12148" spans="12:17" x14ac:dyDescent="0.3">
      <c r="L12148" s="25"/>
      <c r="Q12148" s="17"/>
    </row>
    <row r="12149" spans="12:17" x14ac:dyDescent="0.3">
      <c r="L12149" s="25"/>
      <c r="Q12149" s="17"/>
    </row>
    <row r="12150" spans="12:17" x14ac:dyDescent="0.3">
      <c r="L12150" s="25"/>
      <c r="Q12150" s="17"/>
    </row>
    <row r="12151" spans="12:17" x14ac:dyDescent="0.3">
      <c r="L12151" s="25"/>
      <c r="Q12151" s="17"/>
    </row>
    <row r="12152" spans="12:17" x14ac:dyDescent="0.3">
      <c r="L12152" s="25"/>
      <c r="Q12152" s="17"/>
    </row>
    <row r="12153" spans="12:17" x14ac:dyDescent="0.3">
      <c r="L12153" s="25"/>
      <c r="Q12153" s="17"/>
    </row>
    <row r="12154" spans="12:17" x14ac:dyDescent="0.3">
      <c r="L12154" s="25"/>
      <c r="Q12154" s="17"/>
    </row>
    <row r="12155" spans="12:17" x14ac:dyDescent="0.3">
      <c r="L12155" s="25"/>
      <c r="Q12155" s="17"/>
    </row>
    <row r="12156" spans="12:17" x14ac:dyDescent="0.3">
      <c r="L12156" s="25"/>
      <c r="Q12156" s="17"/>
    </row>
    <row r="12157" spans="12:17" x14ac:dyDescent="0.3">
      <c r="L12157" s="25"/>
      <c r="Q12157" s="17"/>
    </row>
    <row r="12158" spans="12:17" x14ac:dyDescent="0.3">
      <c r="L12158" s="25"/>
      <c r="Q12158" s="17"/>
    </row>
    <row r="12159" spans="12:17" x14ac:dyDescent="0.3">
      <c r="L12159" s="25"/>
      <c r="Q12159" s="17"/>
    </row>
    <row r="12160" spans="12:17" x14ac:dyDescent="0.3">
      <c r="L12160" s="25"/>
      <c r="Q12160" s="17"/>
    </row>
    <row r="12161" spans="12:17" x14ac:dyDescent="0.3">
      <c r="L12161" s="25"/>
      <c r="Q12161" s="17"/>
    </row>
    <row r="12162" spans="12:17" x14ac:dyDescent="0.3">
      <c r="L12162" s="25"/>
      <c r="Q12162" s="17"/>
    </row>
    <row r="12163" spans="12:17" x14ac:dyDescent="0.3">
      <c r="L12163" s="25"/>
      <c r="Q12163" s="17"/>
    </row>
    <row r="12164" spans="12:17" x14ac:dyDescent="0.3">
      <c r="L12164" s="25"/>
      <c r="Q12164" s="17"/>
    </row>
    <row r="12165" spans="12:17" x14ac:dyDescent="0.3">
      <c r="L12165" s="25"/>
      <c r="Q12165" s="17"/>
    </row>
    <row r="12166" spans="12:17" x14ac:dyDescent="0.3">
      <c r="L12166" s="25"/>
      <c r="Q12166" s="17"/>
    </row>
    <row r="12167" spans="12:17" x14ac:dyDescent="0.3">
      <c r="L12167" s="25"/>
      <c r="Q12167" s="17"/>
    </row>
    <row r="12168" spans="12:17" x14ac:dyDescent="0.3">
      <c r="L12168" s="25"/>
      <c r="Q12168" s="17"/>
    </row>
    <row r="12169" spans="12:17" x14ac:dyDescent="0.3">
      <c r="L12169" s="25"/>
      <c r="Q12169" s="17"/>
    </row>
    <row r="12170" spans="12:17" x14ac:dyDescent="0.3">
      <c r="L12170" s="25"/>
      <c r="Q12170" s="17"/>
    </row>
    <row r="12171" spans="12:17" x14ac:dyDescent="0.3">
      <c r="L12171" s="25"/>
      <c r="Q12171" s="17"/>
    </row>
    <row r="12172" spans="12:17" x14ac:dyDescent="0.3">
      <c r="L12172" s="25"/>
      <c r="Q12172" s="17"/>
    </row>
    <row r="12173" spans="12:17" x14ac:dyDescent="0.3">
      <c r="L12173" s="25"/>
      <c r="Q12173" s="17"/>
    </row>
    <row r="12174" spans="12:17" x14ac:dyDescent="0.3">
      <c r="L12174" s="25"/>
      <c r="Q12174" s="17"/>
    </row>
    <row r="12175" spans="12:17" x14ac:dyDescent="0.3">
      <c r="L12175" s="25"/>
      <c r="Q12175" s="17"/>
    </row>
    <row r="12176" spans="12:17" x14ac:dyDescent="0.3">
      <c r="L12176" s="25"/>
      <c r="Q12176" s="17"/>
    </row>
    <row r="12177" spans="12:17" x14ac:dyDescent="0.3">
      <c r="L12177" s="25"/>
      <c r="Q12177" s="17"/>
    </row>
    <row r="12178" spans="12:17" x14ac:dyDescent="0.3">
      <c r="L12178" s="25"/>
      <c r="Q12178" s="17"/>
    </row>
    <row r="12179" spans="12:17" x14ac:dyDescent="0.3">
      <c r="L12179" s="25"/>
      <c r="Q12179" s="17"/>
    </row>
    <row r="12180" spans="12:17" x14ac:dyDescent="0.3">
      <c r="L12180" s="25"/>
      <c r="Q12180" s="17"/>
    </row>
    <row r="12181" spans="12:17" x14ac:dyDescent="0.3">
      <c r="L12181" s="25"/>
      <c r="Q12181" s="17"/>
    </row>
    <row r="12182" spans="12:17" x14ac:dyDescent="0.3">
      <c r="L12182" s="25"/>
      <c r="Q12182" s="17"/>
    </row>
    <row r="12183" spans="12:17" x14ac:dyDescent="0.3">
      <c r="L12183" s="25"/>
      <c r="Q12183" s="17"/>
    </row>
    <row r="12184" spans="12:17" x14ac:dyDescent="0.3">
      <c r="L12184" s="25"/>
      <c r="Q12184" s="17"/>
    </row>
    <row r="12185" spans="12:17" x14ac:dyDescent="0.3">
      <c r="L12185" s="25"/>
      <c r="Q12185" s="17"/>
    </row>
    <row r="12186" spans="12:17" x14ac:dyDescent="0.3">
      <c r="L12186" s="25"/>
      <c r="Q12186" s="17"/>
    </row>
    <row r="12187" spans="12:17" x14ac:dyDescent="0.3">
      <c r="L12187" s="25"/>
      <c r="Q12187" s="17"/>
    </row>
    <row r="12188" spans="12:17" x14ac:dyDescent="0.3">
      <c r="L12188" s="25"/>
      <c r="Q12188" s="17"/>
    </row>
    <row r="12189" spans="12:17" x14ac:dyDescent="0.3">
      <c r="L12189" s="25"/>
      <c r="Q12189" s="17"/>
    </row>
    <row r="12190" spans="12:17" x14ac:dyDescent="0.3">
      <c r="L12190" s="25"/>
      <c r="Q12190" s="17"/>
    </row>
    <row r="12191" spans="12:17" x14ac:dyDescent="0.3">
      <c r="L12191" s="25"/>
      <c r="Q12191" s="17"/>
    </row>
    <row r="12192" spans="12:17" x14ac:dyDescent="0.3">
      <c r="L12192" s="25"/>
      <c r="Q12192" s="17"/>
    </row>
    <row r="12193" spans="12:17" x14ac:dyDescent="0.3">
      <c r="L12193" s="25"/>
      <c r="Q12193" s="17"/>
    </row>
    <row r="12194" spans="12:17" x14ac:dyDescent="0.3">
      <c r="L12194" s="25"/>
      <c r="Q12194" s="17"/>
    </row>
    <row r="12195" spans="12:17" x14ac:dyDescent="0.3">
      <c r="L12195" s="25"/>
      <c r="Q12195" s="17"/>
    </row>
    <row r="12196" spans="12:17" x14ac:dyDescent="0.3">
      <c r="L12196" s="25"/>
      <c r="Q12196" s="17"/>
    </row>
    <row r="12197" spans="12:17" x14ac:dyDescent="0.3">
      <c r="L12197" s="25"/>
      <c r="Q12197" s="17"/>
    </row>
    <row r="12198" spans="12:17" x14ac:dyDescent="0.3">
      <c r="L12198" s="25"/>
      <c r="Q12198" s="17"/>
    </row>
    <row r="12199" spans="12:17" x14ac:dyDescent="0.3">
      <c r="L12199" s="25"/>
      <c r="Q12199" s="17"/>
    </row>
    <row r="12200" spans="12:17" x14ac:dyDescent="0.3">
      <c r="L12200" s="25"/>
      <c r="Q12200" s="17"/>
    </row>
    <row r="12201" spans="12:17" x14ac:dyDescent="0.3">
      <c r="L12201" s="25"/>
      <c r="Q12201" s="17"/>
    </row>
    <row r="12202" spans="12:17" x14ac:dyDescent="0.3">
      <c r="L12202" s="25"/>
      <c r="Q12202" s="17"/>
    </row>
    <row r="12203" spans="12:17" x14ac:dyDescent="0.3">
      <c r="L12203" s="25"/>
      <c r="Q12203" s="17"/>
    </row>
    <row r="12204" spans="12:17" x14ac:dyDescent="0.3">
      <c r="L12204" s="25"/>
      <c r="Q12204" s="17"/>
    </row>
    <row r="12205" spans="12:17" x14ac:dyDescent="0.3">
      <c r="L12205" s="25"/>
      <c r="Q12205" s="17"/>
    </row>
    <row r="12206" spans="12:17" x14ac:dyDescent="0.3">
      <c r="L12206" s="25"/>
      <c r="Q12206" s="17"/>
    </row>
    <row r="12207" spans="12:17" x14ac:dyDescent="0.3">
      <c r="L12207" s="25"/>
      <c r="Q12207" s="17"/>
    </row>
    <row r="12208" spans="12:17" x14ac:dyDescent="0.3">
      <c r="L12208" s="25"/>
      <c r="Q12208" s="17"/>
    </row>
    <row r="12209" spans="12:17" x14ac:dyDescent="0.3">
      <c r="L12209" s="25"/>
      <c r="Q12209" s="17"/>
    </row>
    <row r="12210" spans="12:17" x14ac:dyDescent="0.3">
      <c r="L12210" s="25"/>
      <c r="Q12210" s="17"/>
    </row>
    <row r="12211" spans="12:17" x14ac:dyDescent="0.3">
      <c r="L12211" s="25"/>
      <c r="Q12211" s="17"/>
    </row>
    <row r="12212" spans="12:17" x14ac:dyDescent="0.3">
      <c r="L12212" s="25"/>
      <c r="Q12212" s="17"/>
    </row>
    <row r="12213" spans="12:17" x14ac:dyDescent="0.3">
      <c r="L12213" s="25"/>
      <c r="Q12213" s="17"/>
    </row>
    <row r="12214" spans="12:17" x14ac:dyDescent="0.3">
      <c r="L12214" s="25"/>
      <c r="Q12214" s="17"/>
    </row>
    <row r="12215" spans="12:17" x14ac:dyDescent="0.3">
      <c r="L12215" s="25"/>
      <c r="Q12215" s="17"/>
    </row>
    <row r="12216" spans="12:17" x14ac:dyDescent="0.3">
      <c r="L12216" s="25"/>
      <c r="Q12216" s="17"/>
    </row>
    <row r="12217" spans="12:17" x14ac:dyDescent="0.3">
      <c r="L12217" s="25"/>
      <c r="Q12217" s="17"/>
    </row>
    <row r="12218" spans="12:17" x14ac:dyDescent="0.3">
      <c r="L12218" s="25"/>
      <c r="Q12218" s="17"/>
    </row>
    <row r="12219" spans="12:17" x14ac:dyDescent="0.3">
      <c r="L12219" s="25"/>
      <c r="Q12219" s="17"/>
    </row>
    <row r="12220" spans="12:17" x14ac:dyDescent="0.3">
      <c r="L12220" s="25"/>
      <c r="Q12220" s="17"/>
    </row>
    <row r="12221" spans="12:17" x14ac:dyDescent="0.3">
      <c r="L12221" s="25"/>
      <c r="Q12221" s="17"/>
    </row>
    <row r="12222" spans="12:17" x14ac:dyDescent="0.3">
      <c r="L12222" s="25"/>
      <c r="Q12222" s="17"/>
    </row>
    <row r="12223" spans="12:17" x14ac:dyDescent="0.3">
      <c r="L12223" s="25"/>
      <c r="Q12223" s="17"/>
    </row>
    <row r="12224" spans="12:17" x14ac:dyDescent="0.3">
      <c r="L12224" s="25"/>
      <c r="Q12224" s="17"/>
    </row>
    <row r="12225" spans="12:17" x14ac:dyDescent="0.3">
      <c r="L12225" s="25"/>
      <c r="Q12225" s="17"/>
    </row>
    <row r="12226" spans="12:17" x14ac:dyDescent="0.3">
      <c r="L12226" s="25"/>
      <c r="Q12226" s="17"/>
    </row>
    <row r="12227" spans="12:17" x14ac:dyDescent="0.3">
      <c r="L12227" s="25"/>
      <c r="Q12227" s="17"/>
    </row>
    <row r="12228" spans="12:17" x14ac:dyDescent="0.3">
      <c r="L12228" s="25"/>
      <c r="Q12228" s="17"/>
    </row>
    <row r="12229" spans="12:17" x14ac:dyDescent="0.3">
      <c r="L12229" s="25"/>
      <c r="Q12229" s="17"/>
    </row>
    <row r="12230" spans="12:17" x14ac:dyDescent="0.3">
      <c r="L12230" s="25"/>
      <c r="Q12230" s="17"/>
    </row>
    <row r="12231" spans="12:17" x14ac:dyDescent="0.3">
      <c r="L12231" s="25"/>
      <c r="Q12231" s="17"/>
    </row>
    <row r="12232" spans="12:17" x14ac:dyDescent="0.3">
      <c r="L12232" s="25"/>
      <c r="Q12232" s="17"/>
    </row>
    <row r="12233" spans="12:17" x14ac:dyDescent="0.3">
      <c r="L12233" s="25"/>
      <c r="Q12233" s="17"/>
    </row>
    <row r="12234" spans="12:17" x14ac:dyDescent="0.3">
      <c r="L12234" s="25"/>
      <c r="Q12234" s="17"/>
    </row>
    <row r="12235" spans="12:17" x14ac:dyDescent="0.3">
      <c r="L12235" s="25"/>
      <c r="Q12235" s="17"/>
    </row>
    <row r="12236" spans="12:17" x14ac:dyDescent="0.3">
      <c r="L12236" s="25"/>
      <c r="Q12236" s="17"/>
    </row>
    <row r="12237" spans="12:17" x14ac:dyDescent="0.3">
      <c r="L12237" s="25"/>
      <c r="Q12237" s="17"/>
    </row>
    <row r="12238" spans="12:17" x14ac:dyDescent="0.3">
      <c r="L12238" s="25"/>
      <c r="Q12238" s="17"/>
    </row>
    <row r="12239" spans="12:17" x14ac:dyDescent="0.3">
      <c r="L12239" s="25"/>
      <c r="Q12239" s="17"/>
    </row>
    <row r="12240" spans="12:17" x14ac:dyDescent="0.3">
      <c r="L12240" s="25"/>
      <c r="Q12240" s="17"/>
    </row>
    <row r="12241" spans="12:17" x14ac:dyDescent="0.3">
      <c r="L12241" s="25"/>
      <c r="Q12241" s="17"/>
    </row>
    <row r="12242" spans="12:17" x14ac:dyDescent="0.3">
      <c r="L12242" s="25"/>
      <c r="Q12242" s="17"/>
    </row>
    <row r="12243" spans="12:17" x14ac:dyDescent="0.3">
      <c r="L12243" s="25"/>
      <c r="Q12243" s="17"/>
    </row>
    <row r="12244" spans="12:17" x14ac:dyDescent="0.3">
      <c r="L12244" s="25"/>
      <c r="Q12244" s="17"/>
    </row>
    <row r="12245" spans="12:17" x14ac:dyDescent="0.3">
      <c r="L12245" s="25"/>
      <c r="Q12245" s="17"/>
    </row>
    <row r="12246" spans="12:17" x14ac:dyDescent="0.3">
      <c r="L12246" s="25"/>
      <c r="Q12246" s="17"/>
    </row>
    <row r="12247" spans="12:17" x14ac:dyDescent="0.3">
      <c r="L12247" s="25"/>
      <c r="Q12247" s="17"/>
    </row>
    <row r="12248" spans="12:17" x14ac:dyDescent="0.3">
      <c r="L12248" s="25"/>
      <c r="Q12248" s="17"/>
    </row>
    <row r="12249" spans="12:17" x14ac:dyDescent="0.3">
      <c r="L12249" s="25"/>
      <c r="Q12249" s="17"/>
    </row>
    <row r="12250" spans="12:17" x14ac:dyDescent="0.3">
      <c r="L12250" s="25"/>
      <c r="Q12250" s="17"/>
    </row>
    <row r="12251" spans="12:17" x14ac:dyDescent="0.3">
      <c r="L12251" s="25"/>
      <c r="Q12251" s="17"/>
    </row>
    <row r="12252" spans="12:17" x14ac:dyDescent="0.3">
      <c r="L12252" s="25"/>
      <c r="Q12252" s="17"/>
    </row>
    <row r="12253" spans="12:17" x14ac:dyDescent="0.3">
      <c r="L12253" s="25"/>
      <c r="Q12253" s="17"/>
    </row>
    <row r="12254" spans="12:17" x14ac:dyDescent="0.3">
      <c r="L12254" s="25"/>
      <c r="Q12254" s="17"/>
    </row>
    <row r="12255" spans="12:17" x14ac:dyDescent="0.3">
      <c r="L12255" s="25"/>
      <c r="Q12255" s="17"/>
    </row>
    <row r="12256" spans="12:17" x14ac:dyDescent="0.3">
      <c r="L12256" s="25"/>
      <c r="Q12256" s="17"/>
    </row>
    <row r="12257" spans="12:17" x14ac:dyDescent="0.3">
      <c r="L12257" s="25"/>
      <c r="Q12257" s="17"/>
    </row>
    <row r="12258" spans="12:17" x14ac:dyDescent="0.3">
      <c r="L12258" s="25"/>
      <c r="Q12258" s="17"/>
    </row>
    <row r="12259" spans="12:17" x14ac:dyDescent="0.3">
      <c r="L12259" s="25"/>
      <c r="Q12259" s="17"/>
    </row>
    <row r="12260" spans="12:17" x14ac:dyDescent="0.3">
      <c r="L12260" s="25"/>
      <c r="Q12260" s="17"/>
    </row>
    <row r="12261" spans="12:17" x14ac:dyDescent="0.3">
      <c r="L12261" s="25"/>
      <c r="Q12261" s="17"/>
    </row>
    <row r="12262" spans="12:17" x14ac:dyDescent="0.3">
      <c r="L12262" s="25"/>
      <c r="Q12262" s="17"/>
    </row>
    <row r="12263" spans="12:17" x14ac:dyDescent="0.3">
      <c r="L12263" s="25"/>
      <c r="Q12263" s="17"/>
    </row>
    <row r="12264" spans="12:17" x14ac:dyDescent="0.3">
      <c r="L12264" s="25"/>
      <c r="Q12264" s="17"/>
    </row>
    <row r="12265" spans="12:17" x14ac:dyDescent="0.3">
      <c r="L12265" s="25"/>
      <c r="Q12265" s="17"/>
    </row>
    <row r="12266" spans="12:17" x14ac:dyDescent="0.3">
      <c r="L12266" s="25"/>
      <c r="Q12266" s="17"/>
    </row>
    <row r="12267" spans="12:17" x14ac:dyDescent="0.3">
      <c r="L12267" s="25"/>
      <c r="Q12267" s="17"/>
    </row>
    <row r="12268" spans="12:17" x14ac:dyDescent="0.3">
      <c r="L12268" s="25"/>
      <c r="Q12268" s="17"/>
    </row>
    <row r="12269" spans="12:17" x14ac:dyDescent="0.3">
      <c r="L12269" s="25"/>
      <c r="Q12269" s="17"/>
    </row>
    <row r="12270" spans="12:17" x14ac:dyDescent="0.3">
      <c r="L12270" s="25"/>
      <c r="Q12270" s="17"/>
    </row>
    <row r="12271" spans="12:17" x14ac:dyDescent="0.3">
      <c r="L12271" s="25"/>
      <c r="Q12271" s="17"/>
    </row>
    <row r="12272" spans="12:17" x14ac:dyDescent="0.3">
      <c r="L12272" s="25"/>
      <c r="Q12272" s="17"/>
    </row>
    <row r="12273" spans="12:17" x14ac:dyDescent="0.3">
      <c r="L12273" s="25"/>
      <c r="Q12273" s="17"/>
    </row>
    <row r="12274" spans="12:17" x14ac:dyDescent="0.3">
      <c r="L12274" s="25"/>
      <c r="Q12274" s="17"/>
    </row>
    <row r="12275" spans="12:17" x14ac:dyDescent="0.3">
      <c r="L12275" s="25"/>
      <c r="Q12275" s="17"/>
    </row>
    <row r="12276" spans="12:17" x14ac:dyDescent="0.3">
      <c r="L12276" s="25"/>
      <c r="Q12276" s="17"/>
    </row>
    <row r="12277" spans="12:17" x14ac:dyDescent="0.3">
      <c r="L12277" s="25"/>
      <c r="Q12277" s="17"/>
    </row>
    <row r="12278" spans="12:17" x14ac:dyDescent="0.3">
      <c r="L12278" s="25"/>
      <c r="Q12278" s="17"/>
    </row>
    <row r="12279" spans="12:17" x14ac:dyDescent="0.3">
      <c r="L12279" s="25"/>
      <c r="Q12279" s="17"/>
    </row>
    <row r="12280" spans="12:17" x14ac:dyDescent="0.3">
      <c r="L12280" s="25"/>
      <c r="Q12280" s="17"/>
    </row>
    <row r="12281" spans="12:17" x14ac:dyDescent="0.3">
      <c r="L12281" s="25"/>
      <c r="Q12281" s="17"/>
    </row>
    <row r="12282" spans="12:17" x14ac:dyDescent="0.3">
      <c r="L12282" s="25"/>
      <c r="Q12282" s="17"/>
    </row>
    <row r="12283" spans="12:17" x14ac:dyDescent="0.3">
      <c r="L12283" s="25"/>
      <c r="Q12283" s="17"/>
    </row>
    <row r="12284" spans="12:17" x14ac:dyDescent="0.3">
      <c r="L12284" s="25"/>
      <c r="Q12284" s="17"/>
    </row>
    <row r="12285" spans="12:17" x14ac:dyDescent="0.3">
      <c r="L12285" s="25"/>
      <c r="Q12285" s="17"/>
    </row>
    <row r="12286" spans="12:17" x14ac:dyDescent="0.3">
      <c r="L12286" s="25"/>
      <c r="Q12286" s="17"/>
    </row>
    <row r="12287" spans="12:17" x14ac:dyDescent="0.3">
      <c r="L12287" s="25"/>
      <c r="Q12287" s="17"/>
    </row>
    <row r="12288" spans="12:17" x14ac:dyDescent="0.3">
      <c r="L12288" s="25"/>
      <c r="Q12288" s="17"/>
    </row>
    <row r="12289" spans="12:17" x14ac:dyDescent="0.3">
      <c r="L12289" s="25"/>
      <c r="Q12289" s="17"/>
    </row>
    <row r="12290" spans="12:17" x14ac:dyDescent="0.3">
      <c r="L12290" s="25"/>
      <c r="Q12290" s="17"/>
    </row>
    <row r="12291" spans="12:17" x14ac:dyDescent="0.3">
      <c r="L12291" s="25"/>
      <c r="Q12291" s="17"/>
    </row>
    <row r="12292" spans="12:17" x14ac:dyDescent="0.3">
      <c r="L12292" s="25"/>
      <c r="Q12292" s="17"/>
    </row>
    <row r="12293" spans="12:17" x14ac:dyDescent="0.3">
      <c r="L12293" s="25"/>
      <c r="Q12293" s="17"/>
    </row>
    <row r="12294" spans="12:17" x14ac:dyDescent="0.3">
      <c r="L12294" s="25"/>
      <c r="Q12294" s="17"/>
    </row>
    <row r="12295" spans="12:17" x14ac:dyDescent="0.3">
      <c r="L12295" s="25"/>
      <c r="Q12295" s="17"/>
    </row>
    <row r="12296" spans="12:17" x14ac:dyDescent="0.3">
      <c r="L12296" s="25"/>
      <c r="Q12296" s="17"/>
    </row>
    <row r="12297" spans="12:17" x14ac:dyDescent="0.3">
      <c r="L12297" s="25"/>
      <c r="Q12297" s="17"/>
    </row>
    <row r="12298" spans="12:17" x14ac:dyDescent="0.3">
      <c r="L12298" s="25"/>
      <c r="Q12298" s="17"/>
    </row>
    <row r="12299" spans="12:17" x14ac:dyDescent="0.3">
      <c r="L12299" s="25"/>
      <c r="Q12299" s="17"/>
    </row>
    <row r="12300" spans="12:17" x14ac:dyDescent="0.3">
      <c r="L12300" s="25"/>
      <c r="Q12300" s="17"/>
    </row>
    <row r="12301" spans="12:17" x14ac:dyDescent="0.3">
      <c r="L12301" s="25"/>
      <c r="Q12301" s="17"/>
    </row>
    <row r="12302" spans="12:17" x14ac:dyDescent="0.3">
      <c r="L12302" s="25"/>
      <c r="Q12302" s="17"/>
    </row>
    <row r="12303" spans="12:17" x14ac:dyDescent="0.3">
      <c r="L12303" s="25"/>
      <c r="Q12303" s="17"/>
    </row>
    <row r="12304" spans="12:17" x14ac:dyDescent="0.3">
      <c r="L12304" s="25"/>
      <c r="Q12304" s="17"/>
    </row>
    <row r="12305" spans="12:17" x14ac:dyDescent="0.3">
      <c r="L12305" s="25"/>
      <c r="Q12305" s="17"/>
    </row>
    <row r="12306" spans="12:17" x14ac:dyDescent="0.3">
      <c r="L12306" s="25"/>
      <c r="Q12306" s="17"/>
    </row>
    <row r="12307" spans="12:17" x14ac:dyDescent="0.3">
      <c r="L12307" s="25"/>
      <c r="Q12307" s="17"/>
    </row>
    <row r="12308" spans="12:17" x14ac:dyDescent="0.3">
      <c r="L12308" s="25"/>
      <c r="Q12308" s="17"/>
    </row>
    <row r="12309" spans="12:17" x14ac:dyDescent="0.3">
      <c r="L12309" s="25"/>
      <c r="Q12309" s="17"/>
    </row>
    <row r="12310" spans="12:17" x14ac:dyDescent="0.3">
      <c r="L12310" s="25"/>
      <c r="Q12310" s="17"/>
    </row>
    <row r="12311" spans="12:17" x14ac:dyDescent="0.3">
      <c r="L12311" s="25"/>
      <c r="Q12311" s="17"/>
    </row>
    <row r="12312" spans="12:17" x14ac:dyDescent="0.3">
      <c r="L12312" s="25"/>
      <c r="Q12312" s="17"/>
    </row>
    <row r="12313" spans="12:17" x14ac:dyDescent="0.3">
      <c r="L12313" s="25"/>
      <c r="Q12313" s="17"/>
    </row>
    <row r="12314" spans="12:17" x14ac:dyDescent="0.3">
      <c r="L12314" s="25"/>
      <c r="Q12314" s="17"/>
    </row>
    <row r="12315" spans="12:17" x14ac:dyDescent="0.3">
      <c r="L12315" s="25"/>
      <c r="Q12315" s="17"/>
    </row>
    <row r="12316" spans="12:17" x14ac:dyDescent="0.3">
      <c r="L12316" s="25"/>
      <c r="Q12316" s="17"/>
    </row>
    <row r="12317" spans="12:17" x14ac:dyDescent="0.3">
      <c r="L12317" s="25"/>
      <c r="Q12317" s="17"/>
    </row>
    <row r="12318" spans="12:17" x14ac:dyDescent="0.3">
      <c r="L12318" s="25"/>
      <c r="Q12318" s="17"/>
    </row>
    <row r="12319" spans="12:17" x14ac:dyDescent="0.3">
      <c r="L12319" s="25"/>
      <c r="Q12319" s="17"/>
    </row>
    <row r="12320" spans="12:17" x14ac:dyDescent="0.3">
      <c r="L12320" s="25"/>
      <c r="Q12320" s="17"/>
    </row>
    <row r="12321" spans="12:17" x14ac:dyDescent="0.3">
      <c r="L12321" s="25"/>
      <c r="Q12321" s="17"/>
    </row>
    <row r="12322" spans="12:17" x14ac:dyDescent="0.3">
      <c r="L12322" s="25"/>
      <c r="Q12322" s="17"/>
    </row>
    <row r="12323" spans="12:17" x14ac:dyDescent="0.3">
      <c r="L12323" s="25"/>
      <c r="Q12323" s="17"/>
    </row>
    <row r="12324" spans="12:17" x14ac:dyDescent="0.3">
      <c r="L12324" s="25"/>
      <c r="Q12324" s="17"/>
    </row>
    <row r="12325" spans="12:17" x14ac:dyDescent="0.3">
      <c r="L12325" s="25"/>
      <c r="Q12325" s="17"/>
    </row>
    <row r="12326" spans="12:17" x14ac:dyDescent="0.3">
      <c r="L12326" s="25"/>
      <c r="Q12326" s="17"/>
    </row>
    <row r="12327" spans="12:17" x14ac:dyDescent="0.3">
      <c r="L12327" s="25"/>
      <c r="Q12327" s="17"/>
    </row>
    <row r="12328" spans="12:17" x14ac:dyDescent="0.3">
      <c r="L12328" s="25"/>
      <c r="Q12328" s="17"/>
    </row>
    <row r="12329" spans="12:17" x14ac:dyDescent="0.3">
      <c r="L12329" s="25"/>
      <c r="Q12329" s="17"/>
    </row>
    <row r="12330" spans="12:17" x14ac:dyDescent="0.3">
      <c r="L12330" s="25"/>
      <c r="Q12330" s="17"/>
    </row>
    <row r="12331" spans="12:17" x14ac:dyDescent="0.3">
      <c r="L12331" s="25"/>
      <c r="Q12331" s="17"/>
    </row>
    <row r="12332" spans="12:17" x14ac:dyDescent="0.3">
      <c r="L12332" s="25"/>
      <c r="Q12332" s="17"/>
    </row>
    <row r="12333" spans="12:17" x14ac:dyDescent="0.3">
      <c r="L12333" s="25"/>
      <c r="Q12333" s="17"/>
    </row>
    <row r="12334" spans="12:17" x14ac:dyDescent="0.3">
      <c r="L12334" s="25"/>
      <c r="Q12334" s="17"/>
    </row>
    <row r="12335" spans="12:17" x14ac:dyDescent="0.3">
      <c r="L12335" s="25"/>
      <c r="Q12335" s="17"/>
    </row>
    <row r="12336" spans="12:17" x14ac:dyDescent="0.3">
      <c r="L12336" s="25"/>
      <c r="Q12336" s="17"/>
    </row>
    <row r="12337" spans="12:17" x14ac:dyDescent="0.3">
      <c r="L12337" s="25"/>
      <c r="Q12337" s="17"/>
    </row>
    <row r="12338" spans="12:17" x14ac:dyDescent="0.3">
      <c r="L12338" s="25"/>
      <c r="Q12338" s="17"/>
    </row>
    <row r="12339" spans="12:17" x14ac:dyDescent="0.3">
      <c r="L12339" s="25"/>
      <c r="Q12339" s="17"/>
    </row>
    <row r="12340" spans="12:17" x14ac:dyDescent="0.3">
      <c r="L12340" s="25"/>
      <c r="Q12340" s="17"/>
    </row>
    <row r="12341" spans="12:17" x14ac:dyDescent="0.3">
      <c r="L12341" s="25"/>
      <c r="Q12341" s="17"/>
    </row>
    <row r="12342" spans="12:17" x14ac:dyDescent="0.3">
      <c r="L12342" s="25"/>
      <c r="Q12342" s="17"/>
    </row>
    <row r="12343" spans="12:17" x14ac:dyDescent="0.3">
      <c r="L12343" s="25"/>
      <c r="Q12343" s="17"/>
    </row>
    <row r="12344" spans="12:17" x14ac:dyDescent="0.3">
      <c r="L12344" s="25"/>
      <c r="Q12344" s="17"/>
    </row>
    <row r="12345" spans="12:17" x14ac:dyDescent="0.3">
      <c r="L12345" s="25"/>
      <c r="Q12345" s="17"/>
    </row>
    <row r="12346" spans="12:17" x14ac:dyDescent="0.3">
      <c r="L12346" s="25"/>
      <c r="Q12346" s="17"/>
    </row>
    <row r="12347" spans="12:17" x14ac:dyDescent="0.3">
      <c r="L12347" s="25"/>
      <c r="Q12347" s="17"/>
    </row>
    <row r="12348" spans="12:17" x14ac:dyDescent="0.3">
      <c r="L12348" s="25"/>
      <c r="Q12348" s="17"/>
    </row>
    <row r="12349" spans="12:17" x14ac:dyDescent="0.3">
      <c r="L12349" s="25"/>
      <c r="Q12349" s="17"/>
    </row>
    <row r="12350" spans="12:17" x14ac:dyDescent="0.3">
      <c r="L12350" s="25"/>
      <c r="Q12350" s="17"/>
    </row>
    <row r="12351" spans="12:17" x14ac:dyDescent="0.3">
      <c r="L12351" s="25"/>
      <c r="Q12351" s="17"/>
    </row>
    <row r="12352" spans="12:17" x14ac:dyDescent="0.3">
      <c r="L12352" s="25"/>
      <c r="Q12352" s="17"/>
    </row>
    <row r="12353" spans="12:17" x14ac:dyDescent="0.3">
      <c r="L12353" s="25"/>
      <c r="Q12353" s="17"/>
    </row>
    <row r="12354" spans="12:17" x14ac:dyDescent="0.3">
      <c r="L12354" s="25"/>
      <c r="Q12354" s="17"/>
    </row>
    <row r="12355" spans="12:17" x14ac:dyDescent="0.3">
      <c r="L12355" s="25"/>
      <c r="Q12355" s="17"/>
    </row>
    <row r="12356" spans="12:17" x14ac:dyDescent="0.3">
      <c r="L12356" s="25"/>
      <c r="Q12356" s="17"/>
    </row>
    <row r="12357" spans="12:17" x14ac:dyDescent="0.3">
      <c r="L12357" s="25"/>
      <c r="Q12357" s="17"/>
    </row>
    <row r="12358" spans="12:17" x14ac:dyDescent="0.3">
      <c r="L12358" s="25"/>
      <c r="Q12358" s="17"/>
    </row>
    <row r="12359" spans="12:17" x14ac:dyDescent="0.3">
      <c r="L12359" s="25"/>
      <c r="Q12359" s="17"/>
    </row>
    <row r="12360" spans="12:17" x14ac:dyDescent="0.3">
      <c r="L12360" s="25"/>
      <c r="Q12360" s="17"/>
    </row>
    <row r="12361" spans="12:17" x14ac:dyDescent="0.3">
      <c r="L12361" s="25"/>
      <c r="Q12361" s="17"/>
    </row>
    <row r="12362" spans="12:17" x14ac:dyDescent="0.3">
      <c r="L12362" s="25"/>
      <c r="Q12362" s="17"/>
    </row>
    <row r="12363" spans="12:17" x14ac:dyDescent="0.3">
      <c r="L12363" s="25"/>
      <c r="Q12363" s="17"/>
    </row>
    <row r="12364" spans="12:17" x14ac:dyDescent="0.3">
      <c r="L12364" s="25"/>
      <c r="Q12364" s="17"/>
    </row>
    <row r="12365" spans="12:17" x14ac:dyDescent="0.3">
      <c r="L12365" s="25"/>
      <c r="Q12365" s="17"/>
    </row>
    <row r="12366" spans="12:17" x14ac:dyDescent="0.3">
      <c r="L12366" s="25"/>
      <c r="Q12366" s="17"/>
    </row>
    <row r="12367" spans="12:17" x14ac:dyDescent="0.3">
      <c r="L12367" s="25"/>
      <c r="Q12367" s="17"/>
    </row>
    <row r="12368" spans="12:17" x14ac:dyDescent="0.3">
      <c r="L12368" s="25"/>
      <c r="Q12368" s="17"/>
    </row>
    <row r="12369" spans="12:17" x14ac:dyDescent="0.3">
      <c r="L12369" s="25"/>
      <c r="Q12369" s="17"/>
    </row>
    <row r="12370" spans="12:17" x14ac:dyDescent="0.3">
      <c r="L12370" s="25"/>
      <c r="Q12370" s="17"/>
    </row>
    <row r="12371" spans="12:17" x14ac:dyDescent="0.3">
      <c r="L12371" s="25"/>
      <c r="Q12371" s="17"/>
    </row>
    <row r="12372" spans="12:17" x14ac:dyDescent="0.3">
      <c r="L12372" s="25"/>
      <c r="Q12372" s="17"/>
    </row>
    <row r="12373" spans="12:17" x14ac:dyDescent="0.3">
      <c r="L12373" s="25"/>
      <c r="Q12373" s="17"/>
    </row>
    <row r="12374" spans="12:17" x14ac:dyDescent="0.3">
      <c r="L12374" s="25"/>
      <c r="Q12374" s="17"/>
    </row>
    <row r="12375" spans="12:17" x14ac:dyDescent="0.3">
      <c r="L12375" s="25"/>
      <c r="Q12375" s="17"/>
    </row>
    <row r="12376" spans="12:17" x14ac:dyDescent="0.3">
      <c r="L12376" s="25"/>
      <c r="Q12376" s="17"/>
    </row>
    <row r="12377" spans="12:17" x14ac:dyDescent="0.3">
      <c r="L12377" s="25"/>
      <c r="Q12377" s="17"/>
    </row>
    <row r="12378" spans="12:17" x14ac:dyDescent="0.3">
      <c r="L12378" s="25"/>
      <c r="Q12378" s="17"/>
    </row>
    <row r="12379" spans="12:17" x14ac:dyDescent="0.3">
      <c r="L12379" s="25"/>
      <c r="Q12379" s="17"/>
    </row>
    <row r="12380" spans="12:17" x14ac:dyDescent="0.3">
      <c r="L12380" s="25"/>
      <c r="Q12380" s="17"/>
    </row>
    <row r="12381" spans="12:17" x14ac:dyDescent="0.3">
      <c r="L12381" s="25"/>
      <c r="Q12381" s="17"/>
    </row>
    <row r="12382" spans="12:17" x14ac:dyDescent="0.3">
      <c r="L12382" s="25"/>
      <c r="Q12382" s="17"/>
    </row>
    <row r="12383" spans="12:17" x14ac:dyDescent="0.3">
      <c r="L12383" s="25"/>
      <c r="Q12383" s="17"/>
    </row>
    <row r="12384" spans="12:17" x14ac:dyDescent="0.3">
      <c r="L12384" s="25"/>
      <c r="Q12384" s="17"/>
    </row>
    <row r="12385" spans="12:17" x14ac:dyDescent="0.3">
      <c r="L12385" s="25"/>
      <c r="Q12385" s="17"/>
    </row>
    <row r="12386" spans="12:17" x14ac:dyDescent="0.3">
      <c r="L12386" s="25"/>
      <c r="Q12386" s="17"/>
    </row>
    <row r="12387" spans="12:17" x14ac:dyDescent="0.3">
      <c r="L12387" s="25"/>
      <c r="Q12387" s="17"/>
    </row>
    <row r="12388" spans="12:17" x14ac:dyDescent="0.3">
      <c r="L12388" s="25"/>
      <c r="Q12388" s="17"/>
    </row>
    <row r="12389" spans="12:17" x14ac:dyDescent="0.3">
      <c r="L12389" s="25"/>
      <c r="Q12389" s="17"/>
    </row>
    <row r="12390" spans="12:17" x14ac:dyDescent="0.3">
      <c r="L12390" s="25"/>
      <c r="Q12390" s="17"/>
    </row>
    <row r="12391" spans="12:17" x14ac:dyDescent="0.3">
      <c r="L12391" s="25"/>
      <c r="Q12391" s="17"/>
    </row>
    <row r="12392" spans="12:17" x14ac:dyDescent="0.3">
      <c r="L12392" s="25"/>
      <c r="Q12392" s="17"/>
    </row>
    <row r="12393" spans="12:17" x14ac:dyDescent="0.3">
      <c r="L12393" s="25"/>
      <c r="Q12393" s="17"/>
    </row>
    <row r="12394" spans="12:17" x14ac:dyDescent="0.3">
      <c r="L12394" s="25"/>
      <c r="Q12394" s="17"/>
    </row>
    <row r="12395" spans="12:17" x14ac:dyDescent="0.3">
      <c r="L12395" s="25"/>
      <c r="Q12395" s="17"/>
    </row>
    <row r="12396" spans="12:17" x14ac:dyDescent="0.3">
      <c r="L12396" s="25"/>
      <c r="Q12396" s="17"/>
    </row>
    <row r="12397" spans="12:17" x14ac:dyDescent="0.3">
      <c r="L12397" s="25"/>
      <c r="Q12397" s="17"/>
    </row>
    <row r="12398" spans="12:17" x14ac:dyDescent="0.3">
      <c r="L12398" s="25"/>
      <c r="Q12398" s="17"/>
    </row>
    <row r="12399" spans="12:17" x14ac:dyDescent="0.3">
      <c r="L12399" s="25"/>
      <c r="Q12399" s="17"/>
    </row>
    <row r="12400" spans="12:17" x14ac:dyDescent="0.3">
      <c r="L12400" s="25"/>
      <c r="Q12400" s="17"/>
    </row>
    <row r="12401" spans="12:17" x14ac:dyDescent="0.3">
      <c r="L12401" s="25"/>
      <c r="Q12401" s="17"/>
    </row>
    <row r="12402" spans="12:17" x14ac:dyDescent="0.3">
      <c r="L12402" s="25"/>
      <c r="Q12402" s="17"/>
    </row>
    <row r="12403" spans="12:17" x14ac:dyDescent="0.3">
      <c r="L12403" s="25"/>
      <c r="Q12403" s="17"/>
    </row>
    <row r="12404" spans="12:17" x14ac:dyDescent="0.3">
      <c r="L12404" s="25"/>
      <c r="Q12404" s="17"/>
    </row>
    <row r="12405" spans="12:17" x14ac:dyDescent="0.3">
      <c r="L12405" s="25"/>
      <c r="Q12405" s="17"/>
    </row>
    <row r="12406" spans="12:17" x14ac:dyDescent="0.3">
      <c r="L12406" s="25"/>
      <c r="Q12406" s="17"/>
    </row>
    <row r="12407" spans="12:17" x14ac:dyDescent="0.3">
      <c r="L12407" s="25"/>
      <c r="Q12407" s="17"/>
    </row>
    <row r="12408" spans="12:17" x14ac:dyDescent="0.3">
      <c r="L12408" s="25"/>
      <c r="Q12408" s="17"/>
    </row>
    <row r="12409" spans="12:17" x14ac:dyDescent="0.3">
      <c r="L12409" s="25"/>
      <c r="Q12409" s="17"/>
    </row>
    <row r="12410" spans="12:17" x14ac:dyDescent="0.3">
      <c r="L12410" s="25"/>
      <c r="Q12410" s="17"/>
    </row>
    <row r="12411" spans="12:17" x14ac:dyDescent="0.3">
      <c r="L12411" s="25"/>
      <c r="Q12411" s="17"/>
    </row>
    <row r="12412" spans="12:17" x14ac:dyDescent="0.3">
      <c r="L12412" s="25"/>
      <c r="Q12412" s="17"/>
    </row>
    <row r="12413" spans="12:17" x14ac:dyDescent="0.3">
      <c r="L12413" s="25"/>
      <c r="Q12413" s="17"/>
    </row>
    <row r="12414" spans="12:17" x14ac:dyDescent="0.3">
      <c r="L12414" s="25"/>
      <c r="Q12414" s="17"/>
    </row>
    <row r="12415" spans="12:17" x14ac:dyDescent="0.3">
      <c r="L12415" s="25"/>
      <c r="Q12415" s="17"/>
    </row>
    <row r="12416" spans="12:17" x14ac:dyDescent="0.3">
      <c r="L12416" s="25"/>
      <c r="Q12416" s="17"/>
    </row>
    <row r="12417" spans="12:17" x14ac:dyDescent="0.3">
      <c r="L12417" s="25"/>
      <c r="Q12417" s="17"/>
    </row>
    <row r="12418" spans="12:17" x14ac:dyDescent="0.3">
      <c r="L12418" s="25"/>
      <c r="Q12418" s="17"/>
    </row>
    <row r="12419" spans="12:17" x14ac:dyDescent="0.3">
      <c r="L12419" s="25"/>
      <c r="Q12419" s="17"/>
    </row>
    <row r="12420" spans="12:17" x14ac:dyDescent="0.3">
      <c r="L12420" s="25"/>
      <c r="Q12420" s="17"/>
    </row>
    <row r="12421" spans="12:17" x14ac:dyDescent="0.3">
      <c r="L12421" s="25"/>
      <c r="Q12421" s="17"/>
    </row>
    <row r="12422" spans="12:17" x14ac:dyDescent="0.3">
      <c r="L12422" s="25"/>
      <c r="Q12422" s="17"/>
    </row>
    <row r="12423" spans="12:17" x14ac:dyDescent="0.3">
      <c r="L12423" s="25"/>
      <c r="Q12423" s="17"/>
    </row>
    <row r="12424" spans="12:17" x14ac:dyDescent="0.3">
      <c r="L12424" s="25"/>
      <c r="Q12424" s="17"/>
    </row>
    <row r="12425" spans="12:17" x14ac:dyDescent="0.3">
      <c r="L12425" s="25"/>
      <c r="Q12425" s="17"/>
    </row>
    <row r="12426" spans="12:17" x14ac:dyDescent="0.3">
      <c r="L12426" s="25"/>
      <c r="Q12426" s="17"/>
    </row>
    <row r="12427" spans="12:17" x14ac:dyDescent="0.3">
      <c r="L12427" s="25"/>
      <c r="Q12427" s="17"/>
    </row>
    <row r="12428" spans="12:17" x14ac:dyDescent="0.3">
      <c r="L12428" s="25"/>
      <c r="Q12428" s="17"/>
    </row>
    <row r="12429" spans="12:17" x14ac:dyDescent="0.3">
      <c r="L12429" s="25"/>
      <c r="Q12429" s="17"/>
    </row>
    <row r="12430" spans="12:17" x14ac:dyDescent="0.3">
      <c r="L12430" s="25"/>
      <c r="Q12430" s="17"/>
    </row>
    <row r="12431" spans="12:17" x14ac:dyDescent="0.3">
      <c r="L12431" s="25"/>
      <c r="Q12431" s="17"/>
    </row>
    <row r="12432" spans="12:17" x14ac:dyDescent="0.3">
      <c r="L12432" s="25"/>
      <c r="Q12432" s="17"/>
    </row>
    <row r="12433" spans="12:17" x14ac:dyDescent="0.3">
      <c r="L12433" s="25"/>
      <c r="Q12433" s="17"/>
    </row>
    <row r="12434" spans="12:17" x14ac:dyDescent="0.3">
      <c r="L12434" s="25"/>
      <c r="Q12434" s="17"/>
    </row>
    <row r="12435" spans="12:17" x14ac:dyDescent="0.3">
      <c r="L12435" s="25"/>
      <c r="Q12435" s="17"/>
    </row>
    <row r="12436" spans="12:17" x14ac:dyDescent="0.3">
      <c r="L12436" s="25"/>
      <c r="Q12436" s="17"/>
    </row>
    <row r="12437" spans="12:17" x14ac:dyDescent="0.3">
      <c r="L12437" s="25"/>
      <c r="Q12437" s="17"/>
    </row>
    <row r="12438" spans="12:17" x14ac:dyDescent="0.3">
      <c r="L12438" s="25"/>
      <c r="Q12438" s="17"/>
    </row>
    <row r="12439" spans="12:17" x14ac:dyDescent="0.3">
      <c r="L12439" s="25"/>
      <c r="Q12439" s="17"/>
    </row>
    <row r="12440" spans="12:17" x14ac:dyDescent="0.3">
      <c r="L12440" s="25"/>
      <c r="Q12440" s="17"/>
    </row>
    <row r="12441" spans="12:17" x14ac:dyDescent="0.3">
      <c r="L12441" s="25"/>
      <c r="Q12441" s="17"/>
    </row>
    <row r="12442" spans="12:17" x14ac:dyDescent="0.3">
      <c r="L12442" s="25"/>
      <c r="Q12442" s="17"/>
    </row>
    <row r="12443" spans="12:17" x14ac:dyDescent="0.3">
      <c r="L12443" s="25"/>
      <c r="Q12443" s="17"/>
    </row>
    <row r="12444" spans="12:17" x14ac:dyDescent="0.3">
      <c r="L12444" s="25"/>
      <c r="Q12444" s="17"/>
    </row>
    <row r="12445" spans="12:17" x14ac:dyDescent="0.3">
      <c r="L12445" s="25"/>
      <c r="Q12445" s="17"/>
    </row>
    <row r="12446" spans="12:17" x14ac:dyDescent="0.3">
      <c r="L12446" s="25"/>
      <c r="Q12446" s="17"/>
    </row>
    <row r="12447" spans="12:17" x14ac:dyDescent="0.3">
      <c r="L12447" s="25"/>
      <c r="Q12447" s="17"/>
    </row>
    <row r="12448" spans="12:17" x14ac:dyDescent="0.3">
      <c r="L12448" s="25"/>
      <c r="Q12448" s="17"/>
    </row>
    <row r="12449" spans="12:17" x14ac:dyDescent="0.3">
      <c r="L12449" s="25"/>
      <c r="Q12449" s="17"/>
    </row>
    <row r="12450" spans="12:17" x14ac:dyDescent="0.3">
      <c r="L12450" s="25"/>
      <c r="Q12450" s="17"/>
    </row>
    <row r="12451" spans="12:17" x14ac:dyDescent="0.3">
      <c r="L12451" s="25"/>
      <c r="Q12451" s="17"/>
    </row>
    <row r="12452" spans="12:17" x14ac:dyDescent="0.3">
      <c r="L12452" s="25"/>
      <c r="Q12452" s="17"/>
    </row>
    <row r="12453" spans="12:17" x14ac:dyDescent="0.3">
      <c r="L12453" s="25"/>
      <c r="Q12453" s="17"/>
    </row>
    <row r="12454" spans="12:17" x14ac:dyDescent="0.3">
      <c r="L12454" s="25"/>
      <c r="Q12454" s="17"/>
    </row>
    <row r="12455" spans="12:17" x14ac:dyDescent="0.3">
      <c r="L12455" s="25"/>
      <c r="Q12455" s="17"/>
    </row>
    <row r="12456" spans="12:17" x14ac:dyDescent="0.3">
      <c r="L12456" s="25"/>
      <c r="Q12456" s="17"/>
    </row>
    <row r="12457" spans="12:17" x14ac:dyDescent="0.3">
      <c r="L12457" s="25"/>
      <c r="Q12457" s="17"/>
    </row>
    <row r="12458" spans="12:17" x14ac:dyDescent="0.3">
      <c r="L12458" s="25"/>
      <c r="Q12458" s="17"/>
    </row>
    <row r="12459" spans="12:17" x14ac:dyDescent="0.3">
      <c r="L12459" s="25"/>
      <c r="Q12459" s="17"/>
    </row>
    <row r="12460" spans="12:17" x14ac:dyDescent="0.3">
      <c r="L12460" s="25"/>
      <c r="Q12460" s="17"/>
    </row>
    <row r="12461" spans="12:17" x14ac:dyDescent="0.3">
      <c r="L12461" s="25"/>
      <c r="Q12461" s="17"/>
    </row>
    <row r="12462" spans="12:17" x14ac:dyDescent="0.3">
      <c r="L12462" s="25"/>
      <c r="Q12462" s="17"/>
    </row>
    <row r="12463" spans="12:17" x14ac:dyDescent="0.3">
      <c r="L12463" s="25"/>
      <c r="Q12463" s="17"/>
    </row>
    <row r="12464" spans="12:17" x14ac:dyDescent="0.3">
      <c r="L12464" s="25"/>
      <c r="Q12464" s="17"/>
    </row>
    <row r="12465" spans="12:17" x14ac:dyDescent="0.3">
      <c r="L12465" s="25"/>
      <c r="Q12465" s="17"/>
    </row>
    <row r="12466" spans="12:17" x14ac:dyDescent="0.3">
      <c r="L12466" s="25"/>
      <c r="Q12466" s="17"/>
    </row>
    <row r="12467" spans="12:17" x14ac:dyDescent="0.3">
      <c r="L12467" s="25"/>
      <c r="Q12467" s="17"/>
    </row>
    <row r="12468" spans="12:17" x14ac:dyDescent="0.3">
      <c r="L12468" s="25"/>
      <c r="Q12468" s="17"/>
    </row>
    <row r="12469" spans="12:17" x14ac:dyDescent="0.3">
      <c r="L12469" s="25"/>
      <c r="Q12469" s="17"/>
    </row>
    <row r="12470" spans="12:17" x14ac:dyDescent="0.3">
      <c r="L12470" s="25"/>
      <c r="Q12470" s="17"/>
    </row>
    <row r="12471" spans="12:17" x14ac:dyDescent="0.3">
      <c r="L12471" s="25"/>
      <c r="Q12471" s="17"/>
    </row>
    <row r="12472" spans="12:17" x14ac:dyDescent="0.3">
      <c r="L12472" s="25"/>
      <c r="Q12472" s="17"/>
    </row>
    <row r="12473" spans="12:17" x14ac:dyDescent="0.3">
      <c r="L12473" s="25"/>
      <c r="Q12473" s="17"/>
    </row>
    <row r="12474" spans="12:17" x14ac:dyDescent="0.3">
      <c r="L12474" s="25"/>
      <c r="Q12474" s="17"/>
    </row>
    <row r="12475" spans="12:17" x14ac:dyDescent="0.3">
      <c r="L12475" s="25"/>
      <c r="Q12475" s="17"/>
    </row>
    <row r="12476" spans="12:17" x14ac:dyDescent="0.3">
      <c r="L12476" s="25"/>
      <c r="Q12476" s="17"/>
    </row>
    <row r="12477" spans="12:17" x14ac:dyDescent="0.3">
      <c r="L12477" s="25"/>
      <c r="Q12477" s="17"/>
    </row>
    <row r="12478" spans="12:17" x14ac:dyDescent="0.3">
      <c r="L12478" s="25"/>
      <c r="Q12478" s="17"/>
    </row>
    <row r="12479" spans="12:17" x14ac:dyDescent="0.3">
      <c r="L12479" s="25"/>
      <c r="Q12479" s="17"/>
    </row>
    <row r="12480" spans="12:17" x14ac:dyDescent="0.3">
      <c r="L12480" s="25"/>
      <c r="Q12480" s="17"/>
    </row>
    <row r="12481" spans="12:17" x14ac:dyDescent="0.3">
      <c r="L12481" s="25"/>
      <c r="Q12481" s="17"/>
    </row>
    <row r="12482" spans="12:17" x14ac:dyDescent="0.3">
      <c r="L12482" s="25"/>
      <c r="Q12482" s="17"/>
    </row>
    <row r="12483" spans="12:17" x14ac:dyDescent="0.3">
      <c r="L12483" s="25"/>
      <c r="Q12483" s="17"/>
    </row>
    <row r="12484" spans="12:17" x14ac:dyDescent="0.3">
      <c r="L12484" s="25"/>
      <c r="Q12484" s="17"/>
    </row>
    <row r="12485" spans="12:17" x14ac:dyDescent="0.3">
      <c r="L12485" s="25"/>
      <c r="Q12485" s="17"/>
    </row>
    <row r="12486" spans="12:17" x14ac:dyDescent="0.3">
      <c r="L12486" s="25"/>
      <c r="Q12486" s="17"/>
    </row>
    <row r="12487" spans="12:17" x14ac:dyDescent="0.3">
      <c r="L12487" s="25"/>
      <c r="Q12487" s="17"/>
    </row>
    <row r="12488" spans="12:17" x14ac:dyDescent="0.3">
      <c r="L12488" s="25"/>
      <c r="Q12488" s="17"/>
    </row>
    <row r="12489" spans="12:17" x14ac:dyDescent="0.3">
      <c r="L12489" s="25"/>
      <c r="Q12489" s="17"/>
    </row>
    <row r="12490" spans="12:17" x14ac:dyDescent="0.3">
      <c r="L12490" s="25"/>
      <c r="Q12490" s="17"/>
    </row>
    <row r="12491" spans="12:17" x14ac:dyDescent="0.3">
      <c r="L12491" s="25"/>
      <c r="Q12491" s="17"/>
    </row>
    <row r="12492" spans="12:17" x14ac:dyDescent="0.3">
      <c r="L12492" s="25"/>
      <c r="Q12492" s="17"/>
    </row>
    <row r="12493" spans="12:17" x14ac:dyDescent="0.3">
      <c r="L12493" s="25"/>
      <c r="Q12493" s="17"/>
    </row>
    <row r="12494" spans="12:17" x14ac:dyDescent="0.3">
      <c r="L12494" s="25"/>
      <c r="Q12494" s="17"/>
    </row>
    <row r="12495" spans="12:17" x14ac:dyDescent="0.3">
      <c r="L12495" s="25"/>
      <c r="Q12495" s="17"/>
    </row>
    <row r="12496" spans="12:17" x14ac:dyDescent="0.3">
      <c r="L12496" s="25"/>
      <c r="Q12496" s="17"/>
    </row>
    <row r="12497" spans="12:17" x14ac:dyDescent="0.3">
      <c r="L12497" s="25"/>
      <c r="Q12497" s="17"/>
    </row>
    <row r="12498" spans="12:17" x14ac:dyDescent="0.3">
      <c r="L12498" s="25"/>
      <c r="Q12498" s="17"/>
    </row>
    <row r="12499" spans="12:17" x14ac:dyDescent="0.3">
      <c r="L12499" s="25"/>
      <c r="Q12499" s="17"/>
    </row>
    <row r="12500" spans="12:17" x14ac:dyDescent="0.3">
      <c r="L12500" s="25"/>
      <c r="Q12500" s="17"/>
    </row>
    <row r="12501" spans="12:17" x14ac:dyDescent="0.3">
      <c r="L12501" s="25"/>
      <c r="Q12501" s="17"/>
    </row>
    <row r="12502" spans="12:17" x14ac:dyDescent="0.3">
      <c r="L12502" s="25"/>
      <c r="Q12502" s="17"/>
    </row>
    <row r="12503" spans="12:17" x14ac:dyDescent="0.3">
      <c r="L12503" s="25"/>
      <c r="Q12503" s="17"/>
    </row>
    <row r="12504" spans="12:17" x14ac:dyDescent="0.3">
      <c r="L12504" s="25"/>
      <c r="Q12504" s="17"/>
    </row>
    <row r="12505" spans="12:17" x14ac:dyDescent="0.3">
      <c r="L12505" s="25"/>
      <c r="Q12505" s="17"/>
    </row>
    <row r="12506" spans="12:17" x14ac:dyDescent="0.3">
      <c r="L12506" s="25"/>
      <c r="Q12506" s="17"/>
    </row>
    <row r="12507" spans="12:17" x14ac:dyDescent="0.3">
      <c r="L12507" s="25"/>
      <c r="Q12507" s="17"/>
    </row>
    <row r="12508" spans="12:17" x14ac:dyDescent="0.3">
      <c r="L12508" s="25"/>
      <c r="Q12508" s="17"/>
    </row>
    <row r="12509" spans="12:17" x14ac:dyDescent="0.3">
      <c r="L12509" s="25"/>
      <c r="Q12509" s="17"/>
    </row>
    <row r="12510" spans="12:17" x14ac:dyDescent="0.3">
      <c r="L12510" s="25"/>
      <c r="Q12510" s="17"/>
    </row>
    <row r="12511" spans="12:17" x14ac:dyDescent="0.3">
      <c r="L12511" s="25"/>
      <c r="Q12511" s="17"/>
    </row>
    <row r="12512" spans="12:17" x14ac:dyDescent="0.3">
      <c r="L12512" s="25"/>
      <c r="Q12512" s="17"/>
    </row>
    <row r="12513" spans="12:17" x14ac:dyDescent="0.3">
      <c r="L12513" s="25"/>
      <c r="Q12513" s="17"/>
    </row>
    <row r="12514" spans="12:17" x14ac:dyDescent="0.3">
      <c r="L12514" s="25"/>
      <c r="Q12514" s="17"/>
    </row>
    <row r="12515" spans="12:17" x14ac:dyDescent="0.3">
      <c r="L12515" s="25"/>
      <c r="Q12515" s="17"/>
    </row>
    <row r="12516" spans="12:17" x14ac:dyDescent="0.3">
      <c r="L12516" s="25"/>
      <c r="Q12516" s="17"/>
    </row>
    <row r="12517" spans="12:17" x14ac:dyDescent="0.3">
      <c r="L12517" s="25"/>
      <c r="Q12517" s="17"/>
    </row>
    <row r="12518" spans="12:17" x14ac:dyDescent="0.3">
      <c r="L12518" s="25"/>
      <c r="Q12518" s="17"/>
    </row>
    <row r="12519" spans="12:17" x14ac:dyDescent="0.3">
      <c r="L12519" s="25"/>
      <c r="Q12519" s="17"/>
    </row>
    <row r="12520" spans="12:17" x14ac:dyDescent="0.3">
      <c r="L12520" s="25"/>
      <c r="Q12520" s="17"/>
    </row>
    <row r="12521" spans="12:17" x14ac:dyDescent="0.3">
      <c r="L12521" s="25"/>
      <c r="Q12521" s="17"/>
    </row>
    <row r="12522" spans="12:17" x14ac:dyDescent="0.3">
      <c r="L12522" s="25"/>
      <c r="Q12522" s="17"/>
    </row>
    <row r="12523" spans="12:17" x14ac:dyDescent="0.3">
      <c r="L12523" s="25"/>
      <c r="Q12523" s="17"/>
    </row>
    <row r="12524" spans="12:17" x14ac:dyDescent="0.3">
      <c r="L12524" s="25"/>
      <c r="Q12524" s="17"/>
    </row>
    <row r="12525" spans="12:17" x14ac:dyDescent="0.3">
      <c r="L12525" s="25"/>
      <c r="Q12525" s="17"/>
    </row>
    <row r="12526" spans="12:17" x14ac:dyDescent="0.3">
      <c r="L12526" s="25"/>
      <c r="Q12526" s="17"/>
    </row>
    <row r="12527" spans="12:17" x14ac:dyDescent="0.3">
      <c r="L12527" s="25"/>
      <c r="Q12527" s="17"/>
    </row>
    <row r="12528" spans="12:17" x14ac:dyDescent="0.3">
      <c r="L12528" s="25"/>
      <c r="Q12528" s="17"/>
    </row>
    <row r="12529" spans="12:17" x14ac:dyDescent="0.3">
      <c r="L12529" s="25"/>
      <c r="Q12529" s="17"/>
    </row>
    <row r="12530" spans="12:17" x14ac:dyDescent="0.3">
      <c r="L12530" s="25"/>
      <c r="Q12530" s="17"/>
    </row>
    <row r="12531" spans="12:17" x14ac:dyDescent="0.3">
      <c r="L12531" s="25"/>
      <c r="Q12531" s="17"/>
    </row>
    <row r="12532" spans="12:17" x14ac:dyDescent="0.3">
      <c r="L12532" s="25"/>
      <c r="Q12532" s="17"/>
    </row>
    <row r="12533" spans="12:17" x14ac:dyDescent="0.3">
      <c r="L12533" s="25"/>
      <c r="Q12533" s="17"/>
    </row>
    <row r="12534" spans="12:17" x14ac:dyDescent="0.3">
      <c r="L12534" s="25"/>
      <c r="Q12534" s="17"/>
    </row>
    <row r="12535" spans="12:17" x14ac:dyDescent="0.3">
      <c r="L12535" s="25"/>
      <c r="Q12535" s="17"/>
    </row>
    <row r="12536" spans="12:17" x14ac:dyDescent="0.3">
      <c r="L12536" s="25"/>
      <c r="Q12536" s="17"/>
    </row>
    <row r="12537" spans="12:17" x14ac:dyDescent="0.3">
      <c r="L12537" s="25"/>
      <c r="Q12537" s="17"/>
    </row>
    <row r="12538" spans="12:17" x14ac:dyDescent="0.3">
      <c r="L12538" s="25"/>
      <c r="Q12538" s="17"/>
    </row>
    <row r="12539" spans="12:17" x14ac:dyDescent="0.3">
      <c r="L12539" s="25"/>
      <c r="Q12539" s="17"/>
    </row>
    <row r="12540" spans="12:17" x14ac:dyDescent="0.3">
      <c r="L12540" s="25"/>
      <c r="Q12540" s="17"/>
    </row>
    <row r="12541" spans="12:17" x14ac:dyDescent="0.3">
      <c r="L12541" s="25"/>
      <c r="Q12541" s="17"/>
    </row>
    <row r="12542" spans="12:17" x14ac:dyDescent="0.3">
      <c r="L12542" s="25"/>
      <c r="Q12542" s="17"/>
    </row>
    <row r="12543" spans="12:17" x14ac:dyDescent="0.3">
      <c r="L12543" s="25"/>
      <c r="Q12543" s="17"/>
    </row>
    <row r="12544" spans="12:17" x14ac:dyDescent="0.3">
      <c r="L12544" s="25"/>
      <c r="Q12544" s="17"/>
    </row>
    <row r="12545" spans="12:17" x14ac:dyDescent="0.3">
      <c r="L12545" s="25"/>
      <c r="Q12545" s="17"/>
    </row>
    <row r="12546" spans="12:17" x14ac:dyDescent="0.3">
      <c r="L12546" s="25"/>
      <c r="Q12546" s="17"/>
    </row>
    <row r="12547" spans="12:17" x14ac:dyDescent="0.3">
      <c r="L12547" s="25"/>
      <c r="Q12547" s="17"/>
    </row>
    <row r="12548" spans="12:17" x14ac:dyDescent="0.3">
      <c r="L12548" s="25"/>
      <c r="Q12548" s="17"/>
    </row>
    <row r="12549" spans="12:17" x14ac:dyDescent="0.3">
      <c r="L12549" s="25"/>
      <c r="Q12549" s="17"/>
    </row>
    <row r="12550" spans="12:17" x14ac:dyDescent="0.3">
      <c r="L12550" s="25"/>
      <c r="Q12550" s="17"/>
    </row>
    <row r="12551" spans="12:17" x14ac:dyDescent="0.3">
      <c r="L12551" s="25"/>
      <c r="Q12551" s="17"/>
    </row>
    <row r="12552" spans="12:17" x14ac:dyDescent="0.3">
      <c r="L12552" s="25"/>
      <c r="Q12552" s="17"/>
    </row>
    <row r="12553" spans="12:17" x14ac:dyDescent="0.3">
      <c r="L12553" s="25"/>
      <c r="Q12553" s="17"/>
    </row>
    <row r="12554" spans="12:17" x14ac:dyDescent="0.3">
      <c r="L12554" s="25"/>
      <c r="Q12554" s="17"/>
    </row>
    <row r="12555" spans="12:17" x14ac:dyDescent="0.3">
      <c r="L12555" s="25"/>
      <c r="Q12555" s="17"/>
    </row>
    <row r="12556" spans="12:17" x14ac:dyDescent="0.3">
      <c r="L12556" s="25"/>
      <c r="Q12556" s="17"/>
    </row>
    <row r="12557" spans="12:17" x14ac:dyDescent="0.3">
      <c r="L12557" s="25"/>
      <c r="Q12557" s="17"/>
    </row>
    <row r="12558" spans="12:17" x14ac:dyDescent="0.3">
      <c r="L12558" s="25"/>
      <c r="Q12558" s="17"/>
    </row>
    <row r="12559" spans="12:17" x14ac:dyDescent="0.3">
      <c r="L12559" s="25"/>
      <c r="Q12559" s="17"/>
    </row>
    <row r="12560" spans="12:17" x14ac:dyDescent="0.3">
      <c r="L12560" s="25"/>
      <c r="Q12560" s="17"/>
    </row>
    <row r="12561" spans="12:17" x14ac:dyDescent="0.3">
      <c r="L12561" s="25"/>
      <c r="Q12561" s="17"/>
    </row>
    <row r="12562" spans="12:17" x14ac:dyDescent="0.3">
      <c r="L12562" s="25"/>
      <c r="Q12562" s="17"/>
    </row>
    <row r="12563" spans="12:17" x14ac:dyDescent="0.3">
      <c r="L12563" s="25"/>
      <c r="Q12563" s="17"/>
    </row>
    <row r="12564" spans="12:17" x14ac:dyDescent="0.3">
      <c r="L12564" s="25"/>
      <c r="Q12564" s="17"/>
    </row>
    <row r="12565" spans="12:17" x14ac:dyDescent="0.3">
      <c r="L12565" s="25"/>
      <c r="Q12565" s="17"/>
    </row>
    <row r="12566" spans="12:17" x14ac:dyDescent="0.3">
      <c r="L12566" s="25"/>
      <c r="Q12566" s="17"/>
    </row>
    <row r="12567" spans="12:17" x14ac:dyDescent="0.3">
      <c r="L12567" s="25"/>
      <c r="Q12567" s="17"/>
    </row>
    <row r="12568" spans="12:17" x14ac:dyDescent="0.3">
      <c r="L12568" s="25"/>
      <c r="Q12568" s="17"/>
    </row>
    <row r="12569" spans="12:17" x14ac:dyDescent="0.3">
      <c r="L12569" s="25"/>
      <c r="Q12569" s="17"/>
    </row>
    <row r="12570" spans="12:17" x14ac:dyDescent="0.3">
      <c r="L12570" s="25"/>
      <c r="Q12570" s="17"/>
    </row>
    <row r="12571" spans="12:17" x14ac:dyDescent="0.3">
      <c r="L12571" s="25"/>
      <c r="Q12571" s="17"/>
    </row>
    <row r="12572" spans="12:17" x14ac:dyDescent="0.3">
      <c r="L12572" s="25"/>
      <c r="Q12572" s="17"/>
    </row>
    <row r="12573" spans="12:17" x14ac:dyDescent="0.3">
      <c r="L12573" s="25"/>
      <c r="Q12573" s="17"/>
    </row>
    <row r="12574" spans="12:17" x14ac:dyDescent="0.3">
      <c r="L12574" s="25"/>
      <c r="Q12574" s="17"/>
    </row>
    <row r="12575" spans="12:17" x14ac:dyDescent="0.3">
      <c r="L12575" s="25"/>
      <c r="Q12575" s="17"/>
    </row>
    <row r="12576" spans="12:17" x14ac:dyDescent="0.3">
      <c r="L12576" s="25"/>
      <c r="Q12576" s="17"/>
    </row>
    <row r="12577" spans="12:17" x14ac:dyDescent="0.3">
      <c r="L12577" s="25"/>
      <c r="Q12577" s="17"/>
    </row>
    <row r="12578" spans="12:17" x14ac:dyDescent="0.3">
      <c r="L12578" s="25"/>
      <c r="Q12578" s="17"/>
    </row>
    <row r="12579" spans="12:17" x14ac:dyDescent="0.3">
      <c r="L12579" s="25"/>
      <c r="Q12579" s="17"/>
    </row>
    <row r="12580" spans="12:17" x14ac:dyDescent="0.3">
      <c r="L12580" s="25"/>
      <c r="Q12580" s="17"/>
    </row>
    <row r="12581" spans="12:17" x14ac:dyDescent="0.3">
      <c r="L12581" s="25"/>
      <c r="Q12581" s="17"/>
    </row>
    <row r="12582" spans="12:17" x14ac:dyDescent="0.3">
      <c r="L12582" s="25"/>
      <c r="Q12582" s="17"/>
    </row>
    <row r="12583" spans="12:17" x14ac:dyDescent="0.3">
      <c r="L12583" s="25"/>
      <c r="Q12583" s="17"/>
    </row>
    <row r="12584" spans="12:17" x14ac:dyDescent="0.3">
      <c r="L12584" s="25"/>
      <c r="Q12584" s="17"/>
    </row>
    <row r="12585" spans="12:17" x14ac:dyDescent="0.3">
      <c r="L12585" s="25"/>
      <c r="Q12585" s="17"/>
    </row>
    <row r="12586" spans="12:17" x14ac:dyDescent="0.3">
      <c r="L12586" s="25"/>
      <c r="Q12586" s="17"/>
    </row>
    <row r="12587" spans="12:17" x14ac:dyDescent="0.3">
      <c r="L12587" s="25"/>
      <c r="Q12587" s="17"/>
    </row>
    <row r="12588" spans="12:17" x14ac:dyDescent="0.3">
      <c r="L12588" s="25"/>
      <c r="Q12588" s="17"/>
    </row>
    <row r="12589" spans="12:17" x14ac:dyDescent="0.3">
      <c r="L12589" s="25"/>
      <c r="Q12589" s="17"/>
    </row>
    <row r="12590" spans="12:17" x14ac:dyDescent="0.3">
      <c r="L12590" s="25"/>
      <c r="Q12590" s="17"/>
    </row>
    <row r="12591" spans="12:17" x14ac:dyDescent="0.3">
      <c r="L12591" s="25"/>
      <c r="Q12591" s="17"/>
    </row>
    <row r="12592" spans="12:17" x14ac:dyDescent="0.3">
      <c r="L12592" s="25"/>
      <c r="Q12592" s="17"/>
    </row>
    <row r="12593" spans="12:17" x14ac:dyDescent="0.3">
      <c r="L12593" s="25"/>
      <c r="Q12593" s="17"/>
    </row>
    <row r="12594" spans="12:17" x14ac:dyDescent="0.3">
      <c r="L12594" s="25"/>
      <c r="Q12594" s="17"/>
    </row>
    <row r="12595" spans="12:17" x14ac:dyDescent="0.3">
      <c r="L12595" s="25"/>
      <c r="Q12595" s="17"/>
    </row>
    <row r="12596" spans="12:17" x14ac:dyDescent="0.3">
      <c r="L12596" s="25"/>
      <c r="Q12596" s="17"/>
    </row>
    <row r="12597" spans="12:17" x14ac:dyDescent="0.3">
      <c r="L12597" s="25"/>
      <c r="Q12597" s="17"/>
    </row>
    <row r="12598" spans="12:17" x14ac:dyDescent="0.3">
      <c r="L12598" s="25"/>
      <c r="Q12598" s="17"/>
    </row>
    <row r="12599" spans="12:17" x14ac:dyDescent="0.3">
      <c r="L12599" s="25"/>
      <c r="Q12599" s="17"/>
    </row>
    <row r="12600" spans="12:17" x14ac:dyDescent="0.3">
      <c r="L12600" s="25"/>
      <c r="Q12600" s="17"/>
    </row>
    <row r="12601" spans="12:17" x14ac:dyDescent="0.3">
      <c r="L12601" s="25"/>
      <c r="Q12601" s="17"/>
    </row>
    <row r="12602" spans="12:17" x14ac:dyDescent="0.3">
      <c r="L12602" s="25"/>
      <c r="Q12602" s="17"/>
    </row>
    <row r="12603" spans="12:17" x14ac:dyDescent="0.3">
      <c r="L12603" s="25"/>
      <c r="Q12603" s="17"/>
    </row>
    <row r="12604" spans="12:17" x14ac:dyDescent="0.3">
      <c r="L12604" s="25"/>
      <c r="Q12604" s="17"/>
    </row>
    <row r="12605" spans="12:17" x14ac:dyDescent="0.3">
      <c r="L12605" s="25"/>
      <c r="Q12605" s="17"/>
    </row>
    <row r="12606" spans="12:17" x14ac:dyDescent="0.3">
      <c r="L12606" s="25"/>
      <c r="Q12606" s="17"/>
    </row>
    <row r="12607" spans="12:17" x14ac:dyDescent="0.3">
      <c r="L12607" s="25"/>
      <c r="Q12607" s="17"/>
    </row>
    <row r="12608" spans="12:17" x14ac:dyDescent="0.3">
      <c r="L12608" s="25"/>
      <c r="Q12608" s="17"/>
    </row>
    <row r="12609" spans="12:17" x14ac:dyDescent="0.3">
      <c r="L12609" s="25"/>
      <c r="Q12609" s="17"/>
    </row>
    <row r="12610" spans="12:17" x14ac:dyDescent="0.3">
      <c r="L12610" s="25"/>
      <c r="Q12610" s="17"/>
    </row>
    <row r="12611" spans="12:17" x14ac:dyDescent="0.3">
      <c r="L12611" s="25"/>
      <c r="Q12611" s="17"/>
    </row>
    <row r="12612" spans="12:17" x14ac:dyDescent="0.3">
      <c r="L12612" s="25"/>
      <c r="Q12612" s="17"/>
    </row>
    <row r="12613" spans="12:17" x14ac:dyDescent="0.3">
      <c r="L12613" s="25"/>
      <c r="Q12613" s="17"/>
    </row>
    <row r="12614" spans="12:17" x14ac:dyDescent="0.3">
      <c r="L12614" s="25"/>
      <c r="Q12614" s="17"/>
    </row>
    <row r="12615" spans="12:17" x14ac:dyDescent="0.3">
      <c r="L12615" s="25"/>
      <c r="Q12615" s="17"/>
    </row>
    <row r="12616" spans="12:17" x14ac:dyDescent="0.3">
      <c r="L12616" s="25"/>
      <c r="Q12616" s="17"/>
    </row>
    <row r="12617" spans="12:17" x14ac:dyDescent="0.3">
      <c r="L12617" s="25"/>
      <c r="Q12617" s="17"/>
    </row>
    <row r="12618" spans="12:17" x14ac:dyDescent="0.3">
      <c r="L12618" s="25"/>
      <c r="Q12618" s="17"/>
    </row>
    <row r="12619" spans="12:17" x14ac:dyDescent="0.3">
      <c r="L12619" s="25"/>
      <c r="Q12619" s="17"/>
    </row>
    <row r="12620" spans="12:17" x14ac:dyDescent="0.3">
      <c r="L12620" s="25"/>
      <c r="Q12620" s="17"/>
    </row>
    <row r="12621" spans="12:17" x14ac:dyDescent="0.3">
      <c r="L12621" s="25"/>
      <c r="Q12621" s="17"/>
    </row>
    <row r="12622" spans="12:17" x14ac:dyDescent="0.3">
      <c r="L12622" s="25"/>
      <c r="Q12622" s="17"/>
    </row>
    <row r="12623" spans="12:17" x14ac:dyDescent="0.3">
      <c r="L12623" s="25"/>
      <c r="Q12623" s="17"/>
    </row>
    <row r="12624" spans="12:17" x14ac:dyDescent="0.3">
      <c r="L12624" s="25"/>
      <c r="Q12624" s="17"/>
    </row>
    <row r="12625" spans="12:17" x14ac:dyDescent="0.3">
      <c r="L12625" s="25"/>
      <c r="Q12625" s="17"/>
    </row>
    <row r="12626" spans="12:17" x14ac:dyDescent="0.3">
      <c r="L12626" s="25"/>
      <c r="Q12626" s="17"/>
    </row>
    <row r="12627" spans="12:17" x14ac:dyDescent="0.3">
      <c r="L12627" s="25"/>
      <c r="Q12627" s="17"/>
    </row>
    <row r="12628" spans="12:17" x14ac:dyDescent="0.3">
      <c r="L12628" s="25"/>
      <c r="Q12628" s="17"/>
    </row>
    <row r="12629" spans="12:17" x14ac:dyDescent="0.3">
      <c r="L12629" s="25"/>
      <c r="Q12629" s="17"/>
    </row>
    <row r="12630" spans="12:17" x14ac:dyDescent="0.3">
      <c r="L12630" s="25"/>
      <c r="Q12630" s="17"/>
    </row>
    <row r="12631" spans="12:17" x14ac:dyDescent="0.3">
      <c r="L12631" s="25"/>
      <c r="Q12631" s="17"/>
    </row>
    <row r="12632" spans="12:17" x14ac:dyDescent="0.3">
      <c r="L12632" s="25"/>
      <c r="Q12632" s="17"/>
    </row>
    <row r="12633" spans="12:17" x14ac:dyDescent="0.3">
      <c r="L12633" s="25"/>
      <c r="Q12633" s="17"/>
    </row>
    <row r="12634" spans="12:17" x14ac:dyDescent="0.3">
      <c r="L12634" s="25"/>
      <c r="Q12634" s="17"/>
    </row>
    <row r="12635" spans="12:17" x14ac:dyDescent="0.3">
      <c r="L12635" s="25"/>
      <c r="Q12635" s="17"/>
    </row>
    <row r="12636" spans="12:17" x14ac:dyDescent="0.3">
      <c r="L12636" s="25"/>
      <c r="Q12636" s="17"/>
    </row>
    <row r="12637" spans="12:17" x14ac:dyDescent="0.3">
      <c r="L12637" s="25"/>
      <c r="Q12637" s="17"/>
    </row>
    <row r="12638" spans="12:17" x14ac:dyDescent="0.3">
      <c r="L12638" s="25"/>
      <c r="Q12638" s="17"/>
    </row>
    <row r="12639" spans="12:17" x14ac:dyDescent="0.3">
      <c r="L12639" s="25"/>
      <c r="Q12639" s="17"/>
    </row>
    <row r="12640" spans="12:17" x14ac:dyDescent="0.3">
      <c r="L12640" s="25"/>
      <c r="Q12640" s="17"/>
    </row>
    <row r="12641" spans="12:17" x14ac:dyDescent="0.3">
      <c r="L12641" s="25"/>
      <c r="Q12641" s="17"/>
    </row>
    <row r="12642" spans="12:17" x14ac:dyDescent="0.3">
      <c r="L12642" s="25"/>
      <c r="Q12642" s="17"/>
    </row>
    <row r="12643" spans="12:17" x14ac:dyDescent="0.3">
      <c r="L12643" s="25"/>
      <c r="Q12643" s="17"/>
    </row>
    <row r="12644" spans="12:17" x14ac:dyDescent="0.3">
      <c r="L12644" s="25"/>
      <c r="Q12644" s="17"/>
    </row>
    <row r="12645" spans="12:17" x14ac:dyDescent="0.3">
      <c r="L12645" s="25"/>
      <c r="Q12645" s="17"/>
    </row>
    <row r="12646" spans="12:17" x14ac:dyDescent="0.3">
      <c r="L12646" s="25"/>
      <c r="Q12646" s="17"/>
    </row>
    <row r="12647" spans="12:17" x14ac:dyDescent="0.3">
      <c r="L12647" s="25"/>
      <c r="Q12647" s="17"/>
    </row>
    <row r="12648" spans="12:17" x14ac:dyDescent="0.3">
      <c r="L12648" s="25"/>
      <c r="Q12648" s="17"/>
    </row>
    <row r="12649" spans="12:17" x14ac:dyDescent="0.3">
      <c r="L12649" s="25"/>
      <c r="Q12649" s="17"/>
    </row>
    <row r="12650" spans="12:17" x14ac:dyDescent="0.3">
      <c r="L12650" s="25"/>
      <c r="Q12650" s="17"/>
    </row>
    <row r="12651" spans="12:17" x14ac:dyDescent="0.3">
      <c r="L12651" s="25"/>
      <c r="Q12651" s="17"/>
    </row>
    <row r="12652" spans="12:17" x14ac:dyDescent="0.3">
      <c r="L12652" s="25"/>
      <c r="Q12652" s="17"/>
    </row>
    <row r="12653" spans="12:17" x14ac:dyDescent="0.3">
      <c r="L12653" s="25"/>
      <c r="Q12653" s="17"/>
    </row>
    <row r="12654" spans="12:17" x14ac:dyDescent="0.3">
      <c r="L12654" s="25"/>
      <c r="Q12654" s="17"/>
    </row>
    <row r="12655" spans="12:17" x14ac:dyDescent="0.3">
      <c r="L12655" s="25"/>
      <c r="Q12655" s="17"/>
    </row>
    <row r="12656" spans="12:17" x14ac:dyDescent="0.3">
      <c r="L12656" s="25"/>
      <c r="Q12656" s="17"/>
    </row>
    <row r="12657" spans="12:17" x14ac:dyDescent="0.3">
      <c r="L12657" s="25"/>
      <c r="Q12657" s="17"/>
    </row>
    <row r="12658" spans="12:17" x14ac:dyDescent="0.3">
      <c r="L12658" s="25"/>
      <c r="Q12658" s="17"/>
    </row>
    <row r="12659" spans="12:17" x14ac:dyDescent="0.3">
      <c r="L12659" s="25"/>
      <c r="Q12659" s="17"/>
    </row>
    <row r="12660" spans="12:17" x14ac:dyDescent="0.3">
      <c r="L12660" s="25"/>
      <c r="Q12660" s="17"/>
    </row>
    <row r="12661" spans="12:17" x14ac:dyDescent="0.3">
      <c r="L12661" s="25"/>
      <c r="Q12661" s="17"/>
    </row>
    <row r="12662" spans="12:17" x14ac:dyDescent="0.3">
      <c r="L12662" s="25"/>
      <c r="Q12662" s="17"/>
    </row>
    <row r="12663" spans="12:17" x14ac:dyDescent="0.3">
      <c r="L12663" s="25"/>
      <c r="Q12663" s="17"/>
    </row>
    <row r="12664" spans="12:17" x14ac:dyDescent="0.3">
      <c r="L12664" s="25"/>
      <c r="Q12664" s="17"/>
    </row>
    <row r="12665" spans="12:17" x14ac:dyDescent="0.3">
      <c r="L12665" s="25"/>
      <c r="Q12665" s="17"/>
    </row>
    <row r="12666" spans="12:17" x14ac:dyDescent="0.3">
      <c r="L12666" s="25"/>
      <c r="Q12666" s="17"/>
    </row>
    <row r="12667" spans="12:17" x14ac:dyDescent="0.3">
      <c r="L12667" s="25"/>
      <c r="Q12667" s="17"/>
    </row>
    <row r="12668" spans="12:17" x14ac:dyDescent="0.3">
      <c r="L12668" s="25"/>
      <c r="Q12668" s="17"/>
    </row>
    <row r="12669" spans="12:17" x14ac:dyDescent="0.3">
      <c r="L12669" s="25"/>
      <c r="Q12669" s="17"/>
    </row>
    <row r="12670" spans="12:17" x14ac:dyDescent="0.3">
      <c r="L12670" s="25"/>
      <c r="Q12670" s="17"/>
    </row>
    <row r="12671" spans="12:17" x14ac:dyDescent="0.3">
      <c r="L12671" s="25"/>
      <c r="Q12671" s="17"/>
    </row>
    <row r="12672" spans="12:17" x14ac:dyDescent="0.3">
      <c r="L12672" s="25"/>
      <c r="Q12672" s="17"/>
    </row>
    <row r="12673" spans="12:17" x14ac:dyDescent="0.3">
      <c r="L12673" s="25"/>
      <c r="Q12673" s="17"/>
    </row>
    <row r="12674" spans="12:17" x14ac:dyDescent="0.3">
      <c r="L12674" s="25"/>
      <c r="Q12674" s="17"/>
    </row>
    <row r="12675" spans="12:17" x14ac:dyDescent="0.3">
      <c r="L12675" s="25"/>
      <c r="Q12675" s="17"/>
    </row>
    <row r="12676" spans="12:17" x14ac:dyDescent="0.3">
      <c r="L12676" s="25"/>
      <c r="Q12676" s="17"/>
    </row>
    <row r="12677" spans="12:17" x14ac:dyDescent="0.3">
      <c r="L12677" s="25"/>
      <c r="Q12677" s="17"/>
    </row>
    <row r="12678" spans="12:17" x14ac:dyDescent="0.3">
      <c r="L12678" s="25"/>
      <c r="Q12678" s="17"/>
    </row>
    <row r="12679" spans="12:17" x14ac:dyDescent="0.3">
      <c r="L12679" s="25"/>
      <c r="Q12679" s="17"/>
    </row>
    <row r="12680" spans="12:17" x14ac:dyDescent="0.3">
      <c r="L12680" s="25"/>
      <c r="Q12680" s="17"/>
    </row>
    <row r="12681" spans="12:17" x14ac:dyDescent="0.3">
      <c r="L12681" s="25"/>
      <c r="Q12681" s="17"/>
    </row>
    <row r="12682" spans="12:17" x14ac:dyDescent="0.3">
      <c r="L12682" s="25"/>
      <c r="Q12682" s="17"/>
    </row>
    <row r="12683" spans="12:17" x14ac:dyDescent="0.3">
      <c r="L12683" s="25"/>
      <c r="Q12683" s="17"/>
    </row>
    <row r="12684" spans="12:17" x14ac:dyDescent="0.3">
      <c r="L12684" s="25"/>
      <c r="Q12684" s="17"/>
    </row>
    <row r="12685" spans="12:17" x14ac:dyDescent="0.3">
      <c r="L12685" s="25"/>
      <c r="Q12685" s="17"/>
    </row>
    <row r="12686" spans="12:17" x14ac:dyDescent="0.3">
      <c r="L12686" s="25"/>
      <c r="Q12686" s="17"/>
    </row>
    <row r="12687" spans="12:17" x14ac:dyDescent="0.3">
      <c r="L12687" s="25"/>
      <c r="Q12687" s="17"/>
    </row>
    <row r="12688" spans="12:17" x14ac:dyDescent="0.3">
      <c r="L12688" s="25"/>
      <c r="Q12688" s="17"/>
    </row>
    <row r="12689" spans="12:17" x14ac:dyDescent="0.3">
      <c r="L12689" s="25"/>
      <c r="Q12689" s="17"/>
    </row>
    <row r="12690" spans="12:17" x14ac:dyDescent="0.3">
      <c r="L12690" s="25"/>
      <c r="Q12690" s="17"/>
    </row>
    <row r="12691" spans="12:17" x14ac:dyDescent="0.3">
      <c r="L12691" s="25"/>
      <c r="Q12691" s="17"/>
    </row>
    <row r="12692" spans="12:17" x14ac:dyDescent="0.3">
      <c r="L12692" s="25"/>
      <c r="Q12692" s="17"/>
    </row>
    <row r="12693" spans="12:17" x14ac:dyDescent="0.3">
      <c r="L12693" s="25"/>
      <c r="Q12693" s="17"/>
    </row>
    <row r="12694" spans="12:17" x14ac:dyDescent="0.3">
      <c r="L12694" s="25"/>
      <c r="Q12694" s="17"/>
    </row>
    <row r="12695" spans="12:17" x14ac:dyDescent="0.3">
      <c r="L12695" s="25"/>
      <c r="Q12695" s="17"/>
    </row>
    <row r="12696" spans="12:17" x14ac:dyDescent="0.3">
      <c r="L12696" s="25"/>
      <c r="Q12696" s="17"/>
    </row>
    <row r="12697" spans="12:17" x14ac:dyDescent="0.3">
      <c r="L12697" s="25"/>
      <c r="Q12697" s="17"/>
    </row>
    <row r="12698" spans="12:17" x14ac:dyDescent="0.3">
      <c r="L12698" s="25"/>
      <c r="Q12698" s="17"/>
    </row>
    <row r="12699" spans="12:17" x14ac:dyDescent="0.3">
      <c r="L12699" s="25"/>
      <c r="Q12699" s="17"/>
    </row>
    <row r="12700" spans="12:17" x14ac:dyDescent="0.3">
      <c r="L12700" s="25"/>
      <c r="Q12700" s="17"/>
    </row>
    <row r="12701" spans="12:17" x14ac:dyDescent="0.3">
      <c r="L12701" s="25"/>
      <c r="Q12701" s="17"/>
    </row>
    <row r="12702" spans="12:17" x14ac:dyDescent="0.3">
      <c r="L12702" s="25"/>
      <c r="Q12702" s="17"/>
    </row>
    <row r="12703" spans="12:17" x14ac:dyDescent="0.3">
      <c r="L12703" s="25"/>
      <c r="Q12703" s="17"/>
    </row>
    <row r="12704" spans="12:17" x14ac:dyDescent="0.3">
      <c r="L12704" s="25"/>
      <c r="Q12704" s="17"/>
    </row>
    <row r="12705" spans="12:17" x14ac:dyDescent="0.3">
      <c r="L12705" s="25"/>
      <c r="Q12705" s="17"/>
    </row>
    <row r="12706" spans="12:17" x14ac:dyDescent="0.3">
      <c r="L12706" s="25"/>
      <c r="Q12706" s="17"/>
    </row>
    <row r="12707" spans="12:17" x14ac:dyDescent="0.3">
      <c r="L12707" s="25"/>
      <c r="Q12707" s="17"/>
    </row>
    <row r="12708" spans="12:17" x14ac:dyDescent="0.3">
      <c r="L12708" s="25"/>
      <c r="Q12708" s="17"/>
    </row>
    <row r="12709" spans="12:17" x14ac:dyDescent="0.3">
      <c r="L12709" s="25"/>
      <c r="Q12709" s="17"/>
    </row>
    <row r="12710" spans="12:17" x14ac:dyDescent="0.3">
      <c r="L12710" s="25"/>
      <c r="Q12710" s="17"/>
    </row>
    <row r="12711" spans="12:17" x14ac:dyDescent="0.3">
      <c r="L12711" s="25"/>
      <c r="Q12711" s="17"/>
    </row>
    <row r="12712" spans="12:17" x14ac:dyDescent="0.3">
      <c r="L12712" s="25"/>
      <c r="Q12712" s="17"/>
    </row>
    <row r="12713" spans="12:17" x14ac:dyDescent="0.3">
      <c r="L12713" s="25"/>
      <c r="Q12713" s="17"/>
    </row>
    <row r="12714" spans="12:17" x14ac:dyDescent="0.3">
      <c r="L12714" s="25"/>
      <c r="Q12714" s="17"/>
    </row>
    <row r="12715" spans="12:17" x14ac:dyDescent="0.3">
      <c r="L12715" s="25"/>
      <c r="Q12715" s="17"/>
    </row>
    <row r="12716" spans="12:17" x14ac:dyDescent="0.3">
      <c r="L12716" s="25"/>
      <c r="Q12716" s="17"/>
    </row>
    <row r="12717" spans="12:17" x14ac:dyDescent="0.3">
      <c r="L12717" s="25"/>
      <c r="Q12717" s="17"/>
    </row>
    <row r="12718" spans="12:17" x14ac:dyDescent="0.3">
      <c r="L12718" s="25"/>
      <c r="Q12718" s="17"/>
    </row>
    <row r="12719" spans="12:17" x14ac:dyDescent="0.3">
      <c r="L12719" s="25"/>
      <c r="Q12719" s="17"/>
    </row>
    <row r="12720" spans="12:17" x14ac:dyDescent="0.3">
      <c r="L12720" s="25"/>
      <c r="Q12720" s="17"/>
    </row>
    <row r="12721" spans="12:17" x14ac:dyDescent="0.3">
      <c r="L12721" s="25"/>
      <c r="Q12721" s="17"/>
    </row>
    <row r="12722" spans="12:17" x14ac:dyDescent="0.3">
      <c r="L12722" s="25"/>
      <c r="Q12722" s="17"/>
    </row>
    <row r="12723" spans="12:17" x14ac:dyDescent="0.3">
      <c r="L12723" s="25"/>
      <c r="Q12723" s="17"/>
    </row>
    <row r="12724" spans="12:17" x14ac:dyDescent="0.3">
      <c r="L12724" s="25"/>
      <c r="Q12724" s="17"/>
    </row>
    <row r="12725" spans="12:17" x14ac:dyDescent="0.3">
      <c r="L12725" s="25"/>
      <c r="Q12725" s="17"/>
    </row>
    <row r="12726" spans="12:17" x14ac:dyDescent="0.3">
      <c r="L12726" s="25"/>
      <c r="Q12726" s="17"/>
    </row>
    <row r="12727" spans="12:17" x14ac:dyDescent="0.3">
      <c r="L12727" s="25"/>
      <c r="Q12727" s="17"/>
    </row>
    <row r="12728" spans="12:17" x14ac:dyDescent="0.3">
      <c r="L12728" s="25"/>
      <c r="Q12728" s="17"/>
    </row>
    <row r="12729" spans="12:17" x14ac:dyDescent="0.3">
      <c r="L12729" s="25"/>
      <c r="Q12729" s="17"/>
    </row>
    <row r="12730" spans="12:17" x14ac:dyDescent="0.3">
      <c r="L12730" s="25"/>
      <c r="Q12730" s="17"/>
    </row>
    <row r="12731" spans="12:17" x14ac:dyDescent="0.3">
      <c r="L12731" s="25"/>
      <c r="Q12731" s="17"/>
    </row>
    <row r="12732" spans="12:17" x14ac:dyDescent="0.3">
      <c r="L12732" s="25"/>
      <c r="Q12732" s="17"/>
    </row>
    <row r="12733" spans="12:17" x14ac:dyDescent="0.3">
      <c r="L12733" s="25"/>
      <c r="Q12733" s="17"/>
    </row>
    <row r="12734" spans="12:17" x14ac:dyDescent="0.3">
      <c r="L12734" s="25"/>
      <c r="Q12734" s="17"/>
    </row>
    <row r="12735" spans="12:17" x14ac:dyDescent="0.3">
      <c r="L12735" s="25"/>
      <c r="Q12735" s="17"/>
    </row>
    <row r="12736" spans="12:17" x14ac:dyDescent="0.3">
      <c r="L12736" s="25"/>
      <c r="Q12736" s="17"/>
    </row>
    <row r="12737" spans="12:17" x14ac:dyDescent="0.3">
      <c r="L12737" s="25"/>
      <c r="Q12737" s="17"/>
    </row>
    <row r="12738" spans="12:17" x14ac:dyDescent="0.3">
      <c r="L12738" s="25"/>
      <c r="Q12738" s="17"/>
    </row>
    <row r="12739" spans="12:17" x14ac:dyDescent="0.3">
      <c r="L12739" s="25"/>
      <c r="Q12739" s="17"/>
    </row>
    <row r="12740" spans="12:17" x14ac:dyDescent="0.3">
      <c r="L12740" s="25"/>
      <c r="Q12740" s="17"/>
    </row>
    <row r="12741" spans="12:17" x14ac:dyDescent="0.3">
      <c r="L12741" s="25"/>
      <c r="Q12741" s="17"/>
    </row>
    <row r="12742" spans="12:17" x14ac:dyDescent="0.3">
      <c r="L12742" s="25"/>
      <c r="Q12742" s="17"/>
    </row>
    <row r="12743" spans="12:17" x14ac:dyDescent="0.3">
      <c r="L12743" s="25"/>
      <c r="Q12743" s="17"/>
    </row>
    <row r="12744" spans="12:17" x14ac:dyDescent="0.3">
      <c r="L12744" s="25"/>
      <c r="Q12744" s="17"/>
    </row>
    <row r="12745" spans="12:17" x14ac:dyDescent="0.3">
      <c r="L12745" s="25"/>
      <c r="Q12745" s="17"/>
    </row>
    <row r="12746" spans="12:17" x14ac:dyDescent="0.3">
      <c r="L12746" s="25"/>
      <c r="Q12746" s="17"/>
    </row>
    <row r="12747" spans="12:17" x14ac:dyDescent="0.3">
      <c r="L12747" s="25"/>
      <c r="Q12747" s="17"/>
    </row>
    <row r="12748" spans="12:17" x14ac:dyDescent="0.3">
      <c r="L12748" s="25"/>
      <c r="Q12748" s="17"/>
    </row>
    <row r="12749" spans="12:17" x14ac:dyDescent="0.3">
      <c r="L12749" s="25"/>
      <c r="Q12749" s="17"/>
    </row>
    <row r="12750" spans="12:17" x14ac:dyDescent="0.3">
      <c r="L12750" s="25"/>
      <c r="Q12750" s="17"/>
    </row>
    <row r="12751" spans="12:17" x14ac:dyDescent="0.3">
      <c r="L12751" s="25"/>
      <c r="Q12751" s="17"/>
    </row>
    <row r="12752" spans="12:17" x14ac:dyDescent="0.3">
      <c r="L12752" s="25"/>
      <c r="Q12752" s="17"/>
    </row>
    <row r="12753" spans="12:17" x14ac:dyDescent="0.3">
      <c r="L12753" s="25"/>
      <c r="Q12753" s="17"/>
    </row>
    <row r="12754" spans="12:17" x14ac:dyDescent="0.3">
      <c r="L12754" s="25"/>
      <c r="Q12754" s="17"/>
    </row>
    <row r="12755" spans="12:17" x14ac:dyDescent="0.3">
      <c r="L12755" s="25"/>
      <c r="Q12755" s="17"/>
    </row>
    <row r="12756" spans="12:17" x14ac:dyDescent="0.3">
      <c r="L12756" s="25"/>
      <c r="Q12756" s="17"/>
    </row>
    <row r="12757" spans="12:17" x14ac:dyDescent="0.3">
      <c r="L12757" s="25"/>
      <c r="Q12757" s="17"/>
    </row>
    <row r="12758" spans="12:17" x14ac:dyDescent="0.3">
      <c r="L12758" s="25"/>
      <c r="Q12758" s="17"/>
    </row>
    <row r="12759" spans="12:17" x14ac:dyDescent="0.3">
      <c r="L12759" s="25"/>
      <c r="Q12759" s="17"/>
    </row>
    <row r="12760" spans="12:17" x14ac:dyDescent="0.3">
      <c r="L12760" s="25"/>
      <c r="Q12760" s="17"/>
    </row>
    <row r="12761" spans="12:17" x14ac:dyDescent="0.3">
      <c r="L12761" s="25"/>
      <c r="Q12761" s="17"/>
    </row>
    <row r="12762" spans="12:17" x14ac:dyDescent="0.3">
      <c r="L12762" s="25"/>
      <c r="Q12762" s="17"/>
    </row>
    <row r="12763" spans="12:17" x14ac:dyDescent="0.3">
      <c r="L12763" s="25"/>
      <c r="Q12763" s="17"/>
    </row>
    <row r="12764" spans="12:17" x14ac:dyDescent="0.3">
      <c r="L12764" s="25"/>
      <c r="Q12764" s="17"/>
    </row>
    <row r="12765" spans="12:17" x14ac:dyDescent="0.3">
      <c r="L12765" s="25"/>
      <c r="Q12765" s="17"/>
    </row>
    <row r="12766" spans="12:17" x14ac:dyDescent="0.3">
      <c r="L12766" s="25"/>
      <c r="Q12766" s="17"/>
    </row>
    <row r="12767" spans="12:17" x14ac:dyDescent="0.3">
      <c r="L12767" s="25"/>
      <c r="Q12767" s="17"/>
    </row>
    <row r="12768" spans="12:17" x14ac:dyDescent="0.3">
      <c r="L12768" s="25"/>
      <c r="Q12768" s="17"/>
    </row>
    <row r="12769" spans="12:17" x14ac:dyDescent="0.3">
      <c r="L12769" s="25"/>
      <c r="Q12769" s="17"/>
    </row>
    <row r="12770" spans="12:17" x14ac:dyDescent="0.3">
      <c r="L12770" s="25"/>
      <c r="Q12770" s="17"/>
    </row>
    <row r="12771" spans="12:17" x14ac:dyDescent="0.3">
      <c r="L12771" s="25"/>
      <c r="Q12771" s="17"/>
    </row>
    <row r="12772" spans="12:17" x14ac:dyDescent="0.3">
      <c r="L12772" s="25"/>
      <c r="Q12772" s="17"/>
    </row>
    <row r="12773" spans="12:17" x14ac:dyDescent="0.3">
      <c r="L12773" s="25"/>
      <c r="Q12773" s="17"/>
    </row>
    <row r="12774" spans="12:17" x14ac:dyDescent="0.3">
      <c r="L12774" s="25"/>
      <c r="Q12774" s="17"/>
    </row>
    <row r="12775" spans="12:17" x14ac:dyDescent="0.3">
      <c r="L12775" s="25"/>
      <c r="Q12775" s="17"/>
    </row>
    <row r="12776" spans="12:17" x14ac:dyDescent="0.3">
      <c r="L12776" s="25"/>
      <c r="Q12776" s="17"/>
    </row>
    <row r="12777" spans="12:17" x14ac:dyDescent="0.3">
      <c r="L12777" s="25"/>
      <c r="Q12777" s="17"/>
    </row>
    <row r="12778" spans="12:17" x14ac:dyDescent="0.3">
      <c r="L12778" s="25"/>
      <c r="Q12778" s="17"/>
    </row>
    <row r="12779" spans="12:17" x14ac:dyDescent="0.3">
      <c r="L12779" s="25"/>
      <c r="Q12779" s="17"/>
    </row>
    <row r="12780" spans="12:17" x14ac:dyDescent="0.3">
      <c r="L12780" s="25"/>
      <c r="Q12780" s="17"/>
    </row>
    <row r="12781" spans="12:17" x14ac:dyDescent="0.3">
      <c r="L12781" s="25"/>
      <c r="Q12781" s="17"/>
    </row>
    <row r="12782" spans="12:17" x14ac:dyDescent="0.3">
      <c r="L12782" s="25"/>
      <c r="Q12782" s="17"/>
    </row>
    <row r="12783" spans="12:17" x14ac:dyDescent="0.3">
      <c r="L12783" s="25"/>
      <c r="Q12783" s="17"/>
    </row>
    <row r="12784" spans="12:17" x14ac:dyDescent="0.3">
      <c r="L12784" s="25"/>
      <c r="Q12784" s="17"/>
    </row>
    <row r="12785" spans="12:17" x14ac:dyDescent="0.3">
      <c r="L12785" s="25"/>
      <c r="Q12785" s="17"/>
    </row>
    <row r="12786" spans="12:17" x14ac:dyDescent="0.3">
      <c r="L12786" s="25"/>
      <c r="Q12786" s="17"/>
    </row>
    <row r="12787" spans="12:17" x14ac:dyDescent="0.3">
      <c r="L12787" s="25"/>
      <c r="Q12787" s="17"/>
    </row>
    <row r="12788" spans="12:17" x14ac:dyDescent="0.3">
      <c r="L12788" s="25"/>
      <c r="Q12788" s="17"/>
    </row>
    <row r="12789" spans="12:17" x14ac:dyDescent="0.3">
      <c r="L12789" s="25"/>
      <c r="Q12789" s="17"/>
    </row>
    <row r="12790" spans="12:17" x14ac:dyDescent="0.3">
      <c r="L12790" s="25"/>
      <c r="Q12790" s="17"/>
    </row>
    <row r="12791" spans="12:17" x14ac:dyDescent="0.3">
      <c r="L12791" s="25"/>
      <c r="Q12791" s="17"/>
    </row>
    <row r="12792" spans="12:17" x14ac:dyDescent="0.3">
      <c r="L12792" s="25"/>
      <c r="Q12792" s="17"/>
    </row>
    <row r="12793" spans="12:17" x14ac:dyDescent="0.3">
      <c r="L12793" s="25"/>
      <c r="Q12793" s="17"/>
    </row>
    <row r="12794" spans="12:17" x14ac:dyDescent="0.3">
      <c r="L12794" s="25"/>
      <c r="Q12794" s="17"/>
    </row>
    <row r="12795" spans="12:17" x14ac:dyDescent="0.3">
      <c r="L12795" s="25"/>
      <c r="Q12795" s="17"/>
    </row>
    <row r="12796" spans="12:17" x14ac:dyDescent="0.3">
      <c r="L12796" s="25"/>
      <c r="Q12796" s="17"/>
    </row>
    <row r="12797" spans="12:17" x14ac:dyDescent="0.3">
      <c r="L12797" s="25"/>
      <c r="Q12797" s="17"/>
    </row>
    <row r="12798" spans="12:17" x14ac:dyDescent="0.3">
      <c r="L12798" s="25"/>
      <c r="Q12798" s="17"/>
    </row>
    <row r="12799" spans="12:17" x14ac:dyDescent="0.3">
      <c r="L12799" s="25"/>
      <c r="Q12799" s="17"/>
    </row>
    <row r="12800" spans="12:17" x14ac:dyDescent="0.3">
      <c r="L12800" s="25"/>
      <c r="Q12800" s="17"/>
    </row>
    <row r="12801" spans="12:17" x14ac:dyDescent="0.3">
      <c r="L12801" s="25"/>
      <c r="Q12801" s="17"/>
    </row>
    <row r="12802" spans="12:17" x14ac:dyDescent="0.3">
      <c r="L12802" s="25"/>
      <c r="Q12802" s="17"/>
    </row>
    <row r="12803" spans="12:17" x14ac:dyDescent="0.3">
      <c r="L12803" s="25"/>
      <c r="Q12803" s="17"/>
    </row>
    <row r="12804" spans="12:17" x14ac:dyDescent="0.3">
      <c r="L12804" s="25"/>
      <c r="Q12804" s="17"/>
    </row>
    <row r="12805" spans="12:17" x14ac:dyDescent="0.3">
      <c r="L12805" s="25"/>
      <c r="Q12805" s="17"/>
    </row>
    <row r="12806" spans="12:17" x14ac:dyDescent="0.3">
      <c r="L12806" s="25"/>
      <c r="Q12806" s="17"/>
    </row>
    <row r="12807" spans="12:17" x14ac:dyDescent="0.3">
      <c r="L12807" s="25"/>
      <c r="Q12807" s="17"/>
    </row>
    <row r="12808" spans="12:17" x14ac:dyDescent="0.3">
      <c r="L12808" s="25"/>
      <c r="Q12808" s="17"/>
    </row>
    <row r="12809" spans="12:17" x14ac:dyDescent="0.3">
      <c r="L12809" s="25"/>
      <c r="Q12809" s="17"/>
    </row>
    <row r="12810" spans="12:17" x14ac:dyDescent="0.3">
      <c r="L12810" s="25"/>
      <c r="Q12810" s="17"/>
    </row>
    <row r="12811" spans="12:17" x14ac:dyDescent="0.3">
      <c r="L12811" s="25"/>
      <c r="Q12811" s="17"/>
    </row>
    <row r="12812" spans="12:17" x14ac:dyDescent="0.3">
      <c r="L12812" s="25"/>
      <c r="Q12812" s="17"/>
    </row>
    <row r="12813" spans="12:17" x14ac:dyDescent="0.3">
      <c r="L12813" s="25"/>
      <c r="Q12813" s="17"/>
    </row>
    <row r="12814" spans="12:17" x14ac:dyDescent="0.3">
      <c r="L12814" s="25"/>
      <c r="Q12814" s="17"/>
    </row>
    <row r="12815" spans="12:17" x14ac:dyDescent="0.3">
      <c r="L12815" s="25"/>
      <c r="Q12815" s="17"/>
    </row>
    <row r="12816" spans="12:17" x14ac:dyDescent="0.3">
      <c r="L12816" s="25"/>
      <c r="Q12816" s="17"/>
    </row>
    <row r="12817" spans="12:17" x14ac:dyDescent="0.3">
      <c r="L12817" s="25"/>
      <c r="Q12817" s="17"/>
    </row>
    <row r="12818" spans="12:17" x14ac:dyDescent="0.3">
      <c r="L12818" s="25"/>
      <c r="Q12818" s="17"/>
    </row>
    <row r="12819" spans="12:17" x14ac:dyDescent="0.3">
      <c r="L12819" s="25"/>
      <c r="Q12819" s="17"/>
    </row>
    <row r="12820" spans="12:17" x14ac:dyDescent="0.3">
      <c r="L12820" s="25"/>
      <c r="Q12820" s="17"/>
    </row>
    <row r="12821" spans="12:17" x14ac:dyDescent="0.3">
      <c r="L12821" s="25"/>
      <c r="Q12821" s="17"/>
    </row>
    <row r="12822" spans="12:17" x14ac:dyDescent="0.3">
      <c r="L12822" s="25"/>
      <c r="Q12822" s="17"/>
    </row>
    <row r="12823" spans="12:17" x14ac:dyDescent="0.3">
      <c r="L12823" s="25"/>
      <c r="Q12823" s="17"/>
    </row>
    <row r="12824" spans="12:17" x14ac:dyDescent="0.3">
      <c r="L12824" s="25"/>
      <c r="Q12824" s="17"/>
    </row>
    <row r="12825" spans="12:17" x14ac:dyDescent="0.3">
      <c r="L12825" s="25"/>
      <c r="Q12825" s="17"/>
    </row>
    <row r="12826" spans="12:17" x14ac:dyDescent="0.3">
      <c r="L12826" s="25"/>
      <c r="Q12826" s="17"/>
    </row>
    <row r="12827" spans="12:17" x14ac:dyDescent="0.3">
      <c r="L12827" s="25"/>
      <c r="Q12827" s="17"/>
    </row>
    <row r="12828" spans="12:17" x14ac:dyDescent="0.3">
      <c r="L12828" s="25"/>
      <c r="Q12828" s="17"/>
    </row>
    <row r="12829" spans="12:17" x14ac:dyDescent="0.3">
      <c r="L12829" s="25"/>
      <c r="Q12829" s="17"/>
    </row>
    <row r="12830" spans="12:17" x14ac:dyDescent="0.3">
      <c r="L12830" s="25"/>
      <c r="Q12830" s="17"/>
    </row>
    <row r="12831" spans="12:17" x14ac:dyDescent="0.3">
      <c r="L12831" s="25"/>
      <c r="Q12831" s="17"/>
    </row>
    <row r="12832" spans="12:17" x14ac:dyDescent="0.3">
      <c r="L12832" s="25"/>
      <c r="Q12832" s="17"/>
    </row>
    <row r="12833" spans="12:17" x14ac:dyDescent="0.3">
      <c r="L12833" s="25"/>
      <c r="Q12833" s="17"/>
    </row>
    <row r="12834" spans="12:17" x14ac:dyDescent="0.3">
      <c r="L12834" s="25"/>
      <c r="Q12834" s="17"/>
    </row>
    <row r="12835" spans="12:17" x14ac:dyDescent="0.3">
      <c r="L12835" s="25"/>
      <c r="Q12835" s="17"/>
    </row>
    <row r="12836" spans="12:17" x14ac:dyDescent="0.3">
      <c r="L12836" s="25"/>
      <c r="Q12836" s="17"/>
    </row>
    <row r="12837" spans="12:17" x14ac:dyDescent="0.3">
      <c r="L12837" s="25"/>
      <c r="Q12837" s="17"/>
    </row>
    <row r="12838" spans="12:17" x14ac:dyDescent="0.3">
      <c r="L12838" s="25"/>
      <c r="Q12838" s="17"/>
    </row>
    <row r="12839" spans="12:17" x14ac:dyDescent="0.3">
      <c r="L12839" s="25"/>
      <c r="Q12839" s="17"/>
    </row>
    <row r="12840" spans="12:17" x14ac:dyDescent="0.3">
      <c r="L12840" s="25"/>
      <c r="Q12840" s="17"/>
    </row>
    <row r="12841" spans="12:17" x14ac:dyDescent="0.3">
      <c r="L12841" s="25"/>
      <c r="Q12841" s="17"/>
    </row>
    <row r="12842" spans="12:17" x14ac:dyDescent="0.3">
      <c r="L12842" s="25"/>
      <c r="Q12842" s="17"/>
    </row>
    <row r="12843" spans="12:17" x14ac:dyDescent="0.3">
      <c r="L12843" s="25"/>
      <c r="Q12843" s="17"/>
    </row>
    <row r="12844" spans="12:17" x14ac:dyDescent="0.3">
      <c r="L12844" s="25"/>
      <c r="Q12844" s="17"/>
    </row>
    <row r="12845" spans="12:17" x14ac:dyDescent="0.3">
      <c r="L12845" s="25"/>
      <c r="Q12845" s="17"/>
    </row>
    <row r="12846" spans="12:17" x14ac:dyDescent="0.3">
      <c r="L12846" s="25"/>
      <c r="Q12846" s="17"/>
    </row>
    <row r="12847" spans="12:17" x14ac:dyDescent="0.3">
      <c r="L12847" s="25"/>
      <c r="Q12847" s="17"/>
    </row>
    <row r="12848" spans="12:17" x14ac:dyDescent="0.3">
      <c r="L12848" s="25"/>
      <c r="Q12848" s="17"/>
    </row>
    <row r="12849" spans="12:17" x14ac:dyDescent="0.3">
      <c r="L12849" s="25"/>
      <c r="Q12849" s="17"/>
    </row>
    <row r="12850" spans="12:17" x14ac:dyDescent="0.3">
      <c r="L12850" s="25"/>
      <c r="Q12850" s="17"/>
    </row>
    <row r="12851" spans="12:17" x14ac:dyDescent="0.3">
      <c r="L12851" s="25"/>
      <c r="Q12851" s="17"/>
    </row>
    <row r="12852" spans="12:17" x14ac:dyDescent="0.3">
      <c r="L12852" s="25"/>
      <c r="Q12852" s="17"/>
    </row>
    <row r="12853" spans="12:17" x14ac:dyDescent="0.3">
      <c r="L12853" s="25"/>
      <c r="Q12853" s="17"/>
    </row>
    <row r="12854" spans="12:17" x14ac:dyDescent="0.3">
      <c r="L12854" s="25"/>
      <c r="Q12854" s="17"/>
    </row>
    <row r="12855" spans="12:17" x14ac:dyDescent="0.3">
      <c r="L12855" s="25"/>
      <c r="Q12855" s="17"/>
    </row>
    <row r="12856" spans="12:17" x14ac:dyDescent="0.3">
      <c r="L12856" s="25"/>
      <c r="Q12856" s="17"/>
    </row>
    <row r="12857" spans="12:17" x14ac:dyDescent="0.3">
      <c r="L12857" s="25"/>
      <c r="Q12857" s="17"/>
    </row>
    <row r="12858" spans="12:17" x14ac:dyDescent="0.3">
      <c r="L12858" s="25"/>
      <c r="Q12858" s="17"/>
    </row>
    <row r="12859" spans="12:17" x14ac:dyDescent="0.3">
      <c r="L12859" s="25"/>
      <c r="Q12859" s="17"/>
    </row>
    <row r="12860" spans="12:17" x14ac:dyDescent="0.3">
      <c r="L12860" s="25"/>
      <c r="Q12860" s="17"/>
    </row>
    <row r="12861" spans="12:17" x14ac:dyDescent="0.3">
      <c r="L12861" s="25"/>
      <c r="Q12861" s="17"/>
    </row>
    <row r="12862" spans="12:17" x14ac:dyDescent="0.3">
      <c r="L12862" s="25"/>
      <c r="Q12862" s="17"/>
    </row>
    <row r="12863" spans="12:17" x14ac:dyDescent="0.3">
      <c r="L12863" s="25"/>
      <c r="Q12863" s="17"/>
    </row>
    <row r="12864" spans="12:17" x14ac:dyDescent="0.3">
      <c r="L12864" s="25"/>
      <c r="Q12864" s="17"/>
    </row>
    <row r="12865" spans="12:17" x14ac:dyDescent="0.3">
      <c r="L12865" s="25"/>
      <c r="Q12865" s="17"/>
    </row>
    <row r="12866" spans="12:17" x14ac:dyDescent="0.3">
      <c r="L12866" s="25"/>
      <c r="Q12866" s="17"/>
    </row>
    <row r="12867" spans="12:17" x14ac:dyDescent="0.3">
      <c r="L12867" s="25"/>
      <c r="Q12867" s="17"/>
    </row>
    <row r="12868" spans="12:17" x14ac:dyDescent="0.3">
      <c r="L12868" s="25"/>
      <c r="Q12868" s="17"/>
    </row>
    <row r="12869" spans="12:17" x14ac:dyDescent="0.3">
      <c r="L12869" s="25"/>
      <c r="Q12869" s="17"/>
    </row>
    <row r="12870" spans="12:17" x14ac:dyDescent="0.3">
      <c r="L12870" s="25"/>
      <c r="Q12870" s="17"/>
    </row>
    <row r="12871" spans="12:17" x14ac:dyDescent="0.3">
      <c r="L12871" s="25"/>
      <c r="Q12871" s="17"/>
    </row>
    <row r="12872" spans="12:17" x14ac:dyDescent="0.3">
      <c r="L12872" s="25"/>
      <c r="Q12872" s="17"/>
    </row>
    <row r="12873" spans="12:17" x14ac:dyDescent="0.3">
      <c r="L12873" s="25"/>
      <c r="Q12873" s="17"/>
    </row>
    <row r="12874" spans="12:17" x14ac:dyDescent="0.3">
      <c r="L12874" s="25"/>
      <c r="Q12874" s="17"/>
    </row>
    <row r="12875" spans="12:17" x14ac:dyDescent="0.3">
      <c r="L12875" s="25"/>
      <c r="Q12875" s="17"/>
    </row>
    <row r="12876" spans="12:17" x14ac:dyDescent="0.3">
      <c r="L12876" s="25"/>
      <c r="Q12876" s="17"/>
    </row>
    <row r="12877" spans="12:17" x14ac:dyDescent="0.3">
      <c r="L12877" s="25"/>
      <c r="Q12877" s="17"/>
    </row>
    <row r="12878" spans="12:17" x14ac:dyDescent="0.3">
      <c r="L12878" s="25"/>
      <c r="Q12878" s="17"/>
    </row>
    <row r="12879" spans="12:17" x14ac:dyDescent="0.3">
      <c r="L12879" s="25"/>
      <c r="Q12879" s="17"/>
    </row>
    <row r="12880" spans="12:17" x14ac:dyDescent="0.3">
      <c r="L12880" s="25"/>
      <c r="Q12880" s="17"/>
    </row>
    <row r="12881" spans="12:17" x14ac:dyDescent="0.3">
      <c r="L12881" s="25"/>
      <c r="Q12881" s="17"/>
    </row>
    <row r="12882" spans="12:17" x14ac:dyDescent="0.3">
      <c r="L12882" s="25"/>
      <c r="Q12882" s="17"/>
    </row>
    <row r="12883" spans="12:17" x14ac:dyDescent="0.3">
      <c r="L12883" s="25"/>
      <c r="Q12883" s="17"/>
    </row>
    <row r="12884" spans="12:17" x14ac:dyDescent="0.3">
      <c r="L12884" s="25"/>
      <c r="Q12884" s="17"/>
    </row>
    <row r="12885" spans="12:17" x14ac:dyDescent="0.3">
      <c r="L12885" s="25"/>
      <c r="Q12885" s="17"/>
    </row>
    <row r="12886" spans="12:17" x14ac:dyDescent="0.3">
      <c r="L12886" s="25"/>
      <c r="Q12886" s="17"/>
    </row>
    <row r="12887" spans="12:17" x14ac:dyDescent="0.3">
      <c r="L12887" s="25"/>
      <c r="Q12887" s="17"/>
    </row>
    <row r="12888" spans="12:17" x14ac:dyDescent="0.3">
      <c r="L12888" s="25"/>
      <c r="Q12888" s="17"/>
    </row>
    <row r="12889" spans="12:17" x14ac:dyDescent="0.3">
      <c r="L12889" s="25"/>
      <c r="Q12889" s="17"/>
    </row>
    <row r="12890" spans="12:17" x14ac:dyDescent="0.3">
      <c r="L12890" s="25"/>
      <c r="Q12890" s="17"/>
    </row>
    <row r="12891" spans="12:17" x14ac:dyDescent="0.3">
      <c r="L12891" s="25"/>
      <c r="Q12891" s="17"/>
    </row>
    <row r="12892" spans="12:17" x14ac:dyDescent="0.3">
      <c r="L12892" s="25"/>
      <c r="Q12892" s="17"/>
    </row>
    <row r="12893" spans="12:17" x14ac:dyDescent="0.3">
      <c r="L12893" s="25"/>
      <c r="Q12893" s="17"/>
    </row>
    <row r="12894" spans="12:17" x14ac:dyDescent="0.3">
      <c r="L12894" s="25"/>
      <c r="Q12894" s="17"/>
    </row>
    <row r="12895" spans="12:17" x14ac:dyDescent="0.3">
      <c r="L12895" s="25"/>
      <c r="Q12895" s="17"/>
    </row>
    <row r="12896" spans="12:17" x14ac:dyDescent="0.3">
      <c r="L12896" s="25"/>
      <c r="Q12896" s="17"/>
    </row>
    <row r="12897" spans="12:17" x14ac:dyDescent="0.3">
      <c r="L12897" s="25"/>
      <c r="Q12897" s="17"/>
    </row>
    <row r="12898" spans="12:17" x14ac:dyDescent="0.3">
      <c r="L12898" s="25"/>
      <c r="Q12898" s="17"/>
    </row>
    <row r="12899" spans="12:17" x14ac:dyDescent="0.3">
      <c r="L12899" s="25"/>
      <c r="Q12899" s="17"/>
    </row>
    <row r="12900" spans="12:17" x14ac:dyDescent="0.3">
      <c r="L12900" s="25"/>
      <c r="Q12900" s="17"/>
    </row>
    <row r="12901" spans="12:17" x14ac:dyDescent="0.3">
      <c r="L12901" s="25"/>
      <c r="Q12901" s="17"/>
    </row>
    <row r="12902" spans="12:17" x14ac:dyDescent="0.3">
      <c r="L12902" s="25"/>
      <c r="Q12902" s="17"/>
    </row>
    <row r="12903" spans="12:17" x14ac:dyDescent="0.3">
      <c r="L12903" s="25"/>
      <c r="Q12903" s="17"/>
    </row>
    <row r="12904" spans="12:17" x14ac:dyDescent="0.3">
      <c r="L12904" s="25"/>
      <c r="Q12904" s="17"/>
    </row>
    <row r="12905" spans="12:17" x14ac:dyDescent="0.3">
      <c r="L12905" s="25"/>
      <c r="Q12905" s="17"/>
    </row>
    <row r="12906" spans="12:17" x14ac:dyDescent="0.3">
      <c r="L12906" s="25"/>
      <c r="Q12906" s="17"/>
    </row>
    <row r="12907" spans="12:17" x14ac:dyDescent="0.3">
      <c r="L12907" s="25"/>
      <c r="Q12907" s="17"/>
    </row>
    <row r="12908" spans="12:17" x14ac:dyDescent="0.3">
      <c r="L12908" s="25"/>
      <c r="Q12908" s="17"/>
    </row>
    <row r="12909" spans="12:17" x14ac:dyDescent="0.3">
      <c r="L12909" s="25"/>
      <c r="Q12909" s="17"/>
    </row>
    <row r="12910" spans="12:17" x14ac:dyDescent="0.3">
      <c r="L12910" s="25"/>
      <c r="Q12910" s="17"/>
    </row>
    <row r="12911" spans="12:17" x14ac:dyDescent="0.3">
      <c r="L12911" s="25"/>
      <c r="Q12911" s="17"/>
    </row>
    <row r="12912" spans="12:17" x14ac:dyDescent="0.3">
      <c r="L12912" s="25"/>
      <c r="Q12912" s="17"/>
    </row>
    <row r="12913" spans="12:17" x14ac:dyDescent="0.3">
      <c r="L12913" s="25"/>
      <c r="Q12913" s="17"/>
    </row>
    <row r="12914" spans="12:17" x14ac:dyDescent="0.3">
      <c r="L12914" s="25"/>
      <c r="Q12914" s="17"/>
    </row>
    <row r="12915" spans="12:17" x14ac:dyDescent="0.3">
      <c r="L12915" s="25"/>
      <c r="Q12915" s="17"/>
    </row>
    <row r="12916" spans="12:17" x14ac:dyDescent="0.3">
      <c r="L12916" s="25"/>
      <c r="Q12916" s="17"/>
    </row>
    <row r="12917" spans="12:17" x14ac:dyDescent="0.3">
      <c r="L12917" s="25"/>
      <c r="Q12917" s="17"/>
    </row>
    <row r="12918" spans="12:17" x14ac:dyDescent="0.3">
      <c r="L12918" s="25"/>
      <c r="Q12918" s="17"/>
    </row>
    <row r="12919" spans="12:17" x14ac:dyDescent="0.3">
      <c r="L12919" s="25"/>
      <c r="Q12919" s="17"/>
    </row>
    <row r="12920" spans="12:17" x14ac:dyDescent="0.3">
      <c r="L12920" s="25"/>
      <c r="Q12920" s="17"/>
    </row>
    <row r="12921" spans="12:17" x14ac:dyDescent="0.3">
      <c r="L12921" s="25"/>
      <c r="Q12921" s="17"/>
    </row>
    <row r="12922" spans="12:17" x14ac:dyDescent="0.3">
      <c r="L12922" s="25"/>
      <c r="Q12922" s="17"/>
    </row>
    <row r="12923" spans="12:17" x14ac:dyDescent="0.3">
      <c r="L12923" s="25"/>
      <c r="Q12923" s="17"/>
    </row>
    <row r="12924" spans="12:17" x14ac:dyDescent="0.3">
      <c r="L12924" s="25"/>
      <c r="Q12924" s="17"/>
    </row>
    <row r="12925" spans="12:17" x14ac:dyDescent="0.3">
      <c r="L12925" s="25"/>
      <c r="Q12925" s="17"/>
    </row>
    <row r="12926" spans="12:17" x14ac:dyDescent="0.3">
      <c r="L12926" s="25"/>
      <c r="Q12926" s="17"/>
    </row>
    <row r="12927" spans="12:17" x14ac:dyDescent="0.3">
      <c r="L12927" s="25"/>
      <c r="Q12927" s="17"/>
    </row>
    <row r="12928" spans="12:17" x14ac:dyDescent="0.3">
      <c r="L12928" s="25"/>
      <c r="Q12928" s="17"/>
    </row>
    <row r="12929" spans="12:17" x14ac:dyDescent="0.3">
      <c r="L12929" s="25"/>
      <c r="Q12929" s="17"/>
    </row>
    <row r="12930" spans="12:17" x14ac:dyDescent="0.3">
      <c r="L12930" s="25"/>
      <c r="Q12930" s="17"/>
    </row>
    <row r="12931" spans="12:17" x14ac:dyDescent="0.3">
      <c r="L12931" s="25"/>
      <c r="Q12931" s="17"/>
    </row>
    <row r="12932" spans="12:17" x14ac:dyDescent="0.3">
      <c r="L12932" s="25"/>
      <c r="Q12932" s="17"/>
    </row>
    <row r="12933" spans="12:17" x14ac:dyDescent="0.3">
      <c r="L12933" s="25"/>
      <c r="Q12933" s="17"/>
    </row>
    <row r="12934" spans="12:17" x14ac:dyDescent="0.3">
      <c r="L12934" s="25"/>
      <c r="Q12934" s="17"/>
    </row>
    <row r="12935" spans="12:17" x14ac:dyDescent="0.3">
      <c r="L12935" s="25"/>
      <c r="Q12935" s="17"/>
    </row>
    <row r="12936" spans="12:17" x14ac:dyDescent="0.3">
      <c r="L12936" s="25"/>
      <c r="Q12936" s="17"/>
    </row>
    <row r="12937" spans="12:17" x14ac:dyDescent="0.3">
      <c r="L12937" s="25"/>
      <c r="Q12937" s="17"/>
    </row>
    <row r="12938" spans="12:17" x14ac:dyDescent="0.3">
      <c r="L12938" s="25"/>
      <c r="Q12938" s="17"/>
    </row>
    <row r="12939" spans="12:17" x14ac:dyDescent="0.3">
      <c r="L12939" s="25"/>
      <c r="Q12939" s="17"/>
    </row>
    <row r="12940" spans="12:17" x14ac:dyDescent="0.3">
      <c r="L12940" s="25"/>
      <c r="Q12940" s="17"/>
    </row>
    <row r="12941" spans="12:17" x14ac:dyDescent="0.3">
      <c r="L12941" s="25"/>
      <c r="Q12941" s="17"/>
    </row>
    <row r="12942" spans="12:17" x14ac:dyDescent="0.3">
      <c r="L12942" s="25"/>
      <c r="Q12942" s="17"/>
    </row>
    <row r="12943" spans="12:17" x14ac:dyDescent="0.3">
      <c r="L12943" s="25"/>
      <c r="Q12943" s="17"/>
    </row>
    <row r="12944" spans="12:17" x14ac:dyDescent="0.3">
      <c r="L12944" s="25"/>
      <c r="Q12944" s="17"/>
    </row>
    <row r="12945" spans="12:17" x14ac:dyDescent="0.3">
      <c r="L12945" s="25"/>
      <c r="Q12945" s="17"/>
    </row>
    <row r="12946" spans="12:17" x14ac:dyDescent="0.3">
      <c r="L12946" s="25"/>
      <c r="Q12946" s="17"/>
    </row>
    <row r="12947" spans="12:17" x14ac:dyDescent="0.3">
      <c r="L12947" s="25"/>
      <c r="Q12947" s="17"/>
    </row>
    <row r="12948" spans="12:17" x14ac:dyDescent="0.3">
      <c r="L12948" s="25"/>
      <c r="Q12948" s="17"/>
    </row>
    <row r="12949" spans="12:17" x14ac:dyDescent="0.3">
      <c r="L12949" s="25"/>
      <c r="Q12949" s="17"/>
    </row>
    <row r="12950" spans="12:17" x14ac:dyDescent="0.3">
      <c r="L12950" s="25"/>
      <c r="Q12950" s="17"/>
    </row>
    <row r="12951" spans="12:17" x14ac:dyDescent="0.3">
      <c r="L12951" s="25"/>
      <c r="Q12951" s="17"/>
    </row>
    <row r="12952" spans="12:17" x14ac:dyDescent="0.3">
      <c r="L12952" s="25"/>
      <c r="Q12952" s="17"/>
    </row>
    <row r="12953" spans="12:17" x14ac:dyDescent="0.3">
      <c r="L12953" s="25"/>
      <c r="Q12953" s="17"/>
    </row>
    <row r="12954" spans="12:17" x14ac:dyDescent="0.3">
      <c r="L12954" s="25"/>
      <c r="Q12954" s="17"/>
    </row>
    <row r="12955" spans="12:17" x14ac:dyDescent="0.3">
      <c r="L12955" s="25"/>
      <c r="Q12955" s="17"/>
    </row>
    <row r="12956" spans="12:17" x14ac:dyDescent="0.3">
      <c r="L12956" s="25"/>
      <c r="Q12956" s="17"/>
    </row>
    <row r="12957" spans="12:17" x14ac:dyDescent="0.3">
      <c r="L12957" s="25"/>
      <c r="Q12957" s="17"/>
    </row>
    <row r="12958" spans="12:17" x14ac:dyDescent="0.3">
      <c r="L12958" s="25"/>
      <c r="Q12958" s="17"/>
    </row>
    <row r="12959" spans="12:17" x14ac:dyDescent="0.3">
      <c r="L12959" s="25"/>
      <c r="Q12959" s="17"/>
    </row>
    <row r="12960" spans="12:17" x14ac:dyDescent="0.3">
      <c r="L12960" s="25"/>
      <c r="Q12960" s="17"/>
    </row>
    <row r="12961" spans="12:17" x14ac:dyDescent="0.3">
      <c r="L12961" s="25"/>
      <c r="Q12961" s="17"/>
    </row>
    <row r="12962" spans="12:17" x14ac:dyDescent="0.3">
      <c r="L12962" s="25"/>
      <c r="Q12962" s="17"/>
    </row>
    <row r="12963" spans="12:17" x14ac:dyDescent="0.3">
      <c r="L12963" s="25"/>
      <c r="Q12963" s="17"/>
    </row>
    <row r="12964" spans="12:17" x14ac:dyDescent="0.3">
      <c r="L12964" s="25"/>
      <c r="Q12964" s="17"/>
    </row>
    <row r="12965" spans="12:17" x14ac:dyDescent="0.3">
      <c r="L12965" s="25"/>
      <c r="Q12965" s="17"/>
    </row>
    <row r="12966" spans="12:17" x14ac:dyDescent="0.3">
      <c r="L12966" s="25"/>
      <c r="Q12966" s="17"/>
    </row>
    <row r="12967" spans="12:17" x14ac:dyDescent="0.3">
      <c r="L12967" s="25"/>
      <c r="Q12967" s="17"/>
    </row>
    <row r="12968" spans="12:17" x14ac:dyDescent="0.3">
      <c r="L12968" s="25"/>
      <c r="Q12968" s="17"/>
    </row>
    <row r="12969" spans="12:17" x14ac:dyDescent="0.3">
      <c r="L12969" s="25"/>
      <c r="Q12969" s="17"/>
    </row>
    <row r="12970" spans="12:17" x14ac:dyDescent="0.3">
      <c r="L12970" s="25"/>
      <c r="Q12970" s="17"/>
    </row>
    <row r="12971" spans="12:17" x14ac:dyDescent="0.3">
      <c r="L12971" s="25"/>
      <c r="Q12971" s="17"/>
    </row>
    <row r="12972" spans="12:17" x14ac:dyDescent="0.3">
      <c r="L12972" s="25"/>
      <c r="Q12972" s="17"/>
    </row>
    <row r="12973" spans="12:17" x14ac:dyDescent="0.3">
      <c r="L12973" s="25"/>
      <c r="Q12973" s="17"/>
    </row>
    <row r="12974" spans="12:17" x14ac:dyDescent="0.3">
      <c r="L12974" s="25"/>
      <c r="Q12974" s="17"/>
    </row>
    <row r="12975" spans="12:17" x14ac:dyDescent="0.3">
      <c r="L12975" s="25"/>
      <c r="Q12975" s="17"/>
    </row>
    <row r="12976" spans="12:17" x14ac:dyDescent="0.3">
      <c r="L12976" s="25"/>
      <c r="Q12976" s="17"/>
    </row>
    <row r="12977" spans="12:17" x14ac:dyDescent="0.3">
      <c r="L12977" s="25"/>
      <c r="Q12977" s="17"/>
    </row>
    <row r="12978" spans="12:17" x14ac:dyDescent="0.3">
      <c r="L12978" s="25"/>
      <c r="Q12978" s="17"/>
    </row>
    <row r="12979" spans="12:17" x14ac:dyDescent="0.3">
      <c r="L12979" s="25"/>
      <c r="Q12979" s="17"/>
    </row>
    <row r="12980" spans="12:17" x14ac:dyDescent="0.3">
      <c r="L12980" s="25"/>
      <c r="Q12980" s="17"/>
    </row>
    <row r="12981" spans="12:17" x14ac:dyDescent="0.3">
      <c r="L12981" s="25"/>
      <c r="Q12981" s="17"/>
    </row>
    <row r="12982" spans="12:17" x14ac:dyDescent="0.3">
      <c r="L12982" s="25"/>
      <c r="Q12982" s="17"/>
    </row>
    <row r="12983" spans="12:17" x14ac:dyDescent="0.3">
      <c r="L12983" s="25"/>
      <c r="Q12983" s="17"/>
    </row>
    <row r="12984" spans="12:17" x14ac:dyDescent="0.3">
      <c r="L12984" s="25"/>
      <c r="Q12984" s="17"/>
    </row>
    <row r="12985" spans="12:17" x14ac:dyDescent="0.3">
      <c r="L12985" s="25"/>
      <c r="Q12985" s="17"/>
    </row>
    <row r="12986" spans="12:17" x14ac:dyDescent="0.3">
      <c r="L12986" s="25"/>
      <c r="Q12986" s="17"/>
    </row>
    <row r="12987" spans="12:17" x14ac:dyDescent="0.3">
      <c r="L12987" s="25"/>
      <c r="Q12987" s="17"/>
    </row>
    <row r="12988" spans="12:17" x14ac:dyDescent="0.3">
      <c r="L12988" s="25"/>
      <c r="Q12988" s="17"/>
    </row>
    <row r="12989" spans="12:17" x14ac:dyDescent="0.3">
      <c r="L12989" s="25"/>
      <c r="Q12989" s="17"/>
    </row>
    <row r="12990" spans="12:17" x14ac:dyDescent="0.3">
      <c r="L12990" s="25"/>
      <c r="Q12990" s="17"/>
    </row>
    <row r="12991" spans="12:17" x14ac:dyDescent="0.3">
      <c r="L12991" s="25"/>
      <c r="Q12991" s="17"/>
    </row>
    <row r="12992" spans="12:17" x14ac:dyDescent="0.3">
      <c r="L12992" s="25"/>
      <c r="Q12992" s="17"/>
    </row>
    <row r="12993" spans="12:17" x14ac:dyDescent="0.3">
      <c r="L12993" s="25"/>
      <c r="Q12993" s="17"/>
    </row>
    <row r="12994" spans="12:17" x14ac:dyDescent="0.3">
      <c r="L12994" s="25"/>
      <c r="Q12994" s="17"/>
    </row>
    <row r="12995" spans="12:17" x14ac:dyDescent="0.3">
      <c r="L12995" s="25"/>
      <c r="Q12995" s="17"/>
    </row>
    <row r="12996" spans="12:17" x14ac:dyDescent="0.3">
      <c r="L12996" s="25"/>
      <c r="Q12996" s="17"/>
    </row>
    <row r="12997" spans="12:17" x14ac:dyDescent="0.3">
      <c r="L12997" s="25"/>
      <c r="Q12997" s="17"/>
    </row>
    <row r="12998" spans="12:17" x14ac:dyDescent="0.3">
      <c r="L12998" s="25"/>
      <c r="Q12998" s="17"/>
    </row>
    <row r="12999" spans="12:17" x14ac:dyDescent="0.3">
      <c r="L12999" s="25"/>
      <c r="Q12999" s="17"/>
    </row>
    <row r="13000" spans="12:17" x14ac:dyDescent="0.3">
      <c r="L13000" s="25"/>
      <c r="Q13000" s="17"/>
    </row>
    <row r="13001" spans="12:17" x14ac:dyDescent="0.3">
      <c r="L13001" s="25"/>
      <c r="Q13001" s="17"/>
    </row>
    <row r="13002" spans="12:17" x14ac:dyDescent="0.3">
      <c r="L13002" s="25"/>
      <c r="Q13002" s="17"/>
    </row>
    <row r="13003" spans="12:17" x14ac:dyDescent="0.3">
      <c r="L13003" s="25"/>
      <c r="Q13003" s="17"/>
    </row>
    <row r="13004" spans="12:17" x14ac:dyDescent="0.3">
      <c r="L13004" s="25"/>
      <c r="Q13004" s="17"/>
    </row>
    <row r="13005" spans="12:17" x14ac:dyDescent="0.3">
      <c r="L13005" s="25"/>
      <c r="Q13005" s="17"/>
    </row>
    <row r="13006" spans="12:17" x14ac:dyDescent="0.3">
      <c r="L13006" s="25"/>
      <c r="Q13006" s="17"/>
    </row>
    <row r="13007" spans="12:17" x14ac:dyDescent="0.3">
      <c r="L13007" s="25"/>
      <c r="Q13007" s="17"/>
    </row>
    <row r="13008" spans="12:17" x14ac:dyDescent="0.3">
      <c r="L13008" s="25"/>
      <c r="Q13008" s="17"/>
    </row>
    <row r="13009" spans="12:17" x14ac:dyDescent="0.3">
      <c r="L13009" s="25"/>
      <c r="Q13009" s="17"/>
    </row>
    <row r="13010" spans="12:17" x14ac:dyDescent="0.3">
      <c r="L13010" s="25"/>
      <c r="Q13010" s="17"/>
    </row>
    <row r="13011" spans="12:17" x14ac:dyDescent="0.3">
      <c r="L13011" s="25"/>
      <c r="Q13011" s="17"/>
    </row>
    <row r="13012" spans="12:17" x14ac:dyDescent="0.3">
      <c r="L13012" s="25"/>
      <c r="Q13012" s="17"/>
    </row>
    <row r="13013" spans="12:17" x14ac:dyDescent="0.3">
      <c r="L13013" s="25"/>
      <c r="Q13013" s="17"/>
    </row>
    <row r="13014" spans="12:17" x14ac:dyDescent="0.3">
      <c r="L13014" s="25"/>
      <c r="Q13014" s="17"/>
    </row>
    <row r="13015" spans="12:17" x14ac:dyDescent="0.3">
      <c r="L13015" s="25"/>
      <c r="Q13015" s="17"/>
    </row>
    <row r="13016" spans="12:17" x14ac:dyDescent="0.3">
      <c r="L13016" s="25"/>
      <c r="Q13016" s="17"/>
    </row>
    <row r="13017" spans="12:17" x14ac:dyDescent="0.3">
      <c r="L13017" s="25"/>
      <c r="Q13017" s="17"/>
    </row>
    <row r="13018" spans="12:17" x14ac:dyDescent="0.3">
      <c r="L13018" s="25"/>
      <c r="Q13018" s="17"/>
    </row>
    <row r="13019" spans="12:17" x14ac:dyDescent="0.3">
      <c r="L13019" s="25"/>
      <c r="Q13019" s="17"/>
    </row>
    <row r="13020" spans="12:17" x14ac:dyDescent="0.3">
      <c r="L13020" s="25"/>
      <c r="Q13020" s="17"/>
    </row>
    <row r="13021" spans="12:17" x14ac:dyDescent="0.3">
      <c r="L13021" s="25"/>
      <c r="Q13021" s="17"/>
    </row>
    <row r="13022" spans="12:17" x14ac:dyDescent="0.3">
      <c r="L13022" s="25"/>
      <c r="Q13022" s="17"/>
    </row>
    <row r="13023" spans="12:17" x14ac:dyDescent="0.3">
      <c r="L13023" s="25"/>
      <c r="Q13023" s="17"/>
    </row>
    <row r="13024" spans="12:17" x14ac:dyDescent="0.3">
      <c r="L13024" s="25"/>
      <c r="Q13024" s="17"/>
    </row>
    <row r="13025" spans="12:17" x14ac:dyDescent="0.3">
      <c r="L13025" s="25"/>
      <c r="Q13025" s="17"/>
    </row>
    <row r="13026" spans="12:17" x14ac:dyDescent="0.3">
      <c r="L13026" s="25"/>
      <c r="Q13026" s="17"/>
    </row>
    <row r="13027" spans="12:17" x14ac:dyDescent="0.3">
      <c r="L13027" s="25"/>
      <c r="Q13027" s="17"/>
    </row>
    <row r="13028" spans="12:17" x14ac:dyDescent="0.3">
      <c r="L13028" s="25"/>
      <c r="Q13028" s="17"/>
    </row>
    <row r="13029" spans="12:17" x14ac:dyDescent="0.3">
      <c r="L13029" s="25"/>
      <c r="Q13029" s="17"/>
    </row>
    <row r="13030" spans="12:17" x14ac:dyDescent="0.3">
      <c r="L13030" s="25"/>
      <c r="Q13030" s="17"/>
    </row>
    <row r="13031" spans="12:17" x14ac:dyDescent="0.3">
      <c r="L13031" s="25"/>
      <c r="Q13031" s="17"/>
    </row>
    <row r="13032" spans="12:17" x14ac:dyDescent="0.3">
      <c r="L13032" s="25"/>
      <c r="Q13032" s="17"/>
    </row>
    <row r="13033" spans="12:17" x14ac:dyDescent="0.3">
      <c r="L13033" s="25"/>
      <c r="Q13033" s="17"/>
    </row>
    <row r="13034" spans="12:17" x14ac:dyDescent="0.3">
      <c r="L13034" s="25"/>
      <c r="Q13034" s="17"/>
    </row>
    <row r="13035" spans="12:17" x14ac:dyDescent="0.3">
      <c r="L13035" s="25"/>
      <c r="Q13035" s="17"/>
    </row>
    <row r="13036" spans="12:17" x14ac:dyDescent="0.3">
      <c r="L13036" s="25"/>
      <c r="Q13036" s="17"/>
    </row>
    <row r="13037" spans="12:17" x14ac:dyDescent="0.3">
      <c r="L13037" s="25"/>
      <c r="Q13037" s="17"/>
    </row>
    <row r="13038" spans="12:17" x14ac:dyDescent="0.3">
      <c r="L13038" s="25"/>
      <c r="Q13038" s="17"/>
    </row>
    <row r="13039" spans="12:17" x14ac:dyDescent="0.3">
      <c r="L13039" s="25"/>
      <c r="Q13039" s="17"/>
    </row>
    <row r="13040" spans="12:17" x14ac:dyDescent="0.3">
      <c r="L13040" s="25"/>
      <c r="Q13040" s="17"/>
    </row>
    <row r="13041" spans="12:17" x14ac:dyDescent="0.3">
      <c r="L13041" s="25"/>
      <c r="Q13041" s="17"/>
    </row>
    <row r="13042" spans="12:17" x14ac:dyDescent="0.3">
      <c r="L13042" s="25"/>
      <c r="Q13042" s="17"/>
    </row>
    <row r="13043" spans="12:17" x14ac:dyDescent="0.3">
      <c r="L13043" s="25"/>
      <c r="Q13043" s="17"/>
    </row>
    <row r="13044" spans="12:17" x14ac:dyDescent="0.3">
      <c r="L13044" s="25"/>
      <c r="Q13044" s="17"/>
    </row>
    <row r="13045" spans="12:17" x14ac:dyDescent="0.3">
      <c r="L13045" s="25"/>
      <c r="Q13045" s="17"/>
    </row>
    <row r="13046" spans="12:17" x14ac:dyDescent="0.3">
      <c r="L13046" s="25"/>
      <c r="Q13046" s="17"/>
    </row>
    <row r="13047" spans="12:17" x14ac:dyDescent="0.3">
      <c r="L13047" s="25"/>
      <c r="Q13047" s="17"/>
    </row>
    <row r="13048" spans="12:17" x14ac:dyDescent="0.3">
      <c r="L13048" s="25"/>
      <c r="Q13048" s="17"/>
    </row>
    <row r="13049" spans="12:17" x14ac:dyDescent="0.3">
      <c r="L13049" s="25"/>
      <c r="Q13049" s="17"/>
    </row>
    <row r="13050" spans="12:17" x14ac:dyDescent="0.3">
      <c r="L13050" s="25"/>
      <c r="Q13050" s="17"/>
    </row>
    <row r="13051" spans="12:17" x14ac:dyDescent="0.3">
      <c r="L13051" s="25"/>
      <c r="Q13051" s="17"/>
    </row>
    <row r="13052" spans="12:17" x14ac:dyDescent="0.3">
      <c r="L13052" s="25"/>
      <c r="Q13052" s="17"/>
    </row>
    <row r="13053" spans="12:17" x14ac:dyDescent="0.3">
      <c r="L13053" s="25"/>
      <c r="Q13053" s="17"/>
    </row>
    <row r="13054" spans="12:17" x14ac:dyDescent="0.3">
      <c r="L13054" s="25"/>
      <c r="Q13054" s="17"/>
    </row>
    <row r="13055" spans="12:17" x14ac:dyDescent="0.3">
      <c r="L13055" s="25"/>
      <c r="Q13055" s="17"/>
    </row>
    <row r="13056" spans="12:17" x14ac:dyDescent="0.3">
      <c r="L13056" s="25"/>
      <c r="Q13056" s="17"/>
    </row>
    <row r="13057" spans="12:17" x14ac:dyDescent="0.3">
      <c r="L13057" s="25"/>
      <c r="Q13057" s="17"/>
    </row>
    <row r="13058" spans="12:17" x14ac:dyDescent="0.3">
      <c r="L13058" s="25"/>
      <c r="Q13058" s="17"/>
    </row>
    <row r="13059" spans="12:17" x14ac:dyDescent="0.3">
      <c r="L13059" s="25"/>
      <c r="Q13059" s="17"/>
    </row>
    <row r="13060" spans="12:17" x14ac:dyDescent="0.3">
      <c r="L13060" s="25"/>
      <c r="Q13060" s="17"/>
    </row>
    <row r="13061" spans="12:17" x14ac:dyDescent="0.3">
      <c r="L13061" s="25"/>
      <c r="Q13061" s="17"/>
    </row>
    <row r="13062" spans="12:17" x14ac:dyDescent="0.3">
      <c r="L13062" s="25"/>
      <c r="Q13062" s="17"/>
    </row>
    <row r="13063" spans="12:17" x14ac:dyDescent="0.3">
      <c r="L13063" s="25"/>
      <c r="Q13063" s="17"/>
    </row>
    <row r="13064" spans="12:17" x14ac:dyDescent="0.3">
      <c r="L13064" s="25"/>
      <c r="Q13064" s="17"/>
    </row>
    <row r="13065" spans="12:17" x14ac:dyDescent="0.3">
      <c r="L13065" s="25"/>
      <c r="Q13065" s="17"/>
    </row>
    <row r="13066" spans="12:17" x14ac:dyDescent="0.3">
      <c r="L13066" s="25"/>
      <c r="Q13066" s="17"/>
    </row>
    <row r="13067" spans="12:17" x14ac:dyDescent="0.3">
      <c r="L13067" s="25"/>
      <c r="Q13067" s="17"/>
    </row>
    <row r="13068" spans="12:17" x14ac:dyDescent="0.3">
      <c r="L13068" s="25"/>
      <c r="Q13068" s="17"/>
    </row>
    <row r="13069" spans="12:17" x14ac:dyDescent="0.3">
      <c r="L13069" s="25"/>
      <c r="Q13069" s="17"/>
    </row>
    <row r="13070" spans="12:17" x14ac:dyDescent="0.3">
      <c r="L13070" s="25"/>
      <c r="Q13070" s="17"/>
    </row>
    <row r="13071" spans="12:17" x14ac:dyDescent="0.3">
      <c r="L13071" s="25"/>
      <c r="Q13071" s="17"/>
    </row>
    <row r="13072" spans="12:17" x14ac:dyDescent="0.3">
      <c r="L13072" s="25"/>
      <c r="Q13072" s="17"/>
    </row>
    <row r="13073" spans="12:17" x14ac:dyDescent="0.3">
      <c r="L13073" s="25"/>
      <c r="Q13073" s="17"/>
    </row>
    <row r="13074" spans="12:17" x14ac:dyDescent="0.3">
      <c r="L13074" s="25"/>
      <c r="Q13074" s="17"/>
    </row>
    <row r="13075" spans="12:17" x14ac:dyDescent="0.3">
      <c r="L13075" s="25"/>
      <c r="Q13075" s="17"/>
    </row>
    <row r="13076" spans="12:17" x14ac:dyDescent="0.3">
      <c r="L13076" s="25"/>
      <c r="Q13076" s="17"/>
    </row>
    <row r="13077" spans="12:17" x14ac:dyDescent="0.3">
      <c r="L13077" s="25"/>
      <c r="Q13077" s="17"/>
    </row>
    <row r="13078" spans="12:17" x14ac:dyDescent="0.3">
      <c r="L13078" s="25"/>
      <c r="Q13078" s="17"/>
    </row>
    <row r="13079" spans="12:17" x14ac:dyDescent="0.3">
      <c r="L13079" s="25"/>
      <c r="Q13079" s="17"/>
    </row>
    <row r="13080" spans="12:17" x14ac:dyDescent="0.3">
      <c r="L13080" s="25"/>
      <c r="Q13080" s="17"/>
    </row>
    <row r="13081" spans="12:17" x14ac:dyDescent="0.3">
      <c r="L13081" s="25"/>
      <c r="Q13081" s="17"/>
    </row>
    <row r="13082" spans="12:17" x14ac:dyDescent="0.3">
      <c r="L13082" s="25"/>
      <c r="Q13082" s="17"/>
    </row>
    <row r="13083" spans="12:17" x14ac:dyDescent="0.3">
      <c r="L13083" s="25"/>
      <c r="Q13083" s="17"/>
    </row>
    <row r="13084" spans="12:17" x14ac:dyDescent="0.3">
      <c r="L13084" s="25"/>
      <c r="Q13084" s="17"/>
    </row>
    <row r="13085" spans="12:17" x14ac:dyDescent="0.3">
      <c r="L13085" s="25"/>
      <c r="Q13085" s="17"/>
    </row>
    <row r="13086" spans="12:17" x14ac:dyDescent="0.3">
      <c r="L13086" s="25"/>
      <c r="Q13086" s="17"/>
    </row>
    <row r="13087" spans="12:17" x14ac:dyDescent="0.3">
      <c r="L13087" s="25"/>
      <c r="Q13087" s="17"/>
    </row>
    <row r="13088" spans="12:17" x14ac:dyDescent="0.3">
      <c r="L13088" s="25"/>
      <c r="Q13088" s="17"/>
    </row>
    <row r="13089" spans="12:17" x14ac:dyDescent="0.3">
      <c r="L13089" s="25"/>
      <c r="Q13089" s="17"/>
    </row>
    <row r="13090" spans="12:17" x14ac:dyDescent="0.3">
      <c r="L13090" s="25"/>
      <c r="Q13090" s="17"/>
    </row>
    <row r="13091" spans="12:17" x14ac:dyDescent="0.3">
      <c r="L13091" s="25"/>
      <c r="Q13091" s="17"/>
    </row>
    <row r="13092" spans="12:17" x14ac:dyDescent="0.3">
      <c r="L13092" s="25"/>
      <c r="Q13092" s="17"/>
    </row>
    <row r="13093" spans="12:17" x14ac:dyDescent="0.3">
      <c r="L13093" s="25"/>
      <c r="Q13093" s="17"/>
    </row>
    <row r="13094" spans="12:17" x14ac:dyDescent="0.3">
      <c r="L13094" s="25"/>
      <c r="Q13094" s="17"/>
    </row>
    <row r="13095" spans="12:17" x14ac:dyDescent="0.3">
      <c r="L13095" s="25"/>
      <c r="Q13095" s="17"/>
    </row>
    <row r="13096" spans="12:17" x14ac:dyDescent="0.3">
      <c r="L13096" s="25"/>
      <c r="Q13096" s="17"/>
    </row>
    <row r="13097" spans="12:17" x14ac:dyDescent="0.3">
      <c r="L13097" s="25"/>
      <c r="Q13097" s="17"/>
    </row>
    <row r="13098" spans="12:17" x14ac:dyDescent="0.3">
      <c r="L13098" s="25"/>
      <c r="Q13098" s="17"/>
    </row>
    <row r="13099" spans="12:17" x14ac:dyDescent="0.3">
      <c r="L13099" s="25"/>
      <c r="Q13099" s="17"/>
    </row>
    <row r="13100" spans="12:17" x14ac:dyDescent="0.3">
      <c r="L13100" s="25"/>
      <c r="Q13100" s="17"/>
    </row>
    <row r="13101" spans="12:17" x14ac:dyDescent="0.3">
      <c r="L13101" s="25"/>
      <c r="Q13101" s="17"/>
    </row>
    <row r="13102" spans="12:17" x14ac:dyDescent="0.3">
      <c r="L13102" s="25"/>
      <c r="Q13102" s="17"/>
    </row>
    <row r="13103" spans="12:17" x14ac:dyDescent="0.3">
      <c r="L13103" s="25"/>
      <c r="Q13103" s="17"/>
    </row>
    <row r="13104" spans="12:17" x14ac:dyDescent="0.3">
      <c r="L13104" s="25"/>
      <c r="Q13104" s="17"/>
    </row>
    <row r="13105" spans="12:17" x14ac:dyDescent="0.3">
      <c r="L13105" s="25"/>
      <c r="Q13105" s="17"/>
    </row>
    <row r="13106" spans="12:17" x14ac:dyDescent="0.3">
      <c r="L13106" s="25"/>
      <c r="Q13106" s="17"/>
    </row>
    <row r="13107" spans="12:17" x14ac:dyDescent="0.3">
      <c r="L13107" s="25"/>
      <c r="Q13107" s="17"/>
    </row>
    <row r="13108" spans="12:17" x14ac:dyDescent="0.3">
      <c r="L13108" s="25"/>
      <c r="Q13108" s="17"/>
    </row>
    <row r="13109" spans="12:17" x14ac:dyDescent="0.3">
      <c r="L13109" s="25"/>
      <c r="Q13109" s="17"/>
    </row>
    <row r="13110" spans="12:17" x14ac:dyDescent="0.3">
      <c r="L13110" s="25"/>
      <c r="Q13110" s="17"/>
    </row>
    <row r="13111" spans="12:17" x14ac:dyDescent="0.3">
      <c r="L13111" s="25"/>
      <c r="Q13111" s="17"/>
    </row>
    <row r="13112" spans="12:17" x14ac:dyDescent="0.3">
      <c r="L13112" s="25"/>
      <c r="Q13112" s="17"/>
    </row>
    <row r="13113" spans="12:17" x14ac:dyDescent="0.3">
      <c r="L13113" s="25"/>
      <c r="Q13113" s="17"/>
    </row>
    <row r="13114" spans="12:17" x14ac:dyDescent="0.3">
      <c r="L13114" s="25"/>
      <c r="Q13114" s="17"/>
    </row>
    <row r="13115" spans="12:17" x14ac:dyDescent="0.3">
      <c r="L13115" s="25"/>
      <c r="Q13115" s="17"/>
    </row>
    <row r="13116" spans="12:17" x14ac:dyDescent="0.3">
      <c r="L13116" s="25"/>
      <c r="Q13116" s="17"/>
    </row>
    <row r="13117" spans="12:17" x14ac:dyDescent="0.3">
      <c r="L13117" s="25"/>
      <c r="Q13117" s="17"/>
    </row>
    <row r="13118" spans="12:17" x14ac:dyDescent="0.3">
      <c r="L13118" s="25"/>
      <c r="Q13118" s="17"/>
    </row>
    <row r="13119" spans="12:17" x14ac:dyDescent="0.3">
      <c r="L13119" s="25"/>
      <c r="Q13119" s="17"/>
    </row>
    <row r="13120" spans="12:17" x14ac:dyDescent="0.3">
      <c r="L13120" s="25"/>
      <c r="Q13120" s="17"/>
    </row>
    <row r="13121" spans="12:17" x14ac:dyDescent="0.3">
      <c r="L13121" s="25"/>
      <c r="Q13121" s="17"/>
    </row>
    <row r="13122" spans="12:17" x14ac:dyDescent="0.3">
      <c r="L13122" s="25"/>
      <c r="Q13122" s="17"/>
    </row>
    <row r="13123" spans="12:17" x14ac:dyDescent="0.3">
      <c r="L13123" s="25"/>
      <c r="Q13123" s="17"/>
    </row>
    <row r="13124" spans="12:17" x14ac:dyDescent="0.3">
      <c r="L13124" s="25"/>
      <c r="Q13124" s="17"/>
    </row>
    <row r="13125" spans="12:17" x14ac:dyDescent="0.3">
      <c r="L13125" s="25"/>
      <c r="Q13125" s="17"/>
    </row>
    <row r="13126" spans="12:17" x14ac:dyDescent="0.3">
      <c r="L13126" s="25"/>
      <c r="Q13126" s="17"/>
    </row>
    <row r="13127" spans="12:17" x14ac:dyDescent="0.3">
      <c r="L13127" s="25"/>
      <c r="Q13127" s="17"/>
    </row>
    <row r="13128" spans="12:17" x14ac:dyDescent="0.3">
      <c r="L13128" s="25"/>
      <c r="Q13128" s="17"/>
    </row>
    <row r="13129" spans="12:17" x14ac:dyDescent="0.3">
      <c r="L13129" s="25"/>
      <c r="Q13129" s="17"/>
    </row>
    <row r="13130" spans="12:17" x14ac:dyDescent="0.3">
      <c r="L13130" s="25"/>
      <c r="Q13130" s="17"/>
    </row>
    <row r="13131" spans="12:17" x14ac:dyDescent="0.3">
      <c r="L13131" s="25"/>
      <c r="Q13131" s="17"/>
    </row>
    <row r="13132" spans="12:17" x14ac:dyDescent="0.3">
      <c r="L13132" s="25"/>
      <c r="Q13132" s="17"/>
    </row>
    <row r="13133" spans="12:17" x14ac:dyDescent="0.3">
      <c r="L13133" s="25"/>
      <c r="Q13133" s="17"/>
    </row>
    <row r="13134" spans="12:17" x14ac:dyDescent="0.3">
      <c r="L13134" s="25"/>
      <c r="Q13134" s="17"/>
    </row>
    <row r="13135" spans="12:17" x14ac:dyDescent="0.3">
      <c r="L13135" s="25"/>
      <c r="Q13135" s="17"/>
    </row>
    <row r="13136" spans="12:17" x14ac:dyDescent="0.3">
      <c r="L13136" s="25"/>
      <c r="Q13136" s="17"/>
    </row>
    <row r="13137" spans="12:17" x14ac:dyDescent="0.3">
      <c r="L13137" s="25"/>
      <c r="Q13137" s="17"/>
    </row>
    <row r="13138" spans="12:17" x14ac:dyDescent="0.3">
      <c r="L13138" s="25"/>
      <c r="Q13138" s="17"/>
    </row>
    <row r="13139" spans="12:17" x14ac:dyDescent="0.3">
      <c r="L13139" s="25"/>
      <c r="Q13139" s="17"/>
    </row>
    <row r="13140" spans="12:17" x14ac:dyDescent="0.3">
      <c r="L13140" s="25"/>
      <c r="Q13140" s="17"/>
    </row>
    <row r="13141" spans="12:17" x14ac:dyDescent="0.3">
      <c r="L13141" s="25"/>
      <c r="Q13141" s="17"/>
    </row>
    <row r="13142" spans="12:17" x14ac:dyDescent="0.3">
      <c r="L13142" s="25"/>
      <c r="Q13142" s="17"/>
    </row>
    <row r="13143" spans="12:17" x14ac:dyDescent="0.3">
      <c r="L13143" s="25"/>
      <c r="Q13143" s="17"/>
    </row>
    <row r="13144" spans="12:17" x14ac:dyDescent="0.3">
      <c r="L13144" s="25"/>
      <c r="Q13144" s="17"/>
    </row>
    <row r="13145" spans="12:17" x14ac:dyDescent="0.3">
      <c r="L13145" s="25"/>
      <c r="Q13145" s="17"/>
    </row>
    <row r="13146" spans="12:17" x14ac:dyDescent="0.3">
      <c r="L13146" s="25"/>
      <c r="Q13146" s="17"/>
    </row>
    <row r="13147" spans="12:17" x14ac:dyDescent="0.3">
      <c r="L13147" s="25"/>
      <c r="Q13147" s="17"/>
    </row>
    <row r="13148" spans="12:17" x14ac:dyDescent="0.3">
      <c r="L13148" s="25"/>
      <c r="Q13148" s="17"/>
    </row>
    <row r="13149" spans="12:17" x14ac:dyDescent="0.3">
      <c r="L13149" s="25"/>
      <c r="Q13149" s="17"/>
    </row>
    <row r="13150" spans="12:17" x14ac:dyDescent="0.3">
      <c r="L13150" s="25"/>
      <c r="Q13150" s="17"/>
    </row>
    <row r="13151" spans="12:17" x14ac:dyDescent="0.3">
      <c r="L13151" s="25"/>
      <c r="Q13151" s="17"/>
    </row>
    <row r="13152" spans="12:17" x14ac:dyDescent="0.3">
      <c r="L13152" s="25"/>
      <c r="Q13152" s="17"/>
    </row>
    <row r="13153" spans="12:17" x14ac:dyDescent="0.3">
      <c r="L13153" s="25"/>
      <c r="Q13153" s="17"/>
    </row>
    <row r="13154" spans="12:17" x14ac:dyDescent="0.3">
      <c r="L13154" s="25"/>
      <c r="Q13154" s="17"/>
    </row>
    <row r="13155" spans="12:17" x14ac:dyDescent="0.3">
      <c r="L13155" s="25"/>
      <c r="Q13155" s="17"/>
    </row>
    <row r="13156" spans="12:17" x14ac:dyDescent="0.3">
      <c r="L13156" s="25"/>
      <c r="Q13156" s="17"/>
    </row>
    <row r="13157" spans="12:17" x14ac:dyDescent="0.3">
      <c r="L13157" s="25"/>
      <c r="Q13157" s="17"/>
    </row>
    <row r="13158" spans="12:17" x14ac:dyDescent="0.3">
      <c r="L13158" s="25"/>
      <c r="Q13158" s="17"/>
    </row>
    <row r="13159" spans="12:17" x14ac:dyDescent="0.3">
      <c r="L13159" s="25"/>
      <c r="Q13159" s="17"/>
    </row>
    <row r="13160" spans="12:17" x14ac:dyDescent="0.3">
      <c r="L13160" s="25"/>
      <c r="Q13160" s="17"/>
    </row>
    <row r="13161" spans="12:17" x14ac:dyDescent="0.3">
      <c r="L13161" s="25"/>
      <c r="Q13161" s="17"/>
    </row>
    <row r="13162" spans="12:17" x14ac:dyDescent="0.3">
      <c r="L13162" s="25"/>
      <c r="Q13162" s="17"/>
    </row>
    <row r="13163" spans="12:17" x14ac:dyDescent="0.3">
      <c r="L13163" s="25"/>
      <c r="Q13163" s="17"/>
    </row>
    <row r="13164" spans="12:17" x14ac:dyDescent="0.3">
      <c r="L13164" s="25"/>
      <c r="Q13164" s="17"/>
    </row>
    <row r="13165" spans="12:17" x14ac:dyDescent="0.3">
      <c r="L13165" s="25"/>
      <c r="Q13165" s="17"/>
    </row>
    <row r="13166" spans="12:17" x14ac:dyDescent="0.3">
      <c r="L13166" s="25"/>
      <c r="Q13166" s="17"/>
    </row>
    <row r="13167" spans="12:17" x14ac:dyDescent="0.3">
      <c r="L13167" s="25"/>
      <c r="Q13167" s="17"/>
    </row>
    <row r="13168" spans="12:17" x14ac:dyDescent="0.3">
      <c r="L13168" s="25"/>
      <c r="Q13168" s="17"/>
    </row>
    <row r="13169" spans="12:17" x14ac:dyDescent="0.3">
      <c r="L13169" s="25"/>
      <c r="Q13169" s="17"/>
    </row>
    <row r="13170" spans="12:17" x14ac:dyDescent="0.3">
      <c r="L13170" s="25"/>
      <c r="Q13170" s="17"/>
    </row>
    <row r="13171" spans="12:17" x14ac:dyDescent="0.3">
      <c r="L13171" s="25"/>
      <c r="Q13171" s="17"/>
    </row>
    <row r="13172" spans="12:17" x14ac:dyDescent="0.3">
      <c r="L13172" s="25"/>
      <c r="Q13172" s="17"/>
    </row>
    <row r="13173" spans="12:17" x14ac:dyDescent="0.3">
      <c r="L13173" s="25"/>
      <c r="Q13173" s="17"/>
    </row>
    <row r="13174" spans="12:17" x14ac:dyDescent="0.3">
      <c r="L13174" s="25"/>
      <c r="Q13174" s="17"/>
    </row>
    <row r="13175" spans="12:17" x14ac:dyDescent="0.3">
      <c r="L13175" s="25"/>
      <c r="Q13175" s="17"/>
    </row>
    <row r="13176" spans="12:17" x14ac:dyDescent="0.3">
      <c r="L13176" s="25"/>
      <c r="Q13176" s="17"/>
    </row>
    <row r="13177" spans="12:17" x14ac:dyDescent="0.3">
      <c r="L13177" s="25"/>
      <c r="Q13177" s="17"/>
    </row>
    <row r="13178" spans="12:17" x14ac:dyDescent="0.3">
      <c r="L13178" s="25"/>
      <c r="Q13178" s="17"/>
    </row>
    <row r="13179" spans="12:17" x14ac:dyDescent="0.3">
      <c r="L13179" s="25"/>
      <c r="Q13179" s="17"/>
    </row>
    <row r="13180" spans="12:17" x14ac:dyDescent="0.3">
      <c r="L13180" s="25"/>
      <c r="Q13180" s="17"/>
    </row>
    <row r="13181" spans="12:17" x14ac:dyDescent="0.3">
      <c r="L13181" s="25"/>
      <c r="Q13181" s="17"/>
    </row>
    <row r="13182" spans="12:17" x14ac:dyDescent="0.3">
      <c r="L13182" s="25"/>
      <c r="Q13182" s="17"/>
    </row>
    <row r="13183" spans="12:17" x14ac:dyDescent="0.3">
      <c r="L13183" s="25"/>
      <c r="Q13183" s="17"/>
    </row>
    <row r="13184" spans="12:17" x14ac:dyDescent="0.3">
      <c r="L13184" s="25"/>
      <c r="Q13184" s="17"/>
    </row>
    <row r="13185" spans="12:17" x14ac:dyDescent="0.3">
      <c r="L13185" s="25"/>
      <c r="Q13185" s="17"/>
    </row>
    <row r="13186" spans="12:17" x14ac:dyDescent="0.3">
      <c r="L13186" s="25"/>
      <c r="Q13186" s="17"/>
    </row>
    <row r="13187" spans="12:17" x14ac:dyDescent="0.3">
      <c r="L13187" s="25"/>
      <c r="Q13187" s="17"/>
    </row>
    <row r="13188" spans="12:17" x14ac:dyDescent="0.3">
      <c r="L13188" s="25"/>
      <c r="Q13188" s="17"/>
    </row>
    <row r="13189" spans="12:17" x14ac:dyDescent="0.3">
      <c r="L13189" s="25"/>
      <c r="Q13189" s="17"/>
    </row>
    <row r="13190" spans="12:17" x14ac:dyDescent="0.3">
      <c r="L13190" s="25"/>
      <c r="Q13190" s="17"/>
    </row>
    <row r="13191" spans="12:17" x14ac:dyDescent="0.3">
      <c r="L13191" s="25"/>
      <c r="Q13191" s="17"/>
    </row>
    <row r="13192" spans="12:17" x14ac:dyDescent="0.3">
      <c r="L13192" s="25"/>
      <c r="Q13192" s="17"/>
    </row>
    <row r="13193" spans="12:17" x14ac:dyDescent="0.3">
      <c r="L13193" s="25"/>
      <c r="Q13193" s="17"/>
    </row>
    <row r="13194" spans="12:17" x14ac:dyDescent="0.3">
      <c r="L13194" s="25"/>
      <c r="Q13194" s="17"/>
    </row>
    <row r="13195" spans="12:17" x14ac:dyDescent="0.3">
      <c r="L13195" s="25"/>
      <c r="Q13195" s="17"/>
    </row>
    <row r="13196" spans="12:17" x14ac:dyDescent="0.3">
      <c r="L13196" s="25"/>
      <c r="Q13196" s="17"/>
    </row>
    <row r="13197" spans="12:17" x14ac:dyDescent="0.3">
      <c r="L13197" s="25"/>
      <c r="Q13197" s="17"/>
    </row>
    <row r="13198" spans="12:17" x14ac:dyDescent="0.3">
      <c r="L13198" s="25"/>
      <c r="Q13198" s="17"/>
    </row>
    <row r="13199" spans="12:17" x14ac:dyDescent="0.3">
      <c r="L13199" s="25"/>
      <c r="Q13199" s="17"/>
    </row>
    <row r="13200" spans="12:17" x14ac:dyDescent="0.3">
      <c r="L13200" s="25"/>
      <c r="Q13200" s="17"/>
    </row>
    <row r="13201" spans="12:17" x14ac:dyDescent="0.3">
      <c r="L13201" s="25"/>
      <c r="Q13201" s="17"/>
    </row>
    <row r="13202" spans="12:17" x14ac:dyDescent="0.3">
      <c r="L13202" s="25"/>
      <c r="Q13202" s="17"/>
    </row>
    <row r="13203" spans="12:17" x14ac:dyDescent="0.3">
      <c r="L13203" s="25"/>
      <c r="Q13203" s="17"/>
    </row>
    <row r="13204" spans="12:17" x14ac:dyDescent="0.3">
      <c r="L13204" s="25"/>
      <c r="Q13204" s="17"/>
    </row>
    <row r="13205" spans="12:17" x14ac:dyDescent="0.3">
      <c r="L13205" s="25"/>
      <c r="Q13205" s="17"/>
    </row>
    <row r="13206" spans="12:17" x14ac:dyDescent="0.3">
      <c r="L13206" s="25"/>
      <c r="Q13206" s="17"/>
    </row>
    <row r="13207" spans="12:17" x14ac:dyDescent="0.3">
      <c r="L13207" s="25"/>
      <c r="Q13207" s="17"/>
    </row>
    <row r="13208" spans="12:17" x14ac:dyDescent="0.3">
      <c r="L13208" s="25"/>
      <c r="Q13208" s="17"/>
    </row>
    <row r="13209" spans="12:17" x14ac:dyDescent="0.3">
      <c r="L13209" s="25"/>
      <c r="Q13209" s="17"/>
    </row>
    <row r="13210" spans="12:17" x14ac:dyDescent="0.3">
      <c r="L13210" s="25"/>
      <c r="Q13210" s="17"/>
    </row>
    <row r="13211" spans="12:17" x14ac:dyDescent="0.3">
      <c r="L13211" s="25"/>
      <c r="Q13211" s="17"/>
    </row>
    <row r="13212" spans="12:17" x14ac:dyDescent="0.3">
      <c r="L13212" s="25"/>
      <c r="Q13212" s="17"/>
    </row>
    <row r="13213" spans="12:17" x14ac:dyDescent="0.3">
      <c r="L13213" s="25"/>
      <c r="Q13213" s="17"/>
    </row>
    <row r="13214" spans="12:17" x14ac:dyDescent="0.3">
      <c r="L13214" s="25"/>
      <c r="Q13214" s="17"/>
    </row>
    <row r="13215" spans="12:17" x14ac:dyDescent="0.3">
      <c r="L13215" s="25"/>
      <c r="Q13215" s="17"/>
    </row>
    <row r="13216" spans="12:17" x14ac:dyDescent="0.3">
      <c r="L13216" s="25"/>
      <c r="Q13216" s="17"/>
    </row>
    <row r="13217" spans="12:17" x14ac:dyDescent="0.3">
      <c r="L13217" s="25"/>
      <c r="Q13217" s="17"/>
    </row>
    <row r="13218" spans="12:17" x14ac:dyDescent="0.3">
      <c r="L13218" s="25"/>
      <c r="Q13218" s="17"/>
    </row>
    <row r="13219" spans="12:17" x14ac:dyDescent="0.3">
      <c r="L13219" s="25"/>
      <c r="Q13219" s="17"/>
    </row>
    <row r="13220" spans="12:17" x14ac:dyDescent="0.3">
      <c r="L13220" s="25"/>
      <c r="Q13220" s="17"/>
    </row>
    <row r="13221" spans="12:17" x14ac:dyDescent="0.3">
      <c r="L13221" s="25"/>
      <c r="Q13221" s="17"/>
    </row>
    <row r="13222" spans="12:17" x14ac:dyDescent="0.3">
      <c r="L13222" s="25"/>
      <c r="Q13222" s="17"/>
    </row>
    <row r="13223" spans="12:17" x14ac:dyDescent="0.3">
      <c r="L13223" s="25"/>
      <c r="Q13223" s="17"/>
    </row>
    <row r="13224" spans="12:17" x14ac:dyDescent="0.3">
      <c r="L13224" s="25"/>
      <c r="Q13224" s="17"/>
    </row>
    <row r="13225" spans="12:17" x14ac:dyDescent="0.3">
      <c r="L13225" s="25"/>
      <c r="Q13225" s="17"/>
    </row>
    <row r="13226" spans="12:17" x14ac:dyDescent="0.3">
      <c r="L13226" s="25"/>
      <c r="Q13226" s="17"/>
    </row>
    <row r="13227" spans="12:17" x14ac:dyDescent="0.3">
      <c r="L13227" s="25"/>
      <c r="Q13227" s="17"/>
    </row>
    <row r="13228" spans="12:17" x14ac:dyDescent="0.3">
      <c r="L13228" s="25"/>
      <c r="Q13228" s="17"/>
    </row>
    <row r="13229" spans="12:17" x14ac:dyDescent="0.3">
      <c r="L13229" s="25"/>
      <c r="Q13229" s="17"/>
    </row>
    <row r="13230" spans="12:17" x14ac:dyDescent="0.3">
      <c r="L13230" s="25"/>
      <c r="Q13230" s="17"/>
    </row>
    <row r="13231" spans="12:17" x14ac:dyDescent="0.3">
      <c r="L13231" s="25"/>
      <c r="Q13231" s="17"/>
    </row>
    <row r="13232" spans="12:17" x14ac:dyDescent="0.3">
      <c r="L13232" s="25"/>
      <c r="Q13232" s="17"/>
    </row>
    <row r="13233" spans="12:17" x14ac:dyDescent="0.3">
      <c r="L13233" s="25"/>
      <c r="Q13233" s="17"/>
    </row>
    <row r="13234" spans="12:17" x14ac:dyDescent="0.3">
      <c r="L13234" s="25"/>
      <c r="Q13234" s="17"/>
    </row>
    <row r="13235" spans="12:17" x14ac:dyDescent="0.3">
      <c r="L13235" s="25"/>
      <c r="Q13235" s="17"/>
    </row>
    <row r="13236" spans="12:17" x14ac:dyDescent="0.3">
      <c r="L13236" s="25"/>
      <c r="Q13236" s="17"/>
    </row>
    <row r="13237" spans="12:17" x14ac:dyDescent="0.3">
      <c r="L13237" s="25"/>
      <c r="Q13237" s="17"/>
    </row>
    <row r="13238" spans="12:17" x14ac:dyDescent="0.3">
      <c r="L13238" s="25"/>
      <c r="Q13238" s="17"/>
    </row>
    <row r="13239" spans="12:17" x14ac:dyDescent="0.3">
      <c r="L13239" s="25"/>
      <c r="Q13239" s="17"/>
    </row>
    <row r="13240" spans="12:17" x14ac:dyDescent="0.3">
      <c r="L13240" s="25"/>
      <c r="Q13240" s="17"/>
    </row>
    <row r="13241" spans="12:17" x14ac:dyDescent="0.3">
      <c r="L13241" s="25"/>
      <c r="Q13241" s="17"/>
    </row>
    <row r="13242" spans="12:17" x14ac:dyDescent="0.3">
      <c r="L13242" s="25"/>
      <c r="Q13242" s="17"/>
    </row>
    <row r="13243" spans="12:17" x14ac:dyDescent="0.3">
      <c r="L13243" s="25"/>
      <c r="Q13243" s="17"/>
    </row>
    <row r="13244" spans="12:17" x14ac:dyDescent="0.3">
      <c r="L13244" s="25"/>
      <c r="Q13244" s="17"/>
    </row>
    <row r="13245" spans="12:17" x14ac:dyDescent="0.3">
      <c r="L13245" s="25"/>
      <c r="Q13245" s="17"/>
    </row>
    <row r="13246" spans="12:17" x14ac:dyDescent="0.3">
      <c r="L13246" s="25"/>
      <c r="Q13246" s="17"/>
    </row>
    <row r="13247" spans="12:17" x14ac:dyDescent="0.3">
      <c r="L13247" s="25"/>
      <c r="Q13247" s="17"/>
    </row>
    <row r="13248" spans="12:17" x14ac:dyDescent="0.3">
      <c r="L13248" s="25"/>
      <c r="Q13248" s="17"/>
    </row>
    <row r="13249" spans="12:17" x14ac:dyDescent="0.3">
      <c r="L13249" s="25"/>
      <c r="Q13249" s="17"/>
    </row>
    <row r="13250" spans="12:17" x14ac:dyDescent="0.3">
      <c r="L13250" s="25"/>
      <c r="Q13250" s="17"/>
    </row>
    <row r="13251" spans="12:17" x14ac:dyDescent="0.3">
      <c r="L13251" s="25"/>
      <c r="Q13251" s="17"/>
    </row>
    <row r="13252" spans="12:17" x14ac:dyDescent="0.3">
      <c r="L13252" s="25"/>
      <c r="Q13252" s="17"/>
    </row>
    <row r="13253" spans="12:17" x14ac:dyDescent="0.3">
      <c r="L13253" s="25"/>
      <c r="Q13253" s="17"/>
    </row>
    <row r="13254" spans="12:17" x14ac:dyDescent="0.3">
      <c r="L13254" s="25"/>
      <c r="Q13254" s="17"/>
    </row>
    <row r="13255" spans="12:17" x14ac:dyDescent="0.3">
      <c r="L13255" s="25"/>
      <c r="Q13255" s="17"/>
    </row>
    <row r="13256" spans="12:17" x14ac:dyDescent="0.3">
      <c r="L13256" s="25"/>
      <c r="Q13256" s="17"/>
    </row>
    <row r="13257" spans="12:17" x14ac:dyDescent="0.3">
      <c r="L13257" s="25"/>
      <c r="Q13257" s="17"/>
    </row>
    <row r="13258" spans="12:17" x14ac:dyDescent="0.3">
      <c r="L13258" s="25"/>
      <c r="Q13258" s="17"/>
    </row>
    <row r="13259" spans="12:17" x14ac:dyDescent="0.3">
      <c r="L13259" s="25"/>
      <c r="Q13259" s="17"/>
    </row>
    <row r="13260" spans="12:17" x14ac:dyDescent="0.3">
      <c r="L13260" s="25"/>
      <c r="Q13260" s="17"/>
    </row>
    <row r="13261" spans="12:17" x14ac:dyDescent="0.3">
      <c r="L13261" s="25"/>
      <c r="Q13261" s="17"/>
    </row>
    <row r="13262" spans="12:17" x14ac:dyDescent="0.3">
      <c r="L13262" s="25"/>
      <c r="Q13262" s="17"/>
    </row>
    <row r="13263" spans="12:17" x14ac:dyDescent="0.3">
      <c r="L13263" s="25"/>
      <c r="Q13263" s="17"/>
    </row>
    <row r="13264" spans="12:17" x14ac:dyDescent="0.3">
      <c r="L13264" s="25"/>
      <c r="Q13264" s="17"/>
    </row>
    <row r="13265" spans="12:17" x14ac:dyDescent="0.3">
      <c r="L13265" s="25"/>
      <c r="Q13265" s="17"/>
    </row>
    <row r="13266" spans="12:17" x14ac:dyDescent="0.3">
      <c r="L13266" s="25"/>
      <c r="Q13266" s="17"/>
    </row>
    <row r="13267" spans="12:17" x14ac:dyDescent="0.3">
      <c r="L13267" s="25"/>
      <c r="Q13267" s="17"/>
    </row>
    <row r="13268" spans="12:17" x14ac:dyDescent="0.3">
      <c r="L13268" s="25"/>
      <c r="Q13268" s="17"/>
    </row>
    <row r="13269" spans="12:17" x14ac:dyDescent="0.3">
      <c r="L13269" s="25"/>
      <c r="Q13269" s="17"/>
    </row>
    <row r="13270" spans="12:17" x14ac:dyDescent="0.3">
      <c r="L13270" s="25"/>
      <c r="Q13270" s="17"/>
    </row>
    <row r="13271" spans="12:17" x14ac:dyDescent="0.3">
      <c r="L13271" s="25"/>
      <c r="Q13271" s="17"/>
    </row>
    <row r="13272" spans="12:17" x14ac:dyDescent="0.3">
      <c r="L13272" s="25"/>
      <c r="Q13272" s="17"/>
    </row>
    <row r="13273" spans="12:17" x14ac:dyDescent="0.3">
      <c r="L13273" s="25"/>
      <c r="Q13273" s="17"/>
    </row>
    <row r="13274" spans="12:17" x14ac:dyDescent="0.3">
      <c r="L13274" s="25"/>
      <c r="Q13274" s="17"/>
    </row>
    <row r="13275" spans="12:17" x14ac:dyDescent="0.3">
      <c r="L13275" s="25"/>
      <c r="Q13275" s="17"/>
    </row>
    <row r="13276" spans="12:17" x14ac:dyDescent="0.3">
      <c r="L13276" s="25"/>
      <c r="Q13276" s="17"/>
    </row>
    <row r="13277" spans="12:17" x14ac:dyDescent="0.3">
      <c r="L13277" s="25"/>
      <c r="Q13277" s="17"/>
    </row>
    <row r="13278" spans="12:17" x14ac:dyDescent="0.3">
      <c r="L13278" s="25"/>
      <c r="Q13278" s="17"/>
    </row>
    <row r="13279" spans="12:17" x14ac:dyDescent="0.3">
      <c r="L13279" s="25"/>
      <c r="Q13279" s="17"/>
    </row>
    <row r="13280" spans="12:17" x14ac:dyDescent="0.3">
      <c r="L13280" s="25"/>
      <c r="Q13280" s="17"/>
    </row>
    <row r="13281" spans="12:17" x14ac:dyDescent="0.3">
      <c r="L13281" s="25"/>
      <c r="Q13281" s="17"/>
    </row>
    <row r="13282" spans="12:17" x14ac:dyDescent="0.3">
      <c r="L13282" s="25"/>
      <c r="Q13282" s="17"/>
    </row>
    <row r="13283" spans="12:17" x14ac:dyDescent="0.3">
      <c r="L13283" s="25"/>
      <c r="Q13283" s="17"/>
    </row>
    <row r="13284" spans="12:17" x14ac:dyDescent="0.3">
      <c r="L13284" s="25"/>
      <c r="Q13284" s="17"/>
    </row>
    <row r="13285" spans="12:17" x14ac:dyDescent="0.3">
      <c r="L13285" s="25"/>
      <c r="Q13285" s="17"/>
    </row>
    <row r="13286" spans="12:17" x14ac:dyDescent="0.3">
      <c r="L13286" s="25"/>
      <c r="Q13286" s="17"/>
    </row>
    <row r="13287" spans="12:17" x14ac:dyDescent="0.3">
      <c r="L13287" s="25"/>
      <c r="Q13287" s="17"/>
    </row>
    <row r="13288" spans="12:17" x14ac:dyDescent="0.3">
      <c r="L13288" s="25"/>
      <c r="Q13288" s="17"/>
    </row>
    <row r="13289" spans="12:17" x14ac:dyDescent="0.3">
      <c r="L13289" s="25"/>
      <c r="Q13289" s="17"/>
    </row>
    <row r="13290" spans="12:17" x14ac:dyDescent="0.3">
      <c r="L13290" s="25"/>
      <c r="Q13290" s="17"/>
    </row>
    <row r="13291" spans="12:17" x14ac:dyDescent="0.3">
      <c r="L13291" s="25"/>
      <c r="Q13291" s="17"/>
    </row>
    <row r="13292" spans="12:17" x14ac:dyDescent="0.3">
      <c r="L13292" s="25"/>
      <c r="Q13292" s="17"/>
    </row>
    <row r="13293" spans="12:17" x14ac:dyDescent="0.3">
      <c r="L13293" s="25"/>
      <c r="Q13293" s="17"/>
    </row>
    <row r="13294" spans="12:17" x14ac:dyDescent="0.3">
      <c r="L13294" s="25"/>
      <c r="Q13294" s="17"/>
    </row>
    <row r="13295" spans="12:17" x14ac:dyDescent="0.3">
      <c r="L13295" s="25"/>
      <c r="Q13295" s="17"/>
    </row>
    <row r="13296" spans="12:17" x14ac:dyDescent="0.3">
      <c r="L13296" s="25"/>
      <c r="Q13296" s="17"/>
    </row>
    <row r="13297" spans="12:17" x14ac:dyDescent="0.3">
      <c r="L13297" s="25"/>
      <c r="Q13297" s="17"/>
    </row>
    <row r="13298" spans="12:17" x14ac:dyDescent="0.3">
      <c r="L13298" s="25"/>
      <c r="Q13298" s="17"/>
    </row>
    <row r="13299" spans="12:17" x14ac:dyDescent="0.3">
      <c r="L13299" s="25"/>
      <c r="Q13299" s="17"/>
    </row>
    <row r="13300" spans="12:17" x14ac:dyDescent="0.3">
      <c r="L13300" s="25"/>
      <c r="Q13300" s="17"/>
    </row>
    <row r="13301" spans="12:17" x14ac:dyDescent="0.3">
      <c r="L13301" s="25"/>
      <c r="Q13301" s="17"/>
    </row>
    <row r="13302" spans="12:17" x14ac:dyDescent="0.3">
      <c r="L13302" s="25"/>
      <c r="Q13302" s="17"/>
    </row>
    <row r="13303" spans="12:17" x14ac:dyDescent="0.3">
      <c r="L13303" s="25"/>
      <c r="Q13303" s="17"/>
    </row>
    <row r="13304" spans="12:17" x14ac:dyDescent="0.3">
      <c r="L13304" s="25"/>
      <c r="Q13304" s="17"/>
    </row>
    <row r="13305" spans="12:17" x14ac:dyDescent="0.3">
      <c r="L13305" s="25"/>
      <c r="Q13305" s="17"/>
    </row>
    <row r="13306" spans="12:17" x14ac:dyDescent="0.3">
      <c r="L13306" s="25"/>
      <c r="Q13306" s="17"/>
    </row>
    <row r="13307" spans="12:17" x14ac:dyDescent="0.3">
      <c r="L13307" s="25"/>
      <c r="Q13307" s="17"/>
    </row>
    <row r="13308" spans="12:17" x14ac:dyDescent="0.3">
      <c r="L13308" s="25"/>
      <c r="Q13308" s="17"/>
    </row>
    <row r="13309" spans="12:17" x14ac:dyDescent="0.3">
      <c r="L13309" s="25"/>
      <c r="Q13309" s="17"/>
    </row>
    <row r="13310" spans="12:17" x14ac:dyDescent="0.3">
      <c r="L13310" s="25"/>
      <c r="Q13310" s="17"/>
    </row>
    <row r="13311" spans="12:17" x14ac:dyDescent="0.3">
      <c r="L13311" s="25"/>
      <c r="Q13311" s="17"/>
    </row>
    <row r="13312" spans="12:17" x14ac:dyDescent="0.3">
      <c r="L13312" s="25"/>
      <c r="Q13312" s="17"/>
    </row>
    <row r="13313" spans="12:17" x14ac:dyDescent="0.3">
      <c r="L13313" s="25"/>
      <c r="Q13313" s="17"/>
    </row>
    <row r="13314" spans="12:17" x14ac:dyDescent="0.3">
      <c r="L13314" s="25"/>
      <c r="Q13314" s="17"/>
    </row>
    <row r="13315" spans="12:17" x14ac:dyDescent="0.3">
      <c r="L13315" s="25"/>
      <c r="Q13315" s="17"/>
    </row>
    <row r="13316" spans="12:17" x14ac:dyDescent="0.3">
      <c r="L13316" s="25"/>
      <c r="Q13316" s="17"/>
    </row>
    <row r="13317" spans="12:17" x14ac:dyDescent="0.3">
      <c r="L13317" s="25"/>
      <c r="Q13317" s="17"/>
    </row>
    <row r="13318" spans="12:17" x14ac:dyDescent="0.3">
      <c r="L13318" s="25"/>
      <c r="Q13318" s="17"/>
    </row>
    <row r="13319" spans="12:17" x14ac:dyDescent="0.3">
      <c r="L13319" s="25"/>
      <c r="Q13319" s="17"/>
    </row>
    <row r="13320" spans="12:17" x14ac:dyDescent="0.3">
      <c r="L13320" s="25"/>
      <c r="Q13320" s="17"/>
    </row>
    <row r="13321" spans="12:17" x14ac:dyDescent="0.3">
      <c r="L13321" s="25"/>
      <c r="Q13321" s="17"/>
    </row>
    <row r="13322" spans="12:17" x14ac:dyDescent="0.3">
      <c r="L13322" s="25"/>
      <c r="Q13322" s="17"/>
    </row>
    <row r="13323" spans="12:17" x14ac:dyDescent="0.3">
      <c r="L13323" s="25"/>
      <c r="Q13323" s="17"/>
    </row>
    <row r="13324" spans="12:17" x14ac:dyDescent="0.3">
      <c r="L13324" s="25"/>
      <c r="Q13324" s="17"/>
    </row>
    <row r="13325" spans="12:17" x14ac:dyDescent="0.3">
      <c r="L13325" s="25"/>
      <c r="Q13325" s="17"/>
    </row>
    <row r="13326" spans="12:17" x14ac:dyDescent="0.3">
      <c r="L13326" s="25"/>
      <c r="Q13326" s="17"/>
    </row>
    <row r="13327" spans="12:17" x14ac:dyDescent="0.3">
      <c r="L13327" s="25"/>
      <c r="Q13327" s="17"/>
    </row>
    <row r="13328" spans="12:17" x14ac:dyDescent="0.3">
      <c r="L13328" s="25"/>
      <c r="Q13328" s="17"/>
    </row>
    <row r="13329" spans="12:17" x14ac:dyDescent="0.3">
      <c r="L13329" s="25"/>
      <c r="Q13329" s="17"/>
    </row>
    <row r="13330" spans="12:17" x14ac:dyDescent="0.3">
      <c r="L13330" s="25"/>
      <c r="Q13330" s="17"/>
    </row>
    <row r="13331" spans="12:17" x14ac:dyDescent="0.3">
      <c r="L13331" s="25"/>
      <c r="Q13331" s="17"/>
    </row>
    <row r="13332" spans="12:17" x14ac:dyDescent="0.3">
      <c r="L13332" s="25"/>
      <c r="Q13332" s="17"/>
    </row>
    <row r="13333" spans="12:17" x14ac:dyDescent="0.3">
      <c r="L13333" s="25"/>
      <c r="Q13333" s="17"/>
    </row>
    <row r="13334" spans="12:17" x14ac:dyDescent="0.3">
      <c r="L13334" s="25"/>
      <c r="Q13334" s="17"/>
    </row>
    <row r="13335" spans="12:17" x14ac:dyDescent="0.3">
      <c r="L13335" s="25"/>
      <c r="Q13335" s="17"/>
    </row>
    <row r="13336" spans="12:17" x14ac:dyDescent="0.3">
      <c r="L13336" s="25"/>
      <c r="Q13336" s="17"/>
    </row>
    <row r="13337" spans="12:17" x14ac:dyDescent="0.3">
      <c r="L13337" s="25"/>
      <c r="Q13337" s="17"/>
    </row>
    <row r="13338" spans="12:17" x14ac:dyDescent="0.3">
      <c r="L13338" s="25"/>
      <c r="Q13338" s="17"/>
    </row>
    <row r="13339" spans="12:17" x14ac:dyDescent="0.3">
      <c r="L13339" s="25"/>
      <c r="Q13339" s="17"/>
    </row>
    <row r="13340" spans="12:17" x14ac:dyDescent="0.3">
      <c r="L13340" s="25"/>
      <c r="Q13340" s="17"/>
    </row>
    <row r="13341" spans="12:17" x14ac:dyDescent="0.3">
      <c r="L13341" s="25"/>
      <c r="Q13341" s="17"/>
    </row>
    <row r="13342" spans="12:17" x14ac:dyDescent="0.3">
      <c r="L13342" s="25"/>
      <c r="Q13342" s="17"/>
    </row>
    <row r="13343" spans="12:17" x14ac:dyDescent="0.3">
      <c r="L13343" s="25"/>
      <c r="Q13343" s="17"/>
    </row>
    <row r="13344" spans="12:17" x14ac:dyDescent="0.3">
      <c r="L13344" s="25"/>
      <c r="Q13344" s="17"/>
    </row>
    <row r="13345" spans="12:17" x14ac:dyDescent="0.3">
      <c r="L13345" s="25"/>
      <c r="Q13345" s="17"/>
    </row>
    <row r="13346" spans="12:17" x14ac:dyDescent="0.3">
      <c r="L13346" s="25"/>
      <c r="Q13346" s="17"/>
    </row>
    <row r="13347" spans="12:17" x14ac:dyDescent="0.3">
      <c r="L13347" s="25"/>
      <c r="Q13347" s="17"/>
    </row>
    <row r="13348" spans="12:17" x14ac:dyDescent="0.3">
      <c r="L13348" s="25"/>
      <c r="Q13348" s="17"/>
    </row>
    <row r="13349" spans="12:17" x14ac:dyDescent="0.3">
      <c r="L13349" s="25"/>
      <c r="Q13349" s="17"/>
    </row>
    <row r="13350" spans="12:17" x14ac:dyDescent="0.3">
      <c r="L13350" s="25"/>
      <c r="Q13350" s="17"/>
    </row>
    <row r="13351" spans="12:17" x14ac:dyDescent="0.3">
      <c r="L13351" s="25"/>
      <c r="Q13351" s="17"/>
    </row>
    <row r="13352" spans="12:17" x14ac:dyDescent="0.3">
      <c r="L13352" s="25"/>
      <c r="Q13352" s="17"/>
    </row>
    <row r="13353" spans="12:17" x14ac:dyDescent="0.3">
      <c r="L13353" s="25"/>
      <c r="Q13353" s="17"/>
    </row>
    <row r="13354" spans="12:17" x14ac:dyDescent="0.3">
      <c r="L13354" s="25"/>
      <c r="Q13354" s="17"/>
    </row>
    <row r="13355" spans="12:17" x14ac:dyDescent="0.3">
      <c r="L13355" s="25"/>
      <c r="Q13355" s="17"/>
    </row>
    <row r="13356" spans="12:17" x14ac:dyDescent="0.3">
      <c r="L13356" s="25"/>
      <c r="Q13356" s="17"/>
    </row>
    <row r="13357" spans="12:17" x14ac:dyDescent="0.3">
      <c r="L13357" s="25"/>
      <c r="Q13357" s="17"/>
    </row>
    <row r="13358" spans="12:17" x14ac:dyDescent="0.3">
      <c r="L13358" s="25"/>
      <c r="Q13358" s="17"/>
    </row>
    <row r="13359" spans="12:17" x14ac:dyDescent="0.3">
      <c r="L13359" s="25"/>
      <c r="Q13359" s="17"/>
    </row>
    <row r="13360" spans="12:17" x14ac:dyDescent="0.3">
      <c r="L13360" s="25"/>
      <c r="Q13360" s="17"/>
    </row>
    <row r="13361" spans="12:17" x14ac:dyDescent="0.3">
      <c r="L13361" s="25"/>
      <c r="Q13361" s="17"/>
    </row>
    <row r="13362" spans="12:17" x14ac:dyDescent="0.3">
      <c r="L13362" s="25"/>
      <c r="Q13362" s="17"/>
    </row>
    <row r="13363" spans="12:17" x14ac:dyDescent="0.3">
      <c r="L13363" s="25"/>
      <c r="Q13363" s="17"/>
    </row>
    <row r="13364" spans="12:17" x14ac:dyDescent="0.3">
      <c r="L13364" s="25"/>
      <c r="Q13364" s="17"/>
    </row>
    <row r="13365" spans="12:17" x14ac:dyDescent="0.3">
      <c r="L13365" s="25"/>
      <c r="Q13365" s="17"/>
    </row>
    <row r="13366" spans="12:17" x14ac:dyDescent="0.3">
      <c r="L13366" s="25"/>
      <c r="Q13366" s="17"/>
    </row>
    <row r="13367" spans="12:17" x14ac:dyDescent="0.3">
      <c r="L13367" s="25"/>
      <c r="Q13367" s="17"/>
    </row>
    <row r="13368" spans="12:17" x14ac:dyDescent="0.3">
      <c r="L13368" s="25"/>
      <c r="Q13368" s="17"/>
    </row>
    <row r="13369" spans="12:17" x14ac:dyDescent="0.3">
      <c r="L13369" s="25"/>
      <c r="Q13369" s="17"/>
    </row>
    <row r="13370" spans="12:17" x14ac:dyDescent="0.3">
      <c r="L13370" s="25"/>
      <c r="Q13370" s="17"/>
    </row>
    <row r="13371" spans="12:17" x14ac:dyDescent="0.3">
      <c r="L13371" s="25"/>
      <c r="Q13371" s="17"/>
    </row>
    <row r="13372" spans="12:17" x14ac:dyDescent="0.3">
      <c r="L13372" s="25"/>
      <c r="Q13372" s="17"/>
    </row>
    <row r="13373" spans="12:17" x14ac:dyDescent="0.3">
      <c r="L13373" s="25"/>
      <c r="Q13373" s="17"/>
    </row>
    <row r="13374" spans="12:17" x14ac:dyDescent="0.3">
      <c r="L13374" s="25"/>
      <c r="Q13374" s="17"/>
    </row>
    <row r="13375" spans="12:17" x14ac:dyDescent="0.3">
      <c r="L13375" s="25"/>
      <c r="Q13375" s="17"/>
    </row>
    <row r="13376" spans="12:17" x14ac:dyDescent="0.3">
      <c r="L13376" s="25"/>
      <c r="Q13376" s="17"/>
    </row>
    <row r="13377" spans="12:17" x14ac:dyDescent="0.3">
      <c r="L13377" s="25"/>
      <c r="Q13377" s="17"/>
    </row>
    <row r="13378" spans="12:17" x14ac:dyDescent="0.3">
      <c r="L13378" s="25"/>
      <c r="Q13378" s="17"/>
    </row>
    <row r="13379" spans="12:17" x14ac:dyDescent="0.3">
      <c r="L13379" s="25"/>
      <c r="Q13379" s="17"/>
    </row>
    <row r="13380" spans="12:17" x14ac:dyDescent="0.3">
      <c r="L13380" s="25"/>
      <c r="Q13380" s="17"/>
    </row>
    <row r="13381" spans="12:17" x14ac:dyDescent="0.3">
      <c r="L13381" s="25"/>
      <c r="Q13381" s="17"/>
    </row>
    <row r="13382" spans="12:17" x14ac:dyDescent="0.3">
      <c r="L13382" s="25"/>
      <c r="Q13382" s="17"/>
    </row>
    <row r="13383" spans="12:17" x14ac:dyDescent="0.3">
      <c r="L13383" s="25"/>
      <c r="Q13383" s="17"/>
    </row>
    <row r="13384" spans="12:17" x14ac:dyDescent="0.3">
      <c r="L13384" s="25"/>
      <c r="Q13384" s="17"/>
    </row>
    <row r="13385" spans="12:17" x14ac:dyDescent="0.3">
      <c r="L13385" s="25"/>
      <c r="Q13385" s="17"/>
    </row>
    <row r="13386" spans="12:17" x14ac:dyDescent="0.3">
      <c r="L13386" s="25"/>
      <c r="Q13386" s="17"/>
    </row>
    <row r="13387" spans="12:17" x14ac:dyDescent="0.3">
      <c r="L13387" s="25"/>
      <c r="Q13387" s="17"/>
    </row>
    <row r="13388" spans="12:17" x14ac:dyDescent="0.3">
      <c r="L13388" s="25"/>
      <c r="Q13388" s="17"/>
    </row>
    <row r="13389" spans="12:17" x14ac:dyDescent="0.3">
      <c r="L13389" s="25"/>
      <c r="Q13389" s="17"/>
    </row>
    <row r="13390" spans="12:17" x14ac:dyDescent="0.3">
      <c r="L13390" s="25"/>
      <c r="Q13390" s="17"/>
    </row>
    <row r="13391" spans="12:17" x14ac:dyDescent="0.3">
      <c r="L13391" s="25"/>
      <c r="Q13391" s="17"/>
    </row>
    <row r="13392" spans="12:17" x14ac:dyDescent="0.3">
      <c r="L13392" s="25"/>
      <c r="Q13392" s="17"/>
    </row>
    <row r="13393" spans="12:17" x14ac:dyDescent="0.3">
      <c r="L13393" s="25"/>
      <c r="Q13393" s="17"/>
    </row>
    <row r="13394" spans="12:17" x14ac:dyDescent="0.3">
      <c r="L13394" s="25"/>
      <c r="Q13394" s="17"/>
    </row>
    <row r="13395" spans="12:17" x14ac:dyDescent="0.3">
      <c r="L13395" s="25"/>
      <c r="Q13395" s="17"/>
    </row>
    <row r="13396" spans="12:17" x14ac:dyDescent="0.3">
      <c r="L13396" s="25"/>
      <c r="Q13396" s="17"/>
    </row>
    <row r="13397" spans="12:17" x14ac:dyDescent="0.3">
      <c r="L13397" s="25"/>
      <c r="Q13397" s="17"/>
    </row>
    <row r="13398" spans="12:17" x14ac:dyDescent="0.3">
      <c r="L13398" s="25"/>
      <c r="Q13398" s="17"/>
    </row>
    <row r="13399" spans="12:17" x14ac:dyDescent="0.3">
      <c r="L13399" s="25"/>
      <c r="Q13399" s="17"/>
    </row>
    <row r="13400" spans="12:17" x14ac:dyDescent="0.3">
      <c r="L13400" s="25"/>
      <c r="Q13400" s="17"/>
    </row>
    <row r="13401" spans="12:17" x14ac:dyDescent="0.3">
      <c r="L13401" s="25"/>
      <c r="Q13401" s="17"/>
    </row>
    <row r="13402" spans="12:17" x14ac:dyDescent="0.3">
      <c r="L13402" s="25"/>
      <c r="Q13402" s="17"/>
    </row>
    <row r="13403" spans="12:17" x14ac:dyDescent="0.3">
      <c r="L13403" s="25"/>
      <c r="Q13403" s="17"/>
    </row>
    <row r="13404" spans="12:17" x14ac:dyDescent="0.3">
      <c r="L13404" s="25"/>
      <c r="Q13404" s="17"/>
    </row>
    <row r="13405" spans="12:17" x14ac:dyDescent="0.3">
      <c r="L13405" s="25"/>
      <c r="Q13405" s="17"/>
    </row>
    <row r="13406" spans="12:17" x14ac:dyDescent="0.3">
      <c r="L13406" s="25"/>
      <c r="Q13406" s="17"/>
    </row>
    <row r="13407" spans="12:17" x14ac:dyDescent="0.3">
      <c r="L13407" s="25"/>
      <c r="Q13407" s="17"/>
    </row>
    <row r="13408" spans="12:17" x14ac:dyDescent="0.3">
      <c r="L13408" s="25"/>
      <c r="Q13408" s="17"/>
    </row>
    <row r="13409" spans="12:17" x14ac:dyDescent="0.3">
      <c r="L13409" s="25"/>
      <c r="Q13409" s="17"/>
    </row>
    <row r="13410" spans="12:17" x14ac:dyDescent="0.3">
      <c r="L13410" s="25"/>
      <c r="Q13410" s="17"/>
    </row>
    <row r="13411" spans="12:17" x14ac:dyDescent="0.3">
      <c r="L13411" s="25"/>
      <c r="Q13411" s="17"/>
    </row>
    <row r="13412" spans="12:17" x14ac:dyDescent="0.3">
      <c r="L13412" s="25"/>
      <c r="Q13412" s="17"/>
    </row>
    <row r="13413" spans="12:17" x14ac:dyDescent="0.3">
      <c r="L13413" s="25"/>
      <c r="Q13413" s="17"/>
    </row>
    <row r="13414" spans="12:17" x14ac:dyDescent="0.3">
      <c r="L13414" s="25"/>
      <c r="Q13414" s="17"/>
    </row>
    <row r="13415" spans="12:17" x14ac:dyDescent="0.3">
      <c r="L13415" s="25"/>
      <c r="Q13415" s="17"/>
    </row>
    <row r="13416" spans="12:17" x14ac:dyDescent="0.3">
      <c r="L13416" s="25"/>
      <c r="Q13416" s="17"/>
    </row>
    <row r="13417" spans="12:17" x14ac:dyDescent="0.3">
      <c r="L13417" s="25"/>
      <c r="Q13417" s="17"/>
    </row>
    <row r="13418" spans="12:17" x14ac:dyDescent="0.3">
      <c r="L13418" s="25"/>
      <c r="Q13418" s="17"/>
    </row>
    <row r="13419" spans="12:17" x14ac:dyDescent="0.3">
      <c r="L13419" s="25"/>
      <c r="Q13419" s="17"/>
    </row>
    <row r="13420" spans="12:17" x14ac:dyDescent="0.3">
      <c r="L13420" s="25"/>
      <c r="Q13420" s="17"/>
    </row>
    <row r="13421" spans="12:17" x14ac:dyDescent="0.3">
      <c r="L13421" s="25"/>
      <c r="Q13421" s="17"/>
    </row>
    <row r="13422" spans="12:17" x14ac:dyDescent="0.3">
      <c r="L13422" s="25"/>
      <c r="Q13422" s="17"/>
    </row>
    <row r="13423" spans="12:17" x14ac:dyDescent="0.3">
      <c r="L13423" s="25"/>
      <c r="Q13423" s="17"/>
    </row>
    <row r="13424" spans="12:17" x14ac:dyDescent="0.3">
      <c r="L13424" s="25"/>
      <c r="Q13424" s="17"/>
    </row>
    <row r="13425" spans="12:17" x14ac:dyDescent="0.3">
      <c r="L13425" s="25"/>
      <c r="Q13425" s="17"/>
    </row>
    <row r="13426" spans="12:17" x14ac:dyDescent="0.3">
      <c r="L13426" s="25"/>
      <c r="Q13426" s="17"/>
    </row>
    <row r="13427" spans="12:17" x14ac:dyDescent="0.3">
      <c r="L13427" s="25"/>
      <c r="Q13427" s="17"/>
    </row>
    <row r="13428" spans="12:17" x14ac:dyDescent="0.3">
      <c r="L13428" s="25"/>
      <c r="Q13428" s="17"/>
    </row>
    <row r="13429" spans="12:17" x14ac:dyDescent="0.3">
      <c r="L13429" s="25"/>
      <c r="Q13429" s="17"/>
    </row>
    <row r="13430" spans="12:17" x14ac:dyDescent="0.3">
      <c r="L13430" s="25"/>
      <c r="Q13430" s="17"/>
    </row>
    <row r="13431" spans="12:17" x14ac:dyDescent="0.3">
      <c r="L13431" s="25"/>
      <c r="Q13431" s="17"/>
    </row>
    <row r="13432" spans="12:17" x14ac:dyDescent="0.3">
      <c r="L13432" s="25"/>
      <c r="Q13432" s="17"/>
    </row>
    <row r="13433" spans="12:17" x14ac:dyDescent="0.3">
      <c r="L13433" s="25"/>
      <c r="Q13433" s="17"/>
    </row>
    <row r="13434" spans="12:17" x14ac:dyDescent="0.3">
      <c r="L13434" s="25"/>
      <c r="Q13434" s="17"/>
    </row>
    <row r="13435" spans="12:17" x14ac:dyDescent="0.3">
      <c r="L13435" s="25"/>
      <c r="Q13435" s="17"/>
    </row>
    <row r="13436" spans="12:17" x14ac:dyDescent="0.3">
      <c r="L13436" s="25"/>
      <c r="Q13436" s="17"/>
    </row>
    <row r="13437" spans="12:17" x14ac:dyDescent="0.3">
      <c r="L13437" s="25"/>
      <c r="Q13437" s="17"/>
    </row>
    <row r="13438" spans="12:17" x14ac:dyDescent="0.3">
      <c r="L13438" s="25"/>
      <c r="Q13438" s="17"/>
    </row>
    <row r="13439" spans="12:17" x14ac:dyDescent="0.3">
      <c r="L13439" s="25"/>
      <c r="Q13439" s="17"/>
    </row>
    <row r="13440" spans="12:17" x14ac:dyDescent="0.3">
      <c r="L13440" s="25"/>
      <c r="Q13440" s="17"/>
    </row>
    <row r="13441" spans="12:17" x14ac:dyDescent="0.3">
      <c r="L13441" s="25"/>
      <c r="Q13441" s="17"/>
    </row>
    <row r="13442" spans="12:17" x14ac:dyDescent="0.3">
      <c r="L13442" s="25"/>
      <c r="Q13442" s="17"/>
    </row>
    <row r="13443" spans="12:17" x14ac:dyDescent="0.3">
      <c r="L13443" s="25"/>
      <c r="Q13443" s="17"/>
    </row>
    <row r="13444" spans="12:17" x14ac:dyDescent="0.3">
      <c r="L13444" s="25"/>
      <c r="Q13444" s="17"/>
    </row>
    <row r="13445" spans="12:17" x14ac:dyDescent="0.3">
      <c r="L13445" s="25"/>
      <c r="Q13445" s="17"/>
    </row>
    <row r="13446" spans="12:17" x14ac:dyDescent="0.3">
      <c r="L13446" s="25"/>
      <c r="Q13446" s="17"/>
    </row>
    <row r="13447" spans="12:17" x14ac:dyDescent="0.3">
      <c r="L13447" s="25"/>
      <c r="Q13447" s="17"/>
    </row>
    <row r="13448" spans="12:17" x14ac:dyDescent="0.3">
      <c r="L13448" s="25"/>
      <c r="Q13448" s="17"/>
    </row>
    <row r="13449" spans="12:17" x14ac:dyDescent="0.3">
      <c r="L13449" s="25"/>
      <c r="Q13449" s="17"/>
    </row>
    <row r="13450" spans="12:17" x14ac:dyDescent="0.3">
      <c r="L13450" s="25"/>
      <c r="Q13450" s="17"/>
    </row>
    <row r="13451" spans="12:17" x14ac:dyDescent="0.3">
      <c r="L13451" s="25"/>
      <c r="Q13451" s="17"/>
    </row>
    <row r="13452" spans="12:17" x14ac:dyDescent="0.3">
      <c r="L13452" s="25"/>
      <c r="Q13452" s="17"/>
    </row>
    <row r="13453" spans="12:17" x14ac:dyDescent="0.3">
      <c r="L13453" s="25"/>
      <c r="Q13453" s="17"/>
    </row>
    <row r="13454" spans="12:17" x14ac:dyDescent="0.3">
      <c r="L13454" s="25"/>
      <c r="Q13454" s="17"/>
    </row>
    <row r="13455" spans="12:17" x14ac:dyDescent="0.3">
      <c r="L13455" s="25"/>
      <c r="Q13455" s="17"/>
    </row>
    <row r="13456" spans="12:17" x14ac:dyDescent="0.3">
      <c r="L13456" s="25"/>
      <c r="Q13456" s="17"/>
    </row>
    <row r="13457" spans="12:17" x14ac:dyDescent="0.3">
      <c r="L13457" s="25"/>
      <c r="Q13457" s="17"/>
    </row>
    <row r="13458" spans="12:17" x14ac:dyDescent="0.3">
      <c r="L13458" s="25"/>
      <c r="Q13458" s="17"/>
    </row>
    <row r="13459" spans="12:17" x14ac:dyDescent="0.3">
      <c r="L13459" s="25"/>
      <c r="Q13459" s="17"/>
    </row>
    <row r="13460" spans="12:17" x14ac:dyDescent="0.3">
      <c r="L13460" s="25"/>
      <c r="Q13460" s="17"/>
    </row>
    <row r="13461" spans="12:17" x14ac:dyDescent="0.3">
      <c r="L13461" s="25"/>
      <c r="Q13461" s="17"/>
    </row>
    <row r="13462" spans="12:17" x14ac:dyDescent="0.3">
      <c r="L13462" s="25"/>
      <c r="Q13462" s="17"/>
    </row>
    <row r="13463" spans="12:17" x14ac:dyDescent="0.3">
      <c r="L13463" s="25"/>
      <c r="Q13463" s="17"/>
    </row>
    <row r="13464" spans="12:17" x14ac:dyDescent="0.3">
      <c r="L13464" s="25"/>
      <c r="Q13464" s="17"/>
    </row>
    <row r="13465" spans="12:17" x14ac:dyDescent="0.3">
      <c r="L13465" s="25"/>
      <c r="Q13465" s="17"/>
    </row>
    <row r="13466" spans="12:17" x14ac:dyDescent="0.3">
      <c r="L13466" s="25"/>
      <c r="Q13466" s="17"/>
    </row>
    <row r="13467" spans="12:17" x14ac:dyDescent="0.3">
      <c r="L13467" s="25"/>
      <c r="Q13467" s="17"/>
    </row>
    <row r="13468" spans="12:17" x14ac:dyDescent="0.3">
      <c r="L13468" s="25"/>
      <c r="Q13468" s="17"/>
    </row>
    <row r="13469" spans="12:17" x14ac:dyDescent="0.3">
      <c r="L13469" s="25"/>
      <c r="Q13469" s="17"/>
    </row>
    <row r="13470" spans="12:17" x14ac:dyDescent="0.3">
      <c r="L13470" s="25"/>
      <c r="Q13470" s="17"/>
    </row>
    <row r="13471" spans="12:17" x14ac:dyDescent="0.3">
      <c r="L13471" s="25"/>
      <c r="Q13471" s="17"/>
    </row>
    <row r="13472" spans="12:17" x14ac:dyDescent="0.3">
      <c r="L13472" s="25"/>
      <c r="Q13472" s="17"/>
    </row>
    <row r="13473" spans="12:17" x14ac:dyDescent="0.3">
      <c r="L13473" s="25"/>
      <c r="Q13473" s="17"/>
    </row>
    <row r="13474" spans="12:17" x14ac:dyDescent="0.3">
      <c r="L13474" s="25"/>
      <c r="Q13474" s="17"/>
    </row>
    <row r="13475" spans="12:17" x14ac:dyDescent="0.3">
      <c r="L13475" s="25"/>
      <c r="Q13475" s="17"/>
    </row>
    <row r="13476" spans="12:17" x14ac:dyDescent="0.3">
      <c r="L13476" s="25"/>
      <c r="Q13476" s="17"/>
    </row>
    <row r="13477" spans="12:17" x14ac:dyDescent="0.3">
      <c r="L13477" s="25"/>
      <c r="Q13477" s="17"/>
    </row>
    <row r="13478" spans="12:17" x14ac:dyDescent="0.3">
      <c r="L13478" s="25"/>
      <c r="Q13478" s="17"/>
    </row>
    <row r="13479" spans="12:17" x14ac:dyDescent="0.3">
      <c r="L13479" s="25"/>
      <c r="Q13479" s="17"/>
    </row>
    <row r="13480" spans="12:17" x14ac:dyDescent="0.3">
      <c r="L13480" s="25"/>
      <c r="Q13480" s="17"/>
    </row>
    <row r="13481" spans="12:17" x14ac:dyDescent="0.3">
      <c r="L13481" s="25"/>
      <c r="Q13481" s="17"/>
    </row>
    <row r="13482" spans="12:17" x14ac:dyDescent="0.3">
      <c r="L13482" s="25"/>
      <c r="Q13482" s="17"/>
    </row>
    <row r="13483" spans="12:17" x14ac:dyDescent="0.3">
      <c r="L13483" s="25"/>
      <c r="Q13483" s="17"/>
    </row>
    <row r="13484" spans="12:17" x14ac:dyDescent="0.3">
      <c r="L13484" s="25"/>
      <c r="Q13484" s="17"/>
    </row>
    <row r="13485" spans="12:17" x14ac:dyDescent="0.3">
      <c r="L13485" s="25"/>
      <c r="Q13485" s="17"/>
    </row>
    <row r="13486" spans="12:17" x14ac:dyDescent="0.3">
      <c r="L13486" s="25"/>
      <c r="Q13486" s="17"/>
    </row>
    <row r="13487" spans="12:17" x14ac:dyDescent="0.3">
      <c r="L13487" s="25"/>
      <c r="Q13487" s="17"/>
    </row>
    <row r="13488" spans="12:17" x14ac:dyDescent="0.3">
      <c r="L13488" s="25"/>
      <c r="Q13488" s="17"/>
    </row>
    <row r="13489" spans="12:17" x14ac:dyDescent="0.3">
      <c r="L13489" s="25"/>
      <c r="Q13489" s="17"/>
    </row>
    <row r="13490" spans="12:17" x14ac:dyDescent="0.3">
      <c r="L13490" s="25"/>
      <c r="Q13490" s="17"/>
    </row>
    <row r="13491" spans="12:17" x14ac:dyDescent="0.3">
      <c r="L13491" s="25"/>
      <c r="Q13491" s="17"/>
    </row>
    <row r="13492" spans="12:17" x14ac:dyDescent="0.3">
      <c r="L13492" s="25"/>
      <c r="Q13492" s="17"/>
    </row>
    <row r="13493" spans="12:17" x14ac:dyDescent="0.3">
      <c r="L13493" s="25"/>
      <c r="Q13493" s="17"/>
    </row>
    <row r="13494" spans="12:17" x14ac:dyDescent="0.3">
      <c r="L13494" s="25"/>
      <c r="Q13494" s="17"/>
    </row>
    <row r="13495" spans="12:17" x14ac:dyDescent="0.3">
      <c r="L13495" s="25"/>
      <c r="Q13495" s="17"/>
    </row>
    <row r="13496" spans="12:17" x14ac:dyDescent="0.3">
      <c r="L13496" s="25"/>
      <c r="Q13496" s="17"/>
    </row>
    <row r="13497" spans="12:17" x14ac:dyDescent="0.3">
      <c r="L13497" s="25"/>
      <c r="Q13497" s="17"/>
    </row>
    <row r="13498" spans="12:17" x14ac:dyDescent="0.3">
      <c r="L13498" s="25"/>
      <c r="Q13498" s="17"/>
    </row>
    <row r="13499" spans="12:17" x14ac:dyDescent="0.3">
      <c r="L13499" s="25"/>
      <c r="Q13499" s="17"/>
    </row>
    <row r="13500" spans="12:17" x14ac:dyDescent="0.3">
      <c r="L13500" s="25"/>
      <c r="Q13500" s="17"/>
    </row>
    <row r="13501" spans="12:17" x14ac:dyDescent="0.3">
      <c r="L13501" s="25"/>
      <c r="Q13501" s="17"/>
    </row>
    <row r="13502" spans="12:17" x14ac:dyDescent="0.3">
      <c r="L13502" s="25"/>
      <c r="Q13502" s="17"/>
    </row>
    <row r="13503" spans="12:17" x14ac:dyDescent="0.3">
      <c r="L13503" s="25"/>
      <c r="Q13503" s="17"/>
    </row>
    <row r="13504" spans="12:17" x14ac:dyDescent="0.3">
      <c r="L13504" s="25"/>
      <c r="Q13504" s="17"/>
    </row>
    <row r="13505" spans="12:17" x14ac:dyDescent="0.3">
      <c r="L13505" s="25"/>
      <c r="Q13505" s="17"/>
    </row>
    <row r="13506" spans="12:17" x14ac:dyDescent="0.3">
      <c r="L13506" s="25"/>
      <c r="Q13506" s="17"/>
    </row>
    <row r="13507" spans="12:17" x14ac:dyDescent="0.3">
      <c r="L13507" s="25"/>
      <c r="Q13507" s="17"/>
    </row>
    <row r="13508" spans="12:17" x14ac:dyDescent="0.3">
      <c r="L13508" s="25"/>
      <c r="Q13508" s="17"/>
    </row>
    <row r="13509" spans="12:17" x14ac:dyDescent="0.3">
      <c r="L13509" s="25"/>
      <c r="Q13509" s="17"/>
    </row>
    <row r="13510" spans="12:17" x14ac:dyDescent="0.3">
      <c r="L13510" s="25"/>
      <c r="Q13510" s="17"/>
    </row>
    <row r="13511" spans="12:17" x14ac:dyDescent="0.3">
      <c r="L13511" s="25"/>
      <c r="Q13511" s="17"/>
    </row>
    <row r="13512" spans="12:17" x14ac:dyDescent="0.3">
      <c r="L13512" s="25"/>
      <c r="Q13512" s="17"/>
    </row>
    <row r="13513" spans="12:17" x14ac:dyDescent="0.3">
      <c r="L13513" s="25"/>
      <c r="Q13513" s="17"/>
    </row>
    <row r="13514" spans="12:17" x14ac:dyDescent="0.3">
      <c r="L13514" s="25"/>
      <c r="Q13514" s="17"/>
    </row>
    <row r="13515" spans="12:17" x14ac:dyDescent="0.3">
      <c r="L13515" s="25"/>
      <c r="Q13515" s="17"/>
    </row>
    <row r="13516" spans="12:17" x14ac:dyDescent="0.3">
      <c r="L13516" s="25"/>
      <c r="Q13516" s="17"/>
    </row>
    <row r="13517" spans="12:17" x14ac:dyDescent="0.3">
      <c r="L13517" s="25"/>
      <c r="Q13517" s="17"/>
    </row>
    <row r="13518" spans="12:17" x14ac:dyDescent="0.3">
      <c r="L13518" s="25"/>
      <c r="Q13518" s="17"/>
    </row>
    <row r="13519" spans="12:17" x14ac:dyDescent="0.3">
      <c r="L13519" s="25"/>
      <c r="Q13519" s="17"/>
    </row>
    <row r="13520" spans="12:17" x14ac:dyDescent="0.3">
      <c r="L13520" s="25"/>
      <c r="Q13520" s="17"/>
    </row>
    <row r="13521" spans="12:17" x14ac:dyDescent="0.3">
      <c r="L13521" s="25"/>
      <c r="Q13521" s="17"/>
    </row>
    <row r="13522" spans="12:17" x14ac:dyDescent="0.3">
      <c r="L13522" s="25"/>
      <c r="Q13522" s="17"/>
    </row>
    <row r="13523" spans="12:17" x14ac:dyDescent="0.3">
      <c r="L13523" s="25"/>
      <c r="Q13523" s="17"/>
    </row>
    <row r="13524" spans="12:17" x14ac:dyDescent="0.3">
      <c r="L13524" s="25"/>
      <c r="Q13524" s="17"/>
    </row>
    <row r="13525" spans="12:17" x14ac:dyDescent="0.3">
      <c r="L13525" s="25"/>
      <c r="Q13525" s="17"/>
    </row>
    <row r="13526" spans="12:17" x14ac:dyDescent="0.3">
      <c r="L13526" s="25"/>
      <c r="Q13526" s="17"/>
    </row>
    <row r="13527" spans="12:17" x14ac:dyDescent="0.3">
      <c r="L13527" s="25"/>
      <c r="Q13527" s="17"/>
    </row>
    <row r="13528" spans="12:17" x14ac:dyDescent="0.3">
      <c r="L13528" s="25"/>
      <c r="Q13528" s="17"/>
    </row>
    <row r="13529" spans="12:17" x14ac:dyDescent="0.3">
      <c r="L13529" s="25"/>
      <c r="Q13529" s="17"/>
    </row>
    <row r="13530" spans="12:17" x14ac:dyDescent="0.3">
      <c r="L13530" s="25"/>
      <c r="Q13530" s="17"/>
    </row>
    <row r="13531" spans="12:17" x14ac:dyDescent="0.3">
      <c r="L13531" s="25"/>
      <c r="Q13531" s="17"/>
    </row>
    <row r="13532" spans="12:17" x14ac:dyDescent="0.3">
      <c r="L13532" s="25"/>
      <c r="Q13532" s="17"/>
    </row>
    <row r="13533" spans="12:17" x14ac:dyDescent="0.3">
      <c r="L13533" s="25"/>
      <c r="Q13533" s="17"/>
    </row>
    <row r="13534" spans="12:17" x14ac:dyDescent="0.3">
      <c r="L13534" s="25"/>
      <c r="Q13534" s="17"/>
    </row>
    <row r="13535" spans="12:17" x14ac:dyDescent="0.3">
      <c r="L13535" s="25"/>
      <c r="Q13535" s="17"/>
    </row>
    <row r="13536" spans="12:17" x14ac:dyDescent="0.3">
      <c r="L13536" s="25"/>
      <c r="Q13536" s="17"/>
    </row>
    <row r="13537" spans="12:17" x14ac:dyDescent="0.3">
      <c r="L13537" s="25"/>
      <c r="Q13537" s="17"/>
    </row>
    <row r="13538" spans="12:17" x14ac:dyDescent="0.3">
      <c r="L13538" s="25"/>
      <c r="Q13538" s="17"/>
    </row>
    <row r="13539" spans="12:17" x14ac:dyDescent="0.3">
      <c r="L13539" s="25"/>
      <c r="Q13539" s="17"/>
    </row>
    <row r="13540" spans="12:17" x14ac:dyDescent="0.3">
      <c r="L13540" s="25"/>
      <c r="Q13540" s="17"/>
    </row>
    <row r="13541" spans="12:17" x14ac:dyDescent="0.3">
      <c r="L13541" s="25"/>
      <c r="Q13541" s="17"/>
    </row>
    <row r="13542" spans="12:17" x14ac:dyDescent="0.3">
      <c r="L13542" s="25"/>
      <c r="Q13542" s="17"/>
    </row>
    <row r="13543" spans="12:17" x14ac:dyDescent="0.3">
      <c r="L13543" s="25"/>
      <c r="Q13543" s="17"/>
    </row>
    <row r="13544" spans="12:17" x14ac:dyDescent="0.3">
      <c r="L13544" s="25"/>
      <c r="Q13544" s="17"/>
    </row>
    <row r="13545" spans="12:17" x14ac:dyDescent="0.3">
      <c r="L13545" s="25"/>
      <c r="Q13545" s="17"/>
    </row>
    <row r="13546" spans="12:17" x14ac:dyDescent="0.3">
      <c r="L13546" s="25"/>
      <c r="Q13546" s="17"/>
    </row>
    <row r="13547" spans="12:17" x14ac:dyDescent="0.3">
      <c r="L13547" s="25"/>
      <c r="Q13547" s="17"/>
    </row>
    <row r="13548" spans="12:17" x14ac:dyDescent="0.3">
      <c r="L13548" s="25"/>
      <c r="Q13548" s="17"/>
    </row>
    <row r="13549" spans="12:17" x14ac:dyDescent="0.3">
      <c r="L13549" s="25"/>
      <c r="Q13549" s="17"/>
    </row>
    <row r="13550" spans="12:17" x14ac:dyDescent="0.3">
      <c r="L13550" s="25"/>
      <c r="Q13550" s="17"/>
    </row>
    <row r="13551" spans="12:17" x14ac:dyDescent="0.3">
      <c r="L13551" s="25"/>
      <c r="Q13551" s="17"/>
    </row>
    <row r="13552" spans="12:17" x14ac:dyDescent="0.3">
      <c r="L13552" s="25"/>
      <c r="Q13552" s="17"/>
    </row>
    <row r="13553" spans="12:17" x14ac:dyDescent="0.3">
      <c r="L13553" s="25"/>
      <c r="Q13553" s="17"/>
    </row>
    <row r="13554" spans="12:17" x14ac:dyDescent="0.3">
      <c r="L13554" s="25"/>
      <c r="Q13554" s="17"/>
    </row>
    <row r="13555" spans="12:17" x14ac:dyDescent="0.3">
      <c r="L13555" s="25"/>
      <c r="Q13555" s="17"/>
    </row>
    <row r="13556" spans="12:17" x14ac:dyDescent="0.3">
      <c r="L13556" s="25"/>
      <c r="Q13556" s="17"/>
    </row>
    <row r="13557" spans="12:17" x14ac:dyDescent="0.3">
      <c r="L13557" s="25"/>
      <c r="Q13557" s="17"/>
    </row>
    <row r="13558" spans="12:17" x14ac:dyDescent="0.3">
      <c r="L13558" s="25"/>
      <c r="Q13558" s="17"/>
    </row>
    <row r="13559" spans="12:17" x14ac:dyDescent="0.3">
      <c r="L13559" s="25"/>
      <c r="Q13559" s="17"/>
    </row>
    <row r="13560" spans="12:17" x14ac:dyDescent="0.3">
      <c r="L13560" s="25"/>
      <c r="Q13560" s="17"/>
    </row>
    <row r="13561" spans="12:17" x14ac:dyDescent="0.3">
      <c r="L13561" s="25"/>
      <c r="Q13561" s="17"/>
    </row>
    <row r="13562" spans="12:17" x14ac:dyDescent="0.3">
      <c r="L13562" s="25"/>
      <c r="Q13562" s="17"/>
    </row>
    <row r="13563" spans="12:17" x14ac:dyDescent="0.3">
      <c r="L13563" s="25"/>
      <c r="Q13563" s="17"/>
    </row>
    <row r="13564" spans="12:17" x14ac:dyDescent="0.3">
      <c r="L13564" s="25"/>
      <c r="Q13564" s="17"/>
    </row>
    <row r="13565" spans="12:17" x14ac:dyDescent="0.3">
      <c r="L13565" s="25"/>
      <c r="Q13565" s="17"/>
    </row>
    <row r="13566" spans="12:17" x14ac:dyDescent="0.3">
      <c r="L13566" s="25"/>
      <c r="Q13566" s="17"/>
    </row>
    <row r="13567" spans="12:17" x14ac:dyDescent="0.3">
      <c r="L13567" s="25"/>
      <c r="Q13567" s="17"/>
    </row>
    <row r="13568" spans="12:17" x14ac:dyDescent="0.3">
      <c r="L13568" s="25"/>
      <c r="Q13568" s="17"/>
    </row>
    <row r="13569" spans="12:17" x14ac:dyDescent="0.3">
      <c r="L13569" s="25"/>
      <c r="Q13569" s="17"/>
    </row>
    <row r="13570" spans="12:17" x14ac:dyDescent="0.3">
      <c r="L13570" s="25"/>
      <c r="Q13570" s="17"/>
    </row>
    <row r="13571" spans="12:17" x14ac:dyDescent="0.3">
      <c r="L13571" s="25"/>
      <c r="Q13571" s="17"/>
    </row>
    <row r="13572" spans="12:17" x14ac:dyDescent="0.3">
      <c r="L13572" s="25"/>
      <c r="Q13572" s="17"/>
    </row>
    <row r="13573" spans="12:17" x14ac:dyDescent="0.3">
      <c r="L13573" s="25"/>
      <c r="Q13573" s="17"/>
    </row>
    <row r="13574" spans="12:17" x14ac:dyDescent="0.3">
      <c r="L13574" s="25"/>
      <c r="Q13574" s="17"/>
    </row>
    <row r="13575" spans="12:17" x14ac:dyDescent="0.3">
      <c r="L13575" s="25"/>
      <c r="Q13575" s="17"/>
    </row>
    <row r="13576" spans="12:17" x14ac:dyDescent="0.3">
      <c r="L13576" s="25"/>
      <c r="Q13576" s="17"/>
    </row>
    <row r="13577" spans="12:17" x14ac:dyDescent="0.3">
      <c r="L13577" s="25"/>
      <c r="Q13577" s="17"/>
    </row>
    <row r="13578" spans="12:17" x14ac:dyDescent="0.3">
      <c r="L13578" s="25"/>
      <c r="Q13578" s="17"/>
    </row>
    <row r="13579" spans="12:17" x14ac:dyDescent="0.3">
      <c r="L13579" s="25"/>
      <c r="Q13579" s="17"/>
    </row>
    <row r="13580" spans="12:17" x14ac:dyDescent="0.3">
      <c r="L13580" s="25"/>
      <c r="Q13580" s="17"/>
    </row>
    <row r="13581" spans="12:17" x14ac:dyDescent="0.3">
      <c r="L13581" s="25"/>
      <c r="Q13581" s="17"/>
    </row>
    <row r="13582" spans="12:17" x14ac:dyDescent="0.3">
      <c r="L13582" s="25"/>
      <c r="Q13582" s="17"/>
    </row>
    <row r="13583" spans="12:17" x14ac:dyDescent="0.3">
      <c r="L13583" s="25"/>
      <c r="Q13583" s="17"/>
    </row>
    <row r="13584" spans="12:17" x14ac:dyDescent="0.3">
      <c r="L13584" s="25"/>
      <c r="Q13584" s="17"/>
    </row>
    <row r="13585" spans="12:17" x14ac:dyDescent="0.3">
      <c r="L13585" s="25"/>
      <c r="Q13585" s="17"/>
    </row>
    <row r="13586" spans="12:17" x14ac:dyDescent="0.3">
      <c r="L13586" s="25"/>
      <c r="Q13586" s="17"/>
    </row>
    <row r="13587" spans="12:17" x14ac:dyDescent="0.3">
      <c r="L13587" s="25"/>
      <c r="Q13587" s="17"/>
    </row>
    <row r="13588" spans="12:17" x14ac:dyDescent="0.3">
      <c r="L13588" s="25"/>
      <c r="Q13588" s="17"/>
    </row>
    <row r="13589" spans="12:17" x14ac:dyDescent="0.3">
      <c r="L13589" s="25"/>
      <c r="Q13589" s="17"/>
    </row>
    <row r="13590" spans="12:17" x14ac:dyDescent="0.3">
      <c r="L13590" s="25"/>
      <c r="Q13590" s="17"/>
    </row>
    <row r="13591" spans="12:17" x14ac:dyDescent="0.3">
      <c r="L13591" s="25"/>
      <c r="Q13591" s="17"/>
    </row>
    <row r="13592" spans="12:17" x14ac:dyDescent="0.3">
      <c r="L13592" s="25"/>
      <c r="Q13592" s="17"/>
    </row>
    <row r="13593" spans="12:17" x14ac:dyDescent="0.3">
      <c r="L13593" s="25"/>
      <c r="Q13593" s="17"/>
    </row>
    <row r="13594" spans="12:17" x14ac:dyDescent="0.3">
      <c r="L13594" s="25"/>
      <c r="Q13594" s="17"/>
    </row>
    <row r="13595" spans="12:17" x14ac:dyDescent="0.3">
      <c r="L13595" s="25"/>
      <c r="Q13595" s="17"/>
    </row>
    <row r="13596" spans="12:17" x14ac:dyDescent="0.3">
      <c r="L13596" s="25"/>
      <c r="Q13596" s="17"/>
    </row>
    <row r="13597" spans="12:17" x14ac:dyDescent="0.3">
      <c r="L13597" s="25"/>
      <c r="Q13597" s="17"/>
    </row>
    <row r="13598" spans="12:17" x14ac:dyDescent="0.3">
      <c r="L13598" s="25"/>
      <c r="Q13598" s="17"/>
    </row>
    <row r="13599" spans="12:17" x14ac:dyDescent="0.3">
      <c r="L13599" s="25"/>
      <c r="Q13599" s="17"/>
    </row>
    <row r="13600" spans="12:17" x14ac:dyDescent="0.3">
      <c r="L13600" s="25"/>
      <c r="Q13600" s="17"/>
    </row>
    <row r="13601" spans="12:17" x14ac:dyDescent="0.3">
      <c r="L13601" s="25"/>
      <c r="Q13601" s="17"/>
    </row>
    <row r="13602" spans="12:17" x14ac:dyDescent="0.3">
      <c r="L13602" s="25"/>
      <c r="Q13602" s="17"/>
    </row>
    <row r="13603" spans="12:17" x14ac:dyDescent="0.3">
      <c r="L13603" s="25"/>
      <c r="Q13603" s="17"/>
    </row>
    <row r="13604" spans="12:17" x14ac:dyDescent="0.3">
      <c r="L13604" s="25"/>
      <c r="Q13604" s="17"/>
    </row>
    <row r="13605" spans="12:17" x14ac:dyDescent="0.3">
      <c r="L13605" s="25"/>
      <c r="Q13605" s="17"/>
    </row>
    <row r="13606" spans="12:17" x14ac:dyDescent="0.3">
      <c r="L13606" s="25"/>
      <c r="Q13606" s="17"/>
    </row>
    <row r="13607" spans="12:17" x14ac:dyDescent="0.3">
      <c r="L13607" s="25"/>
      <c r="Q13607" s="17"/>
    </row>
    <row r="13608" spans="12:17" x14ac:dyDescent="0.3">
      <c r="L13608" s="25"/>
      <c r="Q13608" s="17"/>
    </row>
    <row r="13609" spans="12:17" x14ac:dyDescent="0.3">
      <c r="L13609" s="25"/>
      <c r="Q13609" s="17"/>
    </row>
    <row r="13610" spans="12:17" x14ac:dyDescent="0.3">
      <c r="L13610" s="25"/>
      <c r="Q13610" s="17"/>
    </row>
    <row r="13611" spans="12:17" x14ac:dyDescent="0.3">
      <c r="L13611" s="25"/>
      <c r="Q13611" s="17"/>
    </row>
    <row r="13612" spans="12:17" x14ac:dyDescent="0.3">
      <c r="L13612" s="25"/>
      <c r="Q13612" s="17"/>
    </row>
    <row r="13613" spans="12:17" x14ac:dyDescent="0.3">
      <c r="L13613" s="25"/>
      <c r="Q13613" s="17"/>
    </row>
    <row r="13614" spans="12:17" x14ac:dyDescent="0.3">
      <c r="L13614" s="25"/>
      <c r="Q13614" s="17"/>
    </row>
    <row r="13615" spans="12:17" x14ac:dyDescent="0.3">
      <c r="L13615" s="25"/>
      <c r="Q13615" s="17"/>
    </row>
    <row r="13616" spans="12:17" x14ac:dyDescent="0.3">
      <c r="L13616" s="25"/>
      <c r="Q13616" s="17"/>
    </row>
    <row r="13617" spans="12:17" x14ac:dyDescent="0.3">
      <c r="L13617" s="25"/>
      <c r="Q13617" s="17"/>
    </row>
    <row r="13618" spans="12:17" x14ac:dyDescent="0.3">
      <c r="L13618" s="25"/>
      <c r="Q13618" s="17"/>
    </row>
    <row r="13619" spans="12:17" x14ac:dyDescent="0.3">
      <c r="L13619" s="25"/>
      <c r="Q13619" s="17"/>
    </row>
    <row r="13620" spans="12:17" x14ac:dyDescent="0.3">
      <c r="L13620" s="25"/>
      <c r="Q13620" s="17"/>
    </row>
    <row r="13621" spans="12:17" x14ac:dyDescent="0.3">
      <c r="L13621" s="25"/>
      <c r="Q13621" s="17"/>
    </row>
    <row r="13622" spans="12:17" x14ac:dyDescent="0.3">
      <c r="L13622" s="25"/>
      <c r="Q13622" s="17"/>
    </row>
    <row r="13623" spans="12:17" x14ac:dyDescent="0.3">
      <c r="L13623" s="25"/>
      <c r="Q13623" s="17"/>
    </row>
    <row r="13624" spans="12:17" x14ac:dyDescent="0.3">
      <c r="L13624" s="25"/>
      <c r="Q13624" s="17"/>
    </row>
    <row r="13625" spans="12:17" x14ac:dyDescent="0.3">
      <c r="L13625" s="25"/>
      <c r="Q13625" s="17"/>
    </row>
    <row r="13626" spans="12:17" x14ac:dyDescent="0.3">
      <c r="L13626" s="25"/>
      <c r="Q13626" s="17"/>
    </row>
    <row r="13627" spans="12:17" x14ac:dyDescent="0.3">
      <c r="L13627" s="25"/>
      <c r="Q13627" s="17"/>
    </row>
    <row r="13628" spans="12:17" x14ac:dyDescent="0.3">
      <c r="L13628" s="25"/>
      <c r="Q13628" s="17"/>
    </row>
    <row r="13629" spans="12:17" x14ac:dyDescent="0.3">
      <c r="L13629" s="25"/>
      <c r="Q13629" s="17"/>
    </row>
    <row r="13630" spans="12:17" x14ac:dyDescent="0.3">
      <c r="L13630" s="25"/>
      <c r="Q13630" s="17"/>
    </row>
    <row r="13631" spans="12:17" x14ac:dyDescent="0.3">
      <c r="L13631" s="25"/>
      <c r="Q13631" s="17"/>
    </row>
    <row r="13632" spans="12:17" x14ac:dyDescent="0.3">
      <c r="L13632" s="25"/>
      <c r="Q13632" s="17"/>
    </row>
    <row r="13633" spans="12:17" x14ac:dyDescent="0.3">
      <c r="L13633" s="25"/>
      <c r="Q13633" s="17"/>
    </row>
    <row r="13634" spans="12:17" x14ac:dyDescent="0.3">
      <c r="L13634" s="25"/>
      <c r="Q13634" s="17"/>
    </row>
    <row r="13635" spans="12:17" x14ac:dyDescent="0.3">
      <c r="L13635" s="25"/>
      <c r="Q13635" s="17"/>
    </row>
    <row r="13636" spans="12:17" x14ac:dyDescent="0.3">
      <c r="L13636" s="25"/>
      <c r="Q13636" s="17"/>
    </row>
    <row r="13637" spans="12:17" x14ac:dyDescent="0.3">
      <c r="L13637" s="25"/>
      <c r="Q13637" s="17"/>
    </row>
    <row r="13638" spans="12:17" x14ac:dyDescent="0.3">
      <c r="L13638" s="25"/>
      <c r="Q13638" s="17"/>
    </row>
    <row r="13639" spans="12:17" x14ac:dyDescent="0.3">
      <c r="L13639" s="25"/>
      <c r="Q13639" s="17"/>
    </row>
    <row r="13640" spans="12:17" x14ac:dyDescent="0.3">
      <c r="L13640" s="25"/>
      <c r="Q13640" s="17"/>
    </row>
    <row r="13641" spans="12:17" x14ac:dyDescent="0.3">
      <c r="L13641" s="25"/>
      <c r="Q13641" s="17"/>
    </row>
    <row r="13642" spans="12:17" x14ac:dyDescent="0.3">
      <c r="L13642" s="25"/>
      <c r="Q13642" s="17"/>
    </row>
    <row r="13643" spans="12:17" x14ac:dyDescent="0.3">
      <c r="L13643" s="25"/>
      <c r="Q13643" s="17"/>
    </row>
    <row r="13644" spans="12:17" x14ac:dyDescent="0.3">
      <c r="L13644" s="25"/>
      <c r="Q13644" s="17"/>
    </row>
    <row r="13645" spans="12:17" x14ac:dyDescent="0.3">
      <c r="L13645" s="25"/>
      <c r="Q13645" s="17"/>
    </row>
    <row r="13646" spans="12:17" x14ac:dyDescent="0.3">
      <c r="L13646" s="25"/>
      <c r="Q13646" s="17"/>
    </row>
    <row r="13647" spans="12:17" x14ac:dyDescent="0.3">
      <c r="L13647" s="25"/>
      <c r="Q13647" s="17"/>
    </row>
    <row r="13648" spans="12:17" x14ac:dyDescent="0.3">
      <c r="L13648" s="25"/>
      <c r="Q13648" s="17"/>
    </row>
    <row r="13649" spans="12:17" x14ac:dyDescent="0.3">
      <c r="L13649" s="25"/>
      <c r="Q13649" s="17"/>
    </row>
    <row r="13650" spans="12:17" x14ac:dyDescent="0.3">
      <c r="L13650" s="25"/>
      <c r="Q13650" s="17"/>
    </row>
    <row r="13651" spans="12:17" x14ac:dyDescent="0.3">
      <c r="L13651" s="25"/>
      <c r="Q13651" s="17"/>
    </row>
    <row r="13652" spans="12:17" x14ac:dyDescent="0.3">
      <c r="L13652" s="25"/>
      <c r="Q13652" s="17"/>
    </row>
    <row r="13653" spans="12:17" x14ac:dyDescent="0.3">
      <c r="L13653" s="25"/>
      <c r="Q13653" s="17"/>
    </row>
    <row r="13654" spans="12:17" x14ac:dyDescent="0.3">
      <c r="L13654" s="25"/>
      <c r="Q13654" s="17"/>
    </row>
    <row r="13655" spans="12:17" x14ac:dyDescent="0.3">
      <c r="L13655" s="25"/>
      <c r="Q13655" s="17"/>
    </row>
    <row r="13656" spans="12:17" x14ac:dyDescent="0.3">
      <c r="L13656" s="25"/>
      <c r="Q13656" s="17"/>
    </row>
    <row r="13657" spans="12:17" x14ac:dyDescent="0.3">
      <c r="L13657" s="25"/>
      <c r="Q13657" s="17"/>
    </row>
    <row r="13658" spans="12:17" x14ac:dyDescent="0.3">
      <c r="L13658" s="25"/>
      <c r="Q13658" s="17"/>
    </row>
    <row r="13659" spans="12:17" x14ac:dyDescent="0.3">
      <c r="L13659" s="25"/>
      <c r="Q13659" s="17"/>
    </row>
    <row r="13660" spans="12:17" x14ac:dyDescent="0.3">
      <c r="L13660" s="25"/>
      <c r="Q13660" s="17"/>
    </row>
    <row r="13661" spans="12:17" x14ac:dyDescent="0.3">
      <c r="L13661" s="25"/>
      <c r="Q13661" s="17"/>
    </row>
    <row r="13662" spans="12:17" x14ac:dyDescent="0.3">
      <c r="L13662" s="25"/>
      <c r="Q13662" s="17"/>
    </row>
    <row r="13663" spans="12:17" x14ac:dyDescent="0.3">
      <c r="L13663" s="25"/>
      <c r="Q13663" s="17"/>
    </row>
    <row r="13664" spans="12:17" x14ac:dyDescent="0.3">
      <c r="L13664" s="25"/>
      <c r="Q13664" s="17"/>
    </row>
    <row r="13665" spans="12:17" x14ac:dyDescent="0.3">
      <c r="L13665" s="25"/>
      <c r="Q13665" s="17"/>
    </row>
    <row r="13666" spans="12:17" x14ac:dyDescent="0.3">
      <c r="L13666" s="25"/>
      <c r="Q13666" s="17"/>
    </row>
    <row r="13667" spans="12:17" x14ac:dyDescent="0.3">
      <c r="L13667" s="25"/>
      <c r="Q13667" s="17"/>
    </row>
    <row r="13668" spans="12:17" x14ac:dyDescent="0.3">
      <c r="L13668" s="25"/>
      <c r="Q13668" s="17"/>
    </row>
    <row r="13669" spans="12:17" x14ac:dyDescent="0.3">
      <c r="L13669" s="25"/>
      <c r="Q13669" s="17"/>
    </row>
    <row r="13670" spans="12:17" x14ac:dyDescent="0.3">
      <c r="L13670" s="25"/>
      <c r="Q13670" s="17"/>
    </row>
    <row r="13671" spans="12:17" x14ac:dyDescent="0.3">
      <c r="L13671" s="25"/>
      <c r="Q13671" s="17"/>
    </row>
    <row r="13672" spans="12:17" x14ac:dyDescent="0.3">
      <c r="L13672" s="25"/>
      <c r="Q13672" s="17"/>
    </row>
    <row r="13673" spans="12:17" x14ac:dyDescent="0.3">
      <c r="L13673" s="25"/>
      <c r="Q13673" s="17"/>
    </row>
    <row r="13674" spans="12:17" x14ac:dyDescent="0.3">
      <c r="L13674" s="25"/>
      <c r="Q13674" s="17"/>
    </row>
    <row r="13675" spans="12:17" x14ac:dyDescent="0.3">
      <c r="L13675" s="25"/>
      <c r="Q13675" s="17"/>
    </row>
    <row r="13676" spans="12:17" x14ac:dyDescent="0.3">
      <c r="L13676" s="25"/>
      <c r="Q13676" s="17"/>
    </row>
    <row r="13677" spans="12:17" x14ac:dyDescent="0.3">
      <c r="L13677" s="25"/>
      <c r="Q13677" s="17"/>
    </row>
    <row r="13678" spans="12:17" x14ac:dyDescent="0.3">
      <c r="L13678" s="25"/>
      <c r="Q13678" s="17"/>
    </row>
    <row r="13679" spans="12:17" x14ac:dyDescent="0.3">
      <c r="L13679" s="25"/>
      <c r="Q13679" s="17"/>
    </row>
    <row r="13680" spans="12:17" x14ac:dyDescent="0.3">
      <c r="L13680" s="25"/>
      <c r="Q13680" s="17"/>
    </row>
    <row r="13681" spans="12:17" x14ac:dyDescent="0.3">
      <c r="L13681" s="25"/>
      <c r="Q13681" s="17"/>
    </row>
    <row r="13682" spans="12:17" x14ac:dyDescent="0.3">
      <c r="L13682" s="25"/>
      <c r="Q13682" s="17"/>
    </row>
    <row r="13683" spans="12:17" x14ac:dyDescent="0.3">
      <c r="L13683" s="25"/>
      <c r="Q13683" s="17"/>
    </row>
    <row r="13684" spans="12:17" x14ac:dyDescent="0.3">
      <c r="L13684" s="25"/>
      <c r="Q13684" s="17"/>
    </row>
    <row r="13685" spans="12:17" x14ac:dyDescent="0.3">
      <c r="L13685" s="25"/>
      <c r="Q13685" s="17"/>
    </row>
    <row r="13686" spans="12:17" x14ac:dyDescent="0.3">
      <c r="L13686" s="25"/>
      <c r="Q13686" s="17"/>
    </row>
    <row r="13687" spans="12:17" x14ac:dyDescent="0.3">
      <c r="L13687" s="25"/>
      <c r="Q13687" s="17"/>
    </row>
    <row r="13688" spans="12:17" x14ac:dyDescent="0.3">
      <c r="L13688" s="25"/>
      <c r="Q13688" s="17"/>
    </row>
    <row r="13689" spans="12:17" x14ac:dyDescent="0.3">
      <c r="L13689" s="25"/>
      <c r="Q13689" s="17"/>
    </row>
    <row r="13690" spans="12:17" x14ac:dyDescent="0.3">
      <c r="L13690" s="25"/>
      <c r="Q13690" s="17"/>
    </row>
    <row r="13691" spans="12:17" x14ac:dyDescent="0.3">
      <c r="L13691" s="25"/>
      <c r="Q13691" s="17"/>
    </row>
    <row r="13692" spans="12:17" x14ac:dyDescent="0.3">
      <c r="L13692" s="25"/>
      <c r="Q13692" s="17"/>
    </row>
    <row r="13693" spans="12:17" x14ac:dyDescent="0.3">
      <c r="L13693" s="25"/>
      <c r="Q13693" s="17"/>
    </row>
    <row r="13694" spans="12:17" x14ac:dyDescent="0.3">
      <c r="L13694" s="25"/>
      <c r="Q13694" s="17"/>
    </row>
    <row r="13695" spans="12:17" x14ac:dyDescent="0.3">
      <c r="L13695" s="25"/>
      <c r="Q13695" s="17"/>
    </row>
    <row r="13696" spans="12:17" x14ac:dyDescent="0.3">
      <c r="L13696" s="25"/>
      <c r="Q13696" s="17"/>
    </row>
    <row r="13697" spans="12:17" x14ac:dyDescent="0.3">
      <c r="L13697" s="25"/>
      <c r="Q13697" s="17"/>
    </row>
    <row r="13698" spans="12:17" x14ac:dyDescent="0.3">
      <c r="L13698" s="25"/>
      <c r="Q13698" s="17"/>
    </row>
    <row r="13699" spans="12:17" x14ac:dyDescent="0.3">
      <c r="L13699" s="25"/>
      <c r="Q13699" s="17"/>
    </row>
    <row r="13700" spans="12:17" x14ac:dyDescent="0.3">
      <c r="L13700" s="25"/>
      <c r="Q13700" s="17"/>
    </row>
    <row r="13701" spans="12:17" x14ac:dyDescent="0.3">
      <c r="L13701" s="25"/>
      <c r="Q13701" s="17"/>
    </row>
    <row r="13702" spans="12:17" x14ac:dyDescent="0.3">
      <c r="L13702" s="25"/>
      <c r="Q13702" s="17"/>
    </row>
    <row r="13703" spans="12:17" x14ac:dyDescent="0.3">
      <c r="L13703" s="25"/>
      <c r="Q13703" s="17"/>
    </row>
    <row r="13704" spans="12:17" x14ac:dyDescent="0.3">
      <c r="L13704" s="25"/>
      <c r="Q13704" s="17"/>
    </row>
    <row r="13705" spans="12:17" x14ac:dyDescent="0.3">
      <c r="L13705" s="25"/>
      <c r="Q13705" s="17"/>
    </row>
    <row r="13706" spans="12:17" x14ac:dyDescent="0.3">
      <c r="L13706" s="25"/>
      <c r="Q13706" s="17"/>
    </row>
    <row r="13707" spans="12:17" x14ac:dyDescent="0.3">
      <c r="L13707" s="25"/>
      <c r="Q13707" s="17"/>
    </row>
    <row r="13708" spans="12:17" x14ac:dyDescent="0.3">
      <c r="L13708" s="25"/>
      <c r="Q13708" s="17"/>
    </row>
    <row r="13709" spans="12:17" x14ac:dyDescent="0.3">
      <c r="L13709" s="25"/>
      <c r="Q13709" s="17"/>
    </row>
    <row r="13710" spans="12:17" x14ac:dyDescent="0.3">
      <c r="L13710" s="25"/>
      <c r="Q13710" s="17"/>
    </row>
    <row r="13711" spans="12:17" x14ac:dyDescent="0.3">
      <c r="L13711" s="25"/>
      <c r="Q13711" s="17"/>
    </row>
    <row r="13712" spans="12:17" x14ac:dyDescent="0.3">
      <c r="L13712" s="25"/>
      <c r="Q13712" s="17"/>
    </row>
    <row r="13713" spans="12:17" x14ac:dyDescent="0.3">
      <c r="L13713" s="25"/>
      <c r="Q13713" s="17"/>
    </row>
    <row r="13714" spans="12:17" x14ac:dyDescent="0.3">
      <c r="L13714" s="25"/>
      <c r="Q13714" s="17"/>
    </row>
    <row r="13715" spans="12:17" x14ac:dyDescent="0.3">
      <c r="L13715" s="25"/>
      <c r="Q13715" s="17"/>
    </row>
    <row r="13716" spans="12:17" x14ac:dyDescent="0.3">
      <c r="L13716" s="25"/>
      <c r="Q13716" s="17"/>
    </row>
    <row r="13717" spans="12:17" x14ac:dyDescent="0.3">
      <c r="L13717" s="25"/>
      <c r="Q13717" s="17"/>
    </row>
    <row r="13718" spans="12:17" x14ac:dyDescent="0.3">
      <c r="L13718" s="25"/>
      <c r="Q13718" s="17"/>
    </row>
    <row r="13719" spans="12:17" x14ac:dyDescent="0.3">
      <c r="L13719" s="25"/>
      <c r="Q13719" s="17"/>
    </row>
    <row r="13720" spans="12:17" x14ac:dyDescent="0.3">
      <c r="L13720" s="25"/>
      <c r="Q13720" s="17"/>
    </row>
    <row r="13721" spans="12:17" x14ac:dyDescent="0.3">
      <c r="L13721" s="25"/>
      <c r="Q13721" s="17"/>
    </row>
    <row r="13722" spans="12:17" x14ac:dyDescent="0.3">
      <c r="L13722" s="25"/>
      <c r="Q13722" s="17"/>
    </row>
    <row r="13723" spans="12:17" x14ac:dyDescent="0.3">
      <c r="L13723" s="25"/>
      <c r="Q13723" s="17"/>
    </row>
    <row r="13724" spans="12:17" x14ac:dyDescent="0.3">
      <c r="L13724" s="25"/>
      <c r="Q13724" s="17"/>
    </row>
    <row r="13725" spans="12:17" x14ac:dyDescent="0.3">
      <c r="L13725" s="25"/>
      <c r="Q13725" s="17"/>
    </row>
    <row r="13726" spans="12:17" x14ac:dyDescent="0.3">
      <c r="L13726" s="25"/>
      <c r="Q13726" s="17"/>
    </row>
    <row r="13727" spans="12:17" x14ac:dyDescent="0.3">
      <c r="L13727" s="25"/>
      <c r="Q13727" s="17"/>
    </row>
    <row r="13728" spans="12:17" x14ac:dyDescent="0.3">
      <c r="L13728" s="25"/>
      <c r="Q13728" s="17"/>
    </row>
    <row r="13729" spans="12:17" x14ac:dyDescent="0.3">
      <c r="L13729" s="25"/>
      <c r="Q13729" s="17"/>
    </row>
    <row r="13730" spans="12:17" x14ac:dyDescent="0.3">
      <c r="L13730" s="25"/>
      <c r="Q13730" s="17"/>
    </row>
    <row r="13731" spans="12:17" x14ac:dyDescent="0.3">
      <c r="L13731" s="25"/>
      <c r="Q13731" s="17"/>
    </row>
    <row r="13732" spans="12:17" x14ac:dyDescent="0.3">
      <c r="L13732" s="25"/>
      <c r="Q13732" s="17"/>
    </row>
    <row r="13733" spans="12:17" x14ac:dyDescent="0.3">
      <c r="L13733" s="25"/>
      <c r="Q13733" s="17"/>
    </row>
    <row r="13734" spans="12:17" x14ac:dyDescent="0.3">
      <c r="L13734" s="25"/>
      <c r="Q13734" s="17"/>
    </row>
    <row r="13735" spans="12:17" x14ac:dyDescent="0.3">
      <c r="L13735" s="25"/>
      <c r="Q13735" s="17"/>
    </row>
    <row r="13736" spans="12:17" x14ac:dyDescent="0.3">
      <c r="L13736" s="25"/>
      <c r="Q13736" s="17"/>
    </row>
    <row r="13737" spans="12:17" x14ac:dyDescent="0.3">
      <c r="L13737" s="25"/>
      <c r="Q13737" s="17"/>
    </row>
    <row r="13738" spans="12:17" x14ac:dyDescent="0.3">
      <c r="L13738" s="25"/>
      <c r="Q13738" s="17"/>
    </row>
    <row r="13739" spans="12:17" x14ac:dyDescent="0.3">
      <c r="L13739" s="25"/>
      <c r="Q13739" s="17"/>
    </row>
    <row r="13740" spans="12:17" x14ac:dyDescent="0.3">
      <c r="L13740" s="25"/>
      <c r="Q13740" s="17"/>
    </row>
    <row r="13741" spans="12:17" x14ac:dyDescent="0.3">
      <c r="L13741" s="25"/>
      <c r="Q13741" s="17"/>
    </row>
    <row r="13742" spans="12:17" x14ac:dyDescent="0.3">
      <c r="L13742" s="25"/>
      <c r="Q13742" s="17"/>
    </row>
    <row r="13743" spans="12:17" x14ac:dyDescent="0.3">
      <c r="L13743" s="25"/>
      <c r="Q13743" s="17"/>
    </row>
    <row r="13744" spans="12:17" x14ac:dyDescent="0.3">
      <c r="L13744" s="25"/>
      <c r="Q13744" s="17"/>
    </row>
    <row r="13745" spans="12:17" x14ac:dyDescent="0.3">
      <c r="L13745" s="25"/>
      <c r="Q13745" s="17"/>
    </row>
    <row r="13746" spans="12:17" x14ac:dyDescent="0.3">
      <c r="L13746" s="25"/>
      <c r="Q13746" s="17"/>
    </row>
    <row r="13747" spans="12:17" x14ac:dyDescent="0.3">
      <c r="L13747" s="25"/>
      <c r="Q13747" s="17"/>
    </row>
    <row r="13748" spans="12:17" x14ac:dyDescent="0.3">
      <c r="L13748" s="25"/>
      <c r="Q13748" s="17"/>
    </row>
    <row r="13749" spans="12:17" x14ac:dyDescent="0.3">
      <c r="L13749" s="25"/>
      <c r="Q13749" s="17"/>
    </row>
    <row r="13750" spans="12:17" x14ac:dyDescent="0.3">
      <c r="L13750" s="25"/>
      <c r="Q13750" s="17"/>
    </row>
    <row r="13751" spans="12:17" x14ac:dyDescent="0.3">
      <c r="L13751" s="25"/>
      <c r="Q13751" s="17"/>
    </row>
    <row r="13752" spans="12:17" x14ac:dyDescent="0.3">
      <c r="L13752" s="25"/>
      <c r="Q13752" s="17"/>
    </row>
    <row r="13753" spans="12:17" x14ac:dyDescent="0.3">
      <c r="L13753" s="25"/>
      <c r="Q13753" s="17"/>
    </row>
    <row r="13754" spans="12:17" x14ac:dyDescent="0.3">
      <c r="L13754" s="25"/>
      <c r="Q13754" s="17"/>
    </row>
    <row r="13755" spans="12:17" x14ac:dyDescent="0.3">
      <c r="L13755" s="25"/>
      <c r="Q13755" s="17"/>
    </row>
    <row r="13756" spans="12:17" x14ac:dyDescent="0.3">
      <c r="L13756" s="25"/>
      <c r="Q13756" s="17"/>
    </row>
    <row r="13757" spans="12:17" x14ac:dyDescent="0.3">
      <c r="L13757" s="25"/>
      <c r="Q13757" s="17"/>
    </row>
    <row r="13758" spans="12:17" x14ac:dyDescent="0.3">
      <c r="L13758" s="25"/>
      <c r="Q13758" s="17"/>
    </row>
    <row r="13759" spans="12:17" x14ac:dyDescent="0.3">
      <c r="L13759" s="25"/>
      <c r="Q13759" s="17"/>
    </row>
    <row r="13760" spans="12:17" x14ac:dyDescent="0.3">
      <c r="L13760" s="25"/>
      <c r="Q13760" s="17"/>
    </row>
    <row r="13761" spans="12:17" x14ac:dyDescent="0.3">
      <c r="L13761" s="25"/>
      <c r="Q13761" s="17"/>
    </row>
    <row r="13762" spans="12:17" x14ac:dyDescent="0.3">
      <c r="L13762" s="25"/>
      <c r="Q13762" s="17"/>
    </row>
    <row r="13763" spans="12:17" x14ac:dyDescent="0.3">
      <c r="L13763" s="25"/>
      <c r="Q13763" s="17"/>
    </row>
    <row r="13764" spans="12:17" x14ac:dyDescent="0.3">
      <c r="L13764" s="25"/>
      <c r="Q13764" s="17"/>
    </row>
    <row r="13765" spans="12:17" x14ac:dyDescent="0.3">
      <c r="L13765" s="25"/>
      <c r="Q13765" s="17"/>
    </row>
    <row r="13766" spans="12:17" x14ac:dyDescent="0.3">
      <c r="L13766" s="25"/>
      <c r="Q13766" s="17"/>
    </row>
    <row r="13767" spans="12:17" x14ac:dyDescent="0.3">
      <c r="L13767" s="25"/>
      <c r="Q13767" s="17"/>
    </row>
    <row r="13768" spans="12:17" x14ac:dyDescent="0.3">
      <c r="L13768" s="25"/>
      <c r="Q13768" s="17"/>
    </row>
    <row r="13769" spans="12:17" x14ac:dyDescent="0.3">
      <c r="L13769" s="25"/>
      <c r="Q13769" s="17"/>
    </row>
    <row r="13770" spans="12:17" x14ac:dyDescent="0.3">
      <c r="L13770" s="25"/>
      <c r="Q13770" s="17"/>
    </row>
    <row r="13771" spans="12:17" x14ac:dyDescent="0.3">
      <c r="L13771" s="25"/>
      <c r="Q13771" s="17"/>
    </row>
    <row r="13772" spans="12:17" x14ac:dyDescent="0.3">
      <c r="L13772" s="25"/>
      <c r="Q13772" s="17"/>
    </row>
    <row r="13773" spans="12:17" x14ac:dyDescent="0.3">
      <c r="L13773" s="25"/>
      <c r="Q13773" s="17"/>
    </row>
    <row r="13774" spans="12:17" x14ac:dyDescent="0.3">
      <c r="L13774" s="25"/>
      <c r="Q13774" s="17"/>
    </row>
    <row r="13775" spans="12:17" x14ac:dyDescent="0.3">
      <c r="L13775" s="25"/>
      <c r="Q13775" s="17"/>
    </row>
    <row r="13776" spans="12:17" x14ac:dyDescent="0.3">
      <c r="L13776" s="25"/>
      <c r="Q13776" s="17"/>
    </row>
    <row r="13777" spans="12:17" x14ac:dyDescent="0.3">
      <c r="L13777" s="25"/>
      <c r="Q13777" s="17"/>
    </row>
    <row r="13778" spans="12:17" x14ac:dyDescent="0.3">
      <c r="L13778" s="25"/>
      <c r="Q13778" s="17"/>
    </row>
    <row r="13779" spans="12:17" x14ac:dyDescent="0.3">
      <c r="L13779" s="25"/>
      <c r="Q13779" s="17"/>
    </row>
    <row r="13780" spans="12:17" x14ac:dyDescent="0.3">
      <c r="L13780" s="25"/>
      <c r="Q13780" s="17"/>
    </row>
    <row r="13781" spans="12:17" x14ac:dyDescent="0.3">
      <c r="L13781" s="25"/>
      <c r="Q13781" s="17"/>
    </row>
    <row r="13782" spans="12:17" x14ac:dyDescent="0.3">
      <c r="L13782" s="25"/>
      <c r="Q13782" s="17"/>
    </row>
    <row r="13783" spans="12:17" x14ac:dyDescent="0.3">
      <c r="L13783" s="25"/>
      <c r="Q13783" s="17"/>
    </row>
    <row r="13784" spans="12:17" x14ac:dyDescent="0.3">
      <c r="L13784" s="25"/>
      <c r="Q13784" s="17"/>
    </row>
    <row r="13785" spans="12:17" x14ac:dyDescent="0.3">
      <c r="L13785" s="25"/>
      <c r="Q13785" s="17"/>
    </row>
    <row r="13786" spans="12:17" x14ac:dyDescent="0.3">
      <c r="L13786" s="25"/>
      <c r="Q13786" s="17"/>
    </row>
    <row r="13787" spans="12:17" x14ac:dyDescent="0.3">
      <c r="L13787" s="25"/>
      <c r="Q13787" s="17"/>
    </row>
    <row r="13788" spans="12:17" x14ac:dyDescent="0.3">
      <c r="L13788" s="25"/>
      <c r="Q13788" s="17"/>
    </row>
    <row r="13789" spans="12:17" x14ac:dyDescent="0.3">
      <c r="L13789" s="25"/>
      <c r="Q13789" s="17"/>
    </row>
    <row r="13790" spans="12:17" x14ac:dyDescent="0.3">
      <c r="L13790" s="25"/>
      <c r="Q13790" s="17"/>
    </row>
    <row r="13791" spans="12:17" x14ac:dyDescent="0.3">
      <c r="L13791" s="25"/>
      <c r="Q13791" s="17"/>
    </row>
    <row r="13792" spans="12:17" x14ac:dyDescent="0.3">
      <c r="L13792" s="25"/>
      <c r="Q13792" s="17"/>
    </row>
    <row r="13793" spans="12:17" x14ac:dyDescent="0.3">
      <c r="L13793" s="25"/>
      <c r="Q13793" s="17"/>
    </row>
    <row r="13794" spans="12:17" x14ac:dyDescent="0.3">
      <c r="L13794" s="25"/>
      <c r="Q13794" s="17"/>
    </row>
    <row r="13795" spans="12:17" x14ac:dyDescent="0.3">
      <c r="L13795" s="25"/>
      <c r="Q13795" s="17"/>
    </row>
    <row r="13796" spans="12:17" x14ac:dyDescent="0.3">
      <c r="L13796" s="25"/>
      <c r="Q13796" s="17"/>
    </row>
    <row r="13797" spans="12:17" x14ac:dyDescent="0.3">
      <c r="L13797" s="25"/>
      <c r="Q13797" s="17"/>
    </row>
    <row r="13798" spans="12:17" x14ac:dyDescent="0.3">
      <c r="L13798" s="25"/>
      <c r="Q13798" s="17"/>
    </row>
    <row r="13799" spans="12:17" x14ac:dyDescent="0.3">
      <c r="L13799" s="25"/>
      <c r="Q13799" s="17"/>
    </row>
    <row r="13800" spans="12:17" x14ac:dyDescent="0.3">
      <c r="L13800" s="25"/>
      <c r="Q13800" s="17"/>
    </row>
    <row r="13801" spans="12:17" x14ac:dyDescent="0.3">
      <c r="L13801" s="25"/>
      <c r="Q13801" s="17"/>
    </row>
    <row r="13802" spans="12:17" x14ac:dyDescent="0.3">
      <c r="L13802" s="25"/>
      <c r="Q13802" s="17"/>
    </row>
    <row r="13803" spans="12:17" x14ac:dyDescent="0.3">
      <c r="L13803" s="25"/>
      <c r="Q13803" s="17"/>
    </row>
    <row r="13804" spans="12:17" x14ac:dyDescent="0.3">
      <c r="L13804" s="25"/>
      <c r="Q13804" s="17"/>
    </row>
    <row r="13805" spans="12:17" x14ac:dyDescent="0.3">
      <c r="L13805" s="25"/>
      <c r="Q13805" s="17"/>
    </row>
    <row r="13806" spans="12:17" x14ac:dyDescent="0.3">
      <c r="L13806" s="25"/>
      <c r="Q13806" s="17"/>
    </row>
    <row r="13807" spans="12:17" x14ac:dyDescent="0.3">
      <c r="L13807" s="25"/>
      <c r="Q13807" s="17"/>
    </row>
    <row r="13808" spans="12:17" x14ac:dyDescent="0.3">
      <c r="L13808" s="25"/>
      <c r="Q13808" s="17"/>
    </row>
    <row r="13809" spans="12:17" x14ac:dyDescent="0.3">
      <c r="L13809" s="25"/>
      <c r="Q13809" s="17"/>
    </row>
    <row r="13810" spans="12:17" x14ac:dyDescent="0.3">
      <c r="L13810" s="25"/>
      <c r="Q13810" s="17"/>
    </row>
    <row r="13811" spans="12:17" x14ac:dyDescent="0.3">
      <c r="L13811" s="25"/>
      <c r="Q13811" s="17"/>
    </row>
    <row r="13812" spans="12:17" x14ac:dyDescent="0.3">
      <c r="L13812" s="25"/>
      <c r="Q13812" s="17"/>
    </row>
    <row r="13813" spans="12:17" x14ac:dyDescent="0.3">
      <c r="L13813" s="25"/>
      <c r="Q13813" s="17"/>
    </row>
    <row r="13814" spans="12:17" x14ac:dyDescent="0.3">
      <c r="L13814" s="25"/>
      <c r="Q13814" s="17"/>
    </row>
    <row r="13815" spans="12:17" x14ac:dyDescent="0.3">
      <c r="L13815" s="25"/>
      <c r="Q13815" s="17"/>
    </row>
    <row r="13816" spans="12:17" x14ac:dyDescent="0.3">
      <c r="L13816" s="25"/>
      <c r="Q13816" s="17"/>
    </row>
    <row r="13817" spans="12:17" x14ac:dyDescent="0.3">
      <c r="L13817" s="25"/>
      <c r="Q13817" s="17"/>
    </row>
    <row r="13818" spans="12:17" x14ac:dyDescent="0.3">
      <c r="L13818" s="25"/>
      <c r="Q13818" s="17"/>
    </row>
    <row r="13819" spans="12:17" x14ac:dyDescent="0.3">
      <c r="L13819" s="25"/>
      <c r="Q13819" s="17"/>
    </row>
    <row r="13820" spans="12:17" x14ac:dyDescent="0.3">
      <c r="L13820" s="25"/>
      <c r="Q13820" s="17"/>
    </row>
    <row r="13821" spans="12:17" x14ac:dyDescent="0.3">
      <c r="L13821" s="25"/>
      <c r="Q13821" s="17"/>
    </row>
    <row r="13822" spans="12:17" x14ac:dyDescent="0.3">
      <c r="L13822" s="25"/>
      <c r="Q13822" s="17"/>
    </row>
    <row r="13823" spans="12:17" x14ac:dyDescent="0.3">
      <c r="L13823" s="25"/>
      <c r="Q13823" s="17"/>
    </row>
    <row r="13824" spans="12:17" x14ac:dyDescent="0.3">
      <c r="L13824" s="25"/>
      <c r="Q13824" s="17"/>
    </row>
    <row r="13825" spans="12:17" x14ac:dyDescent="0.3">
      <c r="L13825" s="25"/>
      <c r="Q13825" s="17"/>
    </row>
    <row r="13826" spans="12:17" x14ac:dyDescent="0.3">
      <c r="L13826" s="25"/>
      <c r="Q13826" s="17"/>
    </row>
    <row r="13827" spans="12:17" x14ac:dyDescent="0.3">
      <c r="L13827" s="25"/>
      <c r="Q13827" s="17"/>
    </row>
    <row r="13828" spans="12:17" x14ac:dyDescent="0.3">
      <c r="L13828" s="25"/>
      <c r="Q13828" s="17"/>
    </row>
    <row r="13829" spans="12:17" x14ac:dyDescent="0.3">
      <c r="L13829" s="25"/>
      <c r="Q13829" s="17"/>
    </row>
    <row r="13830" spans="12:17" x14ac:dyDescent="0.3">
      <c r="L13830" s="25"/>
      <c r="Q13830" s="17"/>
    </row>
    <row r="13831" spans="12:17" x14ac:dyDescent="0.3">
      <c r="L13831" s="25"/>
      <c r="Q13831" s="17"/>
    </row>
    <row r="13832" spans="12:17" x14ac:dyDescent="0.3">
      <c r="L13832" s="25"/>
      <c r="Q13832" s="17"/>
    </row>
    <row r="13833" spans="12:17" x14ac:dyDescent="0.3">
      <c r="L13833" s="25"/>
      <c r="Q13833" s="17"/>
    </row>
    <row r="13834" spans="12:17" x14ac:dyDescent="0.3">
      <c r="L13834" s="25"/>
      <c r="Q13834" s="17"/>
    </row>
    <row r="13835" spans="12:17" x14ac:dyDescent="0.3">
      <c r="L13835" s="25"/>
      <c r="Q13835" s="17"/>
    </row>
    <row r="13836" spans="12:17" x14ac:dyDescent="0.3">
      <c r="L13836" s="25"/>
      <c r="Q13836" s="17"/>
    </row>
    <row r="13837" spans="12:17" x14ac:dyDescent="0.3">
      <c r="L13837" s="25"/>
      <c r="Q13837" s="17"/>
    </row>
    <row r="13838" spans="12:17" x14ac:dyDescent="0.3">
      <c r="L13838" s="25"/>
      <c r="Q13838" s="17"/>
    </row>
    <row r="13839" spans="12:17" x14ac:dyDescent="0.3">
      <c r="L13839" s="25"/>
      <c r="Q13839" s="17"/>
    </row>
    <row r="13840" spans="12:17" x14ac:dyDescent="0.3">
      <c r="L13840" s="25"/>
      <c r="Q13840" s="17"/>
    </row>
    <row r="13841" spans="12:17" x14ac:dyDescent="0.3">
      <c r="L13841" s="25"/>
      <c r="Q13841" s="17"/>
    </row>
    <row r="13842" spans="12:17" x14ac:dyDescent="0.3">
      <c r="L13842" s="25"/>
      <c r="Q13842" s="17"/>
    </row>
    <row r="13843" spans="12:17" x14ac:dyDescent="0.3">
      <c r="L13843" s="25"/>
      <c r="Q13843" s="17"/>
    </row>
    <row r="13844" spans="12:17" x14ac:dyDescent="0.3">
      <c r="L13844" s="25"/>
      <c r="Q13844" s="17"/>
    </row>
    <row r="13845" spans="12:17" x14ac:dyDescent="0.3">
      <c r="L13845" s="25"/>
      <c r="Q13845" s="17"/>
    </row>
    <row r="13846" spans="12:17" x14ac:dyDescent="0.3">
      <c r="L13846" s="25"/>
      <c r="Q13846" s="17"/>
    </row>
    <row r="13847" spans="12:17" x14ac:dyDescent="0.3">
      <c r="L13847" s="25"/>
      <c r="Q13847" s="17"/>
    </row>
    <row r="13848" spans="12:17" x14ac:dyDescent="0.3">
      <c r="L13848" s="25"/>
      <c r="Q13848" s="17"/>
    </row>
    <row r="13849" spans="12:17" x14ac:dyDescent="0.3">
      <c r="L13849" s="25"/>
      <c r="Q13849" s="17"/>
    </row>
    <row r="13850" spans="12:17" x14ac:dyDescent="0.3">
      <c r="L13850" s="25"/>
      <c r="Q13850" s="17"/>
    </row>
    <row r="13851" spans="12:17" x14ac:dyDescent="0.3">
      <c r="L13851" s="25"/>
      <c r="Q13851" s="17"/>
    </row>
    <row r="13852" spans="12:17" x14ac:dyDescent="0.3">
      <c r="L13852" s="25"/>
      <c r="Q13852" s="17"/>
    </row>
    <row r="13853" spans="12:17" x14ac:dyDescent="0.3">
      <c r="L13853" s="25"/>
      <c r="Q13853" s="17"/>
    </row>
    <row r="13854" spans="12:17" x14ac:dyDescent="0.3">
      <c r="L13854" s="25"/>
      <c r="Q13854" s="17"/>
    </row>
    <row r="13855" spans="12:17" x14ac:dyDescent="0.3">
      <c r="L13855" s="25"/>
      <c r="Q13855" s="17"/>
    </row>
    <row r="13856" spans="12:17" x14ac:dyDescent="0.3">
      <c r="L13856" s="25"/>
      <c r="Q13856" s="17"/>
    </row>
    <row r="13857" spans="12:17" x14ac:dyDescent="0.3">
      <c r="L13857" s="25"/>
      <c r="Q13857" s="17"/>
    </row>
    <row r="13858" spans="12:17" x14ac:dyDescent="0.3">
      <c r="L13858" s="25"/>
      <c r="Q13858" s="17"/>
    </row>
    <row r="13859" spans="12:17" x14ac:dyDescent="0.3">
      <c r="L13859" s="25"/>
      <c r="Q13859" s="17"/>
    </row>
    <row r="13860" spans="12:17" x14ac:dyDescent="0.3">
      <c r="L13860" s="25"/>
      <c r="Q13860" s="17"/>
    </row>
    <row r="13861" spans="12:17" x14ac:dyDescent="0.3">
      <c r="L13861" s="25"/>
      <c r="Q13861" s="17"/>
    </row>
    <row r="13862" spans="12:17" x14ac:dyDescent="0.3">
      <c r="L13862" s="25"/>
      <c r="Q13862" s="17"/>
    </row>
    <row r="13863" spans="12:17" x14ac:dyDescent="0.3">
      <c r="L13863" s="25"/>
      <c r="Q13863" s="17"/>
    </row>
    <row r="13864" spans="12:17" x14ac:dyDescent="0.3">
      <c r="L13864" s="25"/>
      <c r="Q13864" s="17"/>
    </row>
    <row r="13865" spans="12:17" x14ac:dyDescent="0.3">
      <c r="L13865" s="25"/>
      <c r="Q13865" s="17"/>
    </row>
    <row r="13866" spans="12:17" x14ac:dyDescent="0.3">
      <c r="L13866" s="25"/>
      <c r="Q13866" s="17"/>
    </row>
    <row r="13867" spans="12:17" x14ac:dyDescent="0.3">
      <c r="L13867" s="25"/>
      <c r="Q13867" s="17"/>
    </row>
    <row r="13868" spans="12:17" x14ac:dyDescent="0.3">
      <c r="L13868" s="25"/>
      <c r="Q13868" s="17"/>
    </row>
    <row r="13869" spans="12:17" x14ac:dyDescent="0.3">
      <c r="L13869" s="25"/>
      <c r="Q13869" s="17"/>
    </row>
    <row r="13870" spans="12:17" x14ac:dyDescent="0.3">
      <c r="L13870" s="25"/>
      <c r="Q13870" s="17"/>
    </row>
    <row r="13871" spans="12:17" x14ac:dyDescent="0.3">
      <c r="L13871" s="25"/>
      <c r="Q13871" s="17"/>
    </row>
    <row r="13872" spans="12:17" x14ac:dyDescent="0.3">
      <c r="L13872" s="25"/>
      <c r="Q13872" s="17"/>
    </row>
    <row r="13873" spans="12:17" x14ac:dyDescent="0.3">
      <c r="L13873" s="25"/>
      <c r="Q13873" s="17"/>
    </row>
    <row r="13874" spans="12:17" x14ac:dyDescent="0.3">
      <c r="L13874" s="25"/>
      <c r="Q13874" s="17"/>
    </row>
    <row r="13875" spans="12:17" x14ac:dyDescent="0.3">
      <c r="L13875" s="25"/>
      <c r="Q13875" s="17"/>
    </row>
    <row r="13876" spans="12:17" x14ac:dyDescent="0.3">
      <c r="L13876" s="25"/>
      <c r="Q13876" s="17"/>
    </row>
    <row r="13877" spans="12:17" x14ac:dyDescent="0.3">
      <c r="L13877" s="25"/>
      <c r="Q13877" s="17"/>
    </row>
    <row r="13878" spans="12:17" x14ac:dyDescent="0.3">
      <c r="L13878" s="25"/>
      <c r="Q13878" s="17"/>
    </row>
    <row r="13879" spans="12:17" x14ac:dyDescent="0.3">
      <c r="L13879" s="25"/>
      <c r="Q13879" s="17"/>
    </row>
    <row r="13880" spans="12:17" x14ac:dyDescent="0.3">
      <c r="L13880" s="25"/>
      <c r="Q13880" s="17"/>
    </row>
    <row r="13881" spans="12:17" x14ac:dyDescent="0.3">
      <c r="L13881" s="25"/>
      <c r="Q13881" s="17"/>
    </row>
    <row r="13882" spans="12:17" x14ac:dyDescent="0.3">
      <c r="L13882" s="25"/>
      <c r="Q13882" s="17"/>
    </row>
    <row r="13883" spans="12:17" x14ac:dyDescent="0.3">
      <c r="L13883" s="25"/>
      <c r="Q13883" s="17"/>
    </row>
    <row r="13884" spans="12:17" x14ac:dyDescent="0.3">
      <c r="L13884" s="25"/>
      <c r="Q13884" s="17"/>
    </row>
    <row r="13885" spans="12:17" x14ac:dyDescent="0.3">
      <c r="L13885" s="25"/>
      <c r="Q13885" s="17"/>
    </row>
    <row r="13886" spans="12:17" x14ac:dyDescent="0.3">
      <c r="L13886" s="25"/>
      <c r="Q13886" s="17"/>
    </row>
    <row r="13887" spans="12:17" x14ac:dyDescent="0.3">
      <c r="L13887" s="25"/>
      <c r="Q13887" s="17"/>
    </row>
    <row r="13888" spans="12:17" x14ac:dyDescent="0.3">
      <c r="L13888" s="25"/>
      <c r="Q13888" s="17"/>
    </row>
    <row r="13889" spans="12:17" x14ac:dyDescent="0.3">
      <c r="L13889" s="25"/>
      <c r="Q13889" s="17"/>
    </row>
    <row r="13890" spans="12:17" x14ac:dyDescent="0.3">
      <c r="L13890" s="25"/>
      <c r="Q13890" s="17"/>
    </row>
    <row r="13891" spans="12:17" x14ac:dyDescent="0.3">
      <c r="L13891" s="25"/>
      <c r="Q13891" s="17"/>
    </row>
    <row r="13892" spans="12:17" x14ac:dyDescent="0.3">
      <c r="L13892" s="25"/>
      <c r="Q13892" s="17"/>
    </row>
    <row r="13893" spans="12:17" x14ac:dyDescent="0.3">
      <c r="L13893" s="25"/>
      <c r="Q13893" s="17"/>
    </row>
    <row r="13894" spans="12:17" x14ac:dyDescent="0.3">
      <c r="L13894" s="25"/>
      <c r="Q13894" s="17"/>
    </row>
    <row r="13895" spans="12:17" x14ac:dyDescent="0.3">
      <c r="L13895" s="25"/>
      <c r="Q13895" s="17"/>
    </row>
    <row r="13896" spans="12:17" x14ac:dyDescent="0.3">
      <c r="L13896" s="25"/>
      <c r="Q13896" s="17"/>
    </row>
    <row r="13897" spans="12:17" x14ac:dyDescent="0.3">
      <c r="L13897" s="25"/>
      <c r="Q13897" s="17"/>
    </row>
    <row r="13898" spans="12:17" x14ac:dyDescent="0.3">
      <c r="L13898" s="25"/>
      <c r="Q13898" s="17"/>
    </row>
    <row r="13899" spans="12:17" x14ac:dyDescent="0.3">
      <c r="L13899" s="25"/>
      <c r="Q13899" s="17"/>
    </row>
    <row r="13900" spans="12:17" x14ac:dyDescent="0.3">
      <c r="L13900" s="25"/>
      <c r="Q13900" s="17"/>
    </row>
    <row r="13901" spans="12:17" x14ac:dyDescent="0.3">
      <c r="L13901" s="25"/>
      <c r="Q13901" s="17"/>
    </row>
    <row r="13902" spans="12:17" x14ac:dyDescent="0.3">
      <c r="L13902" s="25"/>
      <c r="Q13902" s="17"/>
    </row>
    <row r="13903" spans="12:17" x14ac:dyDescent="0.3">
      <c r="L13903" s="25"/>
      <c r="Q13903" s="17"/>
    </row>
    <row r="13904" spans="12:17" x14ac:dyDescent="0.3">
      <c r="L13904" s="25"/>
      <c r="Q13904" s="17"/>
    </row>
    <row r="13905" spans="12:17" x14ac:dyDescent="0.3">
      <c r="L13905" s="25"/>
      <c r="Q13905" s="17"/>
    </row>
    <row r="13906" spans="12:17" x14ac:dyDescent="0.3">
      <c r="L13906" s="25"/>
      <c r="Q13906" s="17"/>
    </row>
    <row r="13907" spans="12:17" x14ac:dyDescent="0.3">
      <c r="L13907" s="25"/>
      <c r="Q13907" s="17"/>
    </row>
    <row r="13908" spans="12:17" x14ac:dyDescent="0.3">
      <c r="L13908" s="25"/>
      <c r="Q13908" s="17"/>
    </row>
    <row r="13909" spans="12:17" x14ac:dyDescent="0.3">
      <c r="L13909" s="25"/>
      <c r="Q13909" s="17"/>
    </row>
    <row r="13910" spans="12:17" x14ac:dyDescent="0.3">
      <c r="L13910" s="25"/>
      <c r="Q13910" s="17"/>
    </row>
    <row r="13911" spans="12:17" x14ac:dyDescent="0.3">
      <c r="L13911" s="25"/>
      <c r="Q13911" s="17"/>
    </row>
    <row r="13912" spans="12:17" x14ac:dyDescent="0.3">
      <c r="L13912" s="25"/>
      <c r="Q13912" s="17"/>
    </row>
    <row r="13913" spans="12:17" x14ac:dyDescent="0.3">
      <c r="L13913" s="25"/>
      <c r="Q13913" s="17"/>
    </row>
    <row r="13914" spans="12:17" x14ac:dyDescent="0.3">
      <c r="L13914" s="25"/>
      <c r="Q13914" s="17"/>
    </row>
    <row r="13915" spans="12:17" x14ac:dyDescent="0.3">
      <c r="L13915" s="25"/>
      <c r="Q13915" s="17"/>
    </row>
    <row r="13916" spans="12:17" x14ac:dyDescent="0.3">
      <c r="L13916" s="25"/>
      <c r="Q13916" s="17"/>
    </row>
    <row r="13917" spans="12:17" x14ac:dyDescent="0.3">
      <c r="L13917" s="25"/>
      <c r="Q13917" s="17"/>
    </row>
    <row r="13918" spans="12:17" x14ac:dyDescent="0.3">
      <c r="L13918" s="25"/>
      <c r="Q13918" s="17"/>
    </row>
    <row r="13919" spans="12:17" x14ac:dyDescent="0.3">
      <c r="L13919" s="25"/>
      <c r="Q13919" s="17"/>
    </row>
    <row r="13920" spans="12:17" x14ac:dyDescent="0.3">
      <c r="L13920" s="25"/>
      <c r="Q13920" s="17"/>
    </row>
    <row r="13921" spans="12:17" x14ac:dyDescent="0.3">
      <c r="L13921" s="25"/>
      <c r="Q13921" s="17"/>
    </row>
    <row r="13922" spans="12:17" x14ac:dyDescent="0.3">
      <c r="L13922" s="25"/>
      <c r="Q13922" s="17"/>
    </row>
    <row r="13923" spans="12:17" x14ac:dyDescent="0.3">
      <c r="L13923" s="25"/>
      <c r="Q13923" s="17"/>
    </row>
    <row r="13924" spans="12:17" x14ac:dyDescent="0.3">
      <c r="L13924" s="25"/>
      <c r="Q13924" s="17"/>
    </row>
    <row r="13925" spans="12:17" x14ac:dyDescent="0.3">
      <c r="L13925" s="25"/>
      <c r="Q13925" s="17"/>
    </row>
    <row r="13926" spans="12:17" x14ac:dyDescent="0.3">
      <c r="L13926" s="25"/>
      <c r="Q13926" s="17"/>
    </row>
    <row r="13927" spans="12:17" x14ac:dyDescent="0.3">
      <c r="L13927" s="25"/>
      <c r="Q13927" s="17"/>
    </row>
    <row r="13928" spans="12:17" x14ac:dyDescent="0.3">
      <c r="L13928" s="25"/>
      <c r="Q13928" s="17"/>
    </row>
    <row r="13929" spans="12:17" x14ac:dyDescent="0.3">
      <c r="L13929" s="25"/>
      <c r="Q13929" s="17"/>
    </row>
    <row r="13930" spans="12:17" x14ac:dyDescent="0.3">
      <c r="L13930" s="25"/>
      <c r="Q13930" s="17"/>
    </row>
    <row r="13931" spans="12:17" x14ac:dyDescent="0.3">
      <c r="L13931" s="25"/>
      <c r="Q13931" s="17"/>
    </row>
    <row r="13932" spans="12:17" x14ac:dyDescent="0.3">
      <c r="L13932" s="25"/>
      <c r="Q13932" s="17"/>
    </row>
    <row r="13933" spans="12:17" x14ac:dyDescent="0.3">
      <c r="L13933" s="25"/>
      <c r="Q13933" s="17"/>
    </row>
    <row r="13934" spans="12:17" x14ac:dyDescent="0.3">
      <c r="L13934" s="25"/>
      <c r="Q13934" s="17"/>
    </row>
    <row r="13935" spans="12:17" x14ac:dyDescent="0.3">
      <c r="L13935" s="25"/>
      <c r="Q13935" s="17"/>
    </row>
    <row r="13936" spans="12:17" x14ac:dyDescent="0.3">
      <c r="L13936" s="25"/>
      <c r="Q13936" s="17"/>
    </row>
    <row r="13937" spans="12:17" x14ac:dyDescent="0.3">
      <c r="L13937" s="25"/>
      <c r="Q13937" s="17"/>
    </row>
    <row r="13938" spans="12:17" x14ac:dyDescent="0.3">
      <c r="L13938" s="25"/>
      <c r="Q13938" s="17"/>
    </row>
    <row r="13939" spans="12:17" x14ac:dyDescent="0.3">
      <c r="L13939" s="25"/>
      <c r="Q13939" s="17"/>
    </row>
    <row r="13940" spans="12:17" x14ac:dyDescent="0.3">
      <c r="L13940" s="25"/>
      <c r="Q13940" s="17"/>
    </row>
    <row r="13941" spans="12:17" x14ac:dyDescent="0.3">
      <c r="L13941" s="25"/>
      <c r="Q13941" s="17"/>
    </row>
    <row r="13942" spans="12:17" x14ac:dyDescent="0.3">
      <c r="L13942" s="25"/>
      <c r="Q13942" s="17"/>
    </row>
    <row r="13943" spans="12:17" x14ac:dyDescent="0.3">
      <c r="L13943" s="25"/>
      <c r="Q13943" s="17"/>
    </row>
    <row r="13944" spans="12:17" x14ac:dyDescent="0.3">
      <c r="L13944" s="25"/>
      <c r="Q13944" s="17"/>
    </row>
    <row r="13945" spans="12:17" x14ac:dyDescent="0.3">
      <c r="L13945" s="25"/>
      <c r="Q13945" s="17"/>
    </row>
    <row r="13946" spans="12:17" x14ac:dyDescent="0.3">
      <c r="L13946" s="25"/>
      <c r="Q13946" s="17"/>
    </row>
    <row r="13947" spans="12:17" x14ac:dyDescent="0.3">
      <c r="L13947" s="25"/>
      <c r="Q13947" s="17"/>
    </row>
    <row r="13948" spans="12:17" x14ac:dyDescent="0.3">
      <c r="L13948" s="25"/>
      <c r="Q13948" s="17"/>
    </row>
    <row r="13949" spans="12:17" x14ac:dyDescent="0.3">
      <c r="L13949" s="25"/>
      <c r="Q13949" s="17"/>
    </row>
    <row r="13950" spans="12:17" x14ac:dyDescent="0.3">
      <c r="L13950" s="25"/>
      <c r="Q13950" s="17"/>
    </row>
    <row r="13951" spans="12:17" x14ac:dyDescent="0.3">
      <c r="L13951" s="25"/>
      <c r="Q13951" s="17"/>
    </row>
    <row r="13952" spans="12:17" x14ac:dyDescent="0.3">
      <c r="L13952" s="25"/>
      <c r="Q13952" s="17"/>
    </row>
    <row r="13953" spans="12:17" x14ac:dyDescent="0.3">
      <c r="L13953" s="25"/>
      <c r="Q13953" s="17"/>
    </row>
    <row r="13954" spans="12:17" x14ac:dyDescent="0.3">
      <c r="L13954" s="25"/>
      <c r="Q13954" s="17"/>
    </row>
    <row r="13955" spans="12:17" x14ac:dyDescent="0.3">
      <c r="L13955" s="25"/>
      <c r="Q13955" s="17"/>
    </row>
    <row r="13956" spans="12:17" x14ac:dyDescent="0.3">
      <c r="L13956" s="25"/>
      <c r="Q13956" s="17"/>
    </row>
    <row r="13957" spans="12:17" x14ac:dyDescent="0.3">
      <c r="L13957" s="25"/>
      <c r="Q13957" s="17"/>
    </row>
    <row r="13958" spans="12:17" x14ac:dyDescent="0.3">
      <c r="L13958" s="25"/>
      <c r="Q13958" s="17"/>
    </row>
    <row r="13959" spans="12:17" x14ac:dyDescent="0.3">
      <c r="L13959" s="25"/>
      <c r="Q13959" s="17"/>
    </row>
    <row r="13960" spans="12:17" x14ac:dyDescent="0.3">
      <c r="L13960" s="25"/>
      <c r="Q13960" s="17"/>
    </row>
    <row r="13961" spans="12:17" x14ac:dyDescent="0.3">
      <c r="L13961" s="25"/>
      <c r="Q13961" s="17"/>
    </row>
    <row r="13962" spans="12:17" x14ac:dyDescent="0.3">
      <c r="L13962" s="25"/>
      <c r="Q13962" s="17"/>
    </row>
    <row r="13963" spans="12:17" x14ac:dyDescent="0.3">
      <c r="L13963" s="25"/>
      <c r="Q13963" s="17"/>
    </row>
    <row r="13964" spans="12:17" x14ac:dyDescent="0.3">
      <c r="L13964" s="25"/>
      <c r="Q13964" s="17"/>
    </row>
    <row r="13965" spans="12:17" x14ac:dyDescent="0.3">
      <c r="L13965" s="25"/>
      <c r="Q13965" s="17"/>
    </row>
    <row r="13966" spans="12:17" x14ac:dyDescent="0.3">
      <c r="L13966" s="25"/>
      <c r="Q13966" s="17"/>
    </row>
    <row r="13967" spans="12:17" x14ac:dyDescent="0.3">
      <c r="L13967" s="25"/>
      <c r="Q13967" s="17"/>
    </row>
    <row r="13968" spans="12:17" x14ac:dyDescent="0.3">
      <c r="L13968" s="25"/>
      <c r="Q13968" s="17"/>
    </row>
    <row r="13969" spans="12:17" x14ac:dyDescent="0.3">
      <c r="L13969" s="25"/>
      <c r="Q13969" s="17"/>
    </row>
    <row r="13970" spans="12:17" x14ac:dyDescent="0.3">
      <c r="L13970" s="25"/>
      <c r="Q13970" s="17"/>
    </row>
    <row r="13971" spans="12:17" x14ac:dyDescent="0.3">
      <c r="L13971" s="25"/>
      <c r="Q13971" s="17"/>
    </row>
    <row r="13972" spans="12:17" x14ac:dyDescent="0.3">
      <c r="L13972" s="25"/>
      <c r="Q13972" s="17"/>
    </row>
    <row r="13973" spans="12:17" x14ac:dyDescent="0.3">
      <c r="L13973" s="25"/>
      <c r="Q13973" s="17"/>
    </row>
    <row r="13974" spans="12:17" x14ac:dyDescent="0.3">
      <c r="L13974" s="25"/>
      <c r="Q13974" s="17"/>
    </row>
    <row r="13975" spans="12:17" x14ac:dyDescent="0.3">
      <c r="L13975" s="25"/>
      <c r="Q13975" s="17"/>
    </row>
    <row r="13976" spans="12:17" x14ac:dyDescent="0.3">
      <c r="L13976" s="25"/>
      <c r="Q13976" s="17"/>
    </row>
    <row r="13977" spans="12:17" x14ac:dyDescent="0.3">
      <c r="L13977" s="25"/>
      <c r="Q13977" s="17"/>
    </row>
    <row r="13978" spans="12:17" x14ac:dyDescent="0.3">
      <c r="L13978" s="25"/>
      <c r="Q13978" s="17"/>
    </row>
    <row r="13979" spans="12:17" x14ac:dyDescent="0.3">
      <c r="L13979" s="25"/>
      <c r="Q13979" s="17"/>
    </row>
    <row r="13980" spans="12:17" x14ac:dyDescent="0.3">
      <c r="L13980" s="25"/>
      <c r="Q13980" s="17"/>
    </row>
    <row r="13981" spans="12:17" x14ac:dyDescent="0.3">
      <c r="L13981" s="25"/>
      <c r="Q13981" s="17"/>
    </row>
    <row r="13982" spans="12:17" x14ac:dyDescent="0.3">
      <c r="L13982" s="25"/>
      <c r="Q13982" s="17"/>
    </row>
    <row r="13983" spans="12:17" x14ac:dyDescent="0.3">
      <c r="L13983" s="25"/>
      <c r="Q13983" s="17"/>
    </row>
    <row r="13984" spans="12:17" x14ac:dyDescent="0.3">
      <c r="L13984" s="25"/>
      <c r="Q13984" s="17"/>
    </row>
    <row r="13985" spans="12:17" x14ac:dyDescent="0.3">
      <c r="L13985" s="25"/>
      <c r="Q13985" s="17"/>
    </row>
    <row r="13986" spans="12:17" x14ac:dyDescent="0.3">
      <c r="L13986" s="25"/>
      <c r="Q13986" s="17"/>
    </row>
    <row r="13987" spans="12:17" x14ac:dyDescent="0.3">
      <c r="L13987" s="25"/>
      <c r="Q13987" s="17"/>
    </row>
    <row r="13988" spans="12:17" x14ac:dyDescent="0.3">
      <c r="L13988" s="25"/>
      <c r="Q13988" s="17"/>
    </row>
    <row r="13989" spans="12:17" x14ac:dyDescent="0.3">
      <c r="L13989" s="25"/>
      <c r="Q13989" s="17"/>
    </row>
    <row r="13990" spans="12:17" x14ac:dyDescent="0.3">
      <c r="L13990" s="25"/>
      <c r="Q13990" s="17"/>
    </row>
    <row r="13991" spans="12:17" x14ac:dyDescent="0.3">
      <c r="L13991" s="25"/>
      <c r="Q13991" s="17"/>
    </row>
    <row r="13992" spans="12:17" x14ac:dyDescent="0.3">
      <c r="L13992" s="25"/>
      <c r="Q13992" s="17"/>
    </row>
    <row r="13993" spans="12:17" x14ac:dyDescent="0.3">
      <c r="L13993" s="25"/>
      <c r="Q13993" s="17"/>
    </row>
    <row r="13994" spans="12:17" x14ac:dyDescent="0.3">
      <c r="L13994" s="25"/>
      <c r="Q13994" s="17"/>
    </row>
    <row r="13995" spans="12:17" x14ac:dyDescent="0.3">
      <c r="L13995" s="25"/>
      <c r="Q13995" s="17"/>
    </row>
    <row r="13996" spans="12:17" x14ac:dyDescent="0.3">
      <c r="L13996" s="25"/>
      <c r="Q13996" s="17"/>
    </row>
    <row r="13997" spans="12:17" x14ac:dyDescent="0.3">
      <c r="L13997" s="25"/>
      <c r="Q13997" s="17"/>
    </row>
    <row r="13998" spans="12:17" x14ac:dyDescent="0.3">
      <c r="L13998" s="25"/>
      <c r="Q13998" s="17"/>
    </row>
    <row r="13999" spans="12:17" x14ac:dyDescent="0.3">
      <c r="L13999" s="25"/>
      <c r="Q13999" s="17"/>
    </row>
    <row r="14000" spans="12:17" x14ac:dyDescent="0.3">
      <c r="L14000" s="25"/>
      <c r="Q14000" s="17"/>
    </row>
    <row r="14001" spans="12:17" x14ac:dyDescent="0.3">
      <c r="L14001" s="25"/>
      <c r="Q14001" s="17"/>
    </row>
    <row r="14002" spans="12:17" x14ac:dyDescent="0.3">
      <c r="L14002" s="25"/>
      <c r="Q14002" s="17"/>
    </row>
    <row r="14003" spans="12:17" x14ac:dyDescent="0.3">
      <c r="L14003" s="25"/>
      <c r="Q14003" s="17"/>
    </row>
    <row r="14004" spans="12:17" x14ac:dyDescent="0.3">
      <c r="L14004" s="25"/>
      <c r="Q14004" s="17"/>
    </row>
    <row r="14005" spans="12:17" x14ac:dyDescent="0.3">
      <c r="L14005" s="25"/>
      <c r="Q14005" s="17"/>
    </row>
    <row r="14006" spans="12:17" x14ac:dyDescent="0.3">
      <c r="L14006" s="25"/>
      <c r="Q14006" s="17"/>
    </row>
    <row r="14007" spans="12:17" x14ac:dyDescent="0.3">
      <c r="L14007" s="25"/>
      <c r="Q14007" s="17"/>
    </row>
    <row r="14008" spans="12:17" x14ac:dyDescent="0.3">
      <c r="L14008" s="25"/>
      <c r="Q14008" s="17"/>
    </row>
    <row r="14009" spans="12:17" x14ac:dyDescent="0.3">
      <c r="L14009" s="25"/>
      <c r="Q14009" s="17"/>
    </row>
    <row r="14010" spans="12:17" x14ac:dyDescent="0.3">
      <c r="L14010" s="25"/>
      <c r="Q14010" s="17"/>
    </row>
    <row r="14011" spans="12:17" x14ac:dyDescent="0.3">
      <c r="L14011" s="25"/>
      <c r="Q14011" s="17"/>
    </row>
    <row r="14012" spans="12:17" x14ac:dyDescent="0.3">
      <c r="L14012" s="25"/>
      <c r="Q14012" s="17"/>
    </row>
    <row r="14013" spans="12:17" x14ac:dyDescent="0.3">
      <c r="L14013" s="25"/>
      <c r="Q14013" s="17"/>
    </row>
    <row r="14014" spans="12:17" x14ac:dyDescent="0.3">
      <c r="L14014" s="25"/>
      <c r="Q14014" s="17"/>
    </row>
    <row r="14015" spans="12:17" x14ac:dyDescent="0.3">
      <c r="L14015" s="25"/>
      <c r="Q14015" s="17"/>
    </row>
    <row r="14016" spans="12:17" x14ac:dyDescent="0.3">
      <c r="L14016" s="25"/>
      <c r="Q14016" s="17"/>
    </row>
    <row r="14017" spans="12:17" x14ac:dyDescent="0.3">
      <c r="L14017" s="25"/>
      <c r="Q14017" s="17"/>
    </row>
    <row r="14018" spans="12:17" x14ac:dyDescent="0.3">
      <c r="L14018" s="25"/>
      <c r="Q14018" s="17"/>
    </row>
    <row r="14019" spans="12:17" x14ac:dyDescent="0.3">
      <c r="L14019" s="25"/>
      <c r="Q14019" s="17"/>
    </row>
    <row r="14020" spans="12:17" x14ac:dyDescent="0.3">
      <c r="L14020" s="25"/>
      <c r="Q14020" s="17"/>
    </row>
    <row r="14021" spans="12:17" x14ac:dyDescent="0.3">
      <c r="L14021" s="25"/>
      <c r="Q14021" s="17"/>
    </row>
    <row r="14022" spans="12:17" x14ac:dyDescent="0.3">
      <c r="L14022" s="25"/>
      <c r="Q14022" s="17"/>
    </row>
    <row r="14023" spans="12:17" x14ac:dyDescent="0.3">
      <c r="L14023" s="25"/>
      <c r="Q14023" s="17"/>
    </row>
    <row r="14024" spans="12:17" x14ac:dyDescent="0.3">
      <c r="L14024" s="25"/>
      <c r="Q14024" s="17"/>
    </row>
    <row r="14025" spans="12:17" x14ac:dyDescent="0.3">
      <c r="L14025" s="25"/>
      <c r="Q14025" s="17"/>
    </row>
    <row r="14026" spans="12:17" x14ac:dyDescent="0.3">
      <c r="L14026" s="25"/>
      <c r="Q14026" s="17"/>
    </row>
    <row r="14027" spans="12:17" x14ac:dyDescent="0.3">
      <c r="L14027" s="25"/>
      <c r="Q14027" s="17"/>
    </row>
    <row r="14028" spans="12:17" x14ac:dyDescent="0.3">
      <c r="L14028" s="25"/>
      <c r="Q14028" s="17"/>
    </row>
    <row r="14029" spans="12:17" x14ac:dyDescent="0.3">
      <c r="L14029" s="25"/>
      <c r="Q14029" s="17"/>
    </row>
    <row r="14030" spans="12:17" x14ac:dyDescent="0.3">
      <c r="L14030" s="25"/>
      <c r="Q14030" s="17"/>
    </row>
    <row r="14031" spans="12:17" x14ac:dyDescent="0.3">
      <c r="L14031" s="25"/>
      <c r="Q14031" s="17"/>
    </row>
    <row r="14032" spans="12:17" x14ac:dyDescent="0.3">
      <c r="L14032" s="25"/>
      <c r="Q14032" s="17"/>
    </row>
    <row r="14033" spans="12:17" x14ac:dyDescent="0.3">
      <c r="L14033" s="25"/>
      <c r="Q14033" s="17"/>
    </row>
    <row r="14034" spans="12:17" x14ac:dyDescent="0.3">
      <c r="L14034" s="25"/>
      <c r="Q14034" s="17"/>
    </row>
    <row r="14035" spans="12:17" x14ac:dyDescent="0.3">
      <c r="L14035" s="25"/>
      <c r="Q14035" s="17"/>
    </row>
    <row r="14036" spans="12:17" x14ac:dyDescent="0.3">
      <c r="L14036" s="25"/>
      <c r="Q14036" s="17"/>
    </row>
    <row r="14037" spans="12:17" x14ac:dyDescent="0.3">
      <c r="L14037" s="25"/>
      <c r="Q14037" s="17"/>
    </row>
    <row r="14038" spans="12:17" x14ac:dyDescent="0.3">
      <c r="L14038" s="25"/>
      <c r="Q14038" s="17"/>
    </row>
    <row r="14039" spans="12:17" x14ac:dyDescent="0.3">
      <c r="L14039" s="25"/>
      <c r="Q14039" s="17"/>
    </row>
    <row r="14040" spans="12:17" x14ac:dyDescent="0.3">
      <c r="L14040" s="25"/>
      <c r="Q14040" s="17"/>
    </row>
    <row r="14041" spans="12:17" x14ac:dyDescent="0.3">
      <c r="L14041" s="25"/>
      <c r="Q14041" s="17"/>
    </row>
    <row r="14042" spans="12:17" x14ac:dyDescent="0.3">
      <c r="L14042" s="25"/>
      <c r="Q14042" s="17"/>
    </row>
    <row r="14043" spans="12:17" x14ac:dyDescent="0.3">
      <c r="L14043" s="25"/>
      <c r="Q14043" s="17"/>
    </row>
    <row r="14044" spans="12:17" x14ac:dyDescent="0.3">
      <c r="L14044" s="25"/>
      <c r="Q14044" s="17"/>
    </row>
    <row r="14045" spans="12:17" x14ac:dyDescent="0.3">
      <c r="L14045" s="25"/>
      <c r="Q14045" s="17"/>
    </row>
    <row r="14046" spans="12:17" x14ac:dyDescent="0.3">
      <c r="L14046" s="25"/>
      <c r="Q14046" s="17"/>
    </row>
    <row r="14047" spans="12:17" x14ac:dyDescent="0.3">
      <c r="L14047" s="25"/>
      <c r="Q14047" s="17"/>
    </row>
    <row r="14048" spans="12:17" x14ac:dyDescent="0.3">
      <c r="L14048" s="25"/>
      <c r="Q14048" s="17"/>
    </row>
    <row r="14049" spans="12:17" x14ac:dyDescent="0.3">
      <c r="L14049" s="25"/>
      <c r="Q14049" s="17"/>
    </row>
    <row r="14050" spans="12:17" x14ac:dyDescent="0.3">
      <c r="L14050" s="25"/>
      <c r="Q14050" s="17"/>
    </row>
    <row r="14051" spans="12:17" x14ac:dyDescent="0.3">
      <c r="L14051" s="25"/>
      <c r="Q14051" s="17"/>
    </row>
    <row r="14052" spans="12:17" x14ac:dyDescent="0.3">
      <c r="L14052" s="25"/>
      <c r="Q14052" s="17"/>
    </row>
    <row r="14053" spans="12:17" x14ac:dyDescent="0.3">
      <c r="L14053" s="25"/>
      <c r="Q14053" s="17"/>
    </row>
    <row r="14054" spans="12:17" x14ac:dyDescent="0.3">
      <c r="L14054" s="25"/>
      <c r="Q14054" s="17"/>
    </row>
    <row r="14055" spans="12:17" x14ac:dyDescent="0.3">
      <c r="L14055" s="25"/>
      <c r="Q14055" s="17"/>
    </row>
    <row r="14056" spans="12:17" x14ac:dyDescent="0.3">
      <c r="L14056" s="25"/>
      <c r="Q14056" s="17"/>
    </row>
    <row r="14057" spans="12:17" x14ac:dyDescent="0.3">
      <c r="L14057" s="25"/>
      <c r="Q14057" s="17"/>
    </row>
    <row r="14058" spans="12:17" x14ac:dyDescent="0.3">
      <c r="L14058" s="25"/>
      <c r="Q14058" s="17"/>
    </row>
    <row r="14059" spans="12:17" x14ac:dyDescent="0.3">
      <c r="L14059" s="25"/>
      <c r="Q14059" s="17"/>
    </row>
    <row r="14060" spans="12:17" x14ac:dyDescent="0.3">
      <c r="L14060" s="25"/>
      <c r="Q14060" s="17"/>
    </row>
    <row r="14061" spans="12:17" x14ac:dyDescent="0.3">
      <c r="L14061" s="25"/>
      <c r="Q14061" s="17"/>
    </row>
    <row r="14062" spans="12:17" x14ac:dyDescent="0.3">
      <c r="L14062" s="25"/>
      <c r="Q14062" s="17"/>
    </row>
    <row r="14063" spans="12:17" x14ac:dyDescent="0.3">
      <c r="L14063" s="25"/>
      <c r="Q14063" s="17"/>
    </row>
    <row r="14064" spans="12:17" x14ac:dyDescent="0.3">
      <c r="L14064" s="25"/>
      <c r="Q14064" s="17"/>
    </row>
    <row r="14065" spans="12:17" x14ac:dyDescent="0.3">
      <c r="L14065" s="25"/>
      <c r="Q14065" s="17"/>
    </row>
    <row r="14066" spans="12:17" x14ac:dyDescent="0.3">
      <c r="L14066" s="25"/>
      <c r="Q14066" s="17"/>
    </row>
    <row r="14067" spans="12:17" x14ac:dyDescent="0.3">
      <c r="L14067" s="25"/>
      <c r="Q14067" s="17"/>
    </row>
    <row r="14068" spans="12:17" x14ac:dyDescent="0.3">
      <c r="L14068" s="25"/>
      <c r="Q14068" s="17"/>
    </row>
    <row r="14069" spans="12:17" x14ac:dyDescent="0.3">
      <c r="L14069" s="25"/>
      <c r="Q14069" s="17"/>
    </row>
    <row r="14070" spans="12:17" x14ac:dyDescent="0.3">
      <c r="L14070" s="25"/>
      <c r="Q14070" s="17"/>
    </row>
    <row r="14071" spans="12:17" x14ac:dyDescent="0.3">
      <c r="L14071" s="25"/>
      <c r="Q14071" s="17"/>
    </row>
    <row r="14072" spans="12:17" x14ac:dyDescent="0.3">
      <c r="L14072" s="25"/>
      <c r="Q14072" s="17"/>
    </row>
    <row r="14073" spans="12:17" x14ac:dyDescent="0.3">
      <c r="L14073" s="25"/>
      <c r="Q14073" s="17"/>
    </row>
    <row r="14074" spans="12:17" x14ac:dyDescent="0.3">
      <c r="L14074" s="25"/>
      <c r="Q14074" s="17"/>
    </row>
    <row r="14075" spans="12:17" x14ac:dyDescent="0.3">
      <c r="L14075" s="25"/>
      <c r="Q14075" s="17"/>
    </row>
    <row r="14076" spans="12:17" x14ac:dyDescent="0.3">
      <c r="L14076" s="25"/>
      <c r="Q14076" s="17"/>
    </row>
    <row r="14077" spans="12:17" x14ac:dyDescent="0.3">
      <c r="L14077" s="25"/>
      <c r="Q14077" s="17"/>
    </row>
    <row r="14078" spans="12:17" x14ac:dyDescent="0.3">
      <c r="L14078" s="25"/>
      <c r="Q14078" s="17"/>
    </row>
    <row r="14079" spans="12:17" x14ac:dyDescent="0.3">
      <c r="L14079" s="25"/>
      <c r="Q14079" s="17"/>
    </row>
    <row r="14080" spans="12:17" x14ac:dyDescent="0.3">
      <c r="L14080" s="25"/>
      <c r="Q14080" s="17"/>
    </row>
    <row r="14081" spans="12:17" x14ac:dyDescent="0.3">
      <c r="L14081" s="25"/>
      <c r="Q14081" s="17"/>
    </row>
    <row r="14082" spans="12:17" x14ac:dyDescent="0.3">
      <c r="L14082" s="25"/>
      <c r="Q14082" s="17"/>
    </row>
    <row r="14083" spans="12:17" x14ac:dyDescent="0.3">
      <c r="L14083" s="25"/>
      <c r="Q14083" s="17"/>
    </row>
    <row r="14084" spans="12:17" x14ac:dyDescent="0.3">
      <c r="L14084" s="25"/>
      <c r="Q14084" s="17"/>
    </row>
    <row r="14085" spans="12:17" x14ac:dyDescent="0.3">
      <c r="L14085" s="25"/>
      <c r="Q14085" s="17"/>
    </row>
    <row r="14086" spans="12:17" x14ac:dyDescent="0.3">
      <c r="L14086" s="25"/>
      <c r="Q14086" s="17"/>
    </row>
    <row r="14087" spans="12:17" x14ac:dyDescent="0.3">
      <c r="L14087" s="25"/>
      <c r="Q14087" s="17"/>
    </row>
    <row r="14088" spans="12:17" x14ac:dyDescent="0.3">
      <c r="L14088" s="25"/>
      <c r="Q14088" s="17"/>
    </row>
    <row r="14089" spans="12:17" x14ac:dyDescent="0.3">
      <c r="L14089" s="25"/>
      <c r="Q14089" s="17"/>
    </row>
    <row r="14090" spans="12:17" x14ac:dyDescent="0.3">
      <c r="L14090" s="25"/>
      <c r="Q14090" s="17"/>
    </row>
    <row r="14091" spans="12:17" x14ac:dyDescent="0.3">
      <c r="L14091" s="25"/>
      <c r="Q14091" s="17"/>
    </row>
    <row r="14092" spans="12:17" x14ac:dyDescent="0.3">
      <c r="L14092" s="25"/>
      <c r="Q14092" s="17"/>
    </row>
    <row r="14093" spans="12:17" x14ac:dyDescent="0.3">
      <c r="L14093" s="25"/>
      <c r="Q14093" s="17"/>
    </row>
    <row r="14094" spans="12:17" x14ac:dyDescent="0.3">
      <c r="L14094" s="25"/>
      <c r="Q14094" s="17"/>
    </row>
    <row r="14095" spans="12:17" x14ac:dyDescent="0.3">
      <c r="L14095" s="25"/>
      <c r="Q14095" s="17"/>
    </row>
    <row r="14096" spans="12:17" x14ac:dyDescent="0.3">
      <c r="L14096" s="25"/>
      <c r="Q14096" s="17"/>
    </row>
    <row r="14097" spans="12:17" x14ac:dyDescent="0.3">
      <c r="L14097" s="25"/>
      <c r="Q14097" s="17"/>
    </row>
    <row r="14098" spans="12:17" x14ac:dyDescent="0.3">
      <c r="L14098" s="25"/>
      <c r="Q14098" s="17"/>
    </row>
    <row r="14099" spans="12:17" x14ac:dyDescent="0.3">
      <c r="L14099" s="25"/>
      <c r="Q14099" s="17"/>
    </row>
    <row r="14100" spans="12:17" x14ac:dyDescent="0.3">
      <c r="L14100" s="25"/>
      <c r="Q14100" s="17"/>
    </row>
    <row r="14101" spans="12:17" x14ac:dyDescent="0.3">
      <c r="L14101" s="25"/>
      <c r="Q14101" s="17"/>
    </row>
    <row r="14102" spans="12:17" x14ac:dyDescent="0.3">
      <c r="L14102" s="25"/>
      <c r="Q14102" s="17"/>
    </row>
    <row r="14103" spans="12:17" x14ac:dyDescent="0.3">
      <c r="L14103" s="25"/>
      <c r="Q14103" s="17"/>
    </row>
    <row r="14104" spans="12:17" x14ac:dyDescent="0.3">
      <c r="L14104" s="25"/>
      <c r="Q14104" s="17"/>
    </row>
    <row r="14105" spans="12:17" x14ac:dyDescent="0.3">
      <c r="L14105" s="25"/>
      <c r="Q14105" s="17"/>
    </row>
    <row r="14106" spans="12:17" x14ac:dyDescent="0.3">
      <c r="L14106" s="25"/>
      <c r="Q14106" s="17"/>
    </row>
    <row r="14107" spans="12:17" x14ac:dyDescent="0.3">
      <c r="L14107" s="25"/>
      <c r="Q14107" s="17"/>
    </row>
    <row r="14108" spans="12:17" x14ac:dyDescent="0.3">
      <c r="L14108" s="25"/>
      <c r="Q14108" s="17"/>
    </row>
    <row r="14109" spans="12:17" x14ac:dyDescent="0.3">
      <c r="L14109" s="25"/>
      <c r="Q14109" s="17"/>
    </row>
    <row r="14110" spans="12:17" x14ac:dyDescent="0.3">
      <c r="L14110" s="25"/>
      <c r="Q14110" s="17"/>
    </row>
    <row r="14111" spans="12:17" x14ac:dyDescent="0.3">
      <c r="L14111" s="25"/>
      <c r="Q14111" s="17"/>
    </row>
    <row r="14112" spans="12:17" x14ac:dyDescent="0.3">
      <c r="L14112" s="25"/>
      <c r="Q14112" s="17"/>
    </row>
    <row r="14113" spans="12:17" x14ac:dyDescent="0.3">
      <c r="L14113" s="25"/>
      <c r="Q14113" s="17"/>
    </row>
    <row r="14114" spans="12:17" x14ac:dyDescent="0.3">
      <c r="L14114" s="25"/>
      <c r="Q14114" s="17"/>
    </row>
    <row r="14115" spans="12:17" x14ac:dyDescent="0.3">
      <c r="L14115" s="25"/>
      <c r="Q14115" s="17"/>
    </row>
    <row r="14116" spans="12:17" x14ac:dyDescent="0.3">
      <c r="L14116" s="25"/>
      <c r="Q14116" s="17"/>
    </row>
    <row r="14117" spans="12:17" x14ac:dyDescent="0.3">
      <c r="L14117" s="25"/>
      <c r="Q14117" s="17"/>
    </row>
    <row r="14118" spans="12:17" x14ac:dyDescent="0.3">
      <c r="L14118" s="25"/>
      <c r="Q14118" s="17"/>
    </row>
    <row r="14119" spans="12:17" x14ac:dyDescent="0.3">
      <c r="L14119" s="25"/>
      <c r="Q14119" s="17"/>
    </row>
    <row r="14120" spans="12:17" x14ac:dyDescent="0.3">
      <c r="L14120" s="25"/>
      <c r="Q14120" s="17"/>
    </row>
    <row r="14121" spans="12:17" x14ac:dyDescent="0.3">
      <c r="L14121" s="25"/>
      <c r="Q14121" s="17"/>
    </row>
    <row r="14122" spans="12:17" x14ac:dyDescent="0.3">
      <c r="L14122" s="25"/>
      <c r="Q14122" s="17"/>
    </row>
    <row r="14123" spans="12:17" x14ac:dyDescent="0.3">
      <c r="L14123" s="25"/>
      <c r="Q14123" s="17"/>
    </row>
    <row r="14124" spans="12:17" x14ac:dyDescent="0.3">
      <c r="L14124" s="25"/>
      <c r="Q14124" s="17"/>
    </row>
    <row r="14125" spans="12:17" x14ac:dyDescent="0.3">
      <c r="L14125" s="25"/>
      <c r="Q14125" s="17"/>
    </row>
    <row r="14126" spans="12:17" x14ac:dyDescent="0.3">
      <c r="L14126" s="25"/>
      <c r="Q14126" s="17"/>
    </row>
    <row r="14127" spans="12:17" x14ac:dyDescent="0.3">
      <c r="L14127" s="25"/>
      <c r="Q14127" s="17"/>
    </row>
    <row r="14128" spans="12:17" x14ac:dyDescent="0.3">
      <c r="L14128" s="25"/>
      <c r="Q14128" s="17"/>
    </row>
    <row r="14129" spans="12:17" x14ac:dyDescent="0.3">
      <c r="L14129" s="25"/>
      <c r="Q14129" s="17"/>
    </row>
    <row r="14130" spans="12:17" x14ac:dyDescent="0.3">
      <c r="L14130" s="25"/>
      <c r="Q14130" s="17"/>
    </row>
    <row r="14131" spans="12:17" x14ac:dyDescent="0.3">
      <c r="L14131" s="25"/>
      <c r="Q14131" s="17"/>
    </row>
    <row r="14132" spans="12:17" x14ac:dyDescent="0.3">
      <c r="L14132" s="25"/>
      <c r="Q14132" s="17"/>
    </row>
    <row r="14133" spans="12:17" x14ac:dyDescent="0.3">
      <c r="L14133" s="25"/>
      <c r="Q14133" s="17"/>
    </row>
    <row r="14134" spans="12:17" x14ac:dyDescent="0.3">
      <c r="L14134" s="25"/>
      <c r="Q14134" s="17"/>
    </row>
    <row r="14135" spans="12:17" x14ac:dyDescent="0.3">
      <c r="L14135" s="25"/>
      <c r="Q14135" s="17"/>
    </row>
    <row r="14136" spans="12:17" x14ac:dyDescent="0.3">
      <c r="L14136" s="25"/>
      <c r="Q14136" s="17"/>
    </row>
    <row r="14137" spans="12:17" x14ac:dyDescent="0.3">
      <c r="L14137" s="25"/>
      <c r="Q14137" s="17"/>
    </row>
    <row r="14138" spans="12:17" x14ac:dyDescent="0.3">
      <c r="L14138" s="25"/>
      <c r="Q14138" s="17"/>
    </row>
    <row r="14139" spans="12:17" x14ac:dyDescent="0.3">
      <c r="L14139" s="25"/>
      <c r="Q14139" s="17"/>
    </row>
    <row r="14140" spans="12:17" x14ac:dyDescent="0.3">
      <c r="L14140" s="25"/>
      <c r="Q14140" s="17"/>
    </row>
    <row r="14141" spans="12:17" x14ac:dyDescent="0.3">
      <c r="L14141" s="25"/>
      <c r="Q14141" s="17"/>
    </row>
    <row r="14142" spans="12:17" x14ac:dyDescent="0.3">
      <c r="L14142" s="25"/>
      <c r="Q14142" s="17"/>
    </row>
    <row r="14143" spans="12:17" x14ac:dyDescent="0.3">
      <c r="L14143" s="25"/>
      <c r="Q14143" s="17"/>
    </row>
    <row r="14144" spans="12:17" x14ac:dyDescent="0.3">
      <c r="L14144" s="25"/>
      <c r="Q14144" s="17"/>
    </row>
    <row r="14145" spans="12:17" x14ac:dyDescent="0.3">
      <c r="L14145" s="25"/>
      <c r="Q14145" s="17"/>
    </row>
    <row r="14146" spans="12:17" x14ac:dyDescent="0.3">
      <c r="L14146" s="25"/>
      <c r="Q14146" s="17"/>
    </row>
    <row r="14147" spans="12:17" x14ac:dyDescent="0.3">
      <c r="L14147" s="25"/>
      <c r="Q14147" s="17"/>
    </row>
    <row r="14148" spans="12:17" x14ac:dyDescent="0.3">
      <c r="L14148" s="25"/>
      <c r="Q14148" s="17"/>
    </row>
    <row r="14149" spans="12:17" x14ac:dyDescent="0.3">
      <c r="L14149" s="25"/>
      <c r="Q14149" s="17"/>
    </row>
    <row r="14150" spans="12:17" x14ac:dyDescent="0.3">
      <c r="L14150" s="25"/>
      <c r="Q14150" s="17"/>
    </row>
    <row r="14151" spans="12:17" x14ac:dyDescent="0.3">
      <c r="L14151" s="25"/>
      <c r="Q14151" s="17"/>
    </row>
    <row r="14152" spans="12:17" x14ac:dyDescent="0.3">
      <c r="L14152" s="25"/>
      <c r="Q14152" s="17"/>
    </row>
    <row r="14153" spans="12:17" x14ac:dyDescent="0.3">
      <c r="L14153" s="25"/>
      <c r="Q14153" s="17"/>
    </row>
    <row r="14154" spans="12:17" x14ac:dyDescent="0.3">
      <c r="L14154" s="25"/>
      <c r="Q14154" s="17"/>
    </row>
    <row r="14155" spans="12:17" x14ac:dyDescent="0.3">
      <c r="L14155" s="25"/>
      <c r="Q14155" s="17"/>
    </row>
    <row r="14156" spans="12:17" x14ac:dyDescent="0.3">
      <c r="L14156" s="25"/>
      <c r="Q14156" s="17"/>
    </row>
    <row r="14157" spans="12:17" x14ac:dyDescent="0.3">
      <c r="L14157" s="25"/>
      <c r="Q14157" s="17"/>
    </row>
    <row r="14158" spans="12:17" x14ac:dyDescent="0.3">
      <c r="L14158" s="25"/>
      <c r="Q14158" s="17"/>
    </row>
    <row r="14159" spans="12:17" x14ac:dyDescent="0.3">
      <c r="L14159" s="25"/>
      <c r="Q14159" s="17"/>
    </row>
    <row r="14160" spans="12:17" x14ac:dyDescent="0.3">
      <c r="L14160" s="25"/>
      <c r="Q14160" s="17"/>
    </row>
    <row r="14161" spans="12:17" x14ac:dyDescent="0.3">
      <c r="L14161" s="25"/>
      <c r="Q14161" s="17"/>
    </row>
    <row r="14162" spans="12:17" x14ac:dyDescent="0.3">
      <c r="L14162" s="25"/>
      <c r="Q14162" s="17"/>
    </row>
    <row r="14163" spans="12:17" x14ac:dyDescent="0.3">
      <c r="L14163" s="25"/>
      <c r="Q14163" s="17"/>
    </row>
    <row r="14164" spans="12:17" x14ac:dyDescent="0.3">
      <c r="L14164" s="25"/>
      <c r="Q14164" s="17"/>
    </row>
    <row r="14165" spans="12:17" x14ac:dyDescent="0.3">
      <c r="L14165" s="25"/>
      <c r="Q14165" s="17"/>
    </row>
    <row r="14166" spans="12:17" x14ac:dyDescent="0.3">
      <c r="L14166" s="25"/>
      <c r="Q14166" s="17"/>
    </row>
    <row r="14167" spans="12:17" x14ac:dyDescent="0.3">
      <c r="L14167" s="25"/>
      <c r="Q14167" s="17"/>
    </row>
    <row r="14168" spans="12:17" x14ac:dyDescent="0.3">
      <c r="L14168" s="25"/>
      <c r="Q14168" s="17"/>
    </row>
    <row r="14169" spans="12:17" x14ac:dyDescent="0.3">
      <c r="L14169" s="25"/>
      <c r="Q14169" s="17"/>
    </row>
    <row r="14170" spans="12:17" x14ac:dyDescent="0.3">
      <c r="L14170" s="25"/>
      <c r="Q14170" s="17"/>
    </row>
    <row r="14171" spans="12:17" x14ac:dyDescent="0.3">
      <c r="L14171" s="25"/>
      <c r="Q14171" s="17"/>
    </row>
    <row r="14172" spans="12:17" x14ac:dyDescent="0.3">
      <c r="L14172" s="25"/>
      <c r="Q14172" s="17"/>
    </row>
    <row r="14173" spans="12:17" x14ac:dyDescent="0.3">
      <c r="L14173" s="25"/>
      <c r="Q14173" s="17"/>
    </row>
    <row r="14174" spans="12:17" x14ac:dyDescent="0.3">
      <c r="L14174" s="25"/>
      <c r="Q14174" s="17"/>
    </row>
    <row r="14175" spans="12:17" x14ac:dyDescent="0.3">
      <c r="L14175" s="25"/>
      <c r="Q14175" s="17"/>
    </row>
    <row r="14176" spans="12:17" x14ac:dyDescent="0.3">
      <c r="L14176" s="25"/>
      <c r="Q14176" s="17"/>
    </row>
    <row r="14177" spans="12:17" x14ac:dyDescent="0.3">
      <c r="L14177" s="25"/>
      <c r="Q14177" s="17"/>
    </row>
    <row r="14178" spans="12:17" x14ac:dyDescent="0.3">
      <c r="L14178" s="25"/>
      <c r="Q14178" s="17"/>
    </row>
    <row r="14179" spans="12:17" x14ac:dyDescent="0.3">
      <c r="L14179" s="25"/>
      <c r="Q14179" s="17"/>
    </row>
    <row r="14180" spans="12:17" x14ac:dyDescent="0.3">
      <c r="L14180" s="25"/>
      <c r="Q14180" s="17"/>
    </row>
    <row r="14181" spans="12:17" x14ac:dyDescent="0.3">
      <c r="L14181" s="25"/>
      <c r="Q14181" s="17"/>
    </row>
    <row r="14182" spans="12:17" x14ac:dyDescent="0.3">
      <c r="L14182" s="25"/>
      <c r="Q14182" s="17"/>
    </row>
    <row r="14183" spans="12:17" x14ac:dyDescent="0.3">
      <c r="L14183" s="25"/>
      <c r="Q14183" s="17"/>
    </row>
    <row r="14184" spans="12:17" x14ac:dyDescent="0.3">
      <c r="L14184" s="25"/>
      <c r="Q14184" s="17"/>
    </row>
    <row r="14185" spans="12:17" x14ac:dyDescent="0.3">
      <c r="L14185" s="25"/>
      <c r="Q14185" s="17"/>
    </row>
    <row r="14186" spans="12:17" x14ac:dyDescent="0.3">
      <c r="L14186" s="25"/>
      <c r="Q14186" s="17"/>
    </row>
    <row r="14187" spans="12:17" x14ac:dyDescent="0.3">
      <c r="L14187" s="25"/>
      <c r="Q14187" s="17"/>
    </row>
    <row r="14188" spans="12:17" x14ac:dyDescent="0.3">
      <c r="L14188" s="25"/>
      <c r="Q14188" s="17"/>
    </row>
    <row r="14189" spans="12:17" x14ac:dyDescent="0.3">
      <c r="L14189" s="25"/>
      <c r="Q14189" s="17"/>
    </row>
    <row r="14190" spans="12:17" x14ac:dyDescent="0.3">
      <c r="L14190" s="25"/>
      <c r="Q14190" s="17"/>
    </row>
    <row r="14191" spans="12:17" x14ac:dyDescent="0.3">
      <c r="L14191" s="25"/>
      <c r="Q14191" s="17"/>
    </row>
    <row r="14192" spans="12:17" x14ac:dyDescent="0.3">
      <c r="L14192" s="25"/>
      <c r="Q14192" s="17"/>
    </row>
    <row r="14193" spans="12:17" x14ac:dyDescent="0.3">
      <c r="L14193" s="25"/>
      <c r="Q14193" s="17"/>
    </row>
    <row r="14194" spans="12:17" x14ac:dyDescent="0.3">
      <c r="L14194" s="25"/>
      <c r="Q14194" s="17"/>
    </row>
    <row r="14195" spans="12:17" x14ac:dyDescent="0.3">
      <c r="L14195" s="25"/>
      <c r="Q14195" s="17"/>
    </row>
    <row r="14196" spans="12:17" x14ac:dyDescent="0.3">
      <c r="L14196" s="25"/>
      <c r="Q14196" s="17"/>
    </row>
    <row r="14197" spans="12:17" x14ac:dyDescent="0.3">
      <c r="L14197" s="25"/>
      <c r="Q14197" s="17"/>
    </row>
    <row r="14198" spans="12:17" x14ac:dyDescent="0.3">
      <c r="L14198" s="25"/>
      <c r="Q14198" s="17"/>
    </row>
    <row r="14199" spans="12:17" x14ac:dyDescent="0.3">
      <c r="L14199" s="25"/>
      <c r="Q14199" s="17"/>
    </row>
    <row r="14200" spans="12:17" x14ac:dyDescent="0.3">
      <c r="L14200" s="25"/>
      <c r="Q14200" s="17"/>
    </row>
    <row r="14201" spans="12:17" x14ac:dyDescent="0.3">
      <c r="L14201" s="25"/>
      <c r="Q14201" s="17"/>
    </row>
    <row r="14202" spans="12:17" x14ac:dyDescent="0.3">
      <c r="L14202" s="25"/>
      <c r="Q14202" s="17"/>
    </row>
    <row r="14203" spans="12:17" x14ac:dyDescent="0.3">
      <c r="L14203" s="25"/>
      <c r="Q14203" s="17"/>
    </row>
    <row r="14204" spans="12:17" x14ac:dyDescent="0.3">
      <c r="L14204" s="25"/>
      <c r="Q14204" s="17"/>
    </row>
    <row r="14205" spans="12:17" x14ac:dyDescent="0.3">
      <c r="L14205" s="25"/>
      <c r="Q14205" s="17"/>
    </row>
    <row r="14206" spans="12:17" x14ac:dyDescent="0.3">
      <c r="L14206" s="25"/>
      <c r="Q14206" s="17"/>
    </row>
    <row r="14207" spans="12:17" x14ac:dyDescent="0.3">
      <c r="L14207" s="25"/>
      <c r="Q14207" s="17"/>
    </row>
    <row r="14208" spans="12:17" x14ac:dyDescent="0.3">
      <c r="L14208" s="25"/>
      <c r="Q14208" s="17"/>
    </row>
    <row r="14209" spans="12:17" x14ac:dyDescent="0.3">
      <c r="L14209" s="25"/>
      <c r="Q14209" s="17"/>
    </row>
    <row r="14210" spans="12:17" x14ac:dyDescent="0.3">
      <c r="L14210" s="25"/>
      <c r="Q14210" s="17"/>
    </row>
    <row r="14211" spans="12:17" x14ac:dyDescent="0.3">
      <c r="L14211" s="25"/>
      <c r="Q14211" s="17"/>
    </row>
    <row r="14212" spans="12:17" x14ac:dyDescent="0.3">
      <c r="L14212" s="25"/>
      <c r="Q14212" s="17"/>
    </row>
    <row r="14213" spans="12:17" x14ac:dyDescent="0.3">
      <c r="L14213" s="25"/>
      <c r="Q14213" s="17"/>
    </row>
    <row r="14214" spans="12:17" x14ac:dyDescent="0.3">
      <c r="L14214" s="25"/>
      <c r="Q14214" s="17"/>
    </row>
    <row r="14215" spans="12:17" x14ac:dyDescent="0.3">
      <c r="L14215" s="25"/>
      <c r="Q14215" s="17"/>
    </row>
    <row r="14216" spans="12:17" x14ac:dyDescent="0.3">
      <c r="L14216" s="25"/>
      <c r="Q14216" s="17"/>
    </row>
    <row r="14217" spans="12:17" x14ac:dyDescent="0.3">
      <c r="L14217" s="25"/>
      <c r="Q14217" s="17"/>
    </row>
    <row r="14218" spans="12:17" x14ac:dyDescent="0.3">
      <c r="L14218" s="25"/>
      <c r="Q14218" s="17"/>
    </row>
    <row r="14219" spans="12:17" x14ac:dyDescent="0.3">
      <c r="L14219" s="25"/>
      <c r="Q14219" s="17"/>
    </row>
    <row r="14220" spans="12:17" x14ac:dyDescent="0.3">
      <c r="L14220" s="25"/>
      <c r="Q14220" s="17"/>
    </row>
    <row r="14221" spans="12:17" x14ac:dyDescent="0.3">
      <c r="L14221" s="25"/>
      <c r="Q14221" s="17"/>
    </row>
    <row r="14222" spans="12:17" x14ac:dyDescent="0.3">
      <c r="L14222" s="25"/>
      <c r="Q14222" s="17"/>
    </row>
    <row r="14223" spans="12:17" x14ac:dyDescent="0.3">
      <c r="L14223" s="25"/>
      <c r="Q14223" s="17"/>
    </row>
    <row r="14224" spans="12:17" x14ac:dyDescent="0.3">
      <c r="L14224" s="25"/>
      <c r="Q14224" s="17"/>
    </row>
    <row r="14225" spans="12:17" x14ac:dyDescent="0.3">
      <c r="L14225" s="25"/>
      <c r="Q14225" s="17"/>
    </row>
    <row r="14226" spans="12:17" x14ac:dyDescent="0.3">
      <c r="L14226" s="25"/>
      <c r="Q14226" s="17"/>
    </row>
    <row r="14227" spans="12:17" x14ac:dyDescent="0.3">
      <c r="L14227" s="25"/>
      <c r="Q14227" s="17"/>
    </row>
    <row r="14228" spans="12:17" x14ac:dyDescent="0.3">
      <c r="L14228" s="25"/>
      <c r="Q14228" s="17"/>
    </row>
    <row r="14229" spans="12:17" x14ac:dyDescent="0.3">
      <c r="L14229" s="25"/>
      <c r="Q14229" s="17"/>
    </row>
    <row r="14230" spans="12:17" x14ac:dyDescent="0.3">
      <c r="L14230" s="25"/>
      <c r="Q14230" s="17"/>
    </row>
    <row r="14231" spans="12:17" x14ac:dyDescent="0.3">
      <c r="L14231" s="25"/>
      <c r="Q14231" s="17"/>
    </row>
    <row r="14232" spans="12:17" x14ac:dyDescent="0.3">
      <c r="L14232" s="25"/>
      <c r="Q14232" s="17"/>
    </row>
    <row r="14233" spans="12:17" x14ac:dyDescent="0.3">
      <c r="L14233" s="25"/>
      <c r="Q14233" s="17"/>
    </row>
    <row r="14234" spans="12:17" x14ac:dyDescent="0.3">
      <c r="L14234" s="25"/>
      <c r="Q14234" s="17"/>
    </row>
    <row r="14235" spans="12:17" x14ac:dyDescent="0.3">
      <c r="L14235" s="25"/>
      <c r="Q14235" s="17"/>
    </row>
    <row r="14236" spans="12:17" x14ac:dyDescent="0.3">
      <c r="L14236" s="25"/>
      <c r="Q14236" s="17"/>
    </row>
    <row r="14237" spans="12:17" x14ac:dyDescent="0.3">
      <c r="L14237" s="25"/>
      <c r="Q14237" s="17"/>
    </row>
    <row r="14238" spans="12:17" x14ac:dyDescent="0.3">
      <c r="L14238" s="25"/>
      <c r="Q14238" s="17"/>
    </row>
    <row r="14239" spans="12:17" x14ac:dyDescent="0.3">
      <c r="L14239" s="25"/>
      <c r="Q14239" s="17"/>
    </row>
    <row r="14240" spans="12:17" x14ac:dyDescent="0.3">
      <c r="L14240" s="25"/>
      <c r="Q14240" s="17"/>
    </row>
    <row r="14241" spans="12:17" x14ac:dyDescent="0.3">
      <c r="L14241" s="25"/>
      <c r="Q14241" s="17"/>
    </row>
    <row r="14242" spans="12:17" x14ac:dyDescent="0.3">
      <c r="L14242" s="25"/>
      <c r="Q14242" s="17"/>
    </row>
    <row r="14243" spans="12:17" x14ac:dyDescent="0.3">
      <c r="L14243" s="25"/>
      <c r="Q14243" s="17"/>
    </row>
    <row r="14244" spans="12:17" x14ac:dyDescent="0.3">
      <c r="L14244" s="25"/>
      <c r="Q14244" s="17"/>
    </row>
    <row r="14245" spans="12:17" x14ac:dyDescent="0.3">
      <c r="L14245" s="25"/>
      <c r="Q14245" s="17"/>
    </row>
    <row r="14246" spans="12:17" x14ac:dyDescent="0.3">
      <c r="L14246" s="25"/>
      <c r="Q14246" s="17"/>
    </row>
    <row r="14247" spans="12:17" x14ac:dyDescent="0.3">
      <c r="L14247" s="25"/>
      <c r="Q14247" s="17"/>
    </row>
    <row r="14248" spans="12:17" x14ac:dyDescent="0.3">
      <c r="L14248" s="25"/>
      <c r="Q14248" s="17"/>
    </row>
    <row r="14249" spans="12:17" x14ac:dyDescent="0.3">
      <c r="L14249" s="25"/>
      <c r="Q14249" s="17"/>
    </row>
    <row r="14250" spans="12:17" x14ac:dyDescent="0.3">
      <c r="L14250" s="25"/>
      <c r="Q14250" s="17"/>
    </row>
    <row r="14251" spans="12:17" x14ac:dyDescent="0.3">
      <c r="L14251" s="25"/>
      <c r="Q14251" s="17"/>
    </row>
    <row r="14252" spans="12:17" x14ac:dyDescent="0.3">
      <c r="L14252" s="25"/>
      <c r="Q14252" s="17"/>
    </row>
    <row r="14253" spans="12:17" x14ac:dyDescent="0.3">
      <c r="L14253" s="25"/>
      <c r="Q14253" s="17"/>
    </row>
    <row r="14254" spans="12:17" x14ac:dyDescent="0.3">
      <c r="L14254" s="25"/>
      <c r="Q14254" s="17"/>
    </row>
    <row r="14255" spans="12:17" x14ac:dyDescent="0.3">
      <c r="L14255" s="25"/>
      <c r="Q14255" s="17"/>
    </row>
    <row r="14256" spans="12:17" x14ac:dyDescent="0.3">
      <c r="L14256" s="25"/>
      <c r="Q14256" s="17"/>
    </row>
    <row r="14257" spans="12:17" x14ac:dyDescent="0.3">
      <c r="L14257" s="25"/>
      <c r="Q14257" s="17"/>
    </row>
    <row r="14258" spans="12:17" x14ac:dyDescent="0.3">
      <c r="L14258" s="25"/>
      <c r="Q14258" s="17"/>
    </row>
    <row r="14259" spans="12:17" x14ac:dyDescent="0.3">
      <c r="L14259" s="25"/>
      <c r="Q14259" s="17"/>
    </row>
    <row r="14260" spans="12:17" x14ac:dyDescent="0.3">
      <c r="L14260" s="25"/>
      <c r="Q14260" s="17"/>
    </row>
    <row r="14261" spans="12:17" x14ac:dyDescent="0.3">
      <c r="L14261" s="25"/>
      <c r="Q14261" s="17"/>
    </row>
    <row r="14262" spans="12:17" x14ac:dyDescent="0.3">
      <c r="L14262" s="25"/>
      <c r="Q14262" s="17"/>
    </row>
    <row r="14263" spans="12:17" x14ac:dyDescent="0.3">
      <c r="L14263" s="25"/>
      <c r="Q14263" s="17"/>
    </row>
    <row r="14264" spans="12:17" x14ac:dyDescent="0.3">
      <c r="L14264" s="25"/>
      <c r="Q14264" s="17"/>
    </row>
    <row r="14265" spans="12:17" x14ac:dyDescent="0.3">
      <c r="L14265" s="25"/>
      <c r="Q14265" s="17"/>
    </row>
    <row r="14266" spans="12:17" x14ac:dyDescent="0.3">
      <c r="L14266" s="25"/>
      <c r="Q14266" s="17"/>
    </row>
    <row r="14267" spans="12:17" x14ac:dyDescent="0.3">
      <c r="L14267" s="25"/>
      <c r="Q14267" s="17"/>
    </row>
    <row r="14268" spans="12:17" x14ac:dyDescent="0.3">
      <c r="L14268" s="25"/>
      <c r="Q14268" s="17"/>
    </row>
    <row r="14269" spans="12:17" x14ac:dyDescent="0.3">
      <c r="L14269" s="25"/>
      <c r="Q14269" s="17"/>
    </row>
    <row r="14270" spans="12:17" x14ac:dyDescent="0.3">
      <c r="L14270" s="25"/>
      <c r="Q14270" s="17"/>
    </row>
    <row r="14271" spans="12:17" x14ac:dyDescent="0.3">
      <c r="L14271" s="25"/>
      <c r="Q14271" s="17"/>
    </row>
    <row r="14272" spans="12:17" x14ac:dyDescent="0.3">
      <c r="L14272" s="25"/>
      <c r="Q14272" s="17"/>
    </row>
    <row r="14273" spans="12:17" x14ac:dyDescent="0.3">
      <c r="L14273" s="25"/>
      <c r="Q14273" s="17"/>
    </row>
    <row r="14274" spans="12:17" x14ac:dyDescent="0.3">
      <c r="L14274" s="25"/>
      <c r="Q14274" s="17"/>
    </row>
    <row r="14275" spans="12:17" x14ac:dyDescent="0.3">
      <c r="L14275" s="25"/>
      <c r="Q14275" s="17"/>
    </row>
    <row r="14276" spans="12:17" x14ac:dyDescent="0.3">
      <c r="L14276" s="25"/>
      <c r="Q14276" s="17"/>
    </row>
    <row r="14277" spans="12:17" x14ac:dyDescent="0.3">
      <c r="L14277" s="25"/>
      <c r="Q14277" s="17"/>
    </row>
    <row r="14278" spans="12:17" x14ac:dyDescent="0.3">
      <c r="L14278" s="25"/>
      <c r="Q14278" s="17"/>
    </row>
    <row r="14279" spans="12:17" x14ac:dyDescent="0.3">
      <c r="L14279" s="25"/>
      <c r="Q14279" s="17"/>
    </row>
    <row r="14280" spans="12:17" x14ac:dyDescent="0.3">
      <c r="L14280" s="25"/>
      <c r="Q14280" s="17"/>
    </row>
    <row r="14281" spans="12:17" x14ac:dyDescent="0.3">
      <c r="L14281" s="25"/>
      <c r="Q14281" s="17"/>
    </row>
    <row r="14282" spans="12:17" x14ac:dyDescent="0.3">
      <c r="L14282" s="25"/>
      <c r="Q14282" s="17"/>
    </row>
    <row r="14283" spans="12:17" x14ac:dyDescent="0.3">
      <c r="L14283" s="25"/>
      <c r="Q14283" s="17"/>
    </row>
    <row r="14284" spans="12:17" x14ac:dyDescent="0.3">
      <c r="L14284" s="25"/>
      <c r="Q14284" s="17"/>
    </row>
    <row r="14285" spans="12:17" x14ac:dyDescent="0.3">
      <c r="L14285" s="25"/>
      <c r="Q14285" s="17"/>
    </row>
    <row r="14286" spans="12:17" x14ac:dyDescent="0.3">
      <c r="L14286" s="25"/>
      <c r="Q14286" s="17"/>
    </row>
    <row r="14287" spans="12:17" x14ac:dyDescent="0.3">
      <c r="L14287" s="25"/>
      <c r="Q14287" s="17"/>
    </row>
    <row r="14288" spans="12:17" x14ac:dyDescent="0.3">
      <c r="L14288" s="25"/>
      <c r="Q14288" s="17"/>
    </row>
    <row r="14289" spans="12:17" x14ac:dyDescent="0.3">
      <c r="L14289" s="25"/>
      <c r="Q14289" s="17"/>
    </row>
    <row r="14290" spans="12:17" x14ac:dyDescent="0.3">
      <c r="L14290" s="25"/>
      <c r="Q14290" s="17"/>
    </row>
    <row r="14291" spans="12:17" x14ac:dyDescent="0.3">
      <c r="L14291" s="25"/>
      <c r="Q14291" s="17"/>
    </row>
    <row r="14292" spans="12:17" x14ac:dyDescent="0.3">
      <c r="L14292" s="25"/>
      <c r="Q14292" s="17"/>
    </row>
    <row r="14293" spans="12:17" x14ac:dyDescent="0.3">
      <c r="L14293" s="25"/>
      <c r="Q14293" s="17"/>
    </row>
    <row r="14294" spans="12:17" x14ac:dyDescent="0.3">
      <c r="L14294" s="25"/>
      <c r="Q14294" s="17"/>
    </row>
    <row r="14295" spans="12:17" x14ac:dyDescent="0.3">
      <c r="L14295" s="25"/>
      <c r="Q14295" s="17"/>
    </row>
    <row r="14296" spans="12:17" x14ac:dyDescent="0.3">
      <c r="L14296" s="25"/>
      <c r="Q14296" s="17"/>
    </row>
    <row r="14297" spans="12:17" x14ac:dyDescent="0.3">
      <c r="L14297" s="25"/>
      <c r="Q14297" s="17"/>
    </row>
    <row r="14298" spans="12:17" x14ac:dyDescent="0.3">
      <c r="L14298" s="25"/>
      <c r="Q14298" s="17"/>
    </row>
    <row r="14299" spans="12:17" x14ac:dyDescent="0.3">
      <c r="L14299" s="25"/>
      <c r="Q14299" s="17"/>
    </row>
    <row r="14300" spans="12:17" x14ac:dyDescent="0.3">
      <c r="L14300" s="25"/>
      <c r="Q14300" s="17"/>
    </row>
    <row r="14301" spans="12:17" x14ac:dyDescent="0.3">
      <c r="L14301" s="25"/>
      <c r="Q14301" s="17"/>
    </row>
    <row r="14302" spans="12:17" x14ac:dyDescent="0.3">
      <c r="L14302" s="25"/>
      <c r="Q14302" s="17"/>
    </row>
    <row r="14303" spans="12:17" x14ac:dyDescent="0.3">
      <c r="L14303" s="25"/>
      <c r="Q14303" s="17"/>
    </row>
    <row r="14304" spans="12:17" x14ac:dyDescent="0.3">
      <c r="L14304" s="25"/>
      <c r="Q14304" s="17"/>
    </row>
    <row r="14305" spans="12:17" x14ac:dyDescent="0.3">
      <c r="L14305" s="25"/>
      <c r="Q14305" s="17"/>
    </row>
    <row r="14306" spans="12:17" x14ac:dyDescent="0.3">
      <c r="L14306" s="25"/>
      <c r="Q14306" s="17"/>
    </row>
    <row r="14307" spans="12:17" x14ac:dyDescent="0.3">
      <c r="L14307" s="25"/>
      <c r="Q14307" s="17"/>
    </row>
    <row r="14308" spans="12:17" x14ac:dyDescent="0.3">
      <c r="L14308" s="25"/>
      <c r="Q14308" s="17"/>
    </row>
    <row r="14309" spans="12:17" x14ac:dyDescent="0.3">
      <c r="L14309" s="25"/>
      <c r="Q14309" s="17"/>
    </row>
    <row r="14310" spans="12:17" x14ac:dyDescent="0.3">
      <c r="L14310" s="25"/>
      <c r="Q14310" s="17"/>
    </row>
    <row r="14311" spans="12:17" x14ac:dyDescent="0.3">
      <c r="L14311" s="25"/>
      <c r="Q14311" s="17"/>
    </row>
    <row r="14312" spans="12:17" x14ac:dyDescent="0.3">
      <c r="L14312" s="25"/>
      <c r="Q14312" s="17"/>
    </row>
    <row r="14313" spans="12:17" x14ac:dyDescent="0.3">
      <c r="L14313" s="25"/>
      <c r="Q14313" s="17"/>
    </row>
    <row r="14314" spans="12:17" x14ac:dyDescent="0.3">
      <c r="L14314" s="25"/>
      <c r="Q14314" s="17"/>
    </row>
    <row r="14315" spans="12:17" x14ac:dyDescent="0.3">
      <c r="L14315" s="25"/>
      <c r="Q14315" s="17"/>
    </row>
    <row r="14316" spans="12:17" x14ac:dyDescent="0.3">
      <c r="L14316" s="25"/>
      <c r="Q14316" s="17"/>
    </row>
    <row r="14317" spans="12:17" x14ac:dyDescent="0.3">
      <c r="L14317" s="25"/>
      <c r="Q14317" s="17"/>
    </row>
    <row r="14318" spans="12:17" x14ac:dyDescent="0.3">
      <c r="L14318" s="25"/>
      <c r="Q14318" s="17"/>
    </row>
    <row r="14319" spans="12:17" x14ac:dyDescent="0.3">
      <c r="L14319" s="25"/>
      <c r="Q14319" s="17"/>
    </row>
    <row r="14320" spans="12:17" x14ac:dyDescent="0.3">
      <c r="L14320" s="25"/>
      <c r="Q14320" s="17"/>
    </row>
    <row r="14321" spans="12:17" x14ac:dyDescent="0.3">
      <c r="L14321" s="25"/>
      <c r="Q14321" s="17"/>
    </row>
    <row r="14322" spans="12:17" x14ac:dyDescent="0.3">
      <c r="L14322" s="25"/>
      <c r="Q14322" s="17"/>
    </row>
    <row r="14323" spans="12:17" x14ac:dyDescent="0.3">
      <c r="L14323" s="25"/>
      <c r="Q14323" s="17"/>
    </row>
    <row r="14324" spans="12:17" x14ac:dyDescent="0.3">
      <c r="L14324" s="25"/>
      <c r="Q14324" s="17"/>
    </row>
    <row r="14325" spans="12:17" x14ac:dyDescent="0.3">
      <c r="L14325" s="25"/>
      <c r="Q14325" s="17"/>
    </row>
    <row r="14326" spans="12:17" x14ac:dyDescent="0.3">
      <c r="L14326" s="25"/>
      <c r="Q14326" s="17"/>
    </row>
    <row r="14327" spans="12:17" x14ac:dyDescent="0.3">
      <c r="L14327" s="25"/>
      <c r="Q14327" s="17"/>
    </row>
    <row r="14328" spans="12:17" x14ac:dyDescent="0.3">
      <c r="L14328" s="25"/>
      <c r="Q14328" s="17"/>
    </row>
    <row r="14329" spans="12:17" x14ac:dyDescent="0.3">
      <c r="L14329" s="25"/>
      <c r="Q14329" s="17"/>
    </row>
    <row r="14330" spans="12:17" x14ac:dyDescent="0.3">
      <c r="L14330" s="25"/>
      <c r="Q14330" s="17"/>
    </row>
    <row r="14331" spans="12:17" x14ac:dyDescent="0.3">
      <c r="L14331" s="25"/>
      <c r="Q14331" s="17"/>
    </row>
    <row r="14332" spans="12:17" x14ac:dyDescent="0.3">
      <c r="L14332" s="25"/>
      <c r="Q14332" s="17"/>
    </row>
    <row r="14333" spans="12:17" x14ac:dyDescent="0.3">
      <c r="L14333" s="25"/>
      <c r="Q14333" s="17"/>
    </row>
    <row r="14334" spans="12:17" x14ac:dyDescent="0.3">
      <c r="L14334" s="25"/>
      <c r="Q14334" s="17"/>
    </row>
    <row r="14335" spans="12:17" x14ac:dyDescent="0.3">
      <c r="L14335" s="25"/>
      <c r="Q14335" s="17"/>
    </row>
    <row r="14336" spans="12:17" x14ac:dyDescent="0.3">
      <c r="L14336" s="25"/>
      <c r="Q14336" s="17"/>
    </row>
    <row r="14337" spans="12:17" x14ac:dyDescent="0.3">
      <c r="L14337" s="25"/>
      <c r="Q14337" s="17"/>
    </row>
    <row r="14338" spans="12:17" x14ac:dyDescent="0.3">
      <c r="L14338" s="25"/>
      <c r="Q14338" s="17"/>
    </row>
    <row r="14339" spans="12:17" x14ac:dyDescent="0.3">
      <c r="L14339" s="25"/>
      <c r="Q14339" s="17"/>
    </row>
    <row r="14340" spans="12:17" x14ac:dyDescent="0.3">
      <c r="L14340" s="25"/>
      <c r="Q14340" s="17"/>
    </row>
    <row r="14341" spans="12:17" x14ac:dyDescent="0.3">
      <c r="L14341" s="25"/>
      <c r="Q14341" s="17"/>
    </row>
    <row r="14342" spans="12:17" x14ac:dyDescent="0.3">
      <c r="L14342" s="25"/>
      <c r="Q14342" s="17"/>
    </row>
    <row r="14343" spans="12:17" x14ac:dyDescent="0.3">
      <c r="L14343" s="25"/>
      <c r="Q14343" s="17"/>
    </row>
    <row r="14344" spans="12:17" x14ac:dyDescent="0.3">
      <c r="L14344" s="25"/>
      <c r="Q14344" s="17"/>
    </row>
    <row r="14345" spans="12:17" x14ac:dyDescent="0.3">
      <c r="L14345" s="25"/>
      <c r="Q14345" s="17"/>
    </row>
    <row r="14346" spans="12:17" x14ac:dyDescent="0.3">
      <c r="L14346" s="25"/>
      <c r="Q14346" s="17"/>
    </row>
    <row r="14347" spans="12:17" x14ac:dyDescent="0.3">
      <c r="L14347" s="25"/>
      <c r="Q14347" s="17"/>
    </row>
    <row r="14348" spans="12:17" x14ac:dyDescent="0.3">
      <c r="L14348" s="25"/>
      <c r="Q14348" s="17"/>
    </row>
    <row r="14349" spans="12:17" x14ac:dyDescent="0.3">
      <c r="L14349" s="25"/>
      <c r="Q14349" s="17"/>
    </row>
    <row r="14350" spans="12:17" x14ac:dyDescent="0.3">
      <c r="L14350" s="25"/>
      <c r="Q14350" s="17"/>
    </row>
    <row r="14351" spans="12:17" x14ac:dyDescent="0.3">
      <c r="L14351" s="25"/>
      <c r="Q14351" s="17"/>
    </row>
    <row r="14352" spans="12:17" x14ac:dyDescent="0.3">
      <c r="L14352" s="25"/>
      <c r="Q14352" s="17"/>
    </row>
    <row r="14353" spans="12:17" x14ac:dyDescent="0.3">
      <c r="L14353" s="25"/>
      <c r="Q14353" s="17"/>
    </row>
    <row r="14354" spans="12:17" x14ac:dyDescent="0.3">
      <c r="L14354" s="25"/>
      <c r="Q14354" s="17"/>
    </row>
    <row r="14355" spans="12:17" x14ac:dyDescent="0.3">
      <c r="L14355" s="25"/>
      <c r="Q14355" s="17"/>
    </row>
    <row r="14356" spans="12:17" x14ac:dyDescent="0.3">
      <c r="L14356" s="25"/>
      <c r="Q14356" s="17"/>
    </row>
    <row r="14357" spans="12:17" x14ac:dyDescent="0.3">
      <c r="L14357" s="25"/>
      <c r="Q14357" s="17"/>
    </row>
    <row r="14358" spans="12:17" x14ac:dyDescent="0.3">
      <c r="L14358" s="25"/>
      <c r="Q14358" s="17"/>
    </row>
    <row r="14359" spans="12:17" x14ac:dyDescent="0.3">
      <c r="L14359" s="25"/>
      <c r="Q14359" s="17"/>
    </row>
    <row r="14360" spans="12:17" x14ac:dyDescent="0.3">
      <c r="L14360" s="25"/>
      <c r="Q14360" s="17"/>
    </row>
    <row r="14361" spans="12:17" x14ac:dyDescent="0.3">
      <c r="L14361" s="25"/>
      <c r="Q14361" s="17"/>
    </row>
    <row r="14362" spans="12:17" x14ac:dyDescent="0.3">
      <c r="L14362" s="25"/>
      <c r="Q14362" s="17"/>
    </row>
    <row r="14363" spans="12:17" x14ac:dyDescent="0.3">
      <c r="L14363" s="25"/>
      <c r="Q14363" s="17"/>
    </row>
    <row r="14364" spans="12:17" x14ac:dyDescent="0.3">
      <c r="L14364" s="25"/>
      <c r="Q14364" s="17"/>
    </row>
    <row r="14365" spans="12:17" x14ac:dyDescent="0.3">
      <c r="L14365" s="25"/>
      <c r="Q14365" s="17"/>
    </row>
    <row r="14366" spans="12:17" x14ac:dyDescent="0.3">
      <c r="L14366" s="25"/>
      <c r="Q14366" s="17"/>
    </row>
    <row r="14367" spans="12:17" x14ac:dyDescent="0.3">
      <c r="L14367" s="25"/>
      <c r="Q14367" s="17"/>
    </row>
    <row r="14368" spans="12:17" x14ac:dyDescent="0.3">
      <c r="L14368" s="25"/>
      <c r="Q14368" s="17"/>
    </row>
    <row r="14369" spans="12:17" x14ac:dyDescent="0.3">
      <c r="L14369" s="25"/>
      <c r="Q14369" s="17"/>
    </row>
    <row r="14370" spans="12:17" x14ac:dyDescent="0.3">
      <c r="L14370" s="25"/>
      <c r="Q14370" s="17"/>
    </row>
    <row r="14371" spans="12:17" x14ac:dyDescent="0.3">
      <c r="L14371" s="25"/>
      <c r="Q14371" s="17"/>
    </row>
    <row r="14372" spans="12:17" x14ac:dyDescent="0.3">
      <c r="L14372" s="25"/>
      <c r="Q14372" s="17"/>
    </row>
    <row r="14373" spans="12:17" x14ac:dyDescent="0.3">
      <c r="L14373" s="25"/>
      <c r="Q14373" s="17"/>
    </row>
    <row r="14374" spans="12:17" x14ac:dyDescent="0.3">
      <c r="L14374" s="25"/>
      <c r="Q14374" s="17"/>
    </row>
    <row r="14375" spans="12:17" x14ac:dyDescent="0.3">
      <c r="L14375" s="25"/>
      <c r="Q14375" s="17"/>
    </row>
    <row r="14376" spans="12:17" x14ac:dyDescent="0.3">
      <c r="L14376" s="25"/>
      <c r="Q14376" s="17"/>
    </row>
    <row r="14377" spans="12:17" x14ac:dyDescent="0.3">
      <c r="L14377" s="25"/>
      <c r="Q14377" s="17"/>
    </row>
    <row r="14378" spans="12:17" x14ac:dyDescent="0.3">
      <c r="L14378" s="25"/>
      <c r="Q14378" s="17"/>
    </row>
    <row r="14379" spans="12:17" x14ac:dyDescent="0.3">
      <c r="L14379" s="25"/>
      <c r="Q14379" s="17"/>
    </row>
    <row r="14380" spans="12:17" x14ac:dyDescent="0.3">
      <c r="L14380" s="25"/>
      <c r="Q14380" s="17"/>
    </row>
    <row r="14381" spans="12:17" x14ac:dyDescent="0.3">
      <c r="L14381" s="25"/>
      <c r="Q14381" s="17"/>
    </row>
    <row r="14382" spans="12:17" x14ac:dyDescent="0.3">
      <c r="L14382" s="25"/>
      <c r="Q14382" s="17"/>
    </row>
    <row r="14383" spans="12:17" x14ac:dyDescent="0.3">
      <c r="L14383" s="25"/>
      <c r="Q14383" s="17"/>
    </row>
    <row r="14384" spans="12:17" x14ac:dyDescent="0.3">
      <c r="L14384" s="25"/>
      <c r="Q14384" s="17"/>
    </row>
    <row r="14385" spans="12:17" x14ac:dyDescent="0.3">
      <c r="L14385" s="25"/>
      <c r="Q14385" s="17"/>
    </row>
    <row r="14386" spans="12:17" x14ac:dyDescent="0.3">
      <c r="L14386" s="25"/>
      <c r="Q14386" s="17"/>
    </row>
    <row r="14387" spans="12:17" x14ac:dyDescent="0.3">
      <c r="L14387" s="25"/>
      <c r="Q14387" s="17"/>
    </row>
    <row r="14388" spans="12:17" x14ac:dyDescent="0.3">
      <c r="L14388" s="25"/>
      <c r="Q14388" s="17"/>
    </row>
    <row r="14389" spans="12:17" x14ac:dyDescent="0.3">
      <c r="L14389" s="25"/>
      <c r="Q14389" s="17"/>
    </row>
    <row r="14390" spans="12:17" x14ac:dyDescent="0.3">
      <c r="L14390" s="25"/>
      <c r="Q14390" s="17"/>
    </row>
    <row r="14391" spans="12:17" x14ac:dyDescent="0.3">
      <c r="L14391" s="25"/>
      <c r="Q14391" s="17"/>
    </row>
    <row r="14392" spans="12:17" x14ac:dyDescent="0.3">
      <c r="L14392" s="25"/>
      <c r="Q14392" s="17"/>
    </row>
    <row r="14393" spans="12:17" x14ac:dyDescent="0.3">
      <c r="L14393" s="25"/>
      <c r="Q14393" s="17"/>
    </row>
    <row r="14394" spans="12:17" x14ac:dyDescent="0.3">
      <c r="L14394" s="25"/>
      <c r="Q14394" s="17"/>
    </row>
    <row r="14395" spans="12:17" x14ac:dyDescent="0.3">
      <c r="L14395" s="25"/>
      <c r="Q14395" s="17"/>
    </row>
    <row r="14396" spans="12:17" x14ac:dyDescent="0.3">
      <c r="L14396" s="25"/>
      <c r="Q14396" s="17"/>
    </row>
    <row r="14397" spans="12:17" x14ac:dyDescent="0.3">
      <c r="L14397" s="25"/>
      <c r="Q14397" s="17"/>
    </row>
    <row r="14398" spans="12:17" x14ac:dyDescent="0.3">
      <c r="L14398" s="25"/>
      <c r="Q14398" s="17"/>
    </row>
    <row r="14399" spans="12:17" x14ac:dyDescent="0.3">
      <c r="L14399" s="25"/>
      <c r="Q14399" s="17"/>
    </row>
    <row r="14400" spans="12:17" x14ac:dyDescent="0.3">
      <c r="L14400" s="25"/>
      <c r="Q14400" s="17"/>
    </row>
    <row r="14401" spans="12:17" x14ac:dyDescent="0.3">
      <c r="L14401" s="25"/>
      <c r="Q14401" s="17"/>
    </row>
    <row r="14402" spans="12:17" x14ac:dyDescent="0.3">
      <c r="L14402" s="25"/>
      <c r="Q14402" s="17"/>
    </row>
    <row r="14403" spans="12:17" x14ac:dyDescent="0.3">
      <c r="L14403" s="25"/>
      <c r="Q14403" s="17"/>
    </row>
    <row r="14404" spans="12:17" x14ac:dyDescent="0.3">
      <c r="L14404" s="25"/>
      <c r="Q14404" s="17"/>
    </row>
    <row r="14405" spans="12:17" x14ac:dyDescent="0.3">
      <c r="L14405" s="25"/>
      <c r="Q14405" s="17"/>
    </row>
    <row r="14406" spans="12:17" x14ac:dyDescent="0.3">
      <c r="L14406" s="25"/>
      <c r="Q14406" s="17"/>
    </row>
    <row r="14407" spans="12:17" x14ac:dyDescent="0.3">
      <c r="L14407" s="25"/>
      <c r="Q14407" s="17"/>
    </row>
    <row r="14408" spans="12:17" x14ac:dyDescent="0.3">
      <c r="L14408" s="25"/>
      <c r="Q14408" s="17"/>
    </row>
    <row r="14409" spans="12:17" x14ac:dyDescent="0.3">
      <c r="L14409" s="25"/>
      <c r="Q14409" s="17"/>
    </row>
    <row r="14410" spans="12:17" x14ac:dyDescent="0.3">
      <c r="L14410" s="25"/>
      <c r="Q14410" s="17"/>
    </row>
    <row r="14411" spans="12:17" x14ac:dyDescent="0.3">
      <c r="L14411" s="25"/>
      <c r="Q14411" s="17"/>
    </row>
    <row r="14412" spans="12:17" x14ac:dyDescent="0.3">
      <c r="L14412" s="25"/>
      <c r="Q14412" s="17"/>
    </row>
    <row r="14413" spans="12:17" x14ac:dyDescent="0.3">
      <c r="L14413" s="25"/>
      <c r="Q14413" s="17"/>
    </row>
    <row r="14414" spans="12:17" x14ac:dyDescent="0.3">
      <c r="L14414" s="25"/>
      <c r="Q14414" s="17"/>
    </row>
    <row r="14415" spans="12:17" x14ac:dyDescent="0.3">
      <c r="L14415" s="25"/>
      <c r="Q14415" s="17"/>
    </row>
    <row r="14416" spans="12:17" x14ac:dyDescent="0.3">
      <c r="L14416" s="25"/>
      <c r="Q14416" s="17"/>
    </row>
    <row r="14417" spans="12:17" x14ac:dyDescent="0.3">
      <c r="L14417" s="25"/>
      <c r="Q14417" s="17"/>
    </row>
    <row r="14418" spans="12:17" x14ac:dyDescent="0.3">
      <c r="L14418" s="25"/>
      <c r="Q14418" s="17"/>
    </row>
    <row r="14419" spans="12:17" x14ac:dyDescent="0.3">
      <c r="L14419" s="25"/>
      <c r="Q14419" s="17"/>
    </row>
    <row r="14420" spans="12:17" x14ac:dyDescent="0.3">
      <c r="L14420" s="25"/>
      <c r="Q14420" s="17"/>
    </row>
    <row r="14421" spans="12:17" x14ac:dyDescent="0.3">
      <c r="L14421" s="25"/>
      <c r="Q14421" s="17"/>
    </row>
    <row r="14422" spans="12:17" x14ac:dyDescent="0.3">
      <c r="L14422" s="25"/>
      <c r="Q14422" s="17"/>
    </row>
    <row r="14423" spans="12:17" x14ac:dyDescent="0.3">
      <c r="L14423" s="25"/>
      <c r="Q14423" s="17"/>
    </row>
    <row r="14424" spans="12:17" x14ac:dyDescent="0.3">
      <c r="L14424" s="25"/>
      <c r="Q14424" s="17"/>
    </row>
    <row r="14425" spans="12:17" x14ac:dyDescent="0.3">
      <c r="L14425" s="25"/>
      <c r="Q14425" s="17"/>
    </row>
    <row r="14426" spans="12:17" x14ac:dyDescent="0.3">
      <c r="L14426" s="25"/>
      <c r="Q14426" s="17"/>
    </row>
    <row r="14427" spans="12:17" x14ac:dyDescent="0.3">
      <c r="L14427" s="25"/>
      <c r="Q14427" s="17"/>
    </row>
    <row r="14428" spans="12:17" x14ac:dyDescent="0.3">
      <c r="L14428" s="25"/>
      <c r="Q14428" s="17"/>
    </row>
    <row r="14429" spans="12:17" x14ac:dyDescent="0.3">
      <c r="L14429" s="25"/>
      <c r="Q14429" s="17"/>
    </row>
    <row r="14430" spans="12:17" x14ac:dyDescent="0.3">
      <c r="L14430" s="25"/>
      <c r="Q14430" s="17"/>
    </row>
    <row r="14431" spans="12:17" x14ac:dyDescent="0.3">
      <c r="L14431" s="25"/>
      <c r="Q14431" s="17"/>
    </row>
    <row r="14432" spans="12:17" x14ac:dyDescent="0.3">
      <c r="L14432" s="25"/>
      <c r="Q14432" s="17"/>
    </row>
    <row r="14433" spans="12:17" x14ac:dyDescent="0.3">
      <c r="L14433" s="25"/>
      <c r="Q14433" s="17"/>
    </row>
    <row r="14434" spans="12:17" x14ac:dyDescent="0.3">
      <c r="L14434" s="25"/>
      <c r="Q14434" s="17"/>
    </row>
    <row r="14435" spans="12:17" x14ac:dyDescent="0.3">
      <c r="L14435" s="25"/>
      <c r="Q14435" s="17"/>
    </row>
    <row r="14436" spans="12:17" x14ac:dyDescent="0.3">
      <c r="L14436" s="25"/>
      <c r="Q14436" s="17"/>
    </row>
    <row r="14437" spans="12:17" x14ac:dyDescent="0.3">
      <c r="L14437" s="25"/>
      <c r="Q14437" s="17"/>
    </row>
    <row r="14438" spans="12:17" x14ac:dyDescent="0.3">
      <c r="L14438" s="25"/>
      <c r="Q14438" s="17"/>
    </row>
    <row r="14439" spans="12:17" x14ac:dyDescent="0.3">
      <c r="L14439" s="25"/>
      <c r="Q14439" s="17"/>
    </row>
    <row r="14440" spans="12:17" x14ac:dyDescent="0.3">
      <c r="L14440" s="25"/>
      <c r="Q14440" s="17"/>
    </row>
    <row r="14441" spans="12:17" x14ac:dyDescent="0.3">
      <c r="L14441" s="25"/>
      <c r="Q14441" s="17"/>
    </row>
    <row r="14442" spans="12:17" x14ac:dyDescent="0.3">
      <c r="L14442" s="25"/>
      <c r="Q14442" s="17"/>
    </row>
    <row r="14443" spans="12:17" x14ac:dyDescent="0.3">
      <c r="L14443" s="25"/>
      <c r="Q14443" s="17"/>
    </row>
    <row r="14444" spans="12:17" x14ac:dyDescent="0.3">
      <c r="L14444" s="25"/>
      <c r="Q14444" s="17"/>
    </row>
    <row r="14445" spans="12:17" x14ac:dyDescent="0.3">
      <c r="L14445" s="25"/>
      <c r="Q14445" s="17"/>
    </row>
    <row r="14446" spans="12:17" x14ac:dyDescent="0.3">
      <c r="L14446" s="25"/>
      <c r="Q14446" s="17"/>
    </row>
    <row r="14447" spans="12:17" x14ac:dyDescent="0.3">
      <c r="L14447" s="25"/>
      <c r="Q14447" s="17"/>
    </row>
    <row r="14448" spans="12:17" x14ac:dyDescent="0.3">
      <c r="L14448" s="25"/>
      <c r="Q14448" s="17"/>
    </row>
    <row r="14449" spans="12:17" x14ac:dyDescent="0.3">
      <c r="L14449" s="25"/>
      <c r="Q14449" s="17"/>
    </row>
    <row r="14450" spans="12:17" x14ac:dyDescent="0.3">
      <c r="L14450" s="25"/>
      <c r="Q14450" s="17"/>
    </row>
    <row r="14451" spans="12:17" x14ac:dyDescent="0.3">
      <c r="L14451" s="25"/>
      <c r="Q14451" s="17"/>
    </row>
    <row r="14452" spans="12:17" x14ac:dyDescent="0.3">
      <c r="L14452" s="25"/>
      <c r="Q14452" s="17"/>
    </row>
    <row r="14453" spans="12:17" x14ac:dyDescent="0.3">
      <c r="L14453" s="25"/>
      <c r="Q14453" s="17"/>
    </row>
    <row r="14454" spans="12:17" x14ac:dyDescent="0.3">
      <c r="L14454" s="25"/>
      <c r="Q14454" s="17"/>
    </row>
    <row r="14455" spans="12:17" x14ac:dyDescent="0.3">
      <c r="L14455" s="25"/>
      <c r="Q14455" s="17"/>
    </row>
    <row r="14456" spans="12:17" x14ac:dyDescent="0.3">
      <c r="L14456" s="25"/>
      <c r="Q14456" s="17"/>
    </row>
    <row r="14457" spans="12:17" x14ac:dyDescent="0.3">
      <c r="L14457" s="25"/>
      <c r="Q14457" s="17"/>
    </row>
    <row r="14458" spans="12:17" x14ac:dyDescent="0.3">
      <c r="L14458" s="25"/>
      <c r="Q14458" s="17"/>
    </row>
    <row r="14459" spans="12:17" x14ac:dyDescent="0.3">
      <c r="L14459" s="25"/>
      <c r="Q14459" s="17"/>
    </row>
    <row r="14460" spans="12:17" x14ac:dyDescent="0.3">
      <c r="L14460" s="25"/>
      <c r="Q14460" s="17"/>
    </row>
    <row r="14461" spans="12:17" x14ac:dyDescent="0.3">
      <c r="L14461" s="25"/>
      <c r="Q14461" s="17"/>
    </row>
    <row r="14462" spans="12:17" x14ac:dyDescent="0.3">
      <c r="L14462" s="25"/>
      <c r="Q14462" s="17"/>
    </row>
    <row r="14463" spans="12:17" x14ac:dyDescent="0.3">
      <c r="L14463" s="25"/>
      <c r="Q14463" s="17"/>
    </row>
    <row r="14464" spans="12:17" x14ac:dyDescent="0.3">
      <c r="L14464" s="25"/>
      <c r="Q14464" s="17"/>
    </row>
    <row r="14465" spans="12:17" x14ac:dyDescent="0.3">
      <c r="L14465" s="25"/>
      <c r="Q14465" s="17"/>
    </row>
    <row r="14466" spans="12:17" x14ac:dyDescent="0.3">
      <c r="L14466" s="25"/>
      <c r="Q14466" s="17"/>
    </row>
    <row r="14467" spans="12:17" x14ac:dyDescent="0.3">
      <c r="L14467" s="25"/>
      <c r="Q14467" s="17"/>
    </row>
    <row r="14468" spans="12:17" x14ac:dyDescent="0.3">
      <c r="L14468" s="25"/>
      <c r="Q14468" s="17"/>
    </row>
    <row r="14469" spans="12:17" x14ac:dyDescent="0.3">
      <c r="L14469" s="25"/>
      <c r="Q14469" s="17"/>
    </row>
    <row r="14470" spans="12:17" x14ac:dyDescent="0.3">
      <c r="L14470" s="25"/>
      <c r="Q14470" s="17"/>
    </row>
    <row r="14471" spans="12:17" x14ac:dyDescent="0.3">
      <c r="L14471" s="25"/>
      <c r="Q14471" s="17"/>
    </row>
    <row r="14472" spans="12:17" x14ac:dyDescent="0.3">
      <c r="L14472" s="25"/>
      <c r="Q14472" s="17"/>
    </row>
    <row r="14473" spans="12:17" x14ac:dyDescent="0.3">
      <c r="L14473" s="25"/>
      <c r="Q14473" s="17"/>
    </row>
    <row r="14474" spans="12:17" x14ac:dyDescent="0.3">
      <c r="L14474" s="25"/>
      <c r="Q14474" s="17"/>
    </row>
    <row r="14475" spans="12:17" x14ac:dyDescent="0.3">
      <c r="L14475" s="25"/>
      <c r="Q14475" s="17"/>
    </row>
    <row r="14476" spans="12:17" x14ac:dyDescent="0.3">
      <c r="L14476" s="25"/>
      <c r="Q14476" s="17"/>
    </row>
    <row r="14477" spans="12:17" x14ac:dyDescent="0.3">
      <c r="L14477" s="25"/>
      <c r="Q14477" s="17"/>
    </row>
    <row r="14478" spans="12:17" x14ac:dyDescent="0.3">
      <c r="L14478" s="25"/>
      <c r="Q14478" s="17"/>
    </row>
    <row r="14479" spans="12:17" x14ac:dyDescent="0.3">
      <c r="L14479" s="25"/>
      <c r="Q14479" s="17"/>
    </row>
    <row r="14480" spans="12:17" x14ac:dyDescent="0.3">
      <c r="L14480" s="25"/>
      <c r="Q14480" s="17"/>
    </row>
    <row r="14481" spans="12:17" x14ac:dyDescent="0.3">
      <c r="L14481" s="25"/>
      <c r="Q14481" s="17"/>
    </row>
    <row r="14482" spans="12:17" x14ac:dyDescent="0.3">
      <c r="L14482" s="25"/>
      <c r="Q14482" s="17"/>
    </row>
    <row r="14483" spans="12:17" x14ac:dyDescent="0.3">
      <c r="L14483" s="25"/>
      <c r="Q14483" s="17"/>
    </row>
    <row r="14484" spans="12:17" x14ac:dyDescent="0.3">
      <c r="L14484" s="25"/>
      <c r="Q14484" s="17"/>
    </row>
    <row r="14485" spans="12:17" x14ac:dyDescent="0.3">
      <c r="L14485" s="25"/>
      <c r="Q14485" s="17"/>
    </row>
    <row r="14486" spans="12:17" x14ac:dyDescent="0.3">
      <c r="L14486" s="25"/>
      <c r="Q14486" s="17"/>
    </row>
    <row r="14487" spans="12:17" x14ac:dyDescent="0.3">
      <c r="L14487" s="25"/>
      <c r="Q14487" s="17"/>
    </row>
    <row r="14488" spans="12:17" x14ac:dyDescent="0.3">
      <c r="L14488" s="25"/>
      <c r="Q14488" s="17"/>
    </row>
    <row r="14489" spans="12:17" x14ac:dyDescent="0.3">
      <c r="L14489" s="25"/>
      <c r="Q14489" s="17"/>
    </row>
    <row r="14490" spans="12:17" x14ac:dyDescent="0.3">
      <c r="L14490" s="25"/>
      <c r="Q14490" s="17"/>
    </row>
    <row r="14491" spans="12:17" x14ac:dyDescent="0.3">
      <c r="L14491" s="25"/>
      <c r="Q14491" s="17"/>
    </row>
    <row r="14492" spans="12:17" x14ac:dyDescent="0.3">
      <c r="L14492" s="25"/>
      <c r="Q14492" s="17"/>
    </row>
    <row r="14493" spans="12:17" x14ac:dyDescent="0.3">
      <c r="L14493" s="25"/>
      <c r="Q14493" s="17"/>
    </row>
    <row r="14494" spans="12:17" x14ac:dyDescent="0.3">
      <c r="L14494" s="25"/>
      <c r="Q14494" s="17"/>
    </row>
    <row r="14495" spans="12:17" x14ac:dyDescent="0.3">
      <c r="L14495" s="25"/>
      <c r="Q14495" s="17"/>
    </row>
    <row r="14496" spans="12:17" x14ac:dyDescent="0.3">
      <c r="L14496" s="25"/>
      <c r="Q14496" s="17"/>
    </row>
    <row r="14497" spans="12:17" x14ac:dyDescent="0.3">
      <c r="L14497" s="25"/>
      <c r="Q14497" s="17"/>
    </row>
    <row r="14498" spans="12:17" x14ac:dyDescent="0.3">
      <c r="L14498" s="25"/>
      <c r="Q14498" s="17"/>
    </row>
    <row r="14499" spans="12:17" x14ac:dyDescent="0.3">
      <c r="L14499" s="25"/>
      <c r="Q14499" s="17"/>
    </row>
    <row r="14500" spans="12:17" x14ac:dyDescent="0.3">
      <c r="L14500" s="25"/>
      <c r="Q14500" s="17"/>
    </row>
    <row r="14501" spans="12:17" x14ac:dyDescent="0.3">
      <c r="L14501" s="25"/>
      <c r="Q14501" s="17"/>
    </row>
    <row r="14502" spans="12:17" x14ac:dyDescent="0.3">
      <c r="L14502" s="25"/>
      <c r="Q14502" s="17"/>
    </row>
    <row r="14503" spans="12:17" x14ac:dyDescent="0.3">
      <c r="L14503" s="25"/>
      <c r="Q14503" s="17"/>
    </row>
    <row r="14504" spans="12:17" x14ac:dyDescent="0.3">
      <c r="L14504" s="25"/>
      <c r="Q14504" s="17"/>
    </row>
    <row r="14505" spans="12:17" x14ac:dyDescent="0.3">
      <c r="L14505" s="25"/>
      <c r="Q14505" s="17"/>
    </row>
    <row r="14506" spans="12:17" x14ac:dyDescent="0.3">
      <c r="L14506" s="25"/>
      <c r="Q14506" s="17"/>
    </row>
    <row r="14507" spans="12:17" x14ac:dyDescent="0.3">
      <c r="L14507" s="25"/>
      <c r="Q14507" s="17"/>
    </row>
    <row r="14508" spans="12:17" x14ac:dyDescent="0.3">
      <c r="L14508" s="25"/>
      <c r="Q14508" s="17"/>
    </row>
    <row r="14509" spans="12:17" x14ac:dyDescent="0.3">
      <c r="L14509" s="25"/>
      <c r="Q14509" s="17"/>
    </row>
    <row r="14510" spans="12:17" x14ac:dyDescent="0.3">
      <c r="L14510" s="25"/>
      <c r="Q14510" s="17"/>
    </row>
    <row r="14511" spans="12:17" x14ac:dyDescent="0.3">
      <c r="L14511" s="25"/>
      <c r="Q14511" s="17"/>
    </row>
    <row r="14512" spans="12:17" x14ac:dyDescent="0.3">
      <c r="L14512" s="25"/>
      <c r="Q14512" s="17"/>
    </row>
    <row r="14513" spans="12:17" x14ac:dyDescent="0.3">
      <c r="L14513" s="25"/>
      <c r="Q14513" s="17"/>
    </row>
    <row r="14514" spans="12:17" x14ac:dyDescent="0.3">
      <c r="L14514" s="25"/>
      <c r="Q14514" s="17"/>
    </row>
    <row r="14515" spans="12:17" x14ac:dyDescent="0.3">
      <c r="L14515" s="25"/>
      <c r="Q14515" s="17"/>
    </row>
    <row r="14516" spans="12:17" x14ac:dyDescent="0.3">
      <c r="L14516" s="25"/>
      <c r="Q14516" s="17"/>
    </row>
    <row r="14517" spans="12:17" x14ac:dyDescent="0.3">
      <c r="L14517" s="25"/>
      <c r="Q14517" s="17"/>
    </row>
    <row r="14518" spans="12:17" x14ac:dyDescent="0.3">
      <c r="L14518" s="25"/>
      <c r="Q14518" s="17"/>
    </row>
    <row r="14519" spans="12:17" x14ac:dyDescent="0.3">
      <c r="L14519" s="25"/>
      <c r="Q14519" s="17"/>
    </row>
    <row r="14520" spans="12:17" x14ac:dyDescent="0.3">
      <c r="L14520" s="25"/>
      <c r="Q14520" s="17"/>
    </row>
    <row r="14521" spans="12:17" x14ac:dyDescent="0.3">
      <c r="L14521" s="25"/>
      <c r="Q14521" s="17"/>
    </row>
    <row r="14522" spans="12:17" x14ac:dyDescent="0.3">
      <c r="L14522" s="25"/>
      <c r="Q14522" s="17"/>
    </row>
    <row r="14523" spans="12:17" x14ac:dyDescent="0.3">
      <c r="L14523" s="25"/>
      <c r="Q14523" s="17"/>
    </row>
    <row r="14524" spans="12:17" x14ac:dyDescent="0.3">
      <c r="L14524" s="25"/>
      <c r="Q14524" s="17"/>
    </row>
    <row r="14525" spans="12:17" x14ac:dyDescent="0.3">
      <c r="L14525" s="25"/>
      <c r="Q14525" s="17"/>
    </row>
    <row r="14526" spans="12:17" x14ac:dyDescent="0.3">
      <c r="L14526" s="25"/>
      <c r="Q14526" s="17"/>
    </row>
    <row r="14527" spans="12:17" x14ac:dyDescent="0.3">
      <c r="L14527" s="25"/>
      <c r="Q14527" s="17"/>
    </row>
    <row r="14528" spans="12:17" x14ac:dyDescent="0.3">
      <c r="L14528" s="25"/>
      <c r="Q14528" s="17"/>
    </row>
    <row r="14529" spans="12:17" x14ac:dyDescent="0.3">
      <c r="L14529" s="25"/>
      <c r="Q14529" s="17"/>
    </row>
    <row r="14530" spans="12:17" x14ac:dyDescent="0.3">
      <c r="L14530" s="25"/>
      <c r="Q14530" s="17"/>
    </row>
    <row r="14531" spans="12:17" x14ac:dyDescent="0.3">
      <c r="L14531" s="25"/>
      <c r="Q14531" s="17"/>
    </row>
    <row r="14532" spans="12:17" x14ac:dyDescent="0.3">
      <c r="L14532" s="25"/>
      <c r="Q14532" s="17"/>
    </row>
    <row r="14533" spans="12:17" x14ac:dyDescent="0.3">
      <c r="L14533" s="25"/>
      <c r="Q14533" s="17"/>
    </row>
    <row r="14534" spans="12:17" x14ac:dyDescent="0.3">
      <c r="L14534" s="25"/>
      <c r="Q14534" s="17"/>
    </row>
    <row r="14535" spans="12:17" x14ac:dyDescent="0.3">
      <c r="L14535" s="25"/>
      <c r="Q14535" s="17"/>
    </row>
    <row r="14536" spans="12:17" x14ac:dyDescent="0.3">
      <c r="L14536" s="25"/>
      <c r="Q14536" s="17"/>
    </row>
    <row r="14537" spans="12:17" x14ac:dyDescent="0.3">
      <c r="L14537" s="25"/>
      <c r="Q14537" s="17"/>
    </row>
    <row r="14538" spans="12:17" x14ac:dyDescent="0.3">
      <c r="L14538" s="25"/>
      <c r="Q14538" s="17"/>
    </row>
    <row r="14539" spans="12:17" x14ac:dyDescent="0.3">
      <c r="L14539" s="25"/>
      <c r="Q14539" s="17"/>
    </row>
    <row r="14540" spans="12:17" x14ac:dyDescent="0.3">
      <c r="L14540" s="25"/>
      <c r="Q14540" s="17"/>
    </row>
    <row r="14541" spans="12:17" x14ac:dyDescent="0.3">
      <c r="L14541" s="25"/>
      <c r="Q14541" s="17"/>
    </row>
    <row r="14542" spans="12:17" x14ac:dyDescent="0.3">
      <c r="L14542" s="25"/>
      <c r="Q14542" s="17"/>
    </row>
    <row r="14543" spans="12:17" x14ac:dyDescent="0.3">
      <c r="L14543" s="25"/>
      <c r="Q14543" s="17"/>
    </row>
    <row r="14544" spans="12:17" x14ac:dyDescent="0.3">
      <c r="L14544" s="25"/>
      <c r="Q14544" s="17"/>
    </row>
    <row r="14545" spans="12:17" x14ac:dyDescent="0.3">
      <c r="L14545" s="25"/>
      <c r="Q14545" s="17"/>
    </row>
    <row r="14546" spans="12:17" x14ac:dyDescent="0.3">
      <c r="L14546" s="25"/>
      <c r="Q14546" s="17"/>
    </row>
    <row r="14547" spans="12:17" x14ac:dyDescent="0.3">
      <c r="L14547" s="25"/>
      <c r="Q14547" s="17"/>
    </row>
    <row r="14548" spans="12:17" x14ac:dyDescent="0.3">
      <c r="L14548" s="25"/>
      <c r="Q14548" s="17"/>
    </row>
    <row r="14549" spans="12:17" x14ac:dyDescent="0.3">
      <c r="L14549" s="25"/>
      <c r="Q14549" s="17"/>
    </row>
    <row r="14550" spans="12:17" x14ac:dyDescent="0.3">
      <c r="L14550" s="25"/>
      <c r="Q14550" s="17"/>
    </row>
    <row r="14551" spans="12:17" x14ac:dyDescent="0.3">
      <c r="L14551" s="25"/>
      <c r="Q14551" s="17"/>
    </row>
    <row r="14552" spans="12:17" x14ac:dyDescent="0.3">
      <c r="L14552" s="25"/>
      <c r="Q14552" s="17"/>
    </row>
    <row r="14553" spans="12:17" x14ac:dyDescent="0.3">
      <c r="L14553" s="25"/>
      <c r="Q14553" s="17"/>
    </row>
    <row r="14554" spans="12:17" x14ac:dyDescent="0.3">
      <c r="L14554" s="25"/>
      <c r="Q14554" s="17"/>
    </row>
    <row r="14555" spans="12:17" x14ac:dyDescent="0.3">
      <c r="L14555" s="25"/>
      <c r="Q14555" s="17"/>
    </row>
    <row r="14556" spans="12:17" x14ac:dyDescent="0.3">
      <c r="L14556" s="25"/>
      <c r="Q14556" s="17"/>
    </row>
    <row r="14557" spans="12:17" x14ac:dyDescent="0.3">
      <c r="L14557" s="25"/>
      <c r="Q14557" s="17"/>
    </row>
    <row r="14558" spans="12:17" x14ac:dyDescent="0.3">
      <c r="L14558" s="25"/>
      <c r="Q14558" s="17"/>
    </row>
    <row r="14559" spans="12:17" x14ac:dyDescent="0.3">
      <c r="L14559" s="25"/>
      <c r="Q14559" s="17"/>
    </row>
    <row r="14560" spans="12:17" x14ac:dyDescent="0.3">
      <c r="L14560" s="25"/>
      <c r="Q14560" s="17"/>
    </row>
    <row r="14561" spans="12:17" x14ac:dyDescent="0.3">
      <c r="L14561" s="25"/>
      <c r="Q14561" s="17"/>
    </row>
    <row r="14562" spans="12:17" x14ac:dyDescent="0.3">
      <c r="L14562" s="25"/>
      <c r="Q14562" s="17"/>
    </row>
    <row r="14563" spans="12:17" x14ac:dyDescent="0.3">
      <c r="L14563" s="25"/>
      <c r="Q14563" s="17"/>
    </row>
    <row r="14564" spans="12:17" x14ac:dyDescent="0.3">
      <c r="L14564" s="25"/>
      <c r="Q14564" s="17"/>
    </row>
    <row r="14565" spans="12:17" x14ac:dyDescent="0.3">
      <c r="L14565" s="25"/>
      <c r="Q14565" s="17"/>
    </row>
    <row r="14566" spans="12:17" x14ac:dyDescent="0.3">
      <c r="L14566" s="25"/>
      <c r="Q14566" s="17"/>
    </row>
    <row r="14567" spans="12:17" x14ac:dyDescent="0.3">
      <c r="L14567" s="25"/>
      <c r="Q14567" s="17"/>
    </row>
    <row r="14568" spans="12:17" x14ac:dyDescent="0.3">
      <c r="L14568" s="25"/>
      <c r="Q14568" s="17"/>
    </row>
    <row r="14569" spans="12:17" x14ac:dyDescent="0.3">
      <c r="L14569" s="25"/>
      <c r="Q14569" s="17"/>
    </row>
    <row r="14570" spans="12:17" x14ac:dyDescent="0.3">
      <c r="L14570" s="25"/>
      <c r="Q14570" s="17"/>
    </row>
    <row r="14571" spans="12:17" x14ac:dyDescent="0.3">
      <c r="L14571" s="25"/>
      <c r="Q14571" s="17"/>
    </row>
    <row r="14572" spans="12:17" x14ac:dyDescent="0.3">
      <c r="L14572" s="25"/>
      <c r="Q14572" s="17"/>
    </row>
    <row r="14573" spans="12:17" x14ac:dyDescent="0.3">
      <c r="L14573" s="25"/>
      <c r="Q14573" s="17"/>
    </row>
    <row r="14574" spans="12:17" x14ac:dyDescent="0.3">
      <c r="L14574" s="25"/>
      <c r="Q14574" s="17"/>
    </row>
    <row r="14575" spans="12:17" x14ac:dyDescent="0.3">
      <c r="L14575" s="25"/>
      <c r="Q14575" s="17"/>
    </row>
    <row r="14576" spans="12:17" x14ac:dyDescent="0.3">
      <c r="L14576" s="25"/>
      <c r="Q14576" s="17"/>
    </row>
    <row r="14577" spans="12:17" x14ac:dyDescent="0.3">
      <c r="L14577" s="25"/>
      <c r="Q14577" s="17"/>
    </row>
    <row r="14578" spans="12:17" x14ac:dyDescent="0.3">
      <c r="L14578" s="25"/>
      <c r="Q14578" s="17"/>
    </row>
    <row r="14579" spans="12:17" x14ac:dyDescent="0.3">
      <c r="L14579" s="25"/>
      <c r="Q14579" s="17"/>
    </row>
    <row r="14580" spans="12:17" x14ac:dyDescent="0.3">
      <c r="L14580" s="25"/>
      <c r="Q14580" s="17"/>
    </row>
    <row r="14581" spans="12:17" x14ac:dyDescent="0.3">
      <c r="L14581" s="25"/>
      <c r="Q14581" s="17"/>
    </row>
    <row r="14582" spans="12:17" x14ac:dyDescent="0.3">
      <c r="L14582" s="25"/>
      <c r="Q14582" s="17"/>
    </row>
    <row r="14583" spans="12:17" x14ac:dyDescent="0.3">
      <c r="L14583" s="25"/>
      <c r="Q14583" s="17"/>
    </row>
    <row r="14584" spans="12:17" x14ac:dyDescent="0.3">
      <c r="L14584" s="25"/>
      <c r="Q14584" s="17"/>
    </row>
    <row r="14585" spans="12:17" x14ac:dyDescent="0.3">
      <c r="L14585" s="25"/>
      <c r="Q14585" s="17"/>
    </row>
    <row r="14586" spans="12:17" x14ac:dyDescent="0.3">
      <c r="L14586" s="25"/>
      <c r="Q14586" s="17"/>
    </row>
    <row r="14587" spans="12:17" x14ac:dyDescent="0.3">
      <c r="L14587" s="25"/>
      <c r="Q14587" s="17"/>
    </row>
    <row r="14588" spans="12:17" x14ac:dyDescent="0.3">
      <c r="L14588" s="25"/>
      <c r="Q14588" s="17"/>
    </row>
    <row r="14589" spans="12:17" x14ac:dyDescent="0.3">
      <c r="L14589" s="25"/>
      <c r="Q14589" s="17"/>
    </row>
    <row r="14590" spans="12:17" x14ac:dyDescent="0.3">
      <c r="L14590" s="25"/>
      <c r="Q14590" s="17"/>
    </row>
    <row r="14591" spans="12:17" x14ac:dyDescent="0.3">
      <c r="L14591" s="25"/>
      <c r="Q14591" s="17"/>
    </row>
    <row r="14592" spans="12:17" x14ac:dyDescent="0.3">
      <c r="L14592" s="25"/>
      <c r="Q14592" s="17"/>
    </row>
    <row r="14593" spans="12:17" x14ac:dyDescent="0.3">
      <c r="L14593" s="25"/>
      <c r="Q14593" s="17"/>
    </row>
    <row r="14594" spans="12:17" x14ac:dyDescent="0.3">
      <c r="L14594" s="25"/>
      <c r="Q14594" s="17"/>
    </row>
    <row r="14595" spans="12:17" x14ac:dyDescent="0.3">
      <c r="L14595" s="25"/>
      <c r="Q14595" s="17"/>
    </row>
    <row r="14596" spans="12:17" x14ac:dyDescent="0.3">
      <c r="L14596" s="25"/>
      <c r="Q14596" s="17"/>
    </row>
    <row r="14597" spans="12:17" x14ac:dyDescent="0.3">
      <c r="L14597" s="25"/>
      <c r="Q14597" s="17"/>
    </row>
    <row r="14598" spans="12:17" x14ac:dyDescent="0.3">
      <c r="L14598" s="25"/>
      <c r="Q14598" s="17"/>
    </row>
    <row r="14599" spans="12:17" x14ac:dyDescent="0.3">
      <c r="L14599" s="25"/>
      <c r="Q14599" s="17"/>
    </row>
    <row r="14600" spans="12:17" x14ac:dyDescent="0.3">
      <c r="L14600" s="25"/>
      <c r="Q14600" s="17"/>
    </row>
    <row r="14601" spans="12:17" x14ac:dyDescent="0.3">
      <c r="L14601" s="25"/>
      <c r="Q14601" s="17"/>
    </row>
    <row r="14602" spans="12:17" x14ac:dyDescent="0.3">
      <c r="L14602" s="25"/>
      <c r="Q14602" s="17"/>
    </row>
    <row r="14603" spans="12:17" x14ac:dyDescent="0.3">
      <c r="L14603" s="25"/>
      <c r="Q14603" s="17"/>
    </row>
    <row r="14604" spans="12:17" x14ac:dyDescent="0.3">
      <c r="L14604" s="25"/>
      <c r="Q14604" s="17"/>
    </row>
    <row r="14605" spans="12:17" x14ac:dyDescent="0.3">
      <c r="L14605" s="25"/>
      <c r="Q14605" s="17"/>
    </row>
    <row r="14606" spans="12:17" x14ac:dyDescent="0.3">
      <c r="L14606" s="25"/>
      <c r="Q14606" s="17"/>
    </row>
    <row r="14607" spans="12:17" x14ac:dyDescent="0.3">
      <c r="L14607" s="25"/>
      <c r="Q14607" s="17"/>
    </row>
    <row r="14608" spans="12:17" x14ac:dyDescent="0.3">
      <c r="L14608" s="25"/>
      <c r="Q14608" s="17"/>
    </row>
    <row r="14609" spans="12:17" x14ac:dyDescent="0.3">
      <c r="L14609" s="25"/>
      <c r="Q14609" s="17"/>
    </row>
    <row r="14610" spans="12:17" x14ac:dyDescent="0.3">
      <c r="L14610" s="25"/>
      <c r="Q14610" s="17"/>
    </row>
    <row r="14611" spans="12:17" x14ac:dyDescent="0.3">
      <c r="L14611" s="25"/>
      <c r="Q14611" s="17"/>
    </row>
    <row r="14612" spans="12:17" x14ac:dyDescent="0.3">
      <c r="L14612" s="25"/>
      <c r="Q14612" s="17"/>
    </row>
    <row r="14613" spans="12:17" x14ac:dyDescent="0.3">
      <c r="L14613" s="25"/>
      <c r="Q14613" s="17"/>
    </row>
    <row r="14614" spans="12:17" x14ac:dyDescent="0.3">
      <c r="L14614" s="25"/>
      <c r="Q14614" s="17"/>
    </row>
    <row r="14615" spans="12:17" x14ac:dyDescent="0.3">
      <c r="L14615" s="25"/>
      <c r="Q14615" s="17"/>
    </row>
    <row r="14616" spans="12:17" x14ac:dyDescent="0.3">
      <c r="L14616" s="25"/>
      <c r="Q14616" s="17"/>
    </row>
    <row r="14617" spans="12:17" x14ac:dyDescent="0.3">
      <c r="L14617" s="25"/>
      <c r="Q14617" s="17"/>
    </row>
    <row r="14618" spans="12:17" x14ac:dyDescent="0.3">
      <c r="L14618" s="25"/>
      <c r="Q14618" s="17"/>
    </row>
    <row r="14619" spans="12:17" x14ac:dyDescent="0.3">
      <c r="L14619" s="25"/>
      <c r="Q14619" s="17"/>
    </row>
    <row r="14620" spans="12:17" x14ac:dyDescent="0.3">
      <c r="L14620" s="25"/>
      <c r="Q14620" s="17"/>
    </row>
    <row r="14621" spans="12:17" x14ac:dyDescent="0.3">
      <c r="L14621" s="25"/>
      <c r="Q14621" s="17"/>
    </row>
    <row r="14622" spans="12:17" x14ac:dyDescent="0.3">
      <c r="L14622" s="25"/>
      <c r="Q14622" s="17"/>
    </row>
    <row r="14623" spans="12:17" x14ac:dyDescent="0.3">
      <c r="L14623" s="25"/>
      <c r="Q14623" s="17"/>
    </row>
    <row r="14624" spans="12:17" x14ac:dyDescent="0.3">
      <c r="L14624" s="25"/>
      <c r="Q14624" s="17"/>
    </row>
    <row r="14625" spans="12:17" x14ac:dyDescent="0.3">
      <c r="L14625" s="25"/>
      <c r="Q14625" s="17"/>
    </row>
    <row r="14626" spans="12:17" x14ac:dyDescent="0.3">
      <c r="L14626" s="25"/>
      <c r="Q14626" s="17"/>
    </row>
    <row r="14627" spans="12:17" x14ac:dyDescent="0.3">
      <c r="L14627" s="25"/>
      <c r="Q14627" s="17"/>
    </row>
    <row r="14628" spans="12:17" x14ac:dyDescent="0.3">
      <c r="L14628" s="25"/>
      <c r="Q14628" s="17"/>
    </row>
    <row r="14629" spans="12:17" x14ac:dyDescent="0.3">
      <c r="L14629" s="25"/>
      <c r="Q14629" s="17"/>
    </row>
    <row r="14630" spans="12:17" x14ac:dyDescent="0.3">
      <c r="L14630" s="25"/>
      <c r="Q14630" s="17"/>
    </row>
    <row r="14631" spans="12:17" x14ac:dyDescent="0.3">
      <c r="L14631" s="25"/>
      <c r="Q14631" s="17"/>
    </row>
    <row r="14632" spans="12:17" x14ac:dyDescent="0.3">
      <c r="L14632" s="25"/>
      <c r="Q14632" s="17"/>
    </row>
    <row r="14633" spans="12:17" x14ac:dyDescent="0.3">
      <c r="L14633" s="25"/>
      <c r="Q14633" s="17"/>
    </row>
    <row r="14634" spans="12:17" x14ac:dyDescent="0.3">
      <c r="L14634" s="25"/>
      <c r="Q14634" s="17"/>
    </row>
    <row r="14635" spans="12:17" x14ac:dyDescent="0.3">
      <c r="L14635" s="25"/>
      <c r="Q14635" s="17"/>
    </row>
    <row r="14636" spans="12:17" x14ac:dyDescent="0.3">
      <c r="L14636" s="25"/>
      <c r="Q14636" s="17"/>
    </row>
    <row r="14637" spans="12:17" x14ac:dyDescent="0.3">
      <c r="L14637" s="25"/>
      <c r="Q14637" s="17"/>
    </row>
    <row r="14638" spans="12:17" x14ac:dyDescent="0.3">
      <c r="L14638" s="25"/>
      <c r="Q14638" s="17"/>
    </row>
    <row r="14639" spans="12:17" x14ac:dyDescent="0.3">
      <c r="L14639" s="25"/>
      <c r="Q14639" s="17"/>
    </row>
    <row r="14640" spans="12:17" x14ac:dyDescent="0.3">
      <c r="L14640" s="25"/>
      <c r="Q14640" s="17"/>
    </row>
    <row r="14641" spans="12:17" x14ac:dyDescent="0.3">
      <c r="L14641" s="25"/>
      <c r="Q14641" s="17"/>
    </row>
    <row r="14642" spans="12:17" x14ac:dyDescent="0.3">
      <c r="L14642" s="25"/>
      <c r="Q14642" s="17"/>
    </row>
    <row r="14643" spans="12:17" x14ac:dyDescent="0.3">
      <c r="L14643" s="25"/>
      <c r="Q14643" s="17"/>
    </row>
    <row r="14644" spans="12:17" x14ac:dyDescent="0.3">
      <c r="L14644" s="25"/>
      <c r="Q14644" s="17"/>
    </row>
    <row r="14645" spans="12:17" x14ac:dyDescent="0.3">
      <c r="L14645" s="25"/>
      <c r="Q14645" s="17"/>
    </row>
    <row r="14646" spans="12:17" x14ac:dyDescent="0.3">
      <c r="L14646" s="25"/>
      <c r="Q14646" s="17"/>
    </row>
    <row r="14647" spans="12:17" x14ac:dyDescent="0.3">
      <c r="L14647" s="25"/>
      <c r="Q14647" s="17"/>
    </row>
    <row r="14648" spans="12:17" x14ac:dyDescent="0.3">
      <c r="L14648" s="25"/>
      <c r="Q14648" s="17"/>
    </row>
    <row r="14649" spans="12:17" x14ac:dyDescent="0.3">
      <c r="L14649" s="25"/>
      <c r="Q14649" s="17"/>
    </row>
    <row r="14650" spans="12:17" x14ac:dyDescent="0.3">
      <c r="L14650" s="25"/>
      <c r="Q14650" s="17"/>
    </row>
    <row r="14651" spans="12:17" x14ac:dyDescent="0.3">
      <c r="L14651" s="25"/>
      <c r="Q14651" s="17"/>
    </row>
    <row r="14652" spans="12:17" x14ac:dyDescent="0.3">
      <c r="L14652" s="25"/>
      <c r="Q14652" s="17"/>
    </row>
    <row r="14653" spans="12:17" x14ac:dyDescent="0.3">
      <c r="L14653" s="25"/>
      <c r="Q14653" s="17"/>
    </row>
    <row r="14654" spans="12:17" x14ac:dyDescent="0.3">
      <c r="L14654" s="25"/>
      <c r="Q14654" s="17"/>
    </row>
    <row r="14655" spans="12:17" x14ac:dyDescent="0.3">
      <c r="L14655" s="25"/>
      <c r="Q14655" s="17"/>
    </row>
    <row r="14656" spans="12:17" x14ac:dyDescent="0.3">
      <c r="L14656" s="25"/>
      <c r="Q14656" s="17"/>
    </row>
    <row r="14657" spans="12:17" x14ac:dyDescent="0.3">
      <c r="L14657" s="25"/>
      <c r="Q14657" s="17"/>
    </row>
    <row r="14658" spans="12:17" x14ac:dyDescent="0.3">
      <c r="L14658" s="25"/>
      <c r="Q14658" s="17"/>
    </row>
    <row r="14659" spans="12:17" x14ac:dyDescent="0.3">
      <c r="L14659" s="25"/>
      <c r="Q14659" s="17"/>
    </row>
    <row r="14660" spans="12:17" x14ac:dyDescent="0.3">
      <c r="L14660" s="25"/>
      <c r="Q14660" s="17"/>
    </row>
    <row r="14661" spans="12:17" x14ac:dyDescent="0.3">
      <c r="L14661" s="25"/>
      <c r="Q14661" s="17"/>
    </row>
    <row r="14662" spans="12:17" x14ac:dyDescent="0.3">
      <c r="L14662" s="25"/>
      <c r="Q14662" s="17"/>
    </row>
    <row r="14663" spans="12:17" x14ac:dyDescent="0.3">
      <c r="L14663" s="25"/>
      <c r="Q14663" s="17"/>
    </row>
    <row r="14664" spans="12:17" x14ac:dyDescent="0.3">
      <c r="L14664" s="25"/>
      <c r="Q14664" s="17"/>
    </row>
    <row r="14665" spans="12:17" x14ac:dyDescent="0.3">
      <c r="L14665" s="25"/>
      <c r="Q14665" s="17"/>
    </row>
    <row r="14666" spans="12:17" x14ac:dyDescent="0.3">
      <c r="L14666" s="25"/>
      <c r="Q14666" s="17"/>
    </row>
    <row r="14667" spans="12:17" x14ac:dyDescent="0.3">
      <c r="L14667" s="25"/>
      <c r="Q14667" s="17"/>
    </row>
    <row r="14668" spans="12:17" x14ac:dyDescent="0.3">
      <c r="L14668" s="25"/>
      <c r="Q14668" s="17"/>
    </row>
    <row r="14669" spans="12:17" x14ac:dyDescent="0.3">
      <c r="L14669" s="25"/>
      <c r="Q14669" s="17"/>
    </row>
    <row r="14670" spans="12:17" x14ac:dyDescent="0.3">
      <c r="L14670" s="25"/>
      <c r="Q14670" s="17"/>
    </row>
    <row r="14671" spans="12:17" x14ac:dyDescent="0.3">
      <c r="L14671" s="25"/>
      <c r="Q14671" s="17"/>
    </row>
    <row r="14672" spans="12:17" x14ac:dyDescent="0.3">
      <c r="L14672" s="25"/>
      <c r="Q14672" s="17"/>
    </row>
    <row r="14673" spans="12:17" x14ac:dyDescent="0.3">
      <c r="L14673" s="25"/>
      <c r="Q14673" s="17"/>
    </row>
    <row r="14674" spans="12:17" x14ac:dyDescent="0.3">
      <c r="L14674" s="25"/>
      <c r="Q14674" s="17"/>
    </row>
    <row r="14675" spans="12:17" x14ac:dyDescent="0.3">
      <c r="L14675" s="25"/>
      <c r="Q14675" s="17"/>
    </row>
    <row r="14676" spans="12:17" x14ac:dyDescent="0.3">
      <c r="L14676" s="25"/>
      <c r="Q14676" s="17"/>
    </row>
    <row r="14677" spans="12:17" x14ac:dyDescent="0.3">
      <c r="L14677" s="25"/>
      <c r="Q14677" s="17"/>
    </row>
    <row r="14678" spans="12:17" x14ac:dyDescent="0.3">
      <c r="L14678" s="25"/>
      <c r="Q14678" s="17"/>
    </row>
    <row r="14679" spans="12:17" x14ac:dyDescent="0.3">
      <c r="L14679" s="25"/>
      <c r="Q14679" s="17"/>
    </row>
    <row r="14680" spans="12:17" x14ac:dyDescent="0.3">
      <c r="L14680" s="25"/>
      <c r="Q14680" s="17"/>
    </row>
    <row r="14681" spans="12:17" x14ac:dyDescent="0.3">
      <c r="L14681" s="25"/>
      <c r="Q14681" s="17"/>
    </row>
    <row r="14682" spans="12:17" x14ac:dyDescent="0.3">
      <c r="L14682" s="25"/>
      <c r="Q14682" s="17"/>
    </row>
    <row r="14683" spans="12:17" x14ac:dyDescent="0.3">
      <c r="L14683" s="25"/>
      <c r="Q14683" s="17"/>
    </row>
    <row r="14684" spans="12:17" x14ac:dyDescent="0.3">
      <c r="L14684" s="25"/>
      <c r="Q14684" s="17"/>
    </row>
    <row r="14685" spans="12:17" x14ac:dyDescent="0.3">
      <c r="L14685" s="25"/>
      <c r="Q14685" s="17"/>
    </row>
    <row r="14686" spans="12:17" x14ac:dyDescent="0.3">
      <c r="L14686" s="25"/>
      <c r="Q14686" s="17"/>
    </row>
    <row r="14687" spans="12:17" x14ac:dyDescent="0.3">
      <c r="L14687" s="25"/>
      <c r="Q14687" s="17"/>
    </row>
    <row r="14688" spans="12:17" x14ac:dyDescent="0.3">
      <c r="L14688" s="25"/>
      <c r="Q14688" s="17"/>
    </row>
    <row r="14689" spans="12:17" x14ac:dyDescent="0.3">
      <c r="L14689" s="25"/>
      <c r="Q14689" s="17"/>
    </row>
    <row r="14690" spans="12:17" x14ac:dyDescent="0.3">
      <c r="L14690" s="25"/>
      <c r="Q14690" s="17"/>
    </row>
    <row r="14691" spans="12:17" x14ac:dyDescent="0.3">
      <c r="L14691" s="25"/>
      <c r="Q14691" s="17"/>
    </row>
    <row r="14692" spans="12:17" x14ac:dyDescent="0.3">
      <c r="L14692" s="25"/>
      <c r="Q14692" s="17"/>
    </row>
    <row r="14693" spans="12:17" x14ac:dyDescent="0.3">
      <c r="L14693" s="25"/>
      <c r="Q14693" s="17"/>
    </row>
    <row r="14694" spans="12:17" x14ac:dyDescent="0.3">
      <c r="L14694" s="25"/>
      <c r="Q14694" s="17"/>
    </row>
    <row r="14695" spans="12:17" x14ac:dyDescent="0.3">
      <c r="L14695" s="25"/>
      <c r="Q14695" s="17"/>
    </row>
    <row r="14696" spans="12:17" x14ac:dyDescent="0.3">
      <c r="L14696" s="25"/>
      <c r="Q14696" s="17"/>
    </row>
    <row r="14697" spans="12:17" x14ac:dyDescent="0.3">
      <c r="L14697" s="25"/>
      <c r="Q14697" s="17"/>
    </row>
    <row r="14698" spans="12:17" x14ac:dyDescent="0.3">
      <c r="L14698" s="25"/>
      <c r="Q14698" s="17"/>
    </row>
    <row r="14699" spans="12:17" x14ac:dyDescent="0.3">
      <c r="L14699" s="25"/>
      <c r="Q14699" s="17"/>
    </row>
    <row r="14700" spans="12:17" x14ac:dyDescent="0.3">
      <c r="L14700" s="25"/>
      <c r="Q14700" s="17"/>
    </row>
    <row r="14701" spans="12:17" x14ac:dyDescent="0.3">
      <c r="L14701" s="25"/>
      <c r="Q14701" s="17"/>
    </row>
    <row r="14702" spans="12:17" x14ac:dyDescent="0.3">
      <c r="L14702" s="25"/>
      <c r="Q14702" s="17"/>
    </row>
    <row r="14703" spans="12:17" x14ac:dyDescent="0.3">
      <c r="L14703" s="25"/>
      <c r="Q14703" s="17"/>
    </row>
    <row r="14704" spans="12:17" x14ac:dyDescent="0.3">
      <c r="L14704" s="25"/>
      <c r="Q14704" s="17"/>
    </row>
    <row r="14705" spans="12:17" x14ac:dyDescent="0.3">
      <c r="L14705" s="25"/>
      <c r="Q14705" s="17"/>
    </row>
    <row r="14706" spans="12:17" x14ac:dyDescent="0.3">
      <c r="L14706" s="25"/>
      <c r="Q14706" s="17"/>
    </row>
    <row r="14707" spans="12:17" x14ac:dyDescent="0.3">
      <c r="L14707" s="25"/>
      <c r="Q14707" s="17"/>
    </row>
    <row r="14708" spans="12:17" x14ac:dyDescent="0.3">
      <c r="L14708" s="25"/>
      <c r="Q14708" s="17"/>
    </row>
    <row r="14709" spans="12:17" x14ac:dyDescent="0.3">
      <c r="L14709" s="25"/>
      <c r="Q14709" s="17"/>
    </row>
    <row r="14710" spans="12:17" x14ac:dyDescent="0.3">
      <c r="L14710" s="25"/>
      <c r="Q14710" s="17"/>
    </row>
    <row r="14711" spans="12:17" x14ac:dyDescent="0.3">
      <c r="L14711" s="25"/>
      <c r="Q14711" s="17"/>
    </row>
    <row r="14712" spans="12:17" x14ac:dyDescent="0.3">
      <c r="L14712" s="25"/>
      <c r="Q14712" s="17"/>
    </row>
    <row r="14713" spans="12:17" x14ac:dyDescent="0.3">
      <c r="L14713" s="25"/>
      <c r="Q14713" s="17"/>
    </row>
    <row r="14714" spans="12:17" x14ac:dyDescent="0.3">
      <c r="L14714" s="25"/>
      <c r="Q14714" s="17"/>
    </row>
    <row r="14715" spans="12:17" x14ac:dyDescent="0.3">
      <c r="L14715" s="25"/>
      <c r="Q14715" s="17"/>
    </row>
    <row r="14716" spans="12:17" x14ac:dyDescent="0.3">
      <c r="L14716" s="25"/>
      <c r="Q14716" s="17"/>
    </row>
    <row r="14717" spans="12:17" x14ac:dyDescent="0.3">
      <c r="L14717" s="25"/>
      <c r="Q14717" s="17"/>
    </row>
    <row r="14718" spans="12:17" x14ac:dyDescent="0.3">
      <c r="L14718" s="25"/>
      <c r="Q14718" s="17"/>
    </row>
    <row r="14719" spans="12:17" x14ac:dyDescent="0.3">
      <c r="L14719" s="25"/>
      <c r="Q14719" s="17"/>
    </row>
    <row r="14720" spans="12:17" x14ac:dyDescent="0.3">
      <c r="L14720" s="25"/>
      <c r="Q14720" s="17"/>
    </row>
    <row r="14721" spans="12:17" x14ac:dyDescent="0.3">
      <c r="L14721" s="25"/>
      <c r="Q14721" s="17"/>
    </row>
    <row r="14722" spans="12:17" x14ac:dyDescent="0.3">
      <c r="L14722" s="25"/>
      <c r="Q14722" s="17"/>
    </row>
    <row r="14723" spans="12:17" x14ac:dyDescent="0.3">
      <c r="L14723" s="25"/>
      <c r="Q14723" s="17"/>
    </row>
    <row r="14724" spans="12:17" x14ac:dyDescent="0.3">
      <c r="L14724" s="25"/>
      <c r="Q14724" s="17"/>
    </row>
    <row r="14725" spans="12:17" x14ac:dyDescent="0.3">
      <c r="L14725" s="25"/>
      <c r="Q14725" s="17"/>
    </row>
    <row r="14726" spans="12:17" x14ac:dyDescent="0.3">
      <c r="L14726" s="25"/>
      <c r="Q14726" s="17"/>
    </row>
    <row r="14727" spans="12:17" x14ac:dyDescent="0.3">
      <c r="L14727" s="25"/>
      <c r="Q14727" s="17"/>
    </row>
    <row r="14728" spans="12:17" x14ac:dyDescent="0.3">
      <c r="L14728" s="25"/>
      <c r="Q14728" s="17"/>
    </row>
    <row r="14729" spans="12:17" x14ac:dyDescent="0.3">
      <c r="L14729" s="25"/>
      <c r="Q14729" s="17"/>
    </row>
    <row r="14730" spans="12:17" x14ac:dyDescent="0.3">
      <c r="L14730" s="25"/>
      <c r="Q14730" s="17"/>
    </row>
    <row r="14731" spans="12:17" x14ac:dyDescent="0.3">
      <c r="L14731" s="25"/>
      <c r="Q14731" s="17"/>
    </row>
    <row r="14732" spans="12:17" x14ac:dyDescent="0.3">
      <c r="L14732" s="25"/>
      <c r="Q14732" s="17"/>
    </row>
    <row r="14733" spans="12:17" x14ac:dyDescent="0.3">
      <c r="L14733" s="25"/>
      <c r="Q14733" s="17"/>
    </row>
    <row r="14734" spans="12:17" x14ac:dyDescent="0.3">
      <c r="L14734" s="25"/>
      <c r="Q14734" s="17"/>
    </row>
    <row r="14735" spans="12:17" x14ac:dyDescent="0.3">
      <c r="L14735" s="25"/>
      <c r="Q14735" s="17"/>
    </row>
    <row r="14736" spans="12:17" x14ac:dyDescent="0.3">
      <c r="L14736" s="25"/>
      <c r="Q14736" s="17"/>
    </row>
    <row r="14737" spans="12:17" x14ac:dyDescent="0.3">
      <c r="L14737" s="25"/>
      <c r="Q14737" s="17"/>
    </row>
    <row r="14738" spans="12:17" x14ac:dyDescent="0.3">
      <c r="L14738" s="25"/>
      <c r="Q14738" s="17"/>
    </row>
    <row r="14739" spans="12:17" x14ac:dyDescent="0.3">
      <c r="L14739" s="25"/>
      <c r="Q14739" s="17"/>
    </row>
    <row r="14740" spans="12:17" x14ac:dyDescent="0.3">
      <c r="L14740" s="25"/>
      <c r="Q14740" s="17"/>
    </row>
    <row r="14741" spans="12:17" x14ac:dyDescent="0.3">
      <c r="L14741" s="25"/>
      <c r="Q14741" s="17"/>
    </row>
    <row r="14742" spans="12:17" x14ac:dyDescent="0.3">
      <c r="L14742" s="25"/>
      <c r="Q14742" s="17"/>
    </row>
    <row r="14743" spans="12:17" x14ac:dyDescent="0.3">
      <c r="L14743" s="25"/>
      <c r="Q14743" s="17"/>
    </row>
    <row r="14744" spans="12:17" x14ac:dyDescent="0.3">
      <c r="L14744" s="25"/>
      <c r="Q14744" s="17"/>
    </row>
    <row r="14745" spans="12:17" x14ac:dyDescent="0.3">
      <c r="L14745" s="25"/>
      <c r="Q14745" s="17"/>
    </row>
    <row r="14746" spans="12:17" x14ac:dyDescent="0.3">
      <c r="L14746" s="25"/>
      <c r="Q14746" s="17"/>
    </row>
    <row r="14747" spans="12:17" x14ac:dyDescent="0.3">
      <c r="L14747" s="25"/>
      <c r="Q14747" s="17"/>
    </row>
    <row r="14748" spans="12:17" x14ac:dyDescent="0.3">
      <c r="L14748" s="25"/>
      <c r="Q14748" s="17"/>
    </row>
    <row r="14749" spans="12:17" x14ac:dyDescent="0.3">
      <c r="L14749" s="25"/>
      <c r="Q14749" s="17"/>
    </row>
    <row r="14750" spans="12:17" x14ac:dyDescent="0.3">
      <c r="L14750" s="25"/>
      <c r="Q14750" s="17"/>
    </row>
    <row r="14751" spans="12:17" x14ac:dyDescent="0.3">
      <c r="L14751" s="25"/>
      <c r="Q14751" s="17"/>
    </row>
    <row r="14752" spans="12:17" x14ac:dyDescent="0.3">
      <c r="L14752" s="25"/>
      <c r="Q14752" s="17"/>
    </row>
    <row r="14753" spans="12:17" x14ac:dyDescent="0.3">
      <c r="L14753" s="25"/>
      <c r="Q14753" s="17"/>
    </row>
    <row r="14754" spans="12:17" x14ac:dyDescent="0.3">
      <c r="L14754" s="25"/>
      <c r="Q14754" s="17"/>
    </row>
    <row r="14755" spans="12:17" x14ac:dyDescent="0.3">
      <c r="L14755" s="25"/>
      <c r="Q14755" s="17"/>
    </row>
    <row r="14756" spans="12:17" x14ac:dyDescent="0.3">
      <c r="L14756" s="25"/>
      <c r="Q14756" s="17"/>
    </row>
    <row r="14757" spans="12:17" x14ac:dyDescent="0.3">
      <c r="L14757" s="25"/>
      <c r="Q14757" s="17"/>
    </row>
    <row r="14758" spans="12:17" x14ac:dyDescent="0.3">
      <c r="L14758" s="25"/>
      <c r="Q14758" s="17"/>
    </row>
    <row r="14759" spans="12:17" x14ac:dyDescent="0.3">
      <c r="L14759" s="25"/>
      <c r="Q14759" s="17"/>
    </row>
    <row r="14760" spans="12:17" x14ac:dyDescent="0.3">
      <c r="L14760" s="25"/>
      <c r="Q14760" s="17"/>
    </row>
    <row r="14761" spans="12:17" x14ac:dyDescent="0.3">
      <c r="L14761" s="25"/>
      <c r="Q14761" s="17"/>
    </row>
    <row r="14762" spans="12:17" x14ac:dyDescent="0.3">
      <c r="L14762" s="25"/>
      <c r="Q14762" s="17"/>
    </row>
    <row r="14763" spans="12:17" x14ac:dyDescent="0.3">
      <c r="L14763" s="25"/>
      <c r="Q14763" s="17"/>
    </row>
    <row r="14764" spans="12:17" x14ac:dyDescent="0.3">
      <c r="L14764" s="25"/>
      <c r="Q14764" s="17"/>
    </row>
    <row r="14765" spans="12:17" x14ac:dyDescent="0.3">
      <c r="L14765" s="25"/>
      <c r="Q14765" s="17"/>
    </row>
    <row r="14766" spans="12:17" x14ac:dyDescent="0.3">
      <c r="L14766" s="25"/>
      <c r="Q14766" s="17"/>
    </row>
    <row r="14767" spans="12:17" x14ac:dyDescent="0.3">
      <c r="L14767" s="25"/>
      <c r="Q14767" s="17"/>
    </row>
    <row r="14768" spans="12:17" x14ac:dyDescent="0.3">
      <c r="L14768" s="25"/>
      <c r="Q14768" s="17"/>
    </row>
    <row r="14769" spans="12:17" x14ac:dyDescent="0.3">
      <c r="L14769" s="25"/>
      <c r="Q14769" s="17"/>
    </row>
    <row r="14770" spans="12:17" x14ac:dyDescent="0.3">
      <c r="L14770" s="25"/>
      <c r="Q14770" s="17"/>
    </row>
    <row r="14771" spans="12:17" x14ac:dyDescent="0.3">
      <c r="L14771" s="25"/>
      <c r="Q14771" s="17"/>
    </row>
    <row r="14772" spans="12:17" x14ac:dyDescent="0.3">
      <c r="L14772" s="25"/>
      <c r="Q14772" s="17"/>
    </row>
    <row r="14773" spans="12:17" x14ac:dyDescent="0.3">
      <c r="L14773" s="25"/>
      <c r="Q14773" s="17"/>
    </row>
    <row r="14774" spans="12:17" x14ac:dyDescent="0.3">
      <c r="L14774" s="25"/>
      <c r="Q14774" s="17"/>
    </row>
    <row r="14775" spans="12:17" x14ac:dyDescent="0.3">
      <c r="L14775" s="25"/>
      <c r="Q14775" s="17"/>
    </row>
    <row r="14776" spans="12:17" x14ac:dyDescent="0.3">
      <c r="L14776" s="25"/>
      <c r="Q14776" s="17"/>
    </row>
    <row r="14777" spans="12:17" x14ac:dyDescent="0.3">
      <c r="L14777" s="25"/>
      <c r="Q14777" s="17"/>
    </row>
    <row r="14778" spans="12:17" x14ac:dyDescent="0.3">
      <c r="L14778" s="25"/>
      <c r="Q14778" s="17"/>
    </row>
    <row r="14779" spans="12:17" x14ac:dyDescent="0.3">
      <c r="L14779" s="25"/>
      <c r="Q14779" s="17"/>
    </row>
    <row r="14780" spans="12:17" x14ac:dyDescent="0.3">
      <c r="L14780" s="25"/>
      <c r="Q14780" s="17"/>
    </row>
    <row r="14781" spans="12:17" x14ac:dyDescent="0.3">
      <c r="L14781" s="25"/>
      <c r="Q14781" s="17"/>
    </row>
    <row r="14782" spans="12:17" x14ac:dyDescent="0.3">
      <c r="L14782" s="25"/>
      <c r="Q14782" s="17"/>
    </row>
    <row r="14783" spans="12:17" x14ac:dyDescent="0.3">
      <c r="L14783" s="25"/>
      <c r="Q14783" s="17"/>
    </row>
    <row r="14784" spans="12:17" x14ac:dyDescent="0.3">
      <c r="L14784" s="25"/>
      <c r="Q14784" s="17"/>
    </row>
    <row r="14785" spans="12:17" x14ac:dyDescent="0.3">
      <c r="L14785" s="25"/>
      <c r="Q14785" s="17"/>
    </row>
    <row r="14786" spans="12:17" x14ac:dyDescent="0.3">
      <c r="L14786" s="25"/>
      <c r="Q14786" s="17"/>
    </row>
    <row r="14787" spans="12:17" x14ac:dyDescent="0.3">
      <c r="L14787" s="25"/>
      <c r="Q14787" s="17"/>
    </row>
    <row r="14788" spans="12:17" x14ac:dyDescent="0.3">
      <c r="L14788" s="25"/>
      <c r="Q14788" s="17"/>
    </row>
    <row r="14789" spans="12:17" x14ac:dyDescent="0.3">
      <c r="L14789" s="25"/>
      <c r="Q14789" s="17"/>
    </row>
    <row r="14790" spans="12:17" x14ac:dyDescent="0.3">
      <c r="L14790" s="25"/>
      <c r="Q14790" s="17"/>
    </row>
    <row r="14791" spans="12:17" x14ac:dyDescent="0.3">
      <c r="L14791" s="25"/>
      <c r="Q14791" s="17"/>
    </row>
    <row r="14792" spans="12:17" x14ac:dyDescent="0.3">
      <c r="L14792" s="25"/>
      <c r="Q14792" s="17"/>
    </row>
    <row r="14793" spans="12:17" x14ac:dyDescent="0.3">
      <c r="L14793" s="25"/>
      <c r="Q14793" s="17"/>
    </row>
    <row r="14794" spans="12:17" x14ac:dyDescent="0.3">
      <c r="L14794" s="25"/>
      <c r="Q14794" s="17"/>
    </row>
    <row r="14795" spans="12:17" x14ac:dyDescent="0.3">
      <c r="L14795" s="25"/>
      <c r="Q14795" s="17"/>
    </row>
    <row r="14796" spans="12:17" x14ac:dyDescent="0.3">
      <c r="L14796" s="25"/>
      <c r="Q14796" s="17"/>
    </row>
    <row r="14797" spans="12:17" x14ac:dyDescent="0.3">
      <c r="L14797" s="25"/>
      <c r="Q14797" s="17"/>
    </row>
    <row r="14798" spans="12:17" x14ac:dyDescent="0.3">
      <c r="L14798" s="25"/>
      <c r="Q14798" s="17"/>
    </row>
    <row r="14799" spans="12:17" x14ac:dyDescent="0.3">
      <c r="L14799" s="25"/>
      <c r="Q14799" s="17"/>
    </row>
    <row r="14800" spans="12:17" x14ac:dyDescent="0.3">
      <c r="L14800" s="25"/>
      <c r="Q14800" s="17"/>
    </row>
    <row r="14801" spans="12:17" x14ac:dyDescent="0.3">
      <c r="L14801" s="25"/>
      <c r="Q14801" s="17"/>
    </row>
    <row r="14802" spans="12:17" x14ac:dyDescent="0.3">
      <c r="L14802" s="25"/>
      <c r="Q14802" s="17"/>
    </row>
    <row r="14803" spans="12:17" x14ac:dyDescent="0.3">
      <c r="L14803" s="25"/>
      <c r="Q14803" s="17"/>
    </row>
    <row r="14804" spans="12:17" x14ac:dyDescent="0.3">
      <c r="L14804" s="25"/>
      <c r="Q14804" s="17"/>
    </row>
    <row r="14805" spans="12:17" x14ac:dyDescent="0.3">
      <c r="L14805" s="25"/>
      <c r="Q14805" s="17"/>
    </row>
    <row r="14806" spans="12:17" x14ac:dyDescent="0.3">
      <c r="L14806" s="25"/>
      <c r="Q14806" s="17"/>
    </row>
    <row r="14807" spans="12:17" x14ac:dyDescent="0.3">
      <c r="L14807" s="25"/>
      <c r="Q14807" s="17"/>
    </row>
    <row r="14808" spans="12:17" x14ac:dyDescent="0.3">
      <c r="L14808" s="25"/>
      <c r="Q14808" s="17"/>
    </row>
    <row r="14809" spans="12:17" x14ac:dyDescent="0.3">
      <c r="L14809" s="25"/>
      <c r="Q14809" s="17"/>
    </row>
    <row r="14810" spans="12:17" x14ac:dyDescent="0.3">
      <c r="L14810" s="25"/>
      <c r="Q14810" s="17"/>
    </row>
    <row r="14811" spans="12:17" x14ac:dyDescent="0.3">
      <c r="L14811" s="25"/>
      <c r="Q14811" s="17"/>
    </row>
    <row r="14812" spans="12:17" x14ac:dyDescent="0.3">
      <c r="L14812" s="25"/>
      <c r="Q14812" s="17"/>
    </row>
    <row r="14813" spans="12:17" x14ac:dyDescent="0.3">
      <c r="L14813" s="25"/>
      <c r="Q14813" s="17"/>
    </row>
    <row r="14814" spans="12:17" x14ac:dyDescent="0.3">
      <c r="L14814" s="25"/>
      <c r="Q14814" s="17"/>
    </row>
    <row r="14815" spans="12:17" x14ac:dyDescent="0.3">
      <c r="L14815" s="25"/>
      <c r="Q14815" s="17"/>
    </row>
    <row r="14816" spans="12:17" x14ac:dyDescent="0.3">
      <c r="L14816" s="25"/>
      <c r="Q14816" s="17"/>
    </row>
    <row r="14817" spans="12:17" x14ac:dyDescent="0.3">
      <c r="L14817" s="25"/>
      <c r="Q14817" s="17"/>
    </row>
    <row r="14818" spans="12:17" x14ac:dyDescent="0.3">
      <c r="L14818" s="25"/>
      <c r="Q14818" s="17"/>
    </row>
    <row r="14819" spans="12:17" x14ac:dyDescent="0.3">
      <c r="L14819" s="25"/>
      <c r="Q14819" s="17"/>
    </row>
    <row r="14820" spans="12:17" x14ac:dyDescent="0.3">
      <c r="L14820" s="25"/>
      <c r="Q14820" s="17"/>
    </row>
    <row r="14821" spans="12:17" x14ac:dyDescent="0.3">
      <c r="L14821" s="25"/>
      <c r="Q14821" s="17"/>
    </row>
    <row r="14822" spans="12:17" x14ac:dyDescent="0.3">
      <c r="L14822" s="25"/>
      <c r="Q14822" s="17"/>
    </row>
    <row r="14823" spans="12:17" x14ac:dyDescent="0.3">
      <c r="L14823" s="25"/>
      <c r="Q14823" s="17"/>
    </row>
    <row r="14824" spans="12:17" x14ac:dyDescent="0.3">
      <c r="L14824" s="25"/>
      <c r="Q14824" s="17"/>
    </row>
    <row r="14825" spans="12:17" x14ac:dyDescent="0.3">
      <c r="L14825" s="25"/>
      <c r="Q14825" s="17"/>
    </row>
    <row r="14826" spans="12:17" x14ac:dyDescent="0.3">
      <c r="L14826" s="25"/>
      <c r="Q14826" s="17"/>
    </row>
    <row r="14827" spans="12:17" x14ac:dyDescent="0.3">
      <c r="L14827" s="25"/>
      <c r="Q14827" s="17"/>
    </row>
    <row r="14828" spans="12:17" x14ac:dyDescent="0.3">
      <c r="L14828" s="25"/>
      <c r="Q14828" s="17"/>
    </row>
    <row r="14829" spans="12:17" x14ac:dyDescent="0.3">
      <c r="L14829" s="25"/>
      <c r="Q14829" s="17"/>
    </row>
    <row r="14830" spans="12:17" x14ac:dyDescent="0.3">
      <c r="L14830" s="25"/>
      <c r="Q14830" s="17"/>
    </row>
    <row r="14831" spans="12:17" x14ac:dyDescent="0.3">
      <c r="L14831" s="25"/>
      <c r="Q14831" s="17"/>
    </row>
    <row r="14832" spans="12:17" x14ac:dyDescent="0.3">
      <c r="L14832" s="25"/>
      <c r="Q14832" s="17"/>
    </row>
    <row r="14833" spans="12:17" x14ac:dyDescent="0.3">
      <c r="L14833" s="25"/>
      <c r="Q14833" s="17"/>
    </row>
    <row r="14834" spans="12:17" x14ac:dyDescent="0.3">
      <c r="L14834" s="25"/>
      <c r="Q14834" s="17"/>
    </row>
    <row r="14835" spans="12:17" x14ac:dyDescent="0.3">
      <c r="L14835" s="25"/>
      <c r="Q14835" s="17"/>
    </row>
    <row r="14836" spans="12:17" x14ac:dyDescent="0.3">
      <c r="L14836" s="25"/>
      <c r="Q14836" s="17"/>
    </row>
    <row r="14837" spans="12:17" x14ac:dyDescent="0.3">
      <c r="L14837" s="25"/>
      <c r="Q14837" s="17"/>
    </row>
    <row r="14838" spans="12:17" x14ac:dyDescent="0.3">
      <c r="L14838" s="25"/>
      <c r="Q14838" s="17"/>
    </row>
    <row r="14839" spans="12:17" x14ac:dyDescent="0.3">
      <c r="L14839" s="25"/>
      <c r="Q14839" s="17"/>
    </row>
    <row r="14840" spans="12:17" x14ac:dyDescent="0.3">
      <c r="L14840" s="25"/>
      <c r="Q14840" s="17"/>
    </row>
    <row r="14841" spans="12:17" x14ac:dyDescent="0.3">
      <c r="L14841" s="25"/>
      <c r="Q14841" s="17"/>
    </row>
    <row r="14842" spans="12:17" x14ac:dyDescent="0.3">
      <c r="L14842" s="25"/>
      <c r="Q14842" s="17"/>
    </row>
    <row r="14843" spans="12:17" x14ac:dyDescent="0.3">
      <c r="L14843" s="25"/>
      <c r="Q14843" s="17"/>
    </row>
    <row r="14844" spans="12:17" x14ac:dyDescent="0.3">
      <c r="L14844" s="25"/>
      <c r="Q14844" s="17"/>
    </row>
    <row r="14845" spans="12:17" x14ac:dyDescent="0.3">
      <c r="L14845" s="25"/>
      <c r="Q14845" s="17"/>
    </row>
    <row r="14846" spans="12:17" x14ac:dyDescent="0.3">
      <c r="L14846" s="25"/>
      <c r="Q14846" s="17"/>
    </row>
    <row r="14847" spans="12:17" x14ac:dyDescent="0.3">
      <c r="L14847" s="25"/>
      <c r="Q14847" s="17"/>
    </row>
    <row r="14848" spans="12:17" x14ac:dyDescent="0.3">
      <c r="L14848" s="25"/>
      <c r="Q14848" s="17"/>
    </row>
    <row r="14849" spans="12:17" x14ac:dyDescent="0.3">
      <c r="L14849" s="25"/>
      <c r="Q14849" s="17"/>
    </row>
    <row r="14850" spans="12:17" x14ac:dyDescent="0.3">
      <c r="L14850" s="25"/>
      <c r="Q14850" s="17"/>
    </row>
    <row r="14851" spans="12:17" x14ac:dyDescent="0.3">
      <c r="L14851" s="25"/>
      <c r="Q14851" s="17"/>
    </row>
    <row r="14852" spans="12:17" x14ac:dyDescent="0.3">
      <c r="L14852" s="25"/>
      <c r="Q14852" s="17"/>
    </row>
    <row r="14853" spans="12:17" x14ac:dyDescent="0.3">
      <c r="L14853" s="25"/>
      <c r="Q14853" s="17"/>
    </row>
    <row r="14854" spans="12:17" x14ac:dyDescent="0.3">
      <c r="L14854" s="25"/>
      <c r="Q14854" s="17"/>
    </row>
    <row r="14855" spans="12:17" x14ac:dyDescent="0.3">
      <c r="L14855" s="25"/>
      <c r="Q14855" s="17"/>
    </row>
    <row r="14856" spans="12:17" x14ac:dyDescent="0.3">
      <c r="L14856" s="25"/>
      <c r="Q14856" s="17"/>
    </row>
    <row r="14857" spans="12:17" x14ac:dyDescent="0.3">
      <c r="L14857" s="25"/>
      <c r="Q14857" s="17"/>
    </row>
    <row r="14858" spans="12:17" x14ac:dyDescent="0.3">
      <c r="L14858" s="25"/>
      <c r="Q14858" s="17"/>
    </row>
    <row r="14859" spans="12:17" x14ac:dyDescent="0.3">
      <c r="L14859" s="25"/>
      <c r="Q14859" s="17"/>
    </row>
    <row r="14860" spans="12:17" x14ac:dyDescent="0.3">
      <c r="L14860" s="25"/>
      <c r="Q14860" s="17"/>
    </row>
    <row r="14861" spans="12:17" x14ac:dyDescent="0.3">
      <c r="L14861" s="25"/>
      <c r="Q14861" s="17"/>
    </row>
    <row r="14862" spans="12:17" x14ac:dyDescent="0.3">
      <c r="L14862" s="25"/>
      <c r="Q14862" s="17"/>
    </row>
    <row r="14863" spans="12:17" x14ac:dyDescent="0.3">
      <c r="L14863" s="25"/>
      <c r="Q14863" s="17"/>
    </row>
    <row r="14864" spans="12:17" x14ac:dyDescent="0.3">
      <c r="L14864" s="25"/>
      <c r="Q14864" s="17"/>
    </row>
    <row r="14865" spans="12:17" x14ac:dyDescent="0.3">
      <c r="L14865" s="25"/>
      <c r="Q14865" s="17"/>
    </row>
    <row r="14866" spans="12:17" x14ac:dyDescent="0.3">
      <c r="L14866" s="25"/>
      <c r="Q14866" s="17"/>
    </row>
    <row r="14867" spans="12:17" x14ac:dyDescent="0.3">
      <c r="L14867" s="25"/>
      <c r="Q14867" s="17"/>
    </row>
    <row r="14868" spans="12:17" x14ac:dyDescent="0.3">
      <c r="L14868" s="25"/>
      <c r="Q14868" s="17"/>
    </row>
    <row r="14869" spans="12:17" x14ac:dyDescent="0.3">
      <c r="L14869" s="25"/>
      <c r="Q14869" s="17"/>
    </row>
    <row r="14870" spans="12:17" x14ac:dyDescent="0.3">
      <c r="L14870" s="25"/>
      <c r="Q14870" s="17"/>
    </row>
    <row r="14871" spans="12:17" x14ac:dyDescent="0.3">
      <c r="L14871" s="25"/>
      <c r="Q14871" s="17"/>
    </row>
    <row r="14872" spans="12:17" x14ac:dyDescent="0.3">
      <c r="L14872" s="25"/>
      <c r="Q14872" s="17"/>
    </row>
    <row r="14873" spans="12:17" x14ac:dyDescent="0.3">
      <c r="L14873" s="25"/>
      <c r="Q14873" s="17"/>
    </row>
    <row r="14874" spans="12:17" x14ac:dyDescent="0.3">
      <c r="L14874" s="25"/>
      <c r="Q14874" s="17"/>
    </row>
    <row r="14875" spans="12:17" x14ac:dyDescent="0.3">
      <c r="L14875" s="25"/>
      <c r="Q14875" s="17"/>
    </row>
    <row r="14876" spans="12:17" x14ac:dyDescent="0.3">
      <c r="L14876" s="25"/>
      <c r="Q14876" s="17"/>
    </row>
    <row r="14877" spans="12:17" x14ac:dyDescent="0.3">
      <c r="L14877" s="25"/>
      <c r="Q14877" s="17"/>
    </row>
    <row r="14878" spans="12:17" x14ac:dyDescent="0.3">
      <c r="L14878" s="25"/>
      <c r="Q14878" s="17"/>
    </row>
    <row r="14879" spans="12:17" x14ac:dyDescent="0.3">
      <c r="L14879" s="25"/>
      <c r="Q14879" s="17"/>
    </row>
    <row r="14880" spans="12:17" x14ac:dyDescent="0.3">
      <c r="L14880" s="25"/>
      <c r="Q14880" s="17"/>
    </row>
    <row r="14881" spans="12:17" x14ac:dyDescent="0.3">
      <c r="L14881" s="25"/>
      <c r="Q14881" s="17"/>
    </row>
    <row r="14882" spans="12:17" x14ac:dyDescent="0.3">
      <c r="L14882" s="25"/>
      <c r="Q14882" s="17"/>
    </row>
    <row r="14883" spans="12:17" x14ac:dyDescent="0.3">
      <c r="L14883" s="25"/>
      <c r="Q14883" s="17"/>
    </row>
    <row r="14884" spans="12:17" x14ac:dyDescent="0.3">
      <c r="L14884" s="25"/>
      <c r="Q14884" s="17"/>
    </row>
    <row r="14885" spans="12:17" x14ac:dyDescent="0.3">
      <c r="L14885" s="25"/>
      <c r="Q14885" s="17"/>
    </row>
    <row r="14886" spans="12:17" x14ac:dyDescent="0.3">
      <c r="L14886" s="25"/>
      <c r="Q14886" s="17"/>
    </row>
    <row r="14887" spans="12:17" x14ac:dyDescent="0.3">
      <c r="L14887" s="25"/>
      <c r="Q14887" s="17"/>
    </row>
    <row r="14888" spans="12:17" x14ac:dyDescent="0.3">
      <c r="L14888" s="25"/>
      <c r="Q14888" s="17"/>
    </row>
    <row r="14889" spans="12:17" x14ac:dyDescent="0.3">
      <c r="L14889" s="25"/>
      <c r="Q14889" s="17"/>
    </row>
    <row r="14890" spans="12:17" x14ac:dyDescent="0.3">
      <c r="L14890" s="25"/>
      <c r="Q14890" s="17"/>
    </row>
    <row r="14891" spans="12:17" x14ac:dyDescent="0.3">
      <c r="L14891" s="25"/>
      <c r="Q14891" s="17"/>
    </row>
    <row r="14892" spans="12:17" x14ac:dyDescent="0.3">
      <c r="L14892" s="25"/>
      <c r="Q14892" s="17"/>
    </row>
    <row r="14893" spans="12:17" x14ac:dyDescent="0.3">
      <c r="L14893" s="25"/>
      <c r="Q14893" s="17"/>
    </row>
    <row r="14894" spans="12:17" x14ac:dyDescent="0.3">
      <c r="L14894" s="25"/>
      <c r="Q14894" s="17"/>
    </row>
    <row r="14895" spans="12:17" x14ac:dyDescent="0.3">
      <c r="L14895" s="25"/>
      <c r="Q14895" s="17"/>
    </row>
    <row r="14896" spans="12:17" x14ac:dyDescent="0.3">
      <c r="L14896" s="25"/>
      <c r="Q14896" s="17"/>
    </row>
    <row r="14897" spans="12:17" x14ac:dyDescent="0.3">
      <c r="L14897" s="25"/>
      <c r="Q14897" s="17"/>
    </row>
    <row r="14898" spans="12:17" x14ac:dyDescent="0.3">
      <c r="L14898" s="25"/>
      <c r="Q14898" s="17"/>
    </row>
    <row r="14899" spans="12:17" x14ac:dyDescent="0.3">
      <c r="L14899" s="25"/>
      <c r="Q14899" s="17"/>
    </row>
    <row r="14900" spans="12:17" x14ac:dyDescent="0.3">
      <c r="L14900" s="25"/>
      <c r="Q14900" s="17"/>
    </row>
    <row r="14901" spans="12:17" x14ac:dyDescent="0.3">
      <c r="L14901" s="25"/>
      <c r="Q14901" s="17"/>
    </row>
    <row r="14902" spans="12:17" x14ac:dyDescent="0.3">
      <c r="L14902" s="25"/>
      <c r="Q14902" s="17"/>
    </row>
    <row r="14903" spans="12:17" x14ac:dyDescent="0.3">
      <c r="L14903" s="25"/>
      <c r="Q14903" s="17"/>
    </row>
    <row r="14904" spans="12:17" x14ac:dyDescent="0.3">
      <c r="L14904" s="25"/>
      <c r="Q14904" s="17"/>
    </row>
    <row r="14905" spans="12:17" x14ac:dyDescent="0.3">
      <c r="L14905" s="25"/>
      <c r="Q14905" s="17"/>
    </row>
    <row r="14906" spans="12:17" x14ac:dyDescent="0.3">
      <c r="L14906" s="25"/>
      <c r="Q14906" s="17"/>
    </row>
    <row r="14907" spans="12:17" x14ac:dyDescent="0.3">
      <c r="L14907" s="25"/>
      <c r="Q14907" s="17"/>
    </row>
    <row r="14908" spans="12:17" x14ac:dyDescent="0.3">
      <c r="L14908" s="25"/>
      <c r="Q14908" s="17"/>
    </row>
    <row r="14909" spans="12:17" x14ac:dyDescent="0.3">
      <c r="L14909" s="25"/>
      <c r="Q14909" s="17"/>
    </row>
    <row r="14910" spans="12:17" x14ac:dyDescent="0.3">
      <c r="L14910" s="25"/>
      <c r="Q14910" s="17"/>
    </row>
    <row r="14911" spans="12:17" x14ac:dyDescent="0.3">
      <c r="L14911" s="25"/>
      <c r="Q14911" s="17"/>
    </row>
    <row r="14912" spans="12:17" x14ac:dyDescent="0.3">
      <c r="L14912" s="25"/>
      <c r="Q14912" s="17"/>
    </row>
    <row r="14913" spans="12:17" x14ac:dyDescent="0.3">
      <c r="L14913" s="25"/>
      <c r="Q14913" s="17"/>
    </row>
    <row r="14914" spans="12:17" x14ac:dyDescent="0.3">
      <c r="L14914" s="25"/>
      <c r="Q14914" s="17"/>
    </row>
    <row r="14915" spans="12:17" x14ac:dyDescent="0.3">
      <c r="L14915" s="25"/>
      <c r="Q14915" s="17"/>
    </row>
    <row r="14916" spans="12:17" x14ac:dyDescent="0.3">
      <c r="L14916" s="25"/>
      <c r="Q14916" s="17"/>
    </row>
    <row r="14917" spans="12:17" x14ac:dyDescent="0.3">
      <c r="L14917" s="25"/>
      <c r="Q14917" s="17"/>
    </row>
    <row r="14918" spans="12:17" x14ac:dyDescent="0.3">
      <c r="L14918" s="25"/>
      <c r="Q14918" s="17"/>
    </row>
    <row r="14919" spans="12:17" x14ac:dyDescent="0.3">
      <c r="L14919" s="25"/>
      <c r="Q14919" s="17"/>
    </row>
    <row r="14920" spans="12:17" x14ac:dyDescent="0.3">
      <c r="L14920" s="25"/>
      <c r="Q14920" s="17"/>
    </row>
    <row r="14921" spans="12:17" x14ac:dyDescent="0.3">
      <c r="L14921" s="25"/>
      <c r="Q14921" s="17"/>
    </row>
    <row r="14922" spans="12:17" x14ac:dyDescent="0.3">
      <c r="L14922" s="25"/>
      <c r="Q14922" s="17"/>
    </row>
    <row r="14923" spans="12:17" x14ac:dyDescent="0.3">
      <c r="L14923" s="25"/>
      <c r="Q14923" s="17"/>
    </row>
    <row r="14924" spans="12:17" x14ac:dyDescent="0.3">
      <c r="L14924" s="25"/>
      <c r="Q14924" s="17"/>
    </row>
    <row r="14925" spans="12:17" x14ac:dyDescent="0.3">
      <c r="L14925" s="25"/>
      <c r="Q14925" s="17"/>
    </row>
    <row r="14926" spans="12:17" x14ac:dyDescent="0.3">
      <c r="L14926" s="25"/>
      <c r="Q14926" s="17"/>
    </row>
    <row r="14927" spans="12:17" x14ac:dyDescent="0.3">
      <c r="L14927" s="25"/>
      <c r="Q14927" s="17"/>
    </row>
    <row r="14928" spans="12:17" x14ac:dyDescent="0.3">
      <c r="L14928" s="25"/>
      <c r="Q14928" s="17"/>
    </row>
    <row r="14929" spans="12:17" x14ac:dyDescent="0.3">
      <c r="L14929" s="25"/>
      <c r="Q14929" s="17"/>
    </row>
    <row r="14930" spans="12:17" x14ac:dyDescent="0.3">
      <c r="L14930" s="25"/>
      <c r="Q14930" s="17"/>
    </row>
    <row r="14931" spans="12:17" x14ac:dyDescent="0.3">
      <c r="L14931" s="25"/>
      <c r="Q14931" s="17"/>
    </row>
    <row r="14932" spans="12:17" x14ac:dyDescent="0.3">
      <c r="L14932" s="25"/>
      <c r="Q14932" s="17"/>
    </row>
    <row r="14933" spans="12:17" x14ac:dyDescent="0.3">
      <c r="L14933" s="25"/>
      <c r="Q14933" s="17"/>
    </row>
    <row r="14934" spans="12:17" x14ac:dyDescent="0.3">
      <c r="L14934" s="25"/>
      <c r="Q14934" s="17"/>
    </row>
    <row r="14935" spans="12:17" x14ac:dyDescent="0.3">
      <c r="L14935" s="25"/>
      <c r="Q14935" s="17"/>
    </row>
    <row r="14936" spans="12:17" x14ac:dyDescent="0.3">
      <c r="L14936" s="25"/>
      <c r="Q14936" s="17"/>
    </row>
    <row r="14937" spans="12:17" x14ac:dyDescent="0.3">
      <c r="L14937" s="25"/>
      <c r="Q14937" s="17"/>
    </row>
    <row r="14938" spans="12:17" x14ac:dyDescent="0.3">
      <c r="L14938" s="25"/>
      <c r="Q14938" s="17"/>
    </row>
    <row r="14939" spans="12:17" x14ac:dyDescent="0.3">
      <c r="L14939" s="25"/>
      <c r="Q14939" s="17"/>
    </row>
    <row r="14940" spans="12:17" x14ac:dyDescent="0.3">
      <c r="L14940" s="25"/>
      <c r="Q14940" s="17"/>
    </row>
    <row r="14941" spans="12:17" x14ac:dyDescent="0.3">
      <c r="L14941" s="25"/>
      <c r="Q14941" s="17"/>
    </row>
    <row r="14942" spans="12:17" x14ac:dyDescent="0.3">
      <c r="L14942" s="25"/>
      <c r="Q14942" s="17"/>
    </row>
    <row r="14943" spans="12:17" x14ac:dyDescent="0.3">
      <c r="L14943" s="25"/>
      <c r="Q14943" s="17"/>
    </row>
    <row r="14944" spans="12:17" x14ac:dyDescent="0.3">
      <c r="L14944" s="25"/>
      <c r="Q14944" s="17"/>
    </row>
    <row r="14945" spans="12:17" x14ac:dyDescent="0.3">
      <c r="L14945" s="25"/>
      <c r="Q14945" s="17"/>
    </row>
    <row r="14946" spans="12:17" x14ac:dyDescent="0.3">
      <c r="L14946" s="25"/>
      <c r="Q14946" s="17"/>
    </row>
    <row r="14947" spans="12:17" x14ac:dyDescent="0.3">
      <c r="L14947" s="25"/>
      <c r="Q14947" s="17"/>
    </row>
    <row r="14948" spans="12:17" x14ac:dyDescent="0.3">
      <c r="L14948" s="25"/>
      <c r="Q14948" s="17"/>
    </row>
    <row r="14949" spans="12:17" x14ac:dyDescent="0.3">
      <c r="L14949" s="25"/>
      <c r="Q14949" s="17"/>
    </row>
    <row r="14950" spans="12:17" x14ac:dyDescent="0.3">
      <c r="L14950" s="25"/>
      <c r="Q14950" s="17"/>
    </row>
    <row r="14951" spans="12:17" x14ac:dyDescent="0.3">
      <c r="L14951" s="25"/>
      <c r="Q14951" s="17"/>
    </row>
    <row r="14952" spans="12:17" x14ac:dyDescent="0.3">
      <c r="L14952" s="25"/>
      <c r="Q14952" s="17"/>
    </row>
    <row r="14953" spans="12:17" x14ac:dyDescent="0.3">
      <c r="L14953" s="25"/>
      <c r="Q14953" s="17"/>
    </row>
    <row r="14954" spans="12:17" x14ac:dyDescent="0.3">
      <c r="L14954" s="25"/>
      <c r="Q14954" s="17"/>
    </row>
    <row r="14955" spans="12:17" x14ac:dyDescent="0.3">
      <c r="L14955" s="25"/>
      <c r="Q14955" s="17"/>
    </row>
    <row r="14956" spans="12:17" x14ac:dyDescent="0.3">
      <c r="L14956" s="25"/>
      <c r="Q14956" s="17"/>
    </row>
    <row r="14957" spans="12:17" x14ac:dyDescent="0.3">
      <c r="L14957" s="25"/>
      <c r="Q14957" s="17"/>
    </row>
    <row r="14958" spans="12:17" x14ac:dyDescent="0.3">
      <c r="L14958" s="25"/>
      <c r="Q14958" s="17"/>
    </row>
    <row r="14959" spans="12:17" x14ac:dyDescent="0.3">
      <c r="L14959" s="25"/>
      <c r="Q14959" s="17"/>
    </row>
    <row r="14960" spans="12:17" x14ac:dyDescent="0.3">
      <c r="L14960" s="25"/>
      <c r="Q14960" s="17"/>
    </row>
    <row r="14961" spans="12:17" x14ac:dyDescent="0.3">
      <c r="L14961" s="25"/>
      <c r="Q14961" s="17"/>
    </row>
    <row r="14962" spans="12:17" x14ac:dyDescent="0.3">
      <c r="L14962" s="25"/>
      <c r="Q14962" s="17"/>
    </row>
    <row r="14963" spans="12:17" x14ac:dyDescent="0.3">
      <c r="L14963" s="25"/>
      <c r="Q14963" s="17"/>
    </row>
    <row r="14964" spans="12:17" x14ac:dyDescent="0.3">
      <c r="L14964" s="25"/>
      <c r="Q14964" s="17"/>
    </row>
    <row r="14965" spans="12:17" x14ac:dyDescent="0.3">
      <c r="L14965" s="25"/>
      <c r="Q14965" s="17"/>
    </row>
    <row r="14966" spans="12:17" x14ac:dyDescent="0.3">
      <c r="L14966" s="25"/>
      <c r="Q14966" s="17"/>
    </row>
    <row r="14967" spans="12:17" x14ac:dyDescent="0.3">
      <c r="L14967" s="25"/>
      <c r="Q14967" s="17"/>
    </row>
    <row r="14968" spans="12:17" x14ac:dyDescent="0.3">
      <c r="L14968" s="25"/>
      <c r="Q14968" s="17"/>
    </row>
    <row r="14969" spans="12:17" x14ac:dyDescent="0.3">
      <c r="L14969" s="25"/>
      <c r="Q14969" s="17"/>
    </row>
    <row r="14970" spans="12:17" x14ac:dyDescent="0.3">
      <c r="L14970" s="25"/>
      <c r="Q14970" s="17"/>
    </row>
    <row r="14971" spans="12:17" x14ac:dyDescent="0.3">
      <c r="L14971" s="25"/>
      <c r="Q14971" s="17"/>
    </row>
    <row r="14972" spans="12:17" x14ac:dyDescent="0.3">
      <c r="L14972" s="25"/>
      <c r="Q14972" s="17"/>
    </row>
    <row r="14973" spans="12:17" x14ac:dyDescent="0.3">
      <c r="L14973" s="25"/>
      <c r="Q14973" s="17"/>
    </row>
    <row r="14974" spans="12:17" x14ac:dyDescent="0.3">
      <c r="L14974" s="25"/>
      <c r="Q14974" s="17"/>
    </row>
    <row r="14975" spans="12:17" x14ac:dyDescent="0.3">
      <c r="L14975" s="25"/>
      <c r="Q14975" s="17"/>
    </row>
    <row r="14976" spans="12:17" x14ac:dyDescent="0.3">
      <c r="L14976" s="25"/>
      <c r="Q14976" s="17"/>
    </row>
    <row r="14977" spans="12:17" x14ac:dyDescent="0.3">
      <c r="L14977" s="25"/>
      <c r="Q14977" s="17"/>
    </row>
    <row r="14978" spans="12:17" x14ac:dyDescent="0.3">
      <c r="L14978" s="25"/>
      <c r="Q14978" s="17"/>
    </row>
    <row r="14979" spans="12:17" x14ac:dyDescent="0.3">
      <c r="L14979" s="25"/>
      <c r="Q14979" s="17"/>
    </row>
    <row r="14980" spans="12:17" x14ac:dyDescent="0.3">
      <c r="L14980" s="25"/>
      <c r="Q14980" s="17"/>
    </row>
    <row r="14981" spans="12:17" x14ac:dyDescent="0.3">
      <c r="L14981" s="25"/>
      <c r="Q14981" s="17"/>
    </row>
    <row r="14982" spans="12:17" x14ac:dyDescent="0.3">
      <c r="L14982" s="25"/>
      <c r="Q14982" s="17"/>
    </row>
    <row r="14983" spans="12:17" x14ac:dyDescent="0.3">
      <c r="L14983" s="25"/>
      <c r="Q14983" s="17"/>
    </row>
    <row r="14984" spans="12:17" x14ac:dyDescent="0.3">
      <c r="L14984" s="25"/>
      <c r="Q14984" s="17"/>
    </row>
    <row r="14985" spans="12:17" x14ac:dyDescent="0.3">
      <c r="L14985" s="25"/>
      <c r="Q14985" s="17"/>
    </row>
    <row r="14986" spans="12:17" x14ac:dyDescent="0.3">
      <c r="L14986" s="25"/>
      <c r="Q14986" s="17"/>
    </row>
    <row r="14987" spans="12:17" x14ac:dyDescent="0.3">
      <c r="L14987" s="25"/>
      <c r="Q14987" s="17"/>
    </row>
    <row r="14988" spans="12:17" x14ac:dyDescent="0.3">
      <c r="L14988" s="25"/>
      <c r="Q14988" s="17"/>
    </row>
    <row r="14989" spans="12:17" x14ac:dyDescent="0.3">
      <c r="L14989" s="25"/>
      <c r="Q14989" s="17"/>
    </row>
    <row r="14990" spans="12:17" x14ac:dyDescent="0.3">
      <c r="L14990" s="25"/>
      <c r="Q14990" s="17"/>
    </row>
    <row r="14991" spans="12:17" x14ac:dyDescent="0.3">
      <c r="L14991" s="25"/>
      <c r="Q14991" s="17"/>
    </row>
    <row r="14992" spans="12:17" x14ac:dyDescent="0.3">
      <c r="L14992" s="25"/>
      <c r="Q14992" s="17"/>
    </row>
    <row r="14993" spans="12:17" x14ac:dyDescent="0.3">
      <c r="L14993" s="25"/>
      <c r="Q14993" s="17"/>
    </row>
    <row r="14994" spans="12:17" x14ac:dyDescent="0.3">
      <c r="L14994" s="25"/>
      <c r="Q14994" s="17"/>
    </row>
    <row r="14995" spans="12:17" x14ac:dyDescent="0.3">
      <c r="L14995" s="25"/>
      <c r="Q14995" s="17"/>
    </row>
    <row r="14996" spans="12:17" x14ac:dyDescent="0.3">
      <c r="L14996" s="25"/>
      <c r="Q14996" s="17"/>
    </row>
    <row r="14997" spans="12:17" x14ac:dyDescent="0.3">
      <c r="L14997" s="25"/>
      <c r="Q14997" s="17"/>
    </row>
    <row r="14998" spans="12:17" x14ac:dyDescent="0.3">
      <c r="L14998" s="25"/>
      <c r="Q14998" s="17"/>
    </row>
    <row r="14999" spans="12:17" x14ac:dyDescent="0.3">
      <c r="L14999" s="25"/>
      <c r="Q14999" s="17"/>
    </row>
    <row r="15000" spans="12:17" x14ac:dyDescent="0.3">
      <c r="L15000" s="25"/>
      <c r="Q15000" s="17"/>
    </row>
    <row r="15001" spans="12:17" x14ac:dyDescent="0.3">
      <c r="L15001" s="25"/>
      <c r="Q15001" s="17"/>
    </row>
    <row r="15002" spans="12:17" x14ac:dyDescent="0.3">
      <c r="L15002" s="25"/>
      <c r="Q15002" s="17"/>
    </row>
    <row r="15003" spans="12:17" x14ac:dyDescent="0.3">
      <c r="L15003" s="25"/>
      <c r="Q15003" s="17"/>
    </row>
    <row r="15004" spans="12:17" x14ac:dyDescent="0.3">
      <c r="L15004" s="25"/>
      <c r="Q15004" s="17"/>
    </row>
    <row r="15005" spans="12:17" x14ac:dyDescent="0.3">
      <c r="L15005" s="25"/>
      <c r="Q15005" s="17"/>
    </row>
    <row r="15006" spans="12:17" x14ac:dyDescent="0.3">
      <c r="L15006" s="25"/>
      <c r="Q15006" s="17"/>
    </row>
    <row r="15007" spans="12:17" x14ac:dyDescent="0.3">
      <c r="L15007" s="25"/>
      <c r="Q15007" s="17"/>
    </row>
    <row r="15008" spans="12:17" x14ac:dyDescent="0.3">
      <c r="L15008" s="25"/>
      <c r="Q15008" s="17"/>
    </row>
    <row r="15009" spans="12:17" x14ac:dyDescent="0.3">
      <c r="L15009" s="25"/>
      <c r="Q15009" s="17"/>
    </row>
    <row r="15010" spans="12:17" x14ac:dyDescent="0.3">
      <c r="L15010" s="25"/>
      <c r="Q15010" s="17"/>
    </row>
    <row r="15011" spans="12:17" x14ac:dyDescent="0.3">
      <c r="L15011" s="25"/>
      <c r="Q15011" s="17"/>
    </row>
    <row r="15012" spans="12:17" x14ac:dyDescent="0.3">
      <c r="L15012" s="25"/>
      <c r="Q15012" s="17"/>
    </row>
    <row r="15013" spans="12:17" x14ac:dyDescent="0.3">
      <c r="L15013" s="25"/>
      <c r="Q15013" s="17"/>
    </row>
    <row r="15014" spans="12:17" x14ac:dyDescent="0.3">
      <c r="L15014" s="25"/>
      <c r="Q15014" s="17"/>
    </row>
    <row r="15015" spans="12:17" x14ac:dyDescent="0.3">
      <c r="L15015" s="25"/>
      <c r="Q15015" s="17"/>
    </row>
    <row r="15016" spans="12:17" x14ac:dyDescent="0.3">
      <c r="L15016" s="25"/>
      <c r="Q15016" s="17"/>
    </row>
    <row r="15017" spans="12:17" x14ac:dyDescent="0.3">
      <c r="L15017" s="25"/>
      <c r="Q15017" s="17"/>
    </row>
    <row r="15018" spans="12:17" x14ac:dyDescent="0.3">
      <c r="L15018" s="25"/>
      <c r="Q15018" s="17"/>
    </row>
    <row r="15019" spans="12:17" x14ac:dyDescent="0.3">
      <c r="L15019" s="25"/>
      <c r="Q15019" s="17"/>
    </row>
    <row r="15020" spans="12:17" x14ac:dyDescent="0.3">
      <c r="L15020" s="25"/>
      <c r="Q15020" s="17"/>
    </row>
    <row r="15021" spans="12:17" x14ac:dyDescent="0.3">
      <c r="L15021" s="25"/>
      <c r="Q15021" s="17"/>
    </row>
    <row r="15022" spans="12:17" x14ac:dyDescent="0.3">
      <c r="L15022" s="25"/>
      <c r="Q15022" s="17"/>
    </row>
    <row r="15023" spans="12:17" x14ac:dyDescent="0.3">
      <c r="L15023" s="25"/>
      <c r="Q15023" s="17"/>
    </row>
    <row r="15024" spans="12:17" x14ac:dyDescent="0.3">
      <c r="L15024" s="25"/>
      <c r="Q15024" s="17"/>
    </row>
    <row r="15025" spans="12:17" x14ac:dyDescent="0.3">
      <c r="L15025" s="25"/>
      <c r="Q15025" s="17"/>
    </row>
    <row r="15026" spans="12:17" x14ac:dyDescent="0.3">
      <c r="L15026" s="25"/>
      <c r="Q15026" s="17"/>
    </row>
    <row r="15027" spans="12:17" x14ac:dyDescent="0.3">
      <c r="L15027" s="25"/>
      <c r="Q15027" s="17"/>
    </row>
    <row r="15028" spans="12:17" x14ac:dyDescent="0.3">
      <c r="L15028" s="25"/>
      <c r="Q15028" s="17"/>
    </row>
    <row r="15029" spans="12:17" x14ac:dyDescent="0.3">
      <c r="L15029" s="25"/>
      <c r="Q15029" s="17"/>
    </row>
    <row r="15030" spans="12:17" x14ac:dyDescent="0.3">
      <c r="L15030" s="25"/>
      <c r="Q15030" s="17"/>
    </row>
    <row r="15031" spans="12:17" x14ac:dyDescent="0.3">
      <c r="L15031" s="25"/>
      <c r="Q15031" s="17"/>
    </row>
    <row r="15032" spans="12:17" x14ac:dyDescent="0.3">
      <c r="L15032" s="25"/>
      <c r="Q15032" s="17"/>
    </row>
    <row r="15033" spans="12:17" x14ac:dyDescent="0.3">
      <c r="L15033" s="25"/>
      <c r="Q15033" s="17"/>
    </row>
    <row r="15034" spans="12:17" x14ac:dyDescent="0.3">
      <c r="L15034" s="25"/>
      <c r="Q15034" s="17"/>
    </row>
    <row r="15035" spans="12:17" x14ac:dyDescent="0.3">
      <c r="L15035" s="25"/>
      <c r="Q15035" s="17"/>
    </row>
    <row r="15036" spans="12:17" x14ac:dyDescent="0.3">
      <c r="L15036" s="25"/>
      <c r="Q15036" s="17"/>
    </row>
    <row r="15037" spans="12:17" x14ac:dyDescent="0.3">
      <c r="L15037" s="25"/>
      <c r="Q15037" s="17"/>
    </row>
    <row r="15038" spans="12:17" x14ac:dyDescent="0.3">
      <c r="L15038" s="25"/>
      <c r="Q15038" s="17"/>
    </row>
    <row r="15039" spans="12:17" x14ac:dyDescent="0.3">
      <c r="L15039" s="25"/>
      <c r="Q15039" s="17"/>
    </row>
    <row r="15040" spans="12:17" x14ac:dyDescent="0.3">
      <c r="L15040" s="25"/>
      <c r="Q15040" s="17"/>
    </row>
    <row r="15041" spans="12:17" x14ac:dyDescent="0.3">
      <c r="L15041" s="25"/>
      <c r="Q15041" s="17"/>
    </row>
    <row r="15042" spans="12:17" x14ac:dyDescent="0.3">
      <c r="L15042" s="25"/>
      <c r="Q15042" s="17"/>
    </row>
    <row r="15043" spans="12:17" x14ac:dyDescent="0.3">
      <c r="L15043" s="25"/>
      <c r="Q15043" s="17"/>
    </row>
    <row r="15044" spans="12:17" x14ac:dyDescent="0.3">
      <c r="L15044" s="25"/>
      <c r="Q15044" s="17"/>
    </row>
    <row r="15045" spans="12:17" x14ac:dyDescent="0.3">
      <c r="L15045" s="25"/>
      <c r="Q15045" s="17"/>
    </row>
    <row r="15046" spans="12:17" x14ac:dyDescent="0.3">
      <c r="L15046" s="25"/>
      <c r="Q15046" s="17"/>
    </row>
    <row r="15047" spans="12:17" x14ac:dyDescent="0.3">
      <c r="L15047" s="25"/>
      <c r="Q15047" s="17"/>
    </row>
    <row r="15048" spans="12:17" x14ac:dyDescent="0.3">
      <c r="L15048" s="25"/>
      <c r="Q15048" s="17"/>
    </row>
    <row r="15049" spans="12:17" x14ac:dyDescent="0.3">
      <c r="L15049" s="25"/>
      <c r="Q15049" s="17"/>
    </row>
    <row r="15050" spans="12:17" x14ac:dyDescent="0.3">
      <c r="L15050" s="25"/>
      <c r="Q15050" s="17"/>
    </row>
    <row r="15051" spans="12:17" x14ac:dyDescent="0.3">
      <c r="L15051" s="25"/>
      <c r="Q15051" s="17"/>
    </row>
    <row r="15052" spans="12:17" x14ac:dyDescent="0.3">
      <c r="L15052" s="25"/>
      <c r="Q15052" s="17"/>
    </row>
    <row r="15053" spans="12:17" x14ac:dyDescent="0.3">
      <c r="L15053" s="25"/>
      <c r="Q15053" s="17"/>
    </row>
    <row r="15054" spans="12:17" x14ac:dyDescent="0.3">
      <c r="L15054" s="25"/>
      <c r="Q15054" s="17"/>
    </row>
    <row r="15055" spans="12:17" x14ac:dyDescent="0.3">
      <c r="L15055" s="25"/>
      <c r="Q15055" s="17"/>
    </row>
    <row r="15056" spans="12:17" x14ac:dyDescent="0.3">
      <c r="L15056" s="25"/>
      <c r="Q15056" s="17"/>
    </row>
    <row r="15057" spans="12:17" x14ac:dyDescent="0.3">
      <c r="L15057" s="25"/>
      <c r="Q15057" s="17"/>
    </row>
    <row r="15058" spans="12:17" x14ac:dyDescent="0.3">
      <c r="L15058" s="25"/>
      <c r="Q15058" s="17"/>
    </row>
    <row r="15059" spans="12:17" x14ac:dyDescent="0.3">
      <c r="L15059" s="25"/>
      <c r="Q15059" s="17"/>
    </row>
    <row r="15060" spans="12:17" x14ac:dyDescent="0.3">
      <c r="L15060" s="25"/>
      <c r="Q15060" s="17"/>
    </row>
    <row r="15061" spans="12:17" x14ac:dyDescent="0.3">
      <c r="L15061" s="25"/>
      <c r="Q15061" s="17"/>
    </row>
    <row r="15062" spans="12:17" x14ac:dyDescent="0.3">
      <c r="L15062" s="25"/>
      <c r="Q15062" s="17"/>
    </row>
    <row r="15063" spans="12:17" x14ac:dyDescent="0.3">
      <c r="L15063" s="25"/>
      <c r="Q15063" s="17"/>
    </row>
    <row r="15064" spans="12:17" x14ac:dyDescent="0.3">
      <c r="L15064" s="25"/>
      <c r="Q15064" s="17"/>
    </row>
    <row r="15065" spans="12:17" x14ac:dyDescent="0.3">
      <c r="L15065" s="25"/>
      <c r="Q15065" s="17"/>
    </row>
    <row r="15066" spans="12:17" x14ac:dyDescent="0.3">
      <c r="L15066" s="25"/>
      <c r="Q15066" s="17"/>
    </row>
    <row r="15067" spans="12:17" x14ac:dyDescent="0.3">
      <c r="L15067" s="25"/>
      <c r="Q15067" s="17"/>
    </row>
    <row r="15068" spans="12:17" x14ac:dyDescent="0.3">
      <c r="L15068" s="25"/>
      <c r="Q15068" s="17"/>
    </row>
    <row r="15069" spans="12:17" x14ac:dyDescent="0.3">
      <c r="L15069" s="25"/>
      <c r="Q15069" s="17"/>
    </row>
    <row r="15070" spans="12:17" x14ac:dyDescent="0.3">
      <c r="L15070" s="25"/>
      <c r="Q15070" s="17"/>
    </row>
    <row r="15071" spans="12:17" x14ac:dyDescent="0.3">
      <c r="L15071" s="25"/>
      <c r="Q15071" s="17"/>
    </row>
    <row r="15072" spans="12:17" x14ac:dyDescent="0.3">
      <c r="L15072" s="25"/>
      <c r="Q15072" s="17"/>
    </row>
    <row r="15073" spans="12:17" x14ac:dyDescent="0.3">
      <c r="L15073" s="25"/>
      <c r="Q15073" s="17"/>
    </row>
    <row r="15074" spans="12:17" x14ac:dyDescent="0.3">
      <c r="L15074" s="25"/>
      <c r="Q15074" s="17"/>
    </row>
    <row r="15075" spans="12:17" x14ac:dyDescent="0.3">
      <c r="L15075" s="25"/>
      <c r="Q15075" s="17"/>
    </row>
    <row r="15076" spans="12:17" x14ac:dyDescent="0.3">
      <c r="L15076" s="25"/>
      <c r="Q15076" s="17"/>
    </row>
    <row r="15077" spans="12:17" x14ac:dyDescent="0.3">
      <c r="L15077" s="25"/>
      <c r="Q15077" s="17"/>
    </row>
    <row r="15078" spans="12:17" x14ac:dyDescent="0.3">
      <c r="L15078" s="25"/>
      <c r="Q15078" s="17"/>
    </row>
    <row r="15079" spans="12:17" x14ac:dyDescent="0.3">
      <c r="L15079" s="25"/>
      <c r="Q15079" s="17"/>
    </row>
    <row r="15080" spans="12:17" x14ac:dyDescent="0.3">
      <c r="L15080" s="25"/>
      <c r="Q15080" s="17"/>
    </row>
    <row r="15081" spans="12:17" x14ac:dyDescent="0.3">
      <c r="L15081" s="25"/>
      <c r="Q15081" s="17"/>
    </row>
    <row r="15082" spans="12:17" x14ac:dyDescent="0.3">
      <c r="L15082" s="25"/>
      <c r="Q15082" s="17"/>
    </row>
    <row r="15083" spans="12:17" x14ac:dyDescent="0.3">
      <c r="L15083" s="25"/>
      <c r="Q15083" s="17"/>
    </row>
    <row r="15084" spans="12:17" x14ac:dyDescent="0.3">
      <c r="L15084" s="25"/>
      <c r="Q15084" s="17"/>
    </row>
    <row r="15085" spans="12:17" x14ac:dyDescent="0.3">
      <c r="L15085" s="25"/>
      <c r="Q15085" s="17"/>
    </row>
    <row r="15086" spans="12:17" x14ac:dyDescent="0.3">
      <c r="L15086" s="25"/>
      <c r="Q15086" s="17"/>
    </row>
    <row r="15087" spans="12:17" x14ac:dyDescent="0.3">
      <c r="L15087" s="25"/>
      <c r="Q15087" s="17"/>
    </row>
    <row r="15088" spans="12:17" x14ac:dyDescent="0.3">
      <c r="L15088" s="25"/>
      <c r="Q15088" s="17"/>
    </row>
    <row r="15089" spans="12:17" x14ac:dyDescent="0.3">
      <c r="L15089" s="25"/>
      <c r="Q15089" s="17"/>
    </row>
    <row r="15090" spans="12:17" x14ac:dyDescent="0.3">
      <c r="L15090" s="25"/>
      <c r="Q15090" s="17"/>
    </row>
    <row r="15091" spans="12:17" x14ac:dyDescent="0.3">
      <c r="L15091" s="25"/>
      <c r="Q15091" s="17"/>
    </row>
    <row r="15092" spans="12:17" x14ac:dyDescent="0.3">
      <c r="L15092" s="25"/>
      <c r="Q15092" s="17"/>
    </row>
    <row r="15093" spans="12:17" x14ac:dyDescent="0.3">
      <c r="L15093" s="25"/>
      <c r="Q15093" s="17"/>
    </row>
    <row r="15094" spans="12:17" x14ac:dyDescent="0.3">
      <c r="L15094" s="25"/>
      <c r="Q15094" s="17"/>
    </row>
    <row r="15095" spans="12:17" x14ac:dyDescent="0.3">
      <c r="L15095" s="25"/>
      <c r="Q15095" s="17"/>
    </row>
    <row r="15096" spans="12:17" x14ac:dyDescent="0.3">
      <c r="L15096" s="25"/>
      <c r="Q15096" s="17"/>
    </row>
    <row r="15097" spans="12:17" x14ac:dyDescent="0.3">
      <c r="L15097" s="25"/>
      <c r="Q15097" s="17"/>
    </row>
    <row r="15098" spans="12:17" x14ac:dyDescent="0.3">
      <c r="L15098" s="25"/>
      <c r="Q15098" s="17"/>
    </row>
    <row r="15099" spans="12:17" x14ac:dyDescent="0.3">
      <c r="L15099" s="25"/>
      <c r="Q15099" s="17"/>
    </row>
    <row r="15100" spans="12:17" x14ac:dyDescent="0.3">
      <c r="L15100" s="25"/>
      <c r="Q15100" s="17"/>
    </row>
    <row r="15101" spans="12:17" x14ac:dyDescent="0.3">
      <c r="L15101" s="25"/>
      <c r="Q15101" s="17"/>
    </row>
    <row r="15102" spans="12:17" x14ac:dyDescent="0.3">
      <c r="L15102" s="25"/>
      <c r="Q15102" s="17"/>
    </row>
    <row r="15103" spans="12:17" x14ac:dyDescent="0.3">
      <c r="L15103" s="25"/>
      <c r="Q15103" s="17"/>
    </row>
    <row r="15104" spans="12:17" x14ac:dyDescent="0.3">
      <c r="L15104" s="25"/>
      <c r="Q15104" s="17"/>
    </row>
    <row r="15105" spans="12:17" x14ac:dyDescent="0.3">
      <c r="L15105" s="25"/>
      <c r="Q15105" s="17"/>
    </row>
    <row r="15106" spans="12:17" x14ac:dyDescent="0.3">
      <c r="L15106" s="25"/>
      <c r="Q15106" s="17"/>
    </row>
    <row r="15107" spans="12:17" x14ac:dyDescent="0.3">
      <c r="L15107" s="25"/>
      <c r="Q15107" s="17"/>
    </row>
    <row r="15108" spans="12:17" x14ac:dyDescent="0.3">
      <c r="L15108" s="25"/>
      <c r="Q15108" s="17"/>
    </row>
    <row r="15109" spans="12:17" x14ac:dyDescent="0.3">
      <c r="L15109" s="25"/>
      <c r="Q15109" s="17"/>
    </row>
    <row r="15110" spans="12:17" x14ac:dyDescent="0.3">
      <c r="L15110" s="25"/>
      <c r="Q15110" s="17"/>
    </row>
    <row r="15111" spans="12:17" x14ac:dyDescent="0.3">
      <c r="L15111" s="25"/>
      <c r="Q15111" s="17"/>
    </row>
    <row r="15112" spans="12:17" x14ac:dyDescent="0.3">
      <c r="L15112" s="25"/>
      <c r="Q15112" s="17"/>
    </row>
    <row r="15113" spans="12:17" x14ac:dyDescent="0.3">
      <c r="L15113" s="25"/>
      <c r="Q15113" s="17"/>
    </row>
    <row r="15114" spans="12:17" x14ac:dyDescent="0.3">
      <c r="L15114" s="25"/>
      <c r="Q15114" s="17"/>
    </row>
    <row r="15115" spans="12:17" x14ac:dyDescent="0.3">
      <c r="L15115" s="25"/>
      <c r="Q15115" s="17"/>
    </row>
    <row r="15116" spans="12:17" x14ac:dyDescent="0.3">
      <c r="L15116" s="25"/>
      <c r="Q15116" s="17"/>
    </row>
    <row r="15117" spans="12:17" x14ac:dyDescent="0.3">
      <c r="L15117" s="25"/>
      <c r="Q15117" s="17"/>
    </row>
    <row r="15118" spans="12:17" x14ac:dyDescent="0.3">
      <c r="L15118" s="25"/>
      <c r="Q15118" s="17"/>
    </row>
    <row r="15119" spans="12:17" x14ac:dyDescent="0.3">
      <c r="L15119" s="25"/>
      <c r="Q15119" s="17"/>
    </row>
    <row r="15120" spans="12:17" x14ac:dyDescent="0.3">
      <c r="L15120" s="25"/>
      <c r="Q15120" s="17"/>
    </row>
    <row r="15121" spans="12:17" x14ac:dyDescent="0.3">
      <c r="L15121" s="25"/>
      <c r="Q15121" s="17"/>
    </row>
    <row r="15122" spans="12:17" x14ac:dyDescent="0.3">
      <c r="L15122" s="25"/>
      <c r="Q15122" s="17"/>
    </row>
    <row r="15123" spans="12:17" x14ac:dyDescent="0.3">
      <c r="L15123" s="25"/>
      <c r="Q15123" s="17"/>
    </row>
    <row r="15124" spans="12:17" x14ac:dyDescent="0.3">
      <c r="L15124" s="25"/>
      <c r="Q15124" s="17"/>
    </row>
    <row r="15125" spans="12:17" x14ac:dyDescent="0.3">
      <c r="L15125" s="25"/>
      <c r="Q15125" s="17"/>
    </row>
    <row r="15126" spans="12:17" x14ac:dyDescent="0.3">
      <c r="L15126" s="25"/>
      <c r="Q15126" s="17"/>
    </row>
    <row r="15127" spans="12:17" x14ac:dyDescent="0.3">
      <c r="L15127" s="25"/>
      <c r="Q15127" s="17"/>
    </row>
    <row r="15128" spans="12:17" x14ac:dyDescent="0.3">
      <c r="L15128" s="25"/>
      <c r="Q15128" s="17"/>
    </row>
    <row r="15129" spans="12:17" x14ac:dyDescent="0.3">
      <c r="L15129" s="25"/>
      <c r="Q15129" s="17"/>
    </row>
    <row r="15130" spans="12:17" x14ac:dyDescent="0.3">
      <c r="L15130" s="25"/>
      <c r="Q15130" s="17"/>
    </row>
    <row r="15131" spans="12:17" x14ac:dyDescent="0.3">
      <c r="L15131" s="25"/>
      <c r="Q15131" s="17"/>
    </row>
    <row r="15132" spans="12:17" x14ac:dyDescent="0.3">
      <c r="L15132" s="25"/>
      <c r="Q15132" s="17"/>
    </row>
    <row r="15133" spans="12:17" x14ac:dyDescent="0.3">
      <c r="L15133" s="25"/>
      <c r="Q15133" s="17"/>
    </row>
    <row r="15134" spans="12:17" x14ac:dyDescent="0.3">
      <c r="L15134" s="25"/>
      <c r="Q15134" s="17"/>
    </row>
    <row r="15135" spans="12:17" x14ac:dyDescent="0.3">
      <c r="L15135" s="25"/>
      <c r="Q15135" s="17"/>
    </row>
    <row r="15136" spans="12:17" x14ac:dyDescent="0.3">
      <c r="L15136" s="25"/>
      <c r="Q15136" s="17"/>
    </row>
    <row r="15137" spans="12:17" x14ac:dyDescent="0.3">
      <c r="L15137" s="25"/>
      <c r="Q15137" s="17"/>
    </row>
    <row r="15138" spans="12:17" x14ac:dyDescent="0.3">
      <c r="L15138" s="25"/>
      <c r="Q15138" s="17"/>
    </row>
    <row r="15139" spans="12:17" x14ac:dyDescent="0.3">
      <c r="L15139" s="25"/>
      <c r="Q15139" s="17"/>
    </row>
    <row r="15140" spans="12:17" x14ac:dyDescent="0.3">
      <c r="L15140" s="25"/>
      <c r="Q15140" s="17"/>
    </row>
    <row r="15141" spans="12:17" x14ac:dyDescent="0.3">
      <c r="L15141" s="25"/>
      <c r="Q15141" s="17"/>
    </row>
    <row r="15142" spans="12:17" x14ac:dyDescent="0.3">
      <c r="L15142" s="25"/>
      <c r="Q15142" s="17"/>
    </row>
    <row r="15143" spans="12:17" x14ac:dyDescent="0.3">
      <c r="L15143" s="25"/>
      <c r="Q15143" s="17"/>
    </row>
    <row r="15144" spans="12:17" x14ac:dyDescent="0.3">
      <c r="L15144" s="25"/>
      <c r="Q15144" s="17"/>
    </row>
    <row r="15145" spans="12:17" x14ac:dyDescent="0.3">
      <c r="L15145" s="25"/>
      <c r="Q15145" s="17"/>
    </row>
    <row r="15146" spans="12:17" x14ac:dyDescent="0.3">
      <c r="L15146" s="25"/>
      <c r="Q15146" s="17"/>
    </row>
    <row r="15147" spans="12:17" x14ac:dyDescent="0.3">
      <c r="L15147" s="25"/>
      <c r="Q15147" s="17"/>
    </row>
    <row r="15148" spans="12:17" x14ac:dyDescent="0.3">
      <c r="L15148" s="25"/>
      <c r="Q15148" s="17"/>
    </row>
    <row r="15149" spans="12:17" x14ac:dyDescent="0.3">
      <c r="L15149" s="25"/>
      <c r="Q15149" s="17"/>
    </row>
    <row r="15150" spans="12:17" x14ac:dyDescent="0.3">
      <c r="L15150" s="25"/>
      <c r="Q15150" s="17"/>
    </row>
    <row r="15151" spans="12:17" x14ac:dyDescent="0.3">
      <c r="L15151" s="25"/>
      <c r="Q15151" s="17"/>
    </row>
    <row r="15152" spans="12:17" x14ac:dyDescent="0.3">
      <c r="L15152" s="25"/>
      <c r="Q15152" s="17"/>
    </row>
    <row r="15153" spans="12:17" x14ac:dyDescent="0.3">
      <c r="L15153" s="25"/>
      <c r="Q15153" s="17"/>
    </row>
    <row r="15154" spans="12:17" x14ac:dyDescent="0.3">
      <c r="L15154" s="25"/>
      <c r="Q15154" s="17"/>
    </row>
    <row r="15155" spans="12:17" x14ac:dyDescent="0.3">
      <c r="L15155" s="25"/>
      <c r="Q15155" s="17"/>
    </row>
    <row r="15156" spans="12:17" x14ac:dyDescent="0.3">
      <c r="L15156" s="25"/>
      <c r="Q15156" s="17"/>
    </row>
    <row r="15157" spans="12:17" x14ac:dyDescent="0.3">
      <c r="L15157" s="25"/>
      <c r="Q15157" s="17"/>
    </row>
    <row r="15158" spans="12:17" x14ac:dyDescent="0.3">
      <c r="L15158" s="25"/>
      <c r="Q15158" s="17"/>
    </row>
    <row r="15159" spans="12:17" x14ac:dyDescent="0.3">
      <c r="L15159" s="25"/>
      <c r="Q15159" s="17"/>
    </row>
    <row r="15160" spans="12:17" x14ac:dyDescent="0.3">
      <c r="L15160" s="25"/>
      <c r="Q15160" s="17"/>
    </row>
    <row r="15161" spans="12:17" x14ac:dyDescent="0.3">
      <c r="L15161" s="25"/>
      <c r="Q15161" s="17"/>
    </row>
    <row r="15162" spans="12:17" x14ac:dyDescent="0.3">
      <c r="L15162" s="25"/>
      <c r="Q15162" s="17"/>
    </row>
    <row r="15163" spans="12:17" x14ac:dyDescent="0.3">
      <c r="L15163" s="25"/>
      <c r="Q15163" s="17"/>
    </row>
    <row r="15164" spans="12:17" x14ac:dyDescent="0.3">
      <c r="L15164" s="25"/>
      <c r="Q15164" s="17"/>
    </row>
    <row r="15165" spans="12:17" x14ac:dyDescent="0.3">
      <c r="L15165" s="25"/>
      <c r="Q15165" s="17"/>
    </row>
    <row r="15166" spans="12:17" x14ac:dyDescent="0.3">
      <c r="L15166" s="25"/>
      <c r="Q15166" s="17"/>
    </row>
    <row r="15167" spans="12:17" x14ac:dyDescent="0.3">
      <c r="L15167" s="25"/>
      <c r="Q15167" s="17"/>
    </row>
    <row r="15168" spans="12:17" x14ac:dyDescent="0.3">
      <c r="L15168" s="25"/>
      <c r="Q15168" s="17"/>
    </row>
    <row r="15169" spans="12:17" x14ac:dyDescent="0.3">
      <c r="L15169" s="25"/>
      <c r="Q15169" s="17"/>
    </row>
    <row r="15170" spans="12:17" x14ac:dyDescent="0.3">
      <c r="L15170" s="25"/>
      <c r="Q15170" s="17"/>
    </row>
    <row r="15171" spans="12:17" x14ac:dyDescent="0.3">
      <c r="L15171" s="25"/>
      <c r="Q15171" s="17"/>
    </row>
    <row r="15172" spans="12:17" x14ac:dyDescent="0.3">
      <c r="L15172" s="25"/>
      <c r="Q15172" s="17"/>
    </row>
    <row r="15173" spans="12:17" x14ac:dyDescent="0.3">
      <c r="L15173" s="25"/>
      <c r="Q15173" s="17"/>
    </row>
    <row r="15174" spans="12:17" x14ac:dyDescent="0.3">
      <c r="L15174" s="25"/>
      <c r="Q15174" s="17"/>
    </row>
    <row r="15175" spans="12:17" x14ac:dyDescent="0.3">
      <c r="L15175" s="25"/>
      <c r="Q15175" s="17"/>
    </row>
    <row r="15176" spans="12:17" x14ac:dyDescent="0.3">
      <c r="L15176" s="25"/>
      <c r="Q15176" s="17"/>
    </row>
    <row r="15177" spans="12:17" x14ac:dyDescent="0.3">
      <c r="L15177" s="25"/>
      <c r="Q15177" s="17"/>
    </row>
    <row r="15178" spans="12:17" x14ac:dyDescent="0.3">
      <c r="L15178" s="25"/>
      <c r="Q15178" s="17"/>
    </row>
    <row r="15179" spans="12:17" x14ac:dyDescent="0.3">
      <c r="L15179" s="25"/>
      <c r="Q15179" s="17"/>
    </row>
    <row r="15180" spans="12:17" x14ac:dyDescent="0.3">
      <c r="L15180" s="25"/>
      <c r="Q15180" s="17"/>
    </row>
    <row r="15181" spans="12:17" x14ac:dyDescent="0.3">
      <c r="L15181" s="25"/>
      <c r="Q15181" s="17"/>
    </row>
    <row r="15182" spans="12:17" x14ac:dyDescent="0.3">
      <c r="L15182" s="25"/>
      <c r="Q15182" s="17"/>
    </row>
    <row r="15183" spans="12:17" x14ac:dyDescent="0.3">
      <c r="L15183" s="25"/>
      <c r="Q15183" s="17"/>
    </row>
    <row r="15184" spans="12:17" x14ac:dyDescent="0.3">
      <c r="L15184" s="25"/>
      <c r="Q15184" s="17"/>
    </row>
    <row r="15185" spans="12:17" x14ac:dyDescent="0.3">
      <c r="L15185" s="25"/>
      <c r="Q15185" s="17"/>
    </row>
    <row r="15186" spans="12:17" x14ac:dyDescent="0.3">
      <c r="L15186" s="25"/>
      <c r="Q15186" s="17"/>
    </row>
    <row r="15187" spans="12:17" x14ac:dyDescent="0.3">
      <c r="L15187" s="25"/>
      <c r="Q15187" s="17"/>
    </row>
    <row r="15188" spans="12:17" x14ac:dyDescent="0.3">
      <c r="L15188" s="25"/>
      <c r="Q15188" s="17"/>
    </row>
    <row r="15189" spans="12:17" x14ac:dyDescent="0.3">
      <c r="L15189" s="25"/>
      <c r="Q15189" s="17"/>
    </row>
    <row r="15190" spans="12:17" x14ac:dyDescent="0.3">
      <c r="L15190" s="25"/>
      <c r="Q15190" s="17"/>
    </row>
    <row r="15191" spans="12:17" x14ac:dyDescent="0.3">
      <c r="L15191" s="25"/>
      <c r="Q15191" s="17"/>
    </row>
    <row r="15192" spans="12:17" x14ac:dyDescent="0.3">
      <c r="L15192" s="25"/>
      <c r="Q15192" s="17"/>
    </row>
    <row r="15193" spans="12:17" x14ac:dyDescent="0.3">
      <c r="L15193" s="25"/>
      <c r="Q15193" s="17"/>
    </row>
    <row r="15194" spans="12:17" x14ac:dyDescent="0.3">
      <c r="L15194" s="25"/>
      <c r="Q15194" s="17"/>
    </row>
    <row r="15195" spans="12:17" x14ac:dyDescent="0.3">
      <c r="L15195" s="25"/>
      <c r="Q15195" s="17"/>
    </row>
    <row r="15196" spans="12:17" x14ac:dyDescent="0.3">
      <c r="L15196" s="25"/>
      <c r="Q15196" s="17"/>
    </row>
    <row r="15197" spans="12:17" x14ac:dyDescent="0.3">
      <c r="L15197" s="25"/>
      <c r="Q15197" s="17"/>
    </row>
    <row r="15198" spans="12:17" x14ac:dyDescent="0.3">
      <c r="L15198" s="25"/>
      <c r="Q15198" s="17"/>
    </row>
    <row r="15199" spans="12:17" x14ac:dyDescent="0.3">
      <c r="L15199" s="25"/>
      <c r="Q15199" s="17"/>
    </row>
    <row r="15200" spans="12:17" x14ac:dyDescent="0.3">
      <c r="L15200" s="25"/>
      <c r="Q15200" s="17"/>
    </row>
    <row r="15201" spans="12:17" x14ac:dyDescent="0.3">
      <c r="L15201" s="25"/>
      <c r="Q15201" s="17"/>
    </row>
    <row r="15202" spans="12:17" x14ac:dyDescent="0.3">
      <c r="L15202" s="25"/>
      <c r="Q15202" s="17"/>
    </row>
    <row r="15203" spans="12:17" x14ac:dyDescent="0.3">
      <c r="L15203" s="25"/>
      <c r="Q15203" s="17"/>
    </row>
    <row r="15204" spans="12:17" x14ac:dyDescent="0.3">
      <c r="L15204" s="25"/>
      <c r="Q15204" s="17"/>
    </row>
    <row r="15205" spans="12:17" x14ac:dyDescent="0.3">
      <c r="L15205" s="25"/>
      <c r="Q15205" s="17"/>
    </row>
    <row r="15206" spans="12:17" x14ac:dyDescent="0.3">
      <c r="L15206" s="25"/>
      <c r="Q15206" s="17"/>
    </row>
    <row r="15207" spans="12:17" x14ac:dyDescent="0.3">
      <c r="L15207" s="25"/>
      <c r="Q15207" s="17"/>
    </row>
    <row r="15208" spans="12:17" x14ac:dyDescent="0.3">
      <c r="L15208" s="25"/>
      <c r="Q15208" s="17"/>
    </row>
    <row r="15209" spans="12:17" x14ac:dyDescent="0.3">
      <c r="L15209" s="25"/>
      <c r="Q15209" s="17"/>
    </row>
    <row r="15210" spans="12:17" x14ac:dyDescent="0.3">
      <c r="L15210" s="25"/>
      <c r="Q15210" s="17"/>
    </row>
    <row r="15211" spans="12:17" x14ac:dyDescent="0.3">
      <c r="L15211" s="25"/>
      <c r="Q15211" s="17"/>
    </row>
    <row r="15212" spans="12:17" x14ac:dyDescent="0.3">
      <c r="L15212" s="25"/>
      <c r="Q15212" s="17"/>
    </row>
    <row r="15213" spans="12:17" x14ac:dyDescent="0.3">
      <c r="L15213" s="25"/>
      <c r="Q15213" s="17"/>
    </row>
    <row r="15214" spans="12:17" x14ac:dyDescent="0.3">
      <c r="L15214" s="25"/>
      <c r="Q15214" s="17"/>
    </row>
    <row r="15215" spans="12:17" x14ac:dyDescent="0.3">
      <c r="L15215" s="25"/>
      <c r="Q15215" s="17"/>
    </row>
    <row r="15216" spans="12:17" x14ac:dyDescent="0.3">
      <c r="L15216" s="25"/>
      <c r="Q15216" s="17"/>
    </row>
    <row r="15217" spans="12:17" x14ac:dyDescent="0.3">
      <c r="L15217" s="25"/>
      <c r="Q15217" s="17"/>
    </row>
    <row r="15218" spans="12:17" x14ac:dyDescent="0.3">
      <c r="L15218" s="25"/>
      <c r="Q15218" s="17"/>
    </row>
    <row r="15219" spans="12:17" x14ac:dyDescent="0.3">
      <c r="L15219" s="25"/>
      <c r="Q15219" s="17"/>
    </row>
    <row r="15220" spans="12:17" x14ac:dyDescent="0.3">
      <c r="L15220" s="25"/>
      <c r="Q15220" s="17"/>
    </row>
    <row r="15221" spans="12:17" x14ac:dyDescent="0.3">
      <c r="L15221" s="25"/>
      <c r="Q15221" s="17"/>
    </row>
    <row r="15222" spans="12:17" x14ac:dyDescent="0.3">
      <c r="L15222" s="25"/>
      <c r="Q15222" s="17"/>
    </row>
    <row r="15223" spans="12:17" x14ac:dyDescent="0.3">
      <c r="L15223" s="25"/>
      <c r="Q15223" s="17"/>
    </row>
    <row r="15224" spans="12:17" x14ac:dyDescent="0.3">
      <c r="L15224" s="25"/>
      <c r="Q15224" s="17"/>
    </row>
    <row r="15225" spans="12:17" x14ac:dyDescent="0.3">
      <c r="L15225" s="25"/>
      <c r="Q15225" s="17"/>
    </row>
    <row r="15226" spans="12:17" x14ac:dyDescent="0.3">
      <c r="L15226" s="25"/>
      <c r="Q15226" s="17"/>
    </row>
    <row r="15227" spans="12:17" x14ac:dyDescent="0.3">
      <c r="L15227" s="25"/>
      <c r="Q15227" s="17"/>
    </row>
    <row r="15228" spans="12:17" x14ac:dyDescent="0.3">
      <c r="L15228" s="25"/>
      <c r="Q15228" s="17"/>
    </row>
    <row r="15229" spans="12:17" x14ac:dyDescent="0.3">
      <c r="L15229" s="25"/>
      <c r="Q15229" s="17"/>
    </row>
    <row r="15230" spans="12:17" x14ac:dyDescent="0.3">
      <c r="L15230" s="25"/>
      <c r="Q15230" s="17"/>
    </row>
    <row r="15231" spans="12:17" x14ac:dyDescent="0.3">
      <c r="L15231" s="25"/>
      <c r="Q15231" s="17"/>
    </row>
    <row r="15232" spans="12:17" x14ac:dyDescent="0.3">
      <c r="L15232" s="25"/>
      <c r="Q15232" s="17"/>
    </row>
    <row r="15233" spans="12:17" x14ac:dyDescent="0.3">
      <c r="L15233" s="25"/>
      <c r="Q15233" s="17"/>
    </row>
    <row r="15234" spans="12:17" x14ac:dyDescent="0.3">
      <c r="L15234" s="25"/>
      <c r="Q15234" s="17"/>
    </row>
    <row r="15235" spans="12:17" x14ac:dyDescent="0.3">
      <c r="L15235" s="25"/>
      <c r="Q15235" s="17"/>
    </row>
    <row r="15236" spans="12:17" x14ac:dyDescent="0.3">
      <c r="L15236" s="25"/>
      <c r="Q15236" s="17"/>
    </row>
    <row r="15237" spans="12:17" x14ac:dyDescent="0.3">
      <c r="L15237" s="25"/>
      <c r="Q15237" s="17"/>
    </row>
    <row r="15238" spans="12:17" x14ac:dyDescent="0.3">
      <c r="L15238" s="25"/>
      <c r="Q15238" s="17"/>
    </row>
    <row r="15239" spans="12:17" x14ac:dyDescent="0.3">
      <c r="L15239" s="25"/>
      <c r="Q15239" s="17"/>
    </row>
    <row r="15240" spans="12:17" x14ac:dyDescent="0.3">
      <c r="L15240" s="25"/>
      <c r="Q15240" s="17"/>
    </row>
    <row r="15241" spans="12:17" x14ac:dyDescent="0.3">
      <c r="L15241" s="25"/>
      <c r="Q15241" s="17"/>
    </row>
    <row r="15242" spans="12:17" x14ac:dyDescent="0.3">
      <c r="L15242" s="25"/>
      <c r="Q15242" s="17"/>
    </row>
    <row r="15243" spans="12:17" x14ac:dyDescent="0.3">
      <c r="L15243" s="25"/>
      <c r="Q15243" s="17"/>
    </row>
    <row r="15244" spans="12:17" x14ac:dyDescent="0.3">
      <c r="L15244" s="25"/>
      <c r="Q15244" s="17"/>
    </row>
    <row r="15245" spans="12:17" x14ac:dyDescent="0.3">
      <c r="L15245" s="25"/>
      <c r="Q15245" s="17"/>
    </row>
    <row r="15246" spans="12:17" x14ac:dyDescent="0.3">
      <c r="L15246" s="25"/>
      <c r="Q15246" s="17"/>
    </row>
    <row r="15247" spans="12:17" x14ac:dyDescent="0.3">
      <c r="L15247" s="25"/>
      <c r="Q15247" s="17"/>
    </row>
    <row r="15248" spans="12:17" x14ac:dyDescent="0.3">
      <c r="L15248" s="25"/>
      <c r="Q15248" s="17"/>
    </row>
    <row r="15249" spans="12:17" x14ac:dyDescent="0.3">
      <c r="L15249" s="25"/>
      <c r="Q15249" s="17"/>
    </row>
    <row r="15250" spans="12:17" x14ac:dyDescent="0.3">
      <c r="L15250" s="25"/>
      <c r="Q15250" s="17"/>
    </row>
    <row r="15251" spans="12:17" x14ac:dyDescent="0.3">
      <c r="L15251" s="25"/>
      <c r="Q15251" s="17"/>
    </row>
    <row r="15252" spans="12:17" x14ac:dyDescent="0.3">
      <c r="L15252" s="25"/>
      <c r="Q15252" s="17"/>
    </row>
    <row r="15253" spans="12:17" x14ac:dyDescent="0.3">
      <c r="L15253" s="25"/>
      <c r="Q15253" s="17"/>
    </row>
    <row r="15254" spans="12:17" x14ac:dyDescent="0.3">
      <c r="L15254" s="25"/>
      <c r="Q15254" s="17"/>
    </row>
    <row r="15255" spans="12:17" x14ac:dyDescent="0.3">
      <c r="L15255" s="25"/>
      <c r="Q15255" s="17"/>
    </row>
    <row r="15256" spans="12:17" x14ac:dyDescent="0.3">
      <c r="L15256" s="25"/>
      <c r="Q15256" s="17"/>
    </row>
    <row r="15257" spans="12:17" x14ac:dyDescent="0.3">
      <c r="L15257" s="25"/>
      <c r="Q15257" s="17"/>
    </row>
    <row r="15258" spans="12:17" x14ac:dyDescent="0.3">
      <c r="L15258" s="25"/>
      <c r="Q15258" s="17"/>
    </row>
    <row r="15259" spans="12:17" x14ac:dyDescent="0.3">
      <c r="L15259" s="25"/>
      <c r="Q15259" s="17"/>
    </row>
    <row r="15260" spans="12:17" x14ac:dyDescent="0.3">
      <c r="L15260" s="25"/>
      <c r="Q15260" s="17"/>
    </row>
    <row r="15261" spans="12:17" x14ac:dyDescent="0.3">
      <c r="L15261" s="25"/>
      <c r="Q15261" s="17"/>
    </row>
    <row r="15262" spans="12:17" x14ac:dyDescent="0.3">
      <c r="L15262" s="25"/>
      <c r="Q15262" s="17"/>
    </row>
    <row r="15263" spans="12:17" x14ac:dyDescent="0.3">
      <c r="L15263" s="25"/>
      <c r="Q15263" s="17"/>
    </row>
    <row r="15264" spans="12:17" x14ac:dyDescent="0.3">
      <c r="L15264" s="25"/>
      <c r="Q15264" s="17"/>
    </row>
    <row r="15265" spans="12:17" x14ac:dyDescent="0.3">
      <c r="L15265" s="25"/>
      <c r="Q15265" s="17"/>
    </row>
    <row r="15266" spans="12:17" x14ac:dyDescent="0.3">
      <c r="L15266" s="25"/>
      <c r="Q15266" s="17"/>
    </row>
    <row r="15267" spans="12:17" x14ac:dyDescent="0.3">
      <c r="L15267" s="25"/>
      <c r="Q15267" s="17"/>
    </row>
    <row r="15268" spans="12:17" x14ac:dyDescent="0.3">
      <c r="L15268" s="25"/>
      <c r="Q15268" s="17"/>
    </row>
    <row r="15269" spans="12:17" x14ac:dyDescent="0.3">
      <c r="L15269" s="25"/>
      <c r="Q15269" s="17"/>
    </row>
    <row r="15270" spans="12:17" x14ac:dyDescent="0.3">
      <c r="L15270" s="25"/>
      <c r="Q15270" s="17"/>
    </row>
    <row r="15271" spans="12:17" x14ac:dyDescent="0.3">
      <c r="L15271" s="25"/>
      <c r="Q15271" s="17"/>
    </row>
    <row r="15272" spans="12:17" x14ac:dyDescent="0.3">
      <c r="L15272" s="25"/>
      <c r="Q15272" s="17"/>
    </row>
    <row r="15273" spans="12:17" x14ac:dyDescent="0.3">
      <c r="L15273" s="25"/>
      <c r="Q15273" s="17"/>
    </row>
    <row r="15274" spans="12:17" x14ac:dyDescent="0.3">
      <c r="L15274" s="25"/>
      <c r="Q15274" s="17"/>
    </row>
    <row r="15275" spans="12:17" x14ac:dyDescent="0.3">
      <c r="L15275" s="25"/>
      <c r="Q15275" s="17"/>
    </row>
    <row r="15276" spans="12:17" x14ac:dyDescent="0.3">
      <c r="L15276" s="25"/>
      <c r="Q15276" s="17"/>
    </row>
    <row r="15277" spans="12:17" x14ac:dyDescent="0.3">
      <c r="L15277" s="25"/>
      <c r="Q15277" s="17"/>
    </row>
    <row r="15278" spans="12:17" x14ac:dyDescent="0.3">
      <c r="L15278" s="25"/>
      <c r="Q15278" s="17"/>
    </row>
    <row r="15279" spans="12:17" x14ac:dyDescent="0.3">
      <c r="L15279" s="25"/>
      <c r="Q15279" s="17"/>
    </row>
    <row r="15280" spans="12:17" x14ac:dyDescent="0.3">
      <c r="L15280" s="25"/>
      <c r="Q15280" s="17"/>
    </row>
    <row r="15281" spans="12:17" x14ac:dyDescent="0.3">
      <c r="L15281" s="25"/>
      <c r="Q15281" s="17"/>
    </row>
    <row r="15282" spans="12:17" x14ac:dyDescent="0.3">
      <c r="L15282" s="25"/>
      <c r="Q15282" s="17"/>
    </row>
    <row r="15283" spans="12:17" x14ac:dyDescent="0.3">
      <c r="L15283" s="25"/>
      <c r="Q15283" s="17"/>
    </row>
    <row r="15284" spans="12:17" x14ac:dyDescent="0.3">
      <c r="L15284" s="25"/>
      <c r="Q15284" s="17"/>
    </row>
    <row r="15285" spans="12:17" x14ac:dyDescent="0.3">
      <c r="L15285" s="25"/>
      <c r="Q15285" s="17"/>
    </row>
    <row r="15286" spans="12:17" x14ac:dyDescent="0.3">
      <c r="L15286" s="25"/>
      <c r="Q15286" s="17"/>
    </row>
    <row r="15287" spans="12:17" x14ac:dyDescent="0.3">
      <c r="L15287" s="25"/>
      <c r="Q15287" s="17"/>
    </row>
    <row r="15288" spans="12:17" x14ac:dyDescent="0.3">
      <c r="L15288" s="25"/>
      <c r="Q15288" s="17"/>
    </row>
    <row r="15289" spans="12:17" x14ac:dyDescent="0.3">
      <c r="L15289" s="25"/>
      <c r="Q15289" s="17"/>
    </row>
    <row r="15290" spans="12:17" x14ac:dyDescent="0.3">
      <c r="L15290" s="25"/>
      <c r="Q15290" s="17"/>
    </row>
    <row r="15291" spans="12:17" x14ac:dyDescent="0.3">
      <c r="L15291" s="25"/>
      <c r="Q15291" s="17"/>
    </row>
    <row r="15292" spans="12:17" x14ac:dyDescent="0.3">
      <c r="L15292" s="25"/>
      <c r="Q15292" s="17"/>
    </row>
    <row r="15293" spans="12:17" x14ac:dyDescent="0.3">
      <c r="L15293" s="25"/>
      <c r="Q15293" s="17"/>
    </row>
    <row r="15294" spans="12:17" x14ac:dyDescent="0.3">
      <c r="L15294" s="25"/>
      <c r="Q15294" s="17"/>
    </row>
    <row r="15295" spans="12:17" x14ac:dyDescent="0.3">
      <c r="L15295" s="25"/>
      <c r="Q15295" s="17"/>
    </row>
    <row r="15296" spans="12:17" x14ac:dyDescent="0.3">
      <c r="L15296" s="25"/>
      <c r="Q15296" s="17"/>
    </row>
    <row r="15297" spans="12:17" x14ac:dyDescent="0.3">
      <c r="L15297" s="25"/>
      <c r="Q15297" s="17"/>
    </row>
    <row r="15298" spans="12:17" x14ac:dyDescent="0.3">
      <c r="L15298" s="25"/>
      <c r="Q15298" s="17"/>
    </row>
    <row r="15299" spans="12:17" x14ac:dyDescent="0.3">
      <c r="L15299" s="25"/>
      <c r="Q15299" s="17"/>
    </row>
    <row r="15300" spans="12:17" x14ac:dyDescent="0.3">
      <c r="L15300" s="25"/>
      <c r="Q15300" s="17"/>
    </row>
    <row r="15301" spans="12:17" x14ac:dyDescent="0.3">
      <c r="L15301" s="25"/>
      <c r="Q15301" s="17"/>
    </row>
    <row r="15302" spans="12:17" x14ac:dyDescent="0.3">
      <c r="L15302" s="25"/>
      <c r="Q15302" s="17"/>
    </row>
    <row r="15303" spans="12:17" x14ac:dyDescent="0.3">
      <c r="L15303" s="25"/>
      <c r="Q15303" s="17"/>
    </row>
    <row r="15304" spans="12:17" x14ac:dyDescent="0.3">
      <c r="L15304" s="25"/>
      <c r="Q15304" s="17"/>
    </row>
    <row r="15305" spans="12:17" x14ac:dyDescent="0.3">
      <c r="L15305" s="25"/>
      <c r="Q15305" s="17"/>
    </row>
    <row r="15306" spans="12:17" x14ac:dyDescent="0.3">
      <c r="L15306" s="25"/>
      <c r="Q15306" s="17"/>
    </row>
    <row r="15307" spans="12:17" x14ac:dyDescent="0.3">
      <c r="L15307" s="25"/>
      <c r="Q15307" s="17"/>
    </row>
    <row r="15308" spans="12:17" x14ac:dyDescent="0.3">
      <c r="L15308" s="25"/>
      <c r="Q15308" s="17"/>
    </row>
    <row r="15309" spans="12:17" x14ac:dyDescent="0.3">
      <c r="L15309" s="25"/>
      <c r="Q15309" s="17"/>
    </row>
    <row r="15310" spans="12:17" x14ac:dyDescent="0.3">
      <c r="L15310" s="25"/>
      <c r="Q15310" s="17"/>
    </row>
    <row r="15311" spans="12:17" x14ac:dyDescent="0.3">
      <c r="L15311" s="25"/>
      <c r="Q15311" s="17"/>
    </row>
    <row r="15312" spans="12:17" x14ac:dyDescent="0.3">
      <c r="L15312" s="25"/>
      <c r="Q15312" s="17"/>
    </row>
    <row r="15313" spans="12:17" x14ac:dyDescent="0.3">
      <c r="L15313" s="25"/>
      <c r="Q15313" s="17"/>
    </row>
    <row r="15314" spans="12:17" x14ac:dyDescent="0.3">
      <c r="L15314" s="25"/>
      <c r="Q15314" s="17"/>
    </row>
    <row r="15315" spans="12:17" x14ac:dyDescent="0.3">
      <c r="L15315" s="25"/>
      <c r="Q15315" s="17"/>
    </row>
    <row r="15316" spans="12:17" x14ac:dyDescent="0.3">
      <c r="L15316" s="25"/>
      <c r="Q15316" s="17"/>
    </row>
    <row r="15317" spans="12:17" x14ac:dyDescent="0.3">
      <c r="L15317" s="25"/>
      <c r="Q15317" s="17"/>
    </row>
    <row r="15318" spans="12:17" x14ac:dyDescent="0.3">
      <c r="L15318" s="25"/>
      <c r="Q15318" s="17"/>
    </row>
    <row r="15319" spans="12:17" x14ac:dyDescent="0.3">
      <c r="L15319" s="25"/>
      <c r="Q15319" s="17"/>
    </row>
    <row r="15320" spans="12:17" x14ac:dyDescent="0.3">
      <c r="L15320" s="25"/>
      <c r="Q15320" s="17"/>
    </row>
    <row r="15321" spans="12:17" x14ac:dyDescent="0.3">
      <c r="L15321" s="25"/>
      <c r="Q15321" s="17"/>
    </row>
    <row r="15322" spans="12:17" x14ac:dyDescent="0.3">
      <c r="L15322" s="25"/>
      <c r="Q15322" s="17"/>
    </row>
    <row r="15323" spans="12:17" x14ac:dyDescent="0.3">
      <c r="L15323" s="25"/>
      <c r="Q15323" s="17"/>
    </row>
    <row r="15324" spans="12:17" x14ac:dyDescent="0.3">
      <c r="L15324" s="25"/>
      <c r="Q15324" s="17"/>
    </row>
    <row r="15325" spans="12:17" x14ac:dyDescent="0.3">
      <c r="L15325" s="25"/>
      <c r="Q15325" s="17"/>
    </row>
    <row r="15326" spans="12:17" x14ac:dyDescent="0.3">
      <c r="L15326" s="25"/>
      <c r="Q15326" s="17"/>
    </row>
    <row r="15327" spans="12:17" x14ac:dyDescent="0.3">
      <c r="L15327" s="25"/>
      <c r="Q15327" s="17"/>
    </row>
    <row r="15328" spans="12:17" x14ac:dyDescent="0.3">
      <c r="L15328" s="25"/>
      <c r="Q15328" s="17"/>
    </row>
    <row r="15329" spans="12:17" x14ac:dyDescent="0.3">
      <c r="L15329" s="25"/>
      <c r="Q15329" s="17"/>
    </row>
    <row r="15330" spans="12:17" x14ac:dyDescent="0.3">
      <c r="L15330" s="25"/>
      <c r="Q15330" s="17"/>
    </row>
    <row r="15331" spans="12:17" x14ac:dyDescent="0.3">
      <c r="L15331" s="25"/>
      <c r="Q15331" s="17"/>
    </row>
    <row r="15332" spans="12:17" x14ac:dyDescent="0.3">
      <c r="L15332" s="25"/>
      <c r="Q15332" s="17"/>
    </row>
    <row r="15333" spans="12:17" x14ac:dyDescent="0.3">
      <c r="L15333" s="25"/>
      <c r="Q15333" s="17"/>
    </row>
    <row r="15334" spans="12:17" x14ac:dyDescent="0.3">
      <c r="L15334" s="25"/>
      <c r="Q15334" s="17"/>
    </row>
    <row r="15335" spans="12:17" x14ac:dyDescent="0.3">
      <c r="L15335" s="25"/>
      <c r="Q15335" s="17"/>
    </row>
    <row r="15336" spans="12:17" x14ac:dyDescent="0.3">
      <c r="L15336" s="25"/>
      <c r="Q15336" s="17"/>
    </row>
    <row r="15337" spans="12:17" x14ac:dyDescent="0.3">
      <c r="L15337" s="25"/>
      <c r="Q15337" s="17"/>
    </row>
    <row r="15338" spans="12:17" x14ac:dyDescent="0.3">
      <c r="L15338" s="25"/>
      <c r="Q15338" s="17"/>
    </row>
    <row r="15339" spans="12:17" x14ac:dyDescent="0.3">
      <c r="L15339" s="25"/>
      <c r="Q15339" s="17"/>
    </row>
    <row r="15340" spans="12:17" x14ac:dyDescent="0.3">
      <c r="L15340" s="25"/>
      <c r="Q15340" s="17"/>
    </row>
    <row r="15341" spans="12:17" x14ac:dyDescent="0.3">
      <c r="L15341" s="25"/>
      <c r="Q15341" s="17"/>
    </row>
    <row r="15342" spans="12:17" x14ac:dyDescent="0.3">
      <c r="L15342" s="25"/>
      <c r="Q15342" s="17"/>
    </row>
    <row r="15343" spans="12:17" x14ac:dyDescent="0.3">
      <c r="L15343" s="25"/>
      <c r="Q15343" s="17"/>
    </row>
    <row r="15344" spans="12:17" x14ac:dyDescent="0.3">
      <c r="L15344" s="25"/>
      <c r="Q15344" s="17"/>
    </row>
    <row r="15345" spans="12:17" x14ac:dyDescent="0.3">
      <c r="L15345" s="25"/>
      <c r="Q15345" s="17"/>
    </row>
    <row r="15346" spans="12:17" x14ac:dyDescent="0.3">
      <c r="L15346" s="25"/>
      <c r="Q15346" s="17"/>
    </row>
    <row r="15347" spans="12:17" x14ac:dyDescent="0.3">
      <c r="L15347" s="25"/>
      <c r="Q15347" s="17"/>
    </row>
    <row r="15348" spans="12:17" x14ac:dyDescent="0.3">
      <c r="L15348" s="25"/>
      <c r="Q15348" s="17"/>
    </row>
    <row r="15349" spans="12:17" x14ac:dyDescent="0.3">
      <c r="L15349" s="25"/>
      <c r="Q15349" s="17"/>
    </row>
    <row r="15350" spans="12:17" x14ac:dyDescent="0.3">
      <c r="L15350" s="25"/>
      <c r="Q15350" s="17"/>
    </row>
    <row r="15351" spans="12:17" x14ac:dyDescent="0.3">
      <c r="L15351" s="25"/>
      <c r="Q15351" s="17"/>
    </row>
    <row r="15352" spans="12:17" x14ac:dyDescent="0.3">
      <c r="L15352" s="25"/>
      <c r="Q15352" s="17"/>
    </row>
    <row r="15353" spans="12:17" x14ac:dyDescent="0.3">
      <c r="L15353" s="25"/>
      <c r="Q15353" s="17"/>
    </row>
    <row r="15354" spans="12:17" x14ac:dyDescent="0.3">
      <c r="L15354" s="25"/>
      <c r="Q15354" s="17"/>
    </row>
    <row r="15355" spans="12:17" x14ac:dyDescent="0.3">
      <c r="L15355" s="25"/>
      <c r="Q15355" s="17"/>
    </row>
    <row r="15356" spans="12:17" x14ac:dyDescent="0.3">
      <c r="L15356" s="25"/>
      <c r="Q15356" s="17"/>
    </row>
    <row r="15357" spans="12:17" x14ac:dyDescent="0.3">
      <c r="L15357" s="25"/>
      <c r="Q15357" s="17"/>
    </row>
    <row r="15358" spans="12:17" x14ac:dyDescent="0.3">
      <c r="L15358" s="25"/>
      <c r="Q15358" s="17"/>
    </row>
    <row r="15359" spans="12:17" x14ac:dyDescent="0.3">
      <c r="L15359" s="25"/>
      <c r="Q15359" s="17"/>
    </row>
    <row r="15360" spans="12:17" x14ac:dyDescent="0.3">
      <c r="L15360" s="25"/>
      <c r="Q15360" s="17"/>
    </row>
    <row r="15361" spans="12:17" x14ac:dyDescent="0.3">
      <c r="L15361" s="25"/>
      <c r="Q15361" s="17"/>
    </row>
    <row r="15362" spans="12:17" x14ac:dyDescent="0.3">
      <c r="L15362" s="25"/>
      <c r="Q15362" s="17"/>
    </row>
    <row r="15363" spans="12:17" x14ac:dyDescent="0.3">
      <c r="L15363" s="25"/>
      <c r="Q15363" s="17"/>
    </row>
    <row r="15364" spans="12:17" x14ac:dyDescent="0.3">
      <c r="L15364" s="25"/>
      <c r="Q15364" s="17"/>
    </row>
    <row r="15365" spans="12:17" x14ac:dyDescent="0.3">
      <c r="L15365" s="25"/>
      <c r="Q15365" s="17"/>
    </row>
    <row r="15366" spans="12:17" x14ac:dyDescent="0.3">
      <c r="L15366" s="25"/>
      <c r="Q15366" s="17"/>
    </row>
    <row r="15367" spans="12:17" x14ac:dyDescent="0.3">
      <c r="L15367" s="25"/>
      <c r="Q15367" s="17"/>
    </row>
    <row r="15368" spans="12:17" x14ac:dyDescent="0.3">
      <c r="L15368" s="25"/>
      <c r="Q15368" s="17"/>
    </row>
    <row r="15369" spans="12:17" x14ac:dyDescent="0.3">
      <c r="L15369" s="25"/>
      <c r="Q15369" s="17"/>
    </row>
    <row r="15370" spans="12:17" x14ac:dyDescent="0.3">
      <c r="L15370" s="25"/>
      <c r="Q15370" s="17"/>
    </row>
    <row r="15371" spans="12:17" x14ac:dyDescent="0.3">
      <c r="L15371" s="25"/>
      <c r="Q15371" s="17"/>
    </row>
    <row r="15372" spans="12:17" x14ac:dyDescent="0.3">
      <c r="L15372" s="25"/>
      <c r="Q15372" s="17"/>
    </row>
    <row r="15373" spans="12:17" x14ac:dyDescent="0.3">
      <c r="L15373" s="25"/>
      <c r="Q15373" s="17"/>
    </row>
    <row r="15374" spans="12:17" x14ac:dyDescent="0.3">
      <c r="L15374" s="25"/>
      <c r="Q15374" s="17"/>
    </row>
    <row r="15375" spans="12:17" x14ac:dyDescent="0.3">
      <c r="L15375" s="25"/>
      <c r="Q15375" s="17"/>
    </row>
    <row r="15376" spans="12:17" x14ac:dyDescent="0.3">
      <c r="L15376" s="25"/>
      <c r="Q15376" s="17"/>
    </row>
    <row r="15377" spans="12:17" x14ac:dyDescent="0.3">
      <c r="L15377" s="25"/>
      <c r="Q15377" s="17"/>
    </row>
    <row r="15378" spans="12:17" x14ac:dyDescent="0.3">
      <c r="L15378" s="25"/>
      <c r="Q15378" s="17"/>
    </row>
    <row r="15379" spans="12:17" x14ac:dyDescent="0.3">
      <c r="L15379" s="25"/>
      <c r="Q15379" s="17"/>
    </row>
    <row r="15380" spans="12:17" x14ac:dyDescent="0.3">
      <c r="L15380" s="25"/>
      <c r="Q15380" s="17"/>
    </row>
    <row r="15381" spans="12:17" x14ac:dyDescent="0.3">
      <c r="L15381" s="25"/>
      <c r="Q15381" s="17"/>
    </row>
    <row r="15382" spans="12:17" x14ac:dyDescent="0.3">
      <c r="L15382" s="25"/>
      <c r="Q15382" s="17"/>
    </row>
    <row r="15383" spans="12:17" x14ac:dyDescent="0.3">
      <c r="L15383" s="25"/>
      <c r="Q15383" s="17"/>
    </row>
    <row r="15384" spans="12:17" x14ac:dyDescent="0.3">
      <c r="L15384" s="25"/>
      <c r="Q15384" s="17"/>
    </row>
    <row r="15385" spans="12:17" x14ac:dyDescent="0.3">
      <c r="L15385" s="25"/>
      <c r="Q15385" s="17"/>
    </row>
    <row r="15386" spans="12:17" x14ac:dyDescent="0.3">
      <c r="L15386" s="25"/>
      <c r="Q15386" s="17"/>
    </row>
    <row r="15387" spans="12:17" x14ac:dyDescent="0.3">
      <c r="L15387" s="25"/>
      <c r="Q15387" s="17"/>
    </row>
    <row r="15388" spans="12:17" x14ac:dyDescent="0.3">
      <c r="L15388" s="25"/>
      <c r="Q15388" s="17"/>
    </row>
    <row r="15389" spans="12:17" x14ac:dyDescent="0.3">
      <c r="L15389" s="25"/>
      <c r="Q15389" s="17"/>
    </row>
    <row r="15390" spans="12:17" x14ac:dyDescent="0.3">
      <c r="L15390" s="25"/>
      <c r="Q15390" s="17"/>
    </row>
    <row r="15391" spans="12:17" x14ac:dyDescent="0.3">
      <c r="L15391" s="25"/>
      <c r="Q15391" s="17"/>
    </row>
    <row r="15392" spans="12:17" x14ac:dyDescent="0.3">
      <c r="L15392" s="25"/>
      <c r="Q15392" s="17"/>
    </row>
    <row r="15393" spans="12:17" x14ac:dyDescent="0.3">
      <c r="L15393" s="25"/>
      <c r="Q15393" s="17"/>
    </row>
    <row r="15394" spans="12:17" x14ac:dyDescent="0.3">
      <c r="L15394" s="25"/>
      <c r="Q15394" s="17"/>
    </row>
    <row r="15395" spans="12:17" x14ac:dyDescent="0.3">
      <c r="L15395" s="25"/>
      <c r="Q15395" s="17"/>
    </row>
    <row r="15396" spans="12:17" x14ac:dyDescent="0.3">
      <c r="L15396" s="25"/>
      <c r="Q15396" s="17"/>
    </row>
    <row r="15397" spans="12:17" x14ac:dyDescent="0.3">
      <c r="L15397" s="25"/>
      <c r="Q15397" s="17"/>
    </row>
    <row r="15398" spans="12:17" x14ac:dyDescent="0.3">
      <c r="L15398" s="25"/>
      <c r="Q15398" s="17"/>
    </row>
    <row r="15399" spans="12:17" x14ac:dyDescent="0.3">
      <c r="L15399" s="25"/>
      <c r="Q15399" s="17"/>
    </row>
    <row r="15400" spans="12:17" x14ac:dyDescent="0.3">
      <c r="L15400" s="25"/>
      <c r="Q15400" s="17"/>
    </row>
    <row r="15401" spans="12:17" x14ac:dyDescent="0.3">
      <c r="L15401" s="25"/>
      <c r="Q15401" s="17"/>
    </row>
    <row r="15402" spans="12:17" x14ac:dyDescent="0.3">
      <c r="L15402" s="25"/>
      <c r="Q15402" s="17"/>
    </row>
    <row r="15403" spans="12:17" x14ac:dyDescent="0.3">
      <c r="L15403" s="25"/>
      <c r="Q15403" s="17"/>
    </row>
    <row r="15404" spans="12:17" x14ac:dyDescent="0.3">
      <c r="L15404" s="25"/>
      <c r="Q15404" s="17"/>
    </row>
    <row r="15405" spans="12:17" x14ac:dyDescent="0.3">
      <c r="L15405" s="25"/>
      <c r="Q15405" s="17"/>
    </row>
    <row r="15406" spans="12:17" x14ac:dyDescent="0.3">
      <c r="L15406" s="25"/>
      <c r="Q15406" s="17"/>
    </row>
    <row r="15407" spans="12:17" x14ac:dyDescent="0.3">
      <c r="L15407" s="25"/>
      <c r="Q15407" s="17"/>
    </row>
    <row r="15408" spans="12:17" x14ac:dyDescent="0.3">
      <c r="L15408" s="25"/>
      <c r="Q15408" s="17"/>
    </row>
    <row r="15409" spans="12:17" x14ac:dyDescent="0.3">
      <c r="L15409" s="25"/>
      <c r="Q15409" s="17"/>
    </row>
    <row r="15410" spans="12:17" x14ac:dyDescent="0.3">
      <c r="L15410" s="25"/>
      <c r="Q15410" s="17"/>
    </row>
    <row r="15411" spans="12:17" x14ac:dyDescent="0.3">
      <c r="L15411" s="25"/>
      <c r="Q15411" s="17"/>
    </row>
    <row r="15412" spans="12:17" x14ac:dyDescent="0.3">
      <c r="L15412" s="25"/>
      <c r="Q15412" s="17"/>
    </row>
    <row r="15413" spans="12:17" x14ac:dyDescent="0.3">
      <c r="L15413" s="25"/>
      <c r="Q15413" s="17"/>
    </row>
    <row r="15414" spans="12:17" x14ac:dyDescent="0.3">
      <c r="L15414" s="25"/>
      <c r="Q15414" s="17"/>
    </row>
    <row r="15415" spans="12:17" x14ac:dyDescent="0.3">
      <c r="L15415" s="25"/>
      <c r="Q15415" s="17"/>
    </row>
    <row r="15416" spans="12:17" x14ac:dyDescent="0.3">
      <c r="L15416" s="25"/>
      <c r="Q15416" s="17"/>
    </row>
    <row r="15417" spans="12:17" x14ac:dyDescent="0.3">
      <c r="L15417" s="25"/>
      <c r="Q15417" s="17"/>
    </row>
    <row r="15418" spans="12:17" x14ac:dyDescent="0.3">
      <c r="L15418" s="25"/>
      <c r="Q15418" s="17"/>
    </row>
    <row r="15419" spans="12:17" x14ac:dyDescent="0.3">
      <c r="L15419" s="25"/>
      <c r="Q15419" s="17"/>
    </row>
    <row r="15420" spans="12:17" x14ac:dyDescent="0.3">
      <c r="L15420" s="25"/>
      <c r="Q15420" s="17"/>
    </row>
    <row r="15421" spans="12:17" x14ac:dyDescent="0.3">
      <c r="L15421" s="25"/>
      <c r="Q15421" s="17"/>
    </row>
    <row r="15422" spans="12:17" x14ac:dyDescent="0.3">
      <c r="L15422" s="25"/>
      <c r="Q15422" s="17"/>
    </row>
    <row r="15423" spans="12:17" x14ac:dyDescent="0.3">
      <c r="L15423" s="25"/>
      <c r="Q15423" s="17"/>
    </row>
    <row r="15424" spans="12:17" x14ac:dyDescent="0.3">
      <c r="L15424" s="25"/>
      <c r="Q15424" s="17"/>
    </row>
    <row r="15425" spans="12:17" x14ac:dyDescent="0.3">
      <c r="L15425" s="25"/>
      <c r="Q15425" s="17"/>
    </row>
    <row r="15426" spans="12:17" x14ac:dyDescent="0.3">
      <c r="L15426" s="25"/>
      <c r="Q15426" s="17"/>
    </row>
    <row r="15427" spans="12:17" x14ac:dyDescent="0.3">
      <c r="L15427" s="25"/>
      <c r="Q15427" s="17"/>
    </row>
    <row r="15428" spans="12:17" x14ac:dyDescent="0.3">
      <c r="L15428" s="25"/>
      <c r="Q15428" s="17"/>
    </row>
    <row r="15429" spans="12:17" x14ac:dyDescent="0.3">
      <c r="L15429" s="25"/>
      <c r="Q15429" s="17"/>
    </row>
    <row r="15430" spans="12:17" x14ac:dyDescent="0.3">
      <c r="L15430" s="25"/>
      <c r="Q15430" s="17"/>
    </row>
    <row r="15431" spans="12:17" x14ac:dyDescent="0.3">
      <c r="L15431" s="25"/>
      <c r="Q15431" s="17"/>
    </row>
    <row r="15432" spans="12:17" x14ac:dyDescent="0.3">
      <c r="L15432" s="25"/>
      <c r="Q15432" s="17"/>
    </row>
    <row r="15433" spans="12:17" x14ac:dyDescent="0.3">
      <c r="L15433" s="25"/>
      <c r="Q15433" s="17"/>
    </row>
    <row r="15434" spans="12:17" x14ac:dyDescent="0.3">
      <c r="L15434" s="25"/>
      <c r="Q15434" s="17"/>
    </row>
    <row r="15435" spans="12:17" x14ac:dyDescent="0.3">
      <c r="L15435" s="25"/>
      <c r="Q15435" s="17"/>
    </row>
    <row r="15436" spans="12:17" x14ac:dyDescent="0.3">
      <c r="L15436" s="25"/>
      <c r="Q15436" s="17"/>
    </row>
    <row r="15437" spans="12:17" x14ac:dyDescent="0.3">
      <c r="L15437" s="25"/>
      <c r="Q15437" s="17"/>
    </row>
    <row r="15438" spans="12:17" x14ac:dyDescent="0.3">
      <c r="L15438" s="25"/>
      <c r="Q15438" s="17"/>
    </row>
    <row r="15439" spans="12:17" x14ac:dyDescent="0.3">
      <c r="L15439" s="25"/>
      <c r="Q15439" s="17"/>
    </row>
    <row r="15440" spans="12:17" x14ac:dyDescent="0.3">
      <c r="L15440" s="25"/>
      <c r="Q15440" s="17"/>
    </row>
    <row r="15441" spans="12:17" x14ac:dyDescent="0.3">
      <c r="L15441" s="25"/>
      <c r="Q15441" s="17"/>
    </row>
    <row r="15442" spans="12:17" x14ac:dyDescent="0.3">
      <c r="L15442" s="25"/>
      <c r="Q15442" s="17"/>
    </row>
    <row r="15443" spans="12:17" x14ac:dyDescent="0.3">
      <c r="L15443" s="25"/>
      <c r="Q15443" s="17"/>
    </row>
    <row r="15444" spans="12:17" x14ac:dyDescent="0.3">
      <c r="L15444" s="25"/>
      <c r="Q15444" s="17"/>
    </row>
    <row r="15445" spans="12:17" x14ac:dyDescent="0.3">
      <c r="L15445" s="25"/>
      <c r="Q15445" s="17"/>
    </row>
    <row r="15446" spans="12:17" x14ac:dyDescent="0.3">
      <c r="L15446" s="25"/>
      <c r="Q15446" s="17"/>
    </row>
    <row r="15447" spans="12:17" x14ac:dyDescent="0.3">
      <c r="L15447" s="25"/>
      <c r="Q15447" s="17"/>
    </row>
    <row r="15448" spans="12:17" x14ac:dyDescent="0.3">
      <c r="L15448" s="25"/>
      <c r="Q15448" s="17"/>
    </row>
    <row r="15449" spans="12:17" x14ac:dyDescent="0.3">
      <c r="L15449" s="25"/>
      <c r="Q15449" s="17"/>
    </row>
    <row r="15450" spans="12:17" x14ac:dyDescent="0.3">
      <c r="L15450" s="25"/>
      <c r="Q15450" s="17"/>
    </row>
    <row r="15451" spans="12:17" x14ac:dyDescent="0.3">
      <c r="L15451" s="25"/>
      <c r="Q15451" s="17"/>
    </row>
    <row r="15452" spans="12:17" x14ac:dyDescent="0.3">
      <c r="L15452" s="25"/>
      <c r="Q15452" s="17"/>
    </row>
    <row r="15453" spans="12:17" x14ac:dyDescent="0.3">
      <c r="L15453" s="25"/>
      <c r="Q15453" s="17"/>
    </row>
    <row r="15454" spans="12:17" x14ac:dyDescent="0.3">
      <c r="L15454" s="25"/>
      <c r="Q15454" s="17"/>
    </row>
    <row r="15455" spans="12:17" x14ac:dyDescent="0.3">
      <c r="L15455" s="25"/>
      <c r="Q15455" s="17"/>
    </row>
    <row r="15456" spans="12:17" x14ac:dyDescent="0.3">
      <c r="L15456" s="25"/>
      <c r="Q15456" s="17"/>
    </row>
    <row r="15457" spans="12:17" x14ac:dyDescent="0.3">
      <c r="L15457" s="25"/>
      <c r="Q15457" s="17"/>
    </row>
    <row r="15458" spans="12:17" x14ac:dyDescent="0.3">
      <c r="L15458" s="25"/>
      <c r="Q15458" s="17"/>
    </row>
    <row r="15459" spans="12:17" x14ac:dyDescent="0.3">
      <c r="L15459" s="25"/>
      <c r="Q15459" s="17"/>
    </row>
    <row r="15460" spans="12:17" x14ac:dyDescent="0.3">
      <c r="L15460" s="25"/>
      <c r="Q15460" s="17"/>
    </row>
    <row r="15461" spans="12:17" x14ac:dyDescent="0.3">
      <c r="L15461" s="25"/>
      <c r="Q15461" s="17"/>
    </row>
    <row r="15462" spans="12:17" x14ac:dyDescent="0.3">
      <c r="L15462" s="25"/>
      <c r="Q15462" s="17"/>
    </row>
    <row r="15463" spans="12:17" x14ac:dyDescent="0.3">
      <c r="L15463" s="25"/>
      <c r="Q15463" s="1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2459-9E68-46AE-98FC-B8A57EEADDA7}">
  <dimension ref="A1:J167"/>
  <sheetViews>
    <sheetView zoomScale="80" zoomScaleNormal="80" workbookViewId="0"/>
  </sheetViews>
  <sheetFormatPr defaultRowHeight="14.4" x14ac:dyDescent="0.3"/>
  <cols>
    <col min="1" max="1" width="20.44140625" customWidth="1"/>
    <col min="2" max="2" width="10.33203125" customWidth="1"/>
    <col min="3" max="3" width="11.109375" customWidth="1"/>
    <col min="4" max="4" width="12.33203125" customWidth="1"/>
    <col min="5" max="5" width="11.88671875" customWidth="1"/>
    <col min="6" max="7" width="12.77734375" customWidth="1"/>
    <col min="8" max="8" width="10.77734375" customWidth="1"/>
    <col min="9" max="10" width="12.109375" customWidth="1"/>
  </cols>
  <sheetData>
    <row r="1" spans="1:10" ht="16.2" thickBot="1" x14ac:dyDescent="0.35">
      <c r="C1" s="61" t="s">
        <v>1</v>
      </c>
      <c r="D1" s="62"/>
      <c r="E1" s="62"/>
      <c r="F1" s="62"/>
      <c r="G1" s="62"/>
      <c r="H1" s="63"/>
    </row>
    <row r="2" spans="1:10" ht="43.8" thickBot="1" x14ac:dyDescent="0.35">
      <c r="A2" s="37" t="s">
        <v>62</v>
      </c>
      <c r="B2" s="38" t="s">
        <v>63</v>
      </c>
      <c r="C2" s="37" t="s">
        <v>64</v>
      </c>
      <c r="D2" s="39" t="s">
        <v>65</v>
      </c>
      <c r="E2" s="39" t="s">
        <v>66</v>
      </c>
      <c r="F2" s="39" t="s">
        <v>67</v>
      </c>
      <c r="G2" s="39" t="s">
        <v>68</v>
      </c>
      <c r="H2" s="40" t="s">
        <v>69</v>
      </c>
      <c r="I2" s="37" t="s">
        <v>70</v>
      </c>
      <c r="J2" s="41" t="s">
        <v>71</v>
      </c>
    </row>
    <row r="3" spans="1:10" x14ac:dyDescent="0.3">
      <c r="A3" s="42">
        <v>44031</v>
      </c>
      <c r="B3" s="43">
        <v>207</v>
      </c>
      <c r="C3" s="44">
        <v>2</v>
      </c>
      <c r="D3" s="45">
        <v>1</v>
      </c>
      <c r="E3" s="45">
        <v>0</v>
      </c>
      <c r="F3" s="45">
        <v>0</v>
      </c>
      <c r="G3" s="45">
        <v>2</v>
      </c>
      <c r="H3" s="46">
        <v>202</v>
      </c>
      <c r="I3" s="51">
        <f>C3/B3</f>
        <v>9.6618357487922701E-3</v>
      </c>
      <c r="J3" s="48">
        <f>D3/B3</f>
        <v>4.830917874396135E-3</v>
      </c>
    </row>
    <row r="4" spans="1:10" x14ac:dyDescent="0.3">
      <c r="A4" s="42">
        <v>44030</v>
      </c>
      <c r="B4" s="43">
        <v>499</v>
      </c>
      <c r="C4" s="44">
        <v>56</v>
      </c>
      <c r="D4" s="45">
        <v>60</v>
      </c>
      <c r="E4" s="45">
        <v>0</v>
      </c>
      <c r="F4" s="45">
        <v>0</v>
      </c>
      <c r="G4" s="45">
        <v>19</v>
      </c>
      <c r="H4" s="46">
        <v>364</v>
      </c>
      <c r="I4" s="51">
        <f>C4/B4</f>
        <v>0.11222444889779559</v>
      </c>
      <c r="J4" s="48">
        <f>D4/B4</f>
        <v>0.12024048096192384</v>
      </c>
    </row>
    <row r="5" spans="1:10" x14ac:dyDescent="0.3">
      <c r="A5" s="42">
        <v>44029</v>
      </c>
      <c r="B5" s="43">
        <v>2415</v>
      </c>
      <c r="C5" s="44">
        <v>54</v>
      </c>
      <c r="D5" s="45">
        <v>86</v>
      </c>
      <c r="E5" s="45">
        <v>2</v>
      </c>
      <c r="F5" s="45">
        <v>7</v>
      </c>
      <c r="G5" s="45">
        <v>30</v>
      </c>
      <c r="H5" s="46">
        <v>2236</v>
      </c>
      <c r="I5" s="51">
        <f>C5/B5</f>
        <v>2.236024844720497E-2</v>
      </c>
      <c r="J5" s="48">
        <f>D5/B5</f>
        <v>3.5610766045548657E-2</v>
      </c>
    </row>
    <row r="6" spans="1:10" x14ac:dyDescent="0.3">
      <c r="A6" s="60">
        <v>44028</v>
      </c>
      <c r="B6" s="43">
        <v>924</v>
      </c>
      <c r="C6" s="44">
        <v>106</v>
      </c>
      <c r="D6" s="45">
        <v>93</v>
      </c>
      <c r="E6" s="45">
        <v>1</v>
      </c>
      <c r="F6" s="45">
        <v>5</v>
      </c>
      <c r="G6" s="45">
        <v>16</v>
      </c>
      <c r="H6" s="46">
        <v>703</v>
      </c>
      <c r="I6" s="51">
        <f>C6/B6</f>
        <v>0.11471861471861472</v>
      </c>
      <c r="J6" s="48">
        <f>D6/B6</f>
        <v>0.10064935064935066</v>
      </c>
    </row>
    <row r="7" spans="1:10" x14ac:dyDescent="0.3">
      <c r="A7" s="60">
        <v>44027</v>
      </c>
      <c r="B7" s="43">
        <v>695</v>
      </c>
      <c r="C7" s="44">
        <v>131</v>
      </c>
      <c r="D7" s="45">
        <v>175</v>
      </c>
      <c r="E7" s="45">
        <v>0</v>
      </c>
      <c r="F7" s="45">
        <v>6</v>
      </c>
      <c r="G7" s="45">
        <v>31</v>
      </c>
      <c r="H7" s="46">
        <v>352</v>
      </c>
      <c r="I7" s="51">
        <f t="shared" ref="I4:I10" si="0">C7/B7</f>
        <v>0.18848920863309351</v>
      </c>
      <c r="J7" s="48">
        <f t="shared" ref="J3:J9" si="1">D7/B7</f>
        <v>0.25179856115107913</v>
      </c>
    </row>
    <row r="8" spans="1:10" x14ac:dyDescent="0.3">
      <c r="A8" s="59">
        <v>44026</v>
      </c>
      <c r="B8" s="43">
        <v>1033</v>
      </c>
      <c r="C8" s="44">
        <v>350</v>
      </c>
      <c r="D8" s="45">
        <v>230</v>
      </c>
      <c r="E8" s="45">
        <v>3</v>
      </c>
      <c r="F8" s="45">
        <v>5</v>
      </c>
      <c r="G8" s="45">
        <v>48</v>
      </c>
      <c r="H8" s="46">
        <v>397</v>
      </c>
      <c r="I8" s="51">
        <f t="shared" si="0"/>
        <v>0.33881897386253629</v>
      </c>
      <c r="J8" s="48">
        <f t="shared" si="1"/>
        <v>0.22265246853823814</v>
      </c>
    </row>
    <row r="9" spans="1:10" x14ac:dyDescent="0.3">
      <c r="A9" s="52">
        <v>44025</v>
      </c>
      <c r="B9" s="53">
        <v>445</v>
      </c>
      <c r="C9" s="56">
        <v>7</v>
      </c>
      <c r="D9" s="57">
        <v>4</v>
      </c>
      <c r="E9" s="57">
        <v>0</v>
      </c>
      <c r="F9" s="57">
        <v>1</v>
      </c>
      <c r="G9" s="57">
        <v>15</v>
      </c>
      <c r="H9" s="58">
        <v>418</v>
      </c>
      <c r="I9" s="54">
        <f t="shared" si="0"/>
        <v>1.5730337078651686E-2</v>
      </c>
      <c r="J9" s="55">
        <f t="shared" si="1"/>
        <v>8.988764044943821E-3</v>
      </c>
    </row>
    <row r="10" spans="1:10" x14ac:dyDescent="0.3">
      <c r="A10" s="42">
        <v>44024</v>
      </c>
      <c r="B10" s="43">
        <v>56</v>
      </c>
      <c r="C10" s="44">
        <v>0</v>
      </c>
      <c r="D10" s="45">
        <v>7</v>
      </c>
      <c r="E10" s="45">
        <v>0</v>
      </c>
      <c r="F10" s="45">
        <v>3</v>
      </c>
      <c r="G10" s="45">
        <v>12</v>
      </c>
      <c r="H10" s="46">
        <v>34</v>
      </c>
      <c r="I10" s="51">
        <f t="shared" si="0"/>
        <v>0</v>
      </c>
      <c r="J10" s="48">
        <f t="shared" ref="J10:J72" si="2">D10/B10</f>
        <v>0.125</v>
      </c>
    </row>
    <row r="11" spans="1:10" x14ac:dyDescent="0.3">
      <c r="A11" s="42">
        <v>44023</v>
      </c>
      <c r="B11" s="43">
        <v>223</v>
      </c>
      <c r="C11" s="44">
        <v>10</v>
      </c>
      <c r="D11" s="45">
        <v>15</v>
      </c>
      <c r="E11" s="45">
        <v>0</v>
      </c>
      <c r="F11" s="45">
        <v>1</v>
      </c>
      <c r="G11" s="45">
        <v>8</v>
      </c>
      <c r="H11" s="46">
        <v>189</v>
      </c>
      <c r="I11" s="51">
        <f t="shared" ref="I11:I15" si="3">C11/B11</f>
        <v>4.4843049327354258E-2</v>
      </c>
      <c r="J11" s="48">
        <f t="shared" si="2"/>
        <v>6.726457399103139E-2</v>
      </c>
    </row>
    <row r="12" spans="1:10" x14ac:dyDescent="0.3">
      <c r="A12" s="42">
        <v>44022</v>
      </c>
      <c r="B12" s="43">
        <v>657</v>
      </c>
      <c r="C12" s="44">
        <v>105</v>
      </c>
      <c r="D12" s="45">
        <v>143</v>
      </c>
      <c r="E12" s="45">
        <v>0</v>
      </c>
      <c r="F12" s="45">
        <v>5</v>
      </c>
      <c r="G12" s="45">
        <v>39</v>
      </c>
      <c r="H12" s="46">
        <v>365</v>
      </c>
      <c r="I12" s="51">
        <f t="shared" si="3"/>
        <v>0.15981735159817351</v>
      </c>
      <c r="J12" s="48">
        <f t="shared" si="2"/>
        <v>0.21765601217656011</v>
      </c>
    </row>
    <row r="13" spans="1:10" x14ac:dyDescent="0.3">
      <c r="A13" s="42">
        <v>44021</v>
      </c>
      <c r="B13" s="43">
        <v>370</v>
      </c>
      <c r="C13" s="44">
        <v>95</v>
      </c>
      <c r="D13" s="45">
        <v>99</v>
      </c>
      <c r="E13" s="45">
        <v>0</v>
      </c>
      <c r="F13" s="45">
        <v>0</v>
      </c>
      <c r="G13" s="45">
        <v>27</v>
      </c>
      <c r="H13" s="46">
        <v>149</v>
      </c>
      <c r="I13" s="51">
        <f t="shared" si="3"/>
        <v>0.25675675675675674</v>
      </c>
      <c r="J13" s="48">
        <f t="shared" si="2"/>
        <v>0.26756756756756755</v>
      </c>
    </row>
    <row r="14" spans="1:10" x14ac:dyDescent="0.3">
      <c r="A14" s="42">
        <v>44020</v>
      </c>
      <c r="B14" s="43">
        <v>412</v>
      </c>
      <c r="C14" s="44">
        <v>51</v>
      </c>
      <c r="D14" s="45">
        <v>54</v>
      </c>
      <c r="E14" s="45">
        <v>1</v>
      </c>
      <c r="F14" s="45">
        <v>2</v>
      </c>
      <c r="G14" s="45">
        <v>32</v>
      </c>
      <c r="H14" s="46">
        <v>272</v>
      </c>
      <c r="I14" s="51">
        <f t="shared" si="3"/>
        <v>0.12378640776699029</v>
      </c>
      <c r="J14" s="48">
        <f t="shared" si="2"/>
        <v>0.13106796116504854</v>
      </c>
    </row>
    <row r="15" spans="1:10" x14ac:dyDescent="0.3">
      <c r="A15" s="42">
        <v>44019</v>
      </c>
      <c r="B15" s="43">
        <v>713</v>
      </c>
      <c r="C15" s="44">
        <v>142</v>
      </c>
      <c r="D15" s="45">
        <v>160</v>
      </c>
      <c r="E15" s="45">
        <v>1</v>
      </c>
      <c r="F15" s="45">
        <v>2</v>
      </c>
      <c r="G15" s="45">
        <v>29</v>
      </c>
      <c r="H15" s="46">
        <v>379</v>
      </c>
      <c r="I15" s="51">
        <f t="shared" si="3"/>
        <v>0.19915848527349228</v>
      </c>
      <c r="J15" s="48">
        <f t="shared" si="2"/>
        <v>0.2244039270687237</v>
      </c>
    </row>
    <row r="16" spans="1:10" x14ac:dyDescent="0.3">
      <c r="A16" s="42">
        <v>44018</v>
      </c>
      <c r="B16" s="43">
        <v>410</v>
      </c>
      <c r="C16" s="44">
        <v>129</v>
      </c>
      <c r="D16" s="45">
        <v>90</v>
      </c>
      <c r="E16" s="45">
        <v>0</v>
      </c>
      <c r="F16" s="45">
        <v>1</v>
      </c>
      <c r="G16" s="45">
        <v>23</v>
      </c>
      <c r="H16" s="46">
        <v>167</v>
      </c>
      <c r="I16" s="47">
        <f t="shared" ref="I16:I73" si="4">C16/B16</f>
        <v>0.31463414634146342</v>
      </c>
      <c r="J16" s="48">
        <f t="shared" si="2"/>
        <v>0.21951219512195122</v>
      </c>
    </row>
    <row r="17" spans="1:10" x14ac:dyDescent="0.3">
      <c r="A17" s="42">
        <v>44015</v>
      </c>
      <c r="B17" s="43">
        <v>74</v>
      </c>
      <c r="C17" s="44">
        <v>4</v>
      </c>
      <c r="D17" s="45">
        <v>16</v>
      </c>
      <c r="E17" s="45">
        <v>0</v>
      </c>
      <c r="F17" s="45">
        <v>3</v>
      </c>
      <c r="G17" s="45">
        <v>1</v>
      </c>
      <c r="H17" s="46">
        <v>50</v>
      </c>
      <c r="I17" s="47">
        <f t="shared" si="4"/>
        <v>5.4054054054054057E-2</v>
      </c>
      <c r="J17" s="48">
        <f t="shared" si="2"/>
        <v>0.21621621621621623</v>
      </c>
    </row>
    <row r="18" spans="1:10" x14ac:dyDescent="0.3">
      <c r="A18" s="42">
        <v>44014</v>
      </c>
      <c r="B18" s="43">
        <v>438</v>
      </c>
      <c r="C18" s="44">
        <v>95</v>
      </c>
      <c r="D18" s="45">
        <v>110</v>
      </c>
      <c r="E18" s="45">
        <v>0</v>
      </c>
      <c r="F18" s="45">
        <v>3</v>
      </c>
      <c r="G18" s="45">
        <v>26</v>
      </c>
      <c r="H18" s="46">
        <v>204</v>
      </c>
      <c r="I18" s="47">
        <f t="shared" si="4"/>
        <v>0.21689497716894976</v>
      </c>
      <c r="J18" s="48">
        <f t="shared" si="2"/>
        <v>0.25114155251141551</v>
      </c>
    </row>
    <row r="19" spans="1:10" x14ac:dyDescent="0.3">
      <c r="A19" s="42">
        <v>44013</v>
      </c>
      <c r="B19" s="43">
        <v>582</v>
      </c>
      <c r="C19" s="44">
        <v>155</v>
      </c>
      <c r="D19" s="45">
        <v>154</v>
      </c>
      <c r="E19" s="45">
        <v>2</v>
      </c>
      <c r="F19" s="45">
        <v>3</v>
      </c>
      <c r="G19" s="45">
        <v>16</v>
      </c>
      <c r="H19" s="46">
        <v>252</v>
      </c>
      <c r="I19" s="47">
        <f t="shared" si="4"/>
        <v>0.26632302405498282</v>
      </c>
      <c r="J19" s="48">
        <f t="shared" si="2"/>
        <v>0.26460481099656358</v>
      </c>
    </row>
    <row r="20" spans="1:10" x14ac:dyDescent="0.3">
      <c r="A20" s="42">
        <v>44012</v>
      </c>
      <c r="B20" s="43">
        <v>683</v>
      </c>
      <c r="C20" s="44">
        <v>249</v>
      </c>
      <c r="D20" s="45">
        <v>124</v>
      </c>
      <c r="E20" s="45">
        <v>4</v>
      </c>
      <c r="F20" s="45">
        <v>2</v>
      </c>
      <c r="G20" s="45">
        <v>28</v>
      </c>
      <c r="H20" s="46">
        <v>276</v>
      </c>
      <c r="I20" s="47">
        <f t="shared" si="4"/>
        <v>0.36456808199121521</v>
      </c>
      <c r="J20" s="48">
        <f t="shared" si="2"/>
        <v>0.18155197657393851</v>
      </c>
    </row>
    <row r="21" spans="1:10" x14ac:dyDescent="0.3">
      <c r="A21" s="42">
        <v>44011</v>
      </c>
      <c r="B21" s="43">
        <v>513</v>
      </c>
      <c r="C21" s="44">
        <v>160</v>
      </c>
      <c r="D21" s="45">
        <v>96</v>
      </c>
      <c r="E21" s="45">
        <v>0</v>
      </c>
      <c r="F21" s="45">
        <v>0</v>
      </c>
      <c r="G21" s="45">
        <v>17</v>
      </c>
      <c r="H21" s="46">
        <v>240</v>
      </c>
      <c r="I21" s="47">
        <f t="shared" si="4"/>
        <v>0.31189083820662766</v>
      </c>
      <c r="J21" s="48">
        <f t="shared" si="2"/>
        <v>0.1871345029239766</v>
      </c>
    </row>
    <row r="22" spans="1:10" x14ac:dyDescent="0.3">
      <c r="A22" s="42">
        <v>44009</v>
      </c>
      <c r="B22" s="43">
        <v>276</v>
      </c>
      <c r="C22" s="44">
        <v>62</v>
      </c>
      <c r="D22" s="45">
        <v>57</v>
      </c>
      <c r="E22" s="45">
        <v>0</v>
      </c>
      <c r="F22" s="45">
        <v>2</v>
      </c>
      <c r="G22" s="45">
        <v>10</v>
      </c>
      <c r="H22" s="46">
        <v>145</v>
      </c>
      <c r="I22" s="47">
        <f t="shared" si="4"/>
        <v>0.22463768115942029</v>
      </c>
      <c r="J22" s="48">
        <f t="shared" si="2"/>
        <v>0.20652173913043478</v>
      </c>
    </row>
    <row r="23" spans="1:10" x14ac:dyDescent="0.3">
      <c r="A23" s="42">
        <v>44008</v>
      </c>
      <c r="B23" s="43">
        <v>1432</v>
      </c>
      <c r="C23" s="44">
        <v>200</v>
      </c>
      <c r="D23" s="45">
        <v>167</v>
      </c>
      <c r="E23" s="45">
        <v>4</v>
      </c>
      <c r="F23" s="45">
        <v>8</v>
      </c>
      <c r="G23" s="45">
        <v>30</v>
      </c>
      <c r="H23" s="46">
        <v>1023</v>
      </c>
      <c r="I23" s="47">
        <f t="shared" si="4"/>
        <v>0.13966480446927373</v>
      </c>
      <c r="J23" s="48">
        <f t="shared" si="2"/>
        <v>0.11662011173184357</v>
      </c>
    </row>
    <row r="24" spans="1:10" x14ac:dyDescent="0.3">
      <c r="A24" s="42">
        <v>44007</v>
      </c>
      <c r="B24" s="43">
        <v>1305</v>
      </c>
      <c r="C24" s="44">
        <v>120</v>
      </c>
      <c r="D24" s="45">
        <v>166</v>
      </c>
      <c r="E24" s="45">
        <v>3</v>
      </c>
      <c r="F24" s="45">
        <v>13</v>
      </c>
      <c r="G24" s="45">
        <v>66</v>
      </c>
      <c r="H24" s="46">
        <v>937</v>
      </c>
      <c r="I24" s="47">
        <f t="shared" si="4"/>
        <v>9.1954022988505746E-2</v>
      </c>
      <c r="J24" s="48">
        <f t="shared" si="2"/>
        <v>0.12720306513409962</v>
      </c>
    </row>
    <row r="25" spans="1:10" x14ac:dyDescent="0.3">
      <c r="A25" s="42">
        <v>44006</v>
      </c>
      <c r="B25" s="43">
        <v>1231</v>
      </c>
      <c r="C25" s="44">
        <v>181</v>
      </c>
      <c r="D25" s="45">
        <v>179</v>
      </c>
      <c r="E25" s="45">
        <v>1</v>
      </c>
      <c r="F25" s="45">
        <v>6</v>
      </c>
      <c r="G25" s="45">
        <v>36</v>
      </c>
      <c r="H25" s="46">
        <v>828</v>
      </c>
      <c r="I25" s="47">
        <f t="shared" si="4"/>
        <v>0.14703493095044678</v>
      </c>
      <c r="J25" s="48">
        <f t="shared" si="2"/>
        <v>0.14541023558082861</v>
      </c>
    </row>
    <row r="26" spans="1:10" x14ac:dyDescent="0.3">
      <c r="A26" s="42">
        <v>44005</v>
      </c>
      <c r="B26" s="43">
        <v>313</v>
      </c>
      <c r="C26" s="44">
        <v>16</v>
      </c>
      <c r="D26" s="45">
        <v>25</v>
      </c>
      <c r="E26" s="45">
        <v>0</v>
      </c>
      <c r="F26" s="45">
        <v>3</v>
      </c>
      <c r="G26" s="45">
        <v>9</v>
      </c>
      <c r="H26" s="46">
        <v>260</v>
      </c>
      <c r="I26" s="47">
        <f t="shared" si="4"/>
        <v>5.1118210862619806E-2</v>
      </c>
      <c r="J26" s="48">
        <f t="shared" si="2"/>
        <v>7.9872204472843447E-2</v>
      </c>
    </row>
    <row r="27" spans="1:10" x14ac:dyDescent="0.3">
      <c r="A27" s="42">
        <v>44004</v>
      </c>
      <c r="B27" s="43">
        <v>424</v>
      </c>
      <c r="C27" s="44">
        <v>150</v>
      </c>
      <c r="D27" s="45">
        <v>97</v>
      </c>
      <c r="E27" s="45">
        <v>1</v>
      </c>
      <c r="F27" s="45">
        <v>0</v>
      </c>
      <c r="G27" s="45">
        <v>6</v>
      </c>
      <c r="H27" s="46">
        <v>170</v>
      </c>
      <c r="I27" s="47">
        <f t="shared" si="4"/>
        <v>0.35377358490566035</v>
      </c>
      <c r="J27" s="48">
        <f t="shared" si="2"/>
        <v>0.22877358490566038</v>
      </c>
    </row>
    <row r="28" spans="1:10" x14ac:dyDescent="0.3">
      <c r="A28" s="42">
        <v>44003</v>
      </c>
      <c r="B28" s="43">
        <v>121</v>
      </c>
      <c r="C28" s="44">
        <v>12</v>
      </c>
      <c r="D28" s="45">
        <v>100</v>
      </c>
      <c r="E28" s="45">
        <v>1</v>
      </c>
      <c r="F28" s="45">
        <v>5</v>
      </c>
      <c r="G28" s="45">
        <v>2</v>
      </c>
      <c r="H28" s="46">
        <v>1</v>
      </c>
      <c r="I28" s="47">
        <f t="shared" si="4"/>
        <v>9.9173553719008267E-2</v>
      </c>
      <c r="J28" s="48">
        <f t="shared" si="2"/>
        <v>0.82644628099173556</v>
      </c>
    </row>
    <row r="29" spans="1:10" x14ac:dyDescent="0.3">
      <c r="A29" s="42">
        <v>44002</v>
      </c>
      <c r="B29" s="43">
        <v>34</v>
      </c>
      <c r="C29" s="44">
        <v>3</v>
      </c>
      <c r="D29" s="45">
        <v>14</v>
      </c>
      <c r="E29" s="45">
        <v>0</v>
      </c>
      <c r="F29" s="45">
        <v>5</v>
      </c>
      <c r="G29" s="45">
        <v>1</v>
      </c>
      <c r="H29" s="46">
        <v>11</v>
      </c>
      <c r="I29" s="47">
        <f t="shared" si="4"/>
        <v>8.8235294117647065E-2</v>
      </c>
      <c r="J29" s="48">
        <f t="shared" si="2"/>
        <v>0.41176470588235292</v>
      </c>
    </row>
    <row r="30" spans="1:10" x14ac:dyDescent="0.3">
      <c r="A30" s="42">
        <v>44001</v>
      </c>
      <c r="B30" s="43">
        <v>2477</v>
      </c>
      <c r="C30" s="44">
        <v>27</v>
      </c>
      <c r="D30" s="45">
        <v>2247</v>
      </c>
      <c r="E30" s="45">
        <v>6</v>
      </c>
      <c r="F30" s="45">
        <v>46</v>
      </c>
      <c r="G30" s="45">
        <v>13</v>
      </c>
      <c r="H30" s="46">
        <v>138</v>
      </c>
      <c r="I30" s="47">
        <f t="shared" si="4"/>
        <v>1.0900282599919257E-2</v>
      </c>
      <c r="J30" s="48">
        <f t="shared" si="2"/>
        <v>0.90714574081550259</v>
      </c>
    </row>
    <row r="31" spans="1:10" x14ac:dyDescent="0.3">
      <c r="A31" s="42">
        <v>44000</v>
      </c>
      <c r="B31" s="43">
        <v>686</v>
      </c>
      <c r="C31" s="44">
        <v>29</v>
      </c>
      <c r="D31" s="45">
        <v>379</v>
      </c>
      <c r="E31" s="45">
        <v>1</v>
      </c>
      <c r="F31" s="45">
        <v>54</v>
      </c>
      <c r="G31" s="45">
        <v>26</v>
      </c>
      <c r="H31" s="46">
        <v>197</v>
      </c>
      <c r="I31" s="47">
        <f t="shared" si="4"/>
        <v>4.2274052478134108E-2</v>
      </c>
      <c r="J31" s="48">
        <f t="shared" si="2"/>
        <v>0.55247813411078717</v>
      </c>
    </row>
    <row r="32" spans="1:10" x14ac:dyDescent="0.3">
      <c r="A32" s="42">
        <v>43999</v>
      </c>
      <c r="B32" s="43">
        <v>1434</v>
      </c>
      <c r="C32" s="44">
        <v>27</v>
      </c>
      <c r="D32" s="45">
        <v>979</v>
      </c>
      <c r="E32" s="45">
        <v>0</v>
      </c>
      <c r="F32" s="45">
        <v>81</v>
      </c>
      <c r="G32" s="45">
        <v>19</v>
      </c>
      <c r="H32" s="46">
        <v>328</v>
      </c>
      <c r="I32" s="47">
        <f t="shared" si="4"/>
        <v>1.8828451882845189E-2</v>
      </c>
      <c r="J32" s="48">
        <f t="shared" si="2"/>
        <v>0.6827057182705718</v>
      </c>
    </row>
    <row r="33" spans="1:10" x14ac:dyDescent="0.3">
      <c r="A33" s="42">
        <v>43998</v>
      </c>
      <c r="B33" s="43">
        <v>1728</v>
      </c>
      <c r="C33" s="44">
        <v>121</v>
      </c>
      <c r="D33" s="45">
        <v>1271</v>
      </c>
      <c r="E33" s="45">
        <v>1</v>
      </c>
      <c r="F33" s="45">
        <v>47</v>
      </c>
      <c r="G33" s="45">
        <v>44</v>
      </c>
      <c r="H33" s="46">
        <v>244</v>
      </c>
      <c r="I33" s="47">
        <f t="shared" si="4"/>
        <v>7.0023148148148154E-2</v>
      </c>
      <c r="J33" s="48">
        <f t="shared" si="2"/>
        <v>0.73553240740740744</v>
      </c>
    </row>
    <row r="34" spans="1:10" x14ac:dyDescent="0.3">
      <c r="A34" s="42">
        <v>43997</v>
      </c>
      <c r="B34" s="43">
        <v>2151</v>
      </c>
      <c r="C34" s="44">
        <v>113</v>
      </c>
      <c r="D34" s="45">
        <v>278</v>
      </c>
      <c r="E34" s="45">
        <v>3</v>
      </c>
      <c r="F34" s="45">
        <v>72</v>
      </c>
      <c r="G34" s="45">
        <v>87</v>
      </c>
      <c r="H34" s="46">
        <v>1598</v>
      </c>
      <c r="I34" s="47">
        <f t="shared" si="4"/>
        <v>5.2533705253370526E-2</v>
      </c>
      <c r="J34" s="48">
        <f t="shared" si="2"/>
        <v>0.12924221292422131</v>
      </c>
    </row>
    <row r="35" spans="1:10" x14ac:dyDescent="0.3">
      <c r="A35" s="42">
        <v>43996</v>
      </c>
      <c r="B35" s="43">
        <v>129</v>
      </c>
      <c r="C35" s="44">
        <v>0</v>
      </c>
      <c r="D35" s="45">
        <v>120</v>
      </c>
      <c r="E35" s="45">
        <v>0</v>
      </c>
      <c r="F35" s="45">
        <v>0</v>
      </c>
      <c r="G35" s="45">
        <v>5</v>
      </c>
      <c r="H35" s="46">
        <v>4</v>
      </c>
      <c r="I35" s="47">
        <f t="shared" si="4"/>
        <v>0</v>
      </c>
      <c r="J35" s="48">
        <f t="shared" si="2"/>
        <v>0.93023255813953487</v>
      </c>
    </row>
    <row r="36" spans="1:10" x14ac:dyDescent="0.3">
      <c r="A36" s="42">
        <v>43995</v>
      </c>
      <c r="B36" s="43">
        <v>4</v>
      </c>
      <c r="C36" s="44">
        <v>0</v>
      </c>
      <c r="D36" s="45">
        <v>0</v>
      </c>
      <c r="E36" s="45">
        <v>0</v>
      </c>
      <c r="F36" s="45">
        <v>2</v>
      </c>
      <c r="G36" s="45">
        <v>2</v>
      </c>
      <c r="H36" s="46">
        <v>0</v>
      </c>
      <c r="I36" s="47">
        <f t="shared" si="4"/>
        <v>0</v>
      </c>
      <c r="J36" s="48">
        <f t="shared" si="2"/>
        <v>0</v>
      </c>
    </row>
    <row r="37" spans="1:10" x14ac:dyDescent="0.3">
      <c r="A37" s="42">
        <v>43994</v>
      </c>
      <c r="B37" s="43">
        <v>2014</v>
      </c>
      <c r="C37" s="44">
        <v>86</v>
      </c>
      <c r="D37" s="45">
        <v>1726</v>
      </c>
      <c r="E37" s="45">
        <v>1</v>
      </c>
      <c r="F37" s="45">
        <v>45</v>
      </c>
      <c r="G37" s="45">
        <v>62</v>
      </c>
      <c r="H37" s="46">
        <v>94</v>
      </c>
      <c r="I37" s="47">
        <f t="shared" si="4"/>
        <v>4.2701092353525323E-2</v>
      </c>
      <c r="J37" s="48">
        <f t="shared" si="2"/>
        <v>0.8570009930486594</v>
      </c>
    </row>
    <row r="38" spans="1:10" x14ac:dyDescent="0.3">
      <c r="A38" s="42">
        <v>43993</v>
      </c>
      <c r="B38" s="43">
        <v>2074</v>
      </c>
      <c r="C38" s="44">
        <v>33</v>
      </c>
      <c r="D38" s="45">
        <v>882</v>
      </c>
      <c r="E38" s="45">
        <v>0</v>
      </c>
      <c r="F38" s="45">
        <v>65</v>
      </c>
      <c r="G38" s="45">
        <v>31</v>
      </c>
      <c r="H38" s="46">
        <v>1063</v>
      </c>
      <c r="I38" s="47">
        <f t="shared" si="4"/>
        <v>1.5911282545805209E-2</v>
      </c>
      <c r="J38" s="48">
        <f t="shared" si="2"/>
        <v>0.42526518804243008</v>
      </c>
    </row>
    <row r="39" spans="1:10" x14ac:dyDescent="0.3">
      <c r="A39" s="42">
        <v>43992</v>
      </c>
      <c r="B39" s="43">
        <v>914</v>
      </c>
      <c r="C39" s="44">
        <v>4</v>
      </c>
      <c r="D39" s="45">
        <v>768</v>
      </c>
      <c r="E39" s="45">
        <v>0</v>
      </c>
      <c r="F39" s="45">
        <v>18</v>
      </c>
      <c r="G39" s="45">
        <v>28</v>
      </c>
      <c r="H39" s="46">
        <v>96</v>
      </c>
      <c r="I39" s="47">
        <f t="shared" si="4"/>
        <v>4.3763676148796497E-3</v>
      </c>
      <c r="J39" s="48">
        <f t="shared" si="2"/>
        <v>0.84026258205689275</v>
      </c>
    </row>
    <row r="40" spans="1:10" x14ac:dyDescent="0.3">
      <c r="A40" s="42">
        <v>43991</v>
      </c>
      <c r="B40" s="43">
        <v>2928</v>
      </c>
      <c r="C40" s="44">
        <v>184</v>
      </c>
      <c r="D40" s="45">
        <v>1536</v>
      </c>
      <c r="E40" s="45">
        <v>6</v>
      </c>
      <c r="F40" s="45">
        <v>105</v>
      </c>
      <c r="G40" s="45">
        <v>131</v>
      </c>
      <c r="H40" s="46">
        <v>966</v>
      </c>
      <c r="I40" s="47">
        <f t="shared" si="4"/>
        <v>6.2841530054644809E-2</v>
      </c>
      <c r="J40" s="48">
        <f t="shared" si="2"/>
        <v>0.52459016393442626</v>
      </c>
    </row>
    <row r="41" spans="1:10" x14ac:dyDescent="0.3">
      <c r="A41" s="42">
        <v>43990</v>
      </c>
      <c r="B41" s="43">
        <v>1717</v>
      </c>
      <c r="C41" s="44">
        <v>32</v>
      </c>
      <c r="D41" s="45">
        <v>425</v>
      </c>
      <c r="E41" s="45">
        <v>0</v>
      </c>
      <c r="F41" s="45">
        <v>66</v>
      </c>
      <c r="G41" s="45">
        <v>131</v>
      </c>
      <c r="H41" s="46">
        <v>1063</v>
      </c>
      <c r="I41" s="47">
        <f t="shared" si="4"/>
        <v>1.8637157833430402E-2</v>
      </c>
      <c r="J41" s="48">
        <f t="shared" si="2"/>
        <v>0.24752475247524752</v>
      </c>
    </row>
    <row r="42" spans="1:10" x14ac:dyDescent="0.3">
      <c r="A42" s="42">
        <v>43989</v>
      </c>
      <c r="B42" s="43">
        <v>268</v>
      </c>
      <c r="C42" s="44">
        <v>16</v>
      </c>
      <c r="D42" s="45">
        <v>247</v>
      </c>
      <c r="E42" s="45">
        <v>0</v>
      </c>
      <c r="F42" s="45">
        <v>0</v>
      </c>
      <c r="G42" s="45">
        <v>0</v>
      </c>
      <c r="H42" s="46">
        <v>5</v>
      </c>
      <c r="I42" s="47">
        <f t="shared" si="4"/>
        <v>5.9701492537313432E-2</v>
      </c>
      <c r="J42" s="48">
        <f t="shared" si="2"/>
        <v>0.92164179104477617</v>
      </c>
    </row>
    <row r="43" spans="1:10" x14ac:dyDescent="0.3">
      <c r="A43" s="42">
        <v>43988</v>
      </c>
      <c r="B43" s="43">
        <v>100</v>
      </c>
      <c r="C43" s="44">
        <v>0</v>
      </c>
      <c r="D43" s="45">
        <v>82</v>
      </c>
      <c r="E43" s="45">
        <v>0</v>
      </c>
      <c r="F43" s="45">
        <v>10</v>
      </c>
      <c r="G43" s="45">
        <v>2</v>
      </c>
      <c r="H43" s="46">
        <v>6</v>
      </c>
      <c r="I43" s="47">
        <f t="shared" si="4"/>
        <v>0</v>
      </c>
      <c r="J43" s="48">
        <f t="shared" si="2"/>
        <v>0.82</v>
      </c>
    </row>
    <row r="44" spans="1:10" x14ac:dyDescent="0.3">
      <c r="A44" s="42">
        <v>43987</v>
      </c>
      <c r="B44" s="43">
        <v>727</v>
      </c>
      <c r="C44" s="44">
        <v>6</v>
      </c>
      <c r="D44" s="45">
        <v>706</v>
      </c>
      <c r="E44" s="45">
        <v>0</v>
      </c>
      <c r="F44" s="45">
        <v>5</v>
      </c>
      <c r="G44" s="45">
        <v>0</v>
      </c>
      <c r="H44" s="46">
        <v>10</v>
      </c>
      <c r="I44" s="47">
        <f t="shared" si="4"/>
        <v>8.253094910591471E-3</v>
      </c>
      <c r="J44" s="48">
        <f t="shared" si="2"/>
        <v>0.97111416781292981</v>
      </c>
    </row>
    <row r="45" spans="1:10" x14ac:dyDescent="0.3">
      <c r="A45" s="42">
        <v>43986</v>
      </c>
      <c r="B45" s="43">
        <v>490</v>
      </c>
      <c r="C45" s="44">
        <v>4</v>
      </c>
      <c r="D45" s="45">
        <v>485</v>
      </c>
      <c r="E45" s="45">
        <v>0</v>
      </c>
      <c r="F45" s="45">
        <v>0</v>
      </c>
      <c r="G45" s="45">
        <v>0</v>
      </c>
      <c r="H45" s="46">
        <v>1</v>
      </c>
      <c r="I45" s="47">
        <f t="shared" si="4"/>
        <v>8.1632653061224497E-3</v>
      </c>
      <c r="J45" s="48">
        <f t="shared" si="2"/>
        <v>0.98979591836734693</v>
      </c>
    </row>
    <row r="46" spans="1:10" x14ac:dyDescent="0.3">
      <c r="A46" s="42">
        <v>43985</v>
      </c>
      <c r="B46" s="43">
        <v>1251</v>
      </c>
      <c r="C46" s="44">
        <v>2</v>
      </c>
      <c r="D46" s="45">
        <v>1169</v>
      </c>
      <c r="E46" s="45">
        <v>1</v>
      </c>
      <c r="F46" s="45">
        <v>25</v>
      </c>
      <c r="G46" s="45">
        <v>11</v>
      </c>
      <c r="H46" s="46">
        <v>43</v>
      </c>
      <c r="I46" s="47">
        <f t="shared" si="4"/>
        <v>1.5987210231814548E-3</v>
      </c>
      <c r="J46" s="48">
        <f t="shared" si="2"/>
        <v>0.93445243804956035</v>
      </c>
    </row>
    <row r="47" spans="1:10" x14ac:dyDescent="0.3">
      <c r="A47" s="42">
        <v>43984</v>
      </c>
      <c r="B47" s="43">
        <v>697</v>
      </c>
      <c r="C47" s="44">
        <v>14</v>
      </c>
      <c r="D47" s="45">
        <v>622</v>
      </c>
      <c r="E47" s="45">
        <v>0</v>
      </c>
      <c r="F47" s="45">
        <v>40</v>
      </c>
      <c r="G47" s="45">
        <v>13</v>
      </c>
      <c r="H47" s="46">
        <v>8</v>
      </c>
      <c r="I47" s="47">
        <f t="shared" si="4"/>
        <v>2.0086083213773313E-2</v>
      </c>
      <c r="J47" s="48">
        <f t="shared" si="2"/>
        <v>0.8923959827833573</v>
      </c>
    </row>
    <row r="48" spans="1:10" x14ac:dyDescent="0.3">
      <c r="A48" s="42">
        <v>43983</v>
      </c>
      <c r="B48" s="43">
        <v>1490</v>
      </c>
      <c r="C48" s="44">
        <v>115</v>
      </c>
      <c r="D48" s="45">
        <v>1292</v>
      </c>
      <c r="E48" s="45">
        <v>0</v>
      </c>
      <c r="F48" s="45">
        <v>0</v>
      </c>
      <c r="G48" s="45">
        <v>0</v>
      </c>
      <c r="H48" s="46">
        <v>83</v>
      </c>
      <c r="I48" s="47">
        <f t="shared" si="4"/>
        <v>7.7181208053691275E-2</v>
      </c>
      <c r="J48" s="48">
        <f t="shared" si="2"/>
        <v>0.86711409395973149</v>
      </c>
    </row>
    <row r="49" spans="1:10" x14ac:dyDescent="0.3">
      <c r="A49" s="42">
        <v>43982</v>
      </c>
      <c r="B49" s="43">
        <v>6</v>
      </c>
      <c r="C49" s="44">
        <v>0</v>
      </c>
      <c r="D49" s="45">
        <v>6</v>
      </c>
      <c r="E49" s="45">
        <v>0</v>
      </c>
      <c r="F49" s="45">
        <v>0</v>
      </c>
      <c r="G49" s="45">
        <v>0</v>
      </c>
      <c r="H49" s="46">
        <v>0</v>
      </c>
      <c r="I49" s="47">
        <f t="shared" si="4"/>
        <v>0</v>
      </c>
      <c r="J49" s="48">
        <f t="shared" si="2"/>
        <v>1</v>
      </c>
    </row>
    <row r="50" spans="1:10" x14ac:dyDescent="0.3">
      <c r="A50" s="42">
        <v>43981</v>
      </c>
      <c r="B50" s="43">
        <v>308</v>
      </c>
      <c r="C50" s="44">
        <v>2</v>
      </c>
      <c r="D50" s="45">
        <v>306</v>
      </c>
      <c r="E50" s="45">
        <v>0</v>
      </c>
      <c r="F50" s="45">
        <v>0</v>
      </c>
      <c r="G50" s="45">
        <v>0</v>
      </c>
      <c r="H50" s="46">
        <v>0</v>
      </c>
      <c r="I50" s="47">
        <f t="shared" si="4"/>
        <v>6.4935064935064939E-3</v>
      </c>
      <c r="J50" s="48">
        <f t="shared" si="2"/>
        <v>0.99350649350649356</v>
      </c>
    </row>
    <row r="51" spans="1:10" x14ac:dyDescent="0.3">
      <c r="A51" s="42">
        <v>43980</v>
      </c>
      <c r="B51" s="43">
        <v>1250</v>
      </c>
      <c r="C51" s="44">
        <v>5</v>
      </c>
      <c r="D51" s="45">
        <v>1241</v>
      </c>
      <c r="E51" s="45">
        <v>0</v>
      </c>
      <c r="F51" s="45">
        <v>0</v>
      </c>
      <c r="G51" s="45">
        <v>0</v>
      </c>
      <c r="H51" s="46">
        <v>4</v>
      </c>
      <c r="I51" s="47">
        <f t="shared" si="4"/>
        <v>4.0000000000000001E-3</v>
      </c>
      <c r="J51" s="48">
        <f t="shared" si="2"/>
        <v>0.99280000000000002</v>
      </c>
    </row>
    <row r="52" spans="1:10" x14ac:dyDescent="0.3">
      <c r="A52" s="42">
        <v>43979</v>
      </c>
      <c r="B52" s="43">
        <v>1479</v>
      </c>
      <c r="C52" s="44">
        <v>7</v>
      </c>
      <c r="D52" s="45">
        <v>1471</v>
      </c>
      <c r="E52" s="45">
        <v>0</v>
      </c>
      <c r="F52" s="45">
        <v>0</v>
      </c>
      <c r="G52" s="45">
        <v>0</v>
      </c>
      <c r="H52" s="46">
        <v>1</v>
      </c>
      <c r="I52" s="47">
        <f t="shared" si="4"/>
        <v>4.7329276538201487E-3</v>
      </c>
      <c r="J52" s="48">
        <f t="shared" si="2"/>
        <v>0.99459093982420554</v>
      </c>
    </row>
    <row r="53" spans="1:10" x14ac:dyDescent="0.3">
      <c r="A53" s="42">
        <v>43978</v>
      </c>
      <c r="B53" s="43">
        <v>1679</v>
      </c>
      <c r="C53" s="44">
        <v>13</v>
      </c>
      <c r="D53" s="45">
        <v>1664</v>
      </c>
      <c r="E53" s="45">
        <v>0</v>
      </c>
      <c r="F53" s="45">
        <v>0</v>
      </c>
      <c r="G53" s="45">
        <v>0</v>
      </c>
      <c r="H53" s="46">
        <v>2</v>
      </c>
      <c r="I53" s="47">
        <f t="shared" si="4"/>
        <v>7.7427039904705182E-3</v>
      </c>
      <c r="J53" s="48">
        <f t="shared" si="2"/>
        <v>0.99106611078022633</v>
      </c>
    </row>
    <row r="54" spans="1:10" x14ac:dyDescent="0.3">
      <c r="A54" s="42">
        <v>43977</v>
      </c>
      <c r="B54" s="43">
        <v>1391</v>
      </c>
      <c r="C54" s="44">
        <v>9</v>
      </c>
      <c r="D54" s="45">
        <v>1382</v>
      </c>
      <c r="E54" s="45">
        <v>0</v>
      </c>
      <c r="F54" s="45">
        <v>0</v>
      </c>
      <c r="G54" s="45">
        <v>0</v>
      </c>
      <c r="H54" s="46">
        <v>0</v>
      </c>
      <c r="I54" s="47">
        <f t="shared" si="4"/>
        <v>6.4701653486700216E-3</v>
      </c>
      <c r="J54" s="48">
        <f t="shared" si="2"/>
        <v>0.99352983465132994</v>
      </c>
    </row>
    <row r="55" spans="1:10" x14ac:dyDescent="0.3">
      <c r="A55" s="42">
        <v>43976</v>
      </c>
      <c r="B55" s="43">
        <v>7</v>
      </c>
      <c r="C55" s="44">
        <v>0</v>
      </c>
      <c r="D55" s="45">
        <v>7</v>
      </c>
      <c r="E55" s="45">
        <v>0</v>
      </c>
      <c r="F55" s="45">
        <v>0</v>
      </c>
      <c r="G55" s="45">
        <v>0</v>
      </c>
      <c r="H55" s="46">
        <v>0</v>
      </c>
      <c r="I55" s="47">
        <f t="shared" si="4"/>
        <v>0</v>
      </c>
      <c r="J55" s="48">
        <f t="shared" si="2"/>
        <v>1</v>
      </c>
    </row>
    <row r="56" spans="1:10" x14ac:dyDescent="0.3">
      <c r="A56" s="42">
        <v>43975</v>
      </c>
      <c r="B56" s="43">
        <v>32</v>
      </c>
      <c r="C56" s="44">
        <v>0</v>
      </c>
      <c r="D56" s="45">
        <v>30</v>
      </c>
      <c r="E56" s="45">
        <v>0</v>
      </c>
      <c r="F56" s="45">
        <v>0</v>
      </c>
      <c r="G56" s="45">
        <v>0</v>
      </c>
      <c r="H56" s="46">
        <v>2</v>
      </c>
      <c r="I56" s="47">
        <f t="shared" si="4"/>
        <v>0</v>
      </c>
      <c r="J56" s="48">
        <f t="shared" si="2"/>
        <v>0.9375</v>
      </c>
    </row>
    <row r="57" spans="1:10" x14ac:dyDescent="0.3">
      <c r="A57" s="42">
        <v>43974</v>
      </c>
      <c r="B57" s="43">
        <v>64</v>
      </c>
      <c r="C57" s="44">
        <v>0</v>
      </c>
      <c r="D57" s="45">
        <v>64</v>
      </c>
      <c r="E57" s="45">
        <v>0</v>
      </c>
      <c r="F57" s="45">
        <v>0</v>
      </c>
      <c r="G57" s="45">
        <v>0</v>
      </c>
      <c r="H57" s="46">
        <v>0</v>
      </c>
      <c r="I57" s="47">
        <f t="shared" si="4"/>
        <v>0</v>
      </c>
      <c r="J57" s="48">
        <f t="shared" si="2"/>
        <v>1</v>
      </c>
    </row>
    <row r="58" spans="1:10" x14ac:dyDescent="0.3">
      <c r="A58" s="42">
        <v>43973</v>
      </c>
      <c r="B58" s="43">
        <v>905</v>
      </c>
      <c r="C58" s="44">
        <v>1</v>
      </c>
      <c r="D58" s="45">
        <v>903</v>
      </c>
      <c r="E58" s="45">
        <v>0</v>
      </c>
      <c r="F58" s="45">
        <v>0</v>
      </c>
      <c r="G58" s="45">
        <v>0</v>
      </c>
      <c r="H58" s="46">
        <v>1</v>
      </c>
      <c r="I58" s="47">
        <f t="shared" si="4"/>
        <v>1.1049723756906078E-3</v>
      </c>
      <c r="J58" s="48">
        <f t="shared" si="2"/>
        <v>0.99779005524861875</v>
      </c>
    </row>
    <row r="59" spans="1:10" x14ac:dyDescent="0.3">
      <c r="A59" s="42">
        <v>43972</v>
      </c>
      <c r="B59" s="43">
        <v>674</v>
      </c>
      <c r="C59" s="44">
        <v>2</v>
      </c>
      <c r="D59" s="45">
        <v>672</v>
      </c>
      <c r="E59" s="45">
        <v>0</v>
      </c>
      <c r="F59" s="45">
        <v>0</v>
      </c>
      <c r="G59" s="45">
        <v>0</v>
      </c>
      <c r="H59" s="46">
        <v>0</v>
      </c>
      <c r="I59" s="47">
        <f t="shared" si="4"/>
        <v>2.967359050445104E-3</v>
      </c>
      <c r="J59" s="48">
        <f t="shared" si="2"/>
        <v>0.9970326409495549</v>
      </c>
    </row>
    <row r="60" spans="1:10" x14ac:dyDescent="0.3">
      <c r="A60" s="42">
        <v>43971</v>
      </c>
      <c r="B60" s="43">
        <v>658</v>
      </c>
      <c r="C60" s="44">
        <v>0</v>
      </c>
      <c r="D60" s="45">
        <v>658</v>
      </c>
      <c r="E60" s="45">
        <v>0</v>
      </c>
      <c r="F60" s="45">
        <v>0</v>
      </c>
      <c r="G60" s="45">
        <v>0</v>
      </c>
      <c r="H60" s="46">
        <v>0</v>
      </c>
      <c r="I60" s="47">
        <f t="shared" si="4"/>
        <v>0</v>
      </c>
      <c r="J60" s="48">
        <f t="shared" si="2"/>
        <v>1</v>
      </c>
    </row>
    <row r="61" spans="1:10" x14ac:dyDescent="0.3">
      <c r="A61" s="42">
        <v>43970</v>
      </c>
      <c r="B61" s="43">
        <v>696</v>
      </c>
      <c r="C61" s="44">
        <v>3</v>
      </c>
      <c r="D61" s="45">
        <v>690</v>
      </c>
      <c r="E61" s="45">
        <v>0</v>
      </c>
      <c r="F61" s="45">
        <v>0</v>
      </c>
      <c r="G61" s="45">
        <v>0</v>
      </c>
      <c r="H61" s="46">
        <v>3</v>
      </c>
      <c r="I61" s="47">
        <f t="shared" si="4"/>
        <v>4.3103448275862068E-3</v>
      </c>
      <c r="J61" s="48">
        <f t="shared" si="2"/>
        <v>0.99137931034482762</v>
      </c>
    </row>
    <row r="62" spans="1:10" x14ac:dyDescent="0.3">
      <c r="A62" s="42">
        <v>43969</v>
      </c>
      <c r="B62" s="43">
        <v>561</v>
      </c>
      <c r="C62" s="44">
        <v>5</v>
      </c>
      <c r="D62" s="45">
        <v>556</v>
      </c>
      <c r="E62" s="45">
        <v>0</v>
      </c>
      <c r="F62" s="45">
        <v>0</v>
      </c>
      <c r="G62" s="45">
        <v>0</v>
      </c>
      <c r="H62" s="46">
        <v>0</v>
      </c>
      <c r="I62" s="47">
        <f t="shared" si="4"/>
        <v>8.9126559714795012E-3</v>
      </c>
      <c r="J62" s="48">
        <f t="shared" si="2"/>
        <v>0.9910873440285205</v>
      </c>
    </row>
    <row r="63" spans="1:10" x14ac:dyDescent="0.3">
      <c r="A63" s="42">
        <v>43968</v>
      </c>
      <c r="B63" s="43">
        <v>5</v>
      </c>
      <c r="C63" s="44">
        <v>0</v>
      </c>
      <c r="D63" s="45">
        <v>5</v>
      </c>
      <c r="E63" s="45">
        <v>0</v>
      </c>
      <c r="F63" s="45">
        <v>0</v>
      </c>
      <c r="G63" s="45">
        <v>0</v>
      </c>
      <c r="H63" s="46">
        <v>0</v>
      </c>
      <c r="I63" s="47">
        <f t="shared" si="4"/>
        <v>0</v>
      </c>
      <c r="J63" s="48">
        <f t="shared" si="2"/>
        <v>1</v>
      </c>
    </row>
    <row r="64" spans="1:10" x14ac:dyDescent="0.3">
      <c r="A64" s="42">
        <v>43967</v>
      </c>
      <c r="B64" s="43">
        <v>106</v>
      </c>
      <c r="C64" s="44">
        <v>0</v>
      </c>
      <c r="D64" s="45">
        <v>106</v>
      </c>
      <c r="E64" s="45">
        <v>0</v>
      </c>
      <c r="F64" s="45">
        <v>0</v>
      </c>
      <c r="G64" s="45">
        <v>0</v>
      </c>
      <c r="H64" s="46">
        <v>0</v>
      </c>
      <c r="I64" s="47">
        <f t="shared" si="4"/>
        <v>0</v>
      </c>
      <c r="J64" s="48">
        <f t="shared" si="2"/>
        <v>1</v>
      </c>
    </row>
    <row r="65" spans="1:10" x14ac:dyDescent="0.3">
      <c r="A65" s="42">
        <v>43966</v>
      </c>
      <c r="B65" s="43">
        <v>516</v>
      </c>
      <c r="C65" s="44">
        <v>0</v>
      </c>
      <c r="D65" s="45">
        <v>516</v>
      </c>
      <c r="E65" s="45">
        <v>0</v>
      </c>
      <c r="F65" s="45">
        <v>0</v>
      </c>
      <c r="G65" s="45">
        <v>0</v>
      </c>
      <c r="H65" s="46">
        <v>0</v>
      </c>
      <c r="I65" s="47">
        <f t="shared" si="4"/>
        <v>0</v>
      </c>
      <c r="J65" s="48">
        <f t="shared" si="2"/>
        <v>1</v>
      </c>
    </row>
    <row r="66" spans="1:10" x14ac:dyDescent="0.3">
      <c r="A66" s="42">
        <v>43965</v>
      </c>
      <c r="B66" s="43">
        <v>611</v>
      </c>
      <c r="C66" s="44">
        <v>0</v>
      </c>
      <c r="D66" s="45">
        <v>610</v>
      </c>
      <c r="E66" s="45">
        <v>0</v>
      </c>
      <c r="F66" s="45">
        <v>0</v>
      </c>
      <c r="G66" s="45">
        <v>0</v>
      </c>
      <c r="H66" s="46">
        <v>1</v>
      </c>
      <c r="I66" s="47">
        <f t="shared" si="4"/>
        <v>0</v>
      </c>
      <c r="J66" s="48">
        <f t="shared" si="2"/>
        <v>0.99836333878887074</v>
      </c>
    </row>
    <row r="67" spans="1:10" x14ac:dyDescent="0.3">
      <c r="A67" s="42">
        <v>43964</v>
      </c>
      <c r="B67" s="43">
        <v>519</v>
      </c>
      <c r="C67" s="44">
        <v>0</v>
      </c>
      <c r="D67" s="45">
        <v>441</v>
      </c>
      <c r="E67" s="45">
        <v>0</v>
      </c>
      <c r="F67" s="45">
        <v>0</v>
      </c>
      <c r="G67" s="45">
        <v>0</v>
      </c>
      <c r="H67" s="46">
        <v>78</v>
      </c>
      <c r="I67" s="47">
        <f t="shared" si="4"/>
        <v>0</v>
      </c>
      <c r="J67" s="48">
        <f t="shared" si="2"/>
        <v>0.8497109826589595</v>
      </c>
    </row>
    <row r="68" spans="1:10" x14ac:dyDescent="0.3">
      <c r="A68" s="42">
        <v>43963</v>
      </c>
      <c r="B68" s="43">
        <v>557</v>
      </c>
      <c r="C68" s="44">
        <v>0</v>
      </c>
      <c r="D68" s="45">
        <v>557</v>
      </c>
      <c r="E68" s="45">
        <v>0</v>
      </c>
      <c r="F68" s="45">
        <v>0</v>
      </c>
      <c r="G68" s="45">
        <v>0</v>
      </c>
      <c r="H68" s="46">
        <v>0</v>
      </c>
      <c r="I68" s="47">
        <f t="shared" si="4"/>
        <v>0</v>
      </c>
      <c r="J68" s="48">
        <f t="shared" si="2"/>
        <v>1</v>
      </c>
    </row>
    <row r="69" spans="1:10" x14ac:dyDescent="0.3">
      <c r="A69" s="42">
        <v>43962</v>
      </c>
      <c r="B69" s="43">
        <v>752</v>
      </c>
      <c r="C69" s="44">
        <v>0</v>
      </c>
      <c r="D69" s="45">
        <v>751</v>
      </c>
      <c r="E69" s="45">
        <v>0</v>
      </c>
      <c r="F69" s="45">
        <v>0</v>
      </c>
      <c r="G69" s="45">
        <v>0</v>
      </c>
      <c r="H69" s="46">
        <v>1</v>
      </c>
      <c r="I69" s="47">
        <f t="shared" si="4"/>
        <v>0</v>
      </c>
      <c r="J69" s="48">
        <f t="shared" si="2"/>
        <v>0.99867021276595747</v>
      </c>
    </row>
    <row r="70" spans="1:10" x14ac:dyDescent="0.3">
      <c r="A70" s="42">
        <v>43961</v>
      </c>
      <c r="B70" s="43">
        <v>9</v>
      </c>
      <c r="C70" s="44">
        <v>0</v>
      </c>
      <c r="D70" s="45">
        <v>9</v>
      </c>
      <c r="E70" s="45">
        <v>0</v>
      </c>
      <c r="F70" s="45">
        <v>0</v>
      </c>
      <c r="G70" s="45">
        <v>0</v>
      </c>
      <c r="H70" s="46">
        <v>0</v>
      </c>
      <c r="I70" s="47">
        <f t="shared" si="4"/>
        <v>0</v>
      </c>
      <c r="J70" s="48">
        <f t="shared" si="2"/>
        <v>1</v>
      </c>
    </row>
    <row r="71" spans="1:10" x14ac:dyDescent="0.3">
      <c r="A71" s="42">
        <v>43960</v>
      </c>
      <c r="B71" s="43">
        <v>45</v>
      </c>
      <c r="C71" s="44">
        <v>0</v>
      </c>
      <c r="D71" s="45">
        <v>45</v>
      </c>
      <c r="E71" s="45">
        <v>0</v>
      </c>
      <c r="F71" s="45">
        <v>0</v>
      </c>
      <c r="G71" s="45">
        <v>0</v>
      </c>
      <c r="H71" s="46">
        <v>0</v>
      </c>
      <c r="I71" s="47">
        <f t="shared" si="4"/>
        <v>0</v>
      </c>
      <c r="J71" s="48">
        <f t="shared" si="2"/>
        <v>1</v>
      </c>
    </row>
    <row r="72" spans="1:10" x14ac:dyDescent="0.3">
      <c r="A72" s="42">
        <v>43959</v>
      </c>
      <c r="B72" s="43">
        <v>403</v>
      </c>
      <c r="C72" s="44">
        <v>0</v>
      </c>
      <c r="D72" s="45">
        <v>403</v>
      </c>
      <c r="E72" s="45">
        <v>0</v>
      </c>
      <c r="F72" s="45">
        <v>0</v>
      </c>
      <c r="G72" s="45">
        <v>0</v>
      </c>
      <c r="H72" s="46">
        <v>0</v>
      </c>
      <c r="I72" s="47">
        <f t="shared" si="4"/>
        <v>0</v>
      </c>
      <c r="J72" s="48">
        <f t="shared" si="2"/>
        <v>1</v>
      </c>
    </row>
    <row r="73" spans="1:10" x14ac:dyDescent="0.3">
      <c r="A73" s="42">
        <v>43958</v>
      </c>
      <c r="B73" s="43">
        <v>611</v>
      </c>
      <c r="C73" s="44">
        <v>0</v>
      </c>
      <c r="D73" s="45">
        <v>611</v>
      </c>
      <c r="E73" s="45">
        <v>0</v>
      </c>
      <c r="F73" s="45">
        <v>0</v>
      </c>
      <c r="G73" s="45">
        <v>0</v>
      </c>
      <c r="H73" s="46">
        <v>0</v>
      </c>
      <c r="I73" s="47">
        <f t="shared" si="4"/>
        <v>0</v>
      </c>
      <c r="J73" s="48">
        <f t="shared" ref="J73:J136" si="5">D73/B73</f>
        <v>1</v>
      </c>
    </row>
    <row r="74" spans="1:10" x14ac:dyDescent="0.3">
      <c r="A74" s="42">
        <v>43957</v>
      </c>
      <c r="B74" s="43">
        <v>332</v>
      </c>
      <c r="C74" s="44">
        <v>0</v>
      </c>
      <c r="D74" s="45">
        <v>332</v>
      </c>
      <c r="E74" s="45">
        <v>0</v>
      </c>
      <c r="F74" s="45">
        <v>0</v>
      </c>
      <c r="G74" s="45">
        <v>0</v>
      </c>
      <c r="H74" s="46">
        <v>0</v>
      </c>
      <c r="I74" s="47">
        <f t="shared" ref="I74:I137" si="6">C74/B74</f>
        <v>0</v>
      </c>
      <c r="J74" s="48">
        <f t="shared" si="5"/>
        <v>1</v>
      </c>
    </row>
    <row r="75" spans="1:10" x14ac:dyDescent="0.3">
      <c r="A75" s="42">
        <v>43956</v>
      </c>
      <c r="B75" s="43">
        <v>665</v>
      </c>
      <c r="C75" s="44">
        <v>0</v>
      </c>
      <c r="D75" s="45">
        <v>665</v>
      </c>
      <c r="E75" s="45">
        <v>0</v>
      </c>
      <c r="F75" s="45">
        <v>0</v>
      </c>
      <c r="G75" s="45">
        <v>0</v>
      </c>
      <c r="H75" s="46">
        <v>0</v>
      </c>
      <c r="I75" s="47">
        <f t="shared" si="6"/>
        <v>0</v>
      </c>
      <c r="J75" s="48">
        <f t="shared" si="5"/>
        <v>1</v>
      </c>
    </row>
    <row r="76" spans="1:10" x14ac:dyDescent="0.3">
      <c r="A76" s="42">
        <v>43955</v>
      </c>
      <c r="B76" s="43">
        <v>578</v>
      </c>
      <c r="C76" s="44">
        <v>0</v>
      </c>
      <c r="D76" s="45">
        <v>578</v>
      </c>
      <c r="E76" s="45">
        <v>0</v>
      </c>
      <c r="F76" s="45">
        <v>0</v>
      </c>
      <c r="G76" s="45">
        <v>0</v>
      </c>
      <c r="H76" s="46">
        <v>0</v>
      </c>
      <c r="I76" s="47">
        <f t="shared" si="6"/>
        <v>0</v>
      </c>
      <c r="J76" s="48">
        <f t="shared" si="5"/>
        <v>1</v>
      </c>
    </row>
    <row r="77" spans="1:10" x14ac:dyDescent="0.3">
      <c r="A77" s="42">
        <v>43954</v>
      </c>
      <c r="B77" s="43">
        <v>10</v>
      </c>
      <c r="C77" s="44">
        <v>0</v>
      </c>
      <c r="D77" s="45">
        <v>10</v>
      </c>
      <c r="E77" s="45">
        <v>0</v>
      </c>
      <c r="F77" s="45">
        <v>0</v>
      </c>
      <c r="G77" s="45">
        <v>0</v>
      </c>
      <c r="H77" s="46">
        <v>0</v>
      </c>
      <c r="I77" s="47">
        <f t="shared" si="6"/>
        <v>0</v>
      </c>
      <c r="J77" s="48">
        <f t="shared" si="5"/>
        <v>1</v>
      </c>
    </row>
    <row r="78" spans="1:10" x14ac:dyDescent="0.3">
      <c r="A78" s="42">
        <v>43953</v>
      </c>
      <c r="B78" s="43">
        <v>23</v>
      </c>
      <c r="C78" s="44">
        <v>0</v>
      </c>
      <c r="D78" s="45">
        <v>23</v>
      </c>
      <c r="E78" s="45">
        <v>0</v>
      </c>
      <c r="F78" s="45">
        <v>0</v>
      </c>
      <c r="G78" s="45">
        <v>0</v>
      </c>
      <c r="H78" s="46">
        <v>0</v>
      </c>
      <c r="I78" s="47">
        <f t="shared" si="6"/>
        <v>0</v>
      </c>
      <c r="J78" s="48">
        <f t="shared" si="5"/>
        <v>1</v>
      </c>
    </row>
    <row r="79" spans="1:10" x14ac:dyDescent="0.3">
      <c r="A79" s="42">
        <v>43952</v>
      </c>
      <c r="B79" s="43">
        <v>598</v>
      </c>
      <c r="C79" s="44">
        <v>0</v>
      </c>
      <c r="D79" s="45">
        <v>598</v>
      </c>
      <c r="E79" s="45">
        <v>0</v>
      </c>
      <c r="F79" s="45">
        <v>0</v>
      </c>
      <c r="G79" s="45">
        <v>0</v>
      </c>
      <c r="H79" s="46">
        <v>0</v>
      </c>
      <c r="I79" s="47">
        <f t="shared" si="6"/>
        <v>0</v>
      </c>
      <c r="J79" s="48">
        <f t="shared" si="5"/>
        <v>1</v>
      </c>
    </row>
    <row r="80" spans="1:10" x14ac:dyDescent="0.3">
      <c r="A80" s="42">
        <v>43951</v>
      </c>
      <c r="B80" s="43">
        <v>604</v>
      </c>
      <c r="C80" s="44">
        <v>0</v>
      </c>
      <c r="D80" s="45">
        <v>604</v>
      </c>
      <c r="E80" s="45">
        <v>0</v>
      </c>
      <c r="F80" s="45">
        <v>0</v>
      </c>
      <c r="G80" s="45">
        <v>0</v>
      </c>
      <c r="H80" s="46">
        <v>0</v>
      </c>
      <c r="I80" s="47">
        <f t="shared" si="6"/>
        <v>0</v>
      </c>
      <c r="J80" s="48">
        <f t="shared" si="5"/>
        <v>1</v>
      </c>
    </row>
    <row r="81" spans="1:10" x14ac:dyDescent="0.3">
      <c r="A81" s="42">
        <v>43950</v>
      </c>
      <c r="B81" s="43">
        <v>1219</v>
      </c>
      <c r="C81" s="44">
        <v>0</v>
      </c>
      <c r="D81" s="45">
        <v>1219</v>
      </c>
      <c r="E81" s="45">
        <v>0</v>
      </c>
      <c r="F81" s="45">
        <v>0</v>
      </c>
      <c r="G81" s="45">
        <v>0</v>
      </c>
      <c r="H81" s="46">
        <v>0</v>
      </c>
      <c r="I81" s="47">
        <f t="shared" si="6"/>
        <v>0</v>
      </c>
      <c r="J81" s="48">
        <f t="shared" si="5"/>
        <v>1</v>
      </c>
    </row>
    <row r="82" spans="1:10" x14ac:dyDescent="0.3">
      <c r="A82" s="42">
        <v>43949</v>
      </c>
      <c r="B82" s="43">
        <v>552</v>
      </c>
      <c r="C82" s="44">
        <v>0</v>
      </c>
      <c r="D82" s="45">
        <v>552</v>
      </c>
      <c r="E82" s="45">
        <v>0</v>
      </c>
      <c r="F82" s="45">
        <v>0</v>
      </c>
      <c r="G82" s="45">
        <v>0</v>
      </c>
      <c r="H82" s="46">
        <v>0</v>
      </c>
      <c r="I82" s="47">
        <f t="shared" si="6"/>
        <v>0</v>
      </c>
      <c r="J82" s="48">
        <f t="shared" si="5"/>
        <v>1</v>
      </c>
    </row>
    <row r="83" spans="1:10" x14ac:dyDescent="0.3">
      <c r="A83" s="42">
        <v>43948</v>
      </c>
      <c r="B83" s="43">
        <v>479</v>
      </c>
      <c r="C83" s="44">
        <v>0</v>
      </c>
      <c r="D83" s="45">
        <v>479</v>
      </c>
      <c r="E83" s="45">
        <v>0</v>
      </c>
      <c r="F83" s="45">
        <v>0</v>
      </c>
      <c r="G83" s="45">
        <v>0</v>
      </c>
      <c r="H83" s="46">
        <v>0</v>
      </c>
      <c r="I83" s="47">
        <f t="shared" si="6"/>
        <v>0</v>
      </c>
      <c r="J83" s="48">
        <f t="shared" si="5"/>
        <v>1</v>
      </c>
    </row>
    <row r="84" spans="1:10" x14ac:dyDescent="0.3">
      <c r="A84" s="42">
        <v>43947</v>
      </c>
      <c r="B84" s="43">
        <v>282</v>
      </c>
      <c r="C84" s="44">
        <v>0</v>
      </c>
      <c r="D84" s="45">
        <v>282</v>
      </c>
      <c r="E84" s="45">
        <v>0</v>
      </c>
      <c r="F84" s="45">
        <v>0</v>
      </c>
      <c r="G84" s="45">
        <v>0</v>
      </c>
      <c r="H84" s="46">
        <v>0</v>
      </c>
      <c r="I84" s="47">
        <f t="shared" si="6"/>
        <v>0</v>
      </c>
      <c r="J84" s="48">
        <f t="shared" si="5"/>
        <v>1</v>
      </c>
    </row>
    <row r="85" spans="1:10" x14ac:dyDescent="0.3">
      <c r="A85" s="42">
        <v>43946</v>
      </c>
      <c r="B85" s="43">
        <v>86</v>
      </c>
      <c r="C85" s="44">
        <v>0</v>
      </c>
      <c r="D85" s="45">
        <v>86</v>
      </c>
      <c r="E85" s="45">
        <v>0</v>
      </c>
      <c r="F85" s="45">
        <v>0</v>
      </c>
      <c r="G85" s="45">
        <v>0</v>
      </c>
      <c r="H85" s="46">
        <v>0</v>
      </c>
      <c r="I85" s="47">
        <f t="shared" si="6"/>
        <v>0</v>
      </c>
      <c r="J85" s="48">
        <f t="shared" si="5"/>
        <v>1</v>
      </c>
    </row>
    <row r="86" spans="1:10" x14ac:dyDescent="0.3">
      <c r="A86" s="42">
        <v>43945</v>
      </c>
      <c r="B86" s="43">
        <v>382</v>
      </c>
      <c r="C86" s="44">
        <v>0</v>
      </c>
      <c r="D86" s="45">
        <v>382</v>
      </c>
      <c r="E86" s="45">
        <v>0</v>
      </c>
      <c r="F86" s="45">
        <v>0</v>
      </c>
      <c r="G86" s="45">
        <v>0</v>
      </c>
      <c r="H86" s="46">
        <v>0</v>
      </c>
      <c r="I86" s="47">
        <f t="shared" si="6"/>
        <v>0</v>
      </c>
      <c r="J86" s="48">
        <f t="shared" si="5"/>
        <v>1</v>
      </c>
    </row>
    <row r="87" spans="1:10" x14ac:dyDescent="0.3">
      <c r="A87" s="42">
        <v>43944</v>
      </c>
      <c r="B87" s="43">
        <v>349</v>
      </c>
      <c r="C87" s="44">
        <v>0</v>
      </c>
      <c r="D87" s="45">
        <v>349</v>
      </c>
      <c r="E87" s="45">
        <v>0</v>
      </c>
      <c r="F87" s="45">
        <v>0</v>
      </c>
      <c r="G87" s="45">
        <v>0</v>
      </c>
      <c r="H87" s="46">
        <v>0</v>
      </c>
      <c r="I87" s="47">
        <f t="shared" si="6"/>
        <v>0</v>
      </c>
      <c r="J87" s="48">
        <f t="shared" si="5"/>
        <v>1</v>
      </c>
    </row>
    <row r="88" spans="1:10" x14ac:dyDescent="0.3">
      <c r="A88" s="42">
        <v>43943</v>
      </c>
      <c r="B88" s="43">
        <v>411</v>
      </c>
      <c r="C88" s="44">
        <v>0</v>
      </c>
      <c r="D88" s="45">
        <v>411</v>
      </c>
      <c r="E88" s="45">
        <v>0</v>
      </c>
      <c r="F88" s="45">
        <v>0</v>
      </c>
      <c r="G88" s="45">
        <v>0</v>
      </c>
      <c r="H88" s="46">
        <v>0</v>
      </c>
      <c r="I88" s="47">
        <f t="shared" si="6"/>
        <v>0</v>
      </c>
      <c r="J88" s="48">
        <f t="shared" si="5"/>
        <v>1</v>
      </c>
    </row>
    <row r="89" spans="1:10" x14ac:dyDescent="0.3">
      <c r="A89" s="42">
        <v>43942</v>
      </c>
      <c r="B89" s="43">
        <v>680</v>
      </c>
      <c r="C89" s="44">
        <v>0</v>
      </c>
      <c r="D89" s="45">
        <v>680</v>
      </c>
      <c r="E89" s="45">
        <v>0</v>
      </c>
      <c r="F89" s="45">
        <v>0</v>
      </c>
      <c r="G89" s="45">
        <v>0</v>
      </c>
      <c r="H89" s="46">
        <v>0</v>
      </c>
      <c r="I89" s="47">
        <f t="shared" si="6"/>
        <v>0</v>
      </c>
      <c r="J89" s="48">
        <f t="shared" si="5"/>
        <v>1</v>
      </c>
    </row>
    <row r="90" spans="1:10" x14ac:dyDescent="0.3">
      <c r="A90" s="42">
        <v>43941</v>
      </c>
      <c r="B90" s="43">
        <v>639</v>
      </c>
      <c r="C90" s="44">
        <v>0</v>
      </c>
      <c r="D90" s="45">
        <v>639</v>
      </c>
      <c r="E90" s="45">
        <v>0</v>
      </c>
      <c r="F90" s="45">
        <v>0</v>
      </c>
      <c r="G90" s="45">
        <v>0</v>
      </c>
      <c r="H90" s="46">
        <v>0</v>
      </c>
      <c r="I90" s="47">
        <f t="shared" si="6"/>
        <v>0</v>
      </c>
      <c r="J90" s="48">
        <f t="shared" si="5"/>
        <v>1</v>
      </c>
    </row>
    <row r="91" spans="1:10" x14ac:dyDescent="0.3">
      <c r="A91" s="42">
        <v>43939</v>
      </c>
      <c r="B91" s="43">
        <v>12</v>
      </c>
      <c r="C91" s="44">
        <v>0</v>
      </c>
      <c r="D91" s="45">
        <v>12</v>
      </c>
      <c r="E91" s="45">
        <v>0</v>
      </c>
      <c r="F91" s="45">
        <v>0</v>
      </c>
      <c r="G91" s="45">
        <v>0</v>
      </c>
      <c r="H91" s="46">
        <v>0</v>
      </c>
      <c r="I91" s="47">
        <f t="shared" si="6"/>
        <v>0</v>
      </c>
      <c r="J91" s="48">
        <f t="shared" si="5"/>
        <v>1</v>
      </c>
    </row>
    <row r="92" spans="1:10" x14ac:dyDescent="0.3">
      <c r="A92" s="42">
        <v>43938</v>
      </c>
      <c r="B92" s="43">
        <v>248</v>
      </c>
      <c r="C92" s="44">
        <v>0</v>
      </c>
      <c r="D92" s="45">
        <v>248</v>
      </c>
      <c r="E92" s="45">
        <v>0</v>
      </c>
      <c r="F92" s="45">
        <v>0</v>
      </c>
      <c r="G92" s="45">
        <v>0</v>
      </c>
      <c r="H92" s="46">
        <v>0</v>
      </c>
      <c r="I92" s="47">
        <f t="shared" si="6"/>
        <v>0</v>
      </c>
      <c r="J92" s="48">
        <f t="shared" si="5"/>
        <v>1</v>
      </c>
    </row>
    <row r="93" spans="1:10" x14ac:dyDescent="0.3">
      <c r="A93" s="42">
        <v>43937</v>
      </c>
      <c r="B93" s="43">
        <v>401</v>
      </c>
      <c r="C93" s="44">
        <v>0</v>
      </c>
      <c r="D93" s="45">
        <v>401</v>
      </c>
      <c r="E93" s="45">
        <v>0</v>
      </c>
      <c r="F93" s="45">
        <v>0</v>
      </c>
      <c r="G93" s="45">
        <v>0</v>
      </c>
      <c r="H93" s="46">
        <v>0</v>
      </c>
      <c r="I93" s="47">
        <f t="shared" si="6"/>
        <v>0</v>
      </c>
      <c r="J93" s="48">
        <f t="shared" si="5"/>
        <v>1</v>
      </c>
    </row>
    <row r="94" spans="1:10" x14ac:dyDescent="0.3">
      <c r="A94" s="42">
        <v>43936</v>
      </c>
      <c r="B94" s="43">
        <v>364</v>
      </c>
      <c r="C94" s="44">
        <v>0</v>
      </c>
      <c r="D94" s="45">
        <v>364</v>
      </c>
      <c r="E94" s="45">
        <v>0</v>
      </c>
      <c r="F94" s="45">
        <v>0</v>
      </c>
      <c r="G94" s="45">
        <v>0</v>
      </c>
      <c r="H94" s="46">
        <v>0</v>
      </c>
      <c r="I94" s="47">
        <f t="shared" si="6"/>
        <v>0</v>
      </c>
      <c r="J94" s="48">
        <f t="shared" si="5"/>
        <v>1</v>
      </c>
    </row>
    <row r="95" spans="1:10" x14ac:dyDescent="0.3">
      <c r="A95" s="42">
        <v>43935</v>
      </c>
      <c r="B95" s="43">
        <v>677</v>
      </c>
      <c r="C95" s="44">
        <v>0</v>
      </c>
      <c r="D95" s="45">
        <v>677</v>
      </c>
      <c r="E95" s="45">
        <v>0</v>
      </c>
      <c r="F95" s="45">
        <v>0</v>
      </c>
      <c r="G95" s="45">
        <v>0</v>
      </c>
      <c r="H95" s="46">
        <v>0</v>
      </c>
      <c r="I95" s="47">
        <f t="shared" si="6"/>
        <v>0</v>
      </c>
      <c r="J95" s="48">
        <f t="shared" si="5"/>
        <v>1</v>
      </c>
    </row>
    <row r="96" spans="1:10" x14ac:dyDescent="0.3">
      <c r="A96" s="42">
        <v>43934</v>
      </c>
      <c r="B96" s="43">
        <v>566</v>
      </c>
      <c r="C96" s="44">
        <v>0</v>
      </c>
      <c r="D96" s="45">
        <v>566</v>
      </c>
      <c r="E96" s="45">
        <v>0</v>
      </c>
      <c r="F96" s="45">
        <v>0</v>
      </c>
      <c r="G96" s="45">
        <v>0</v>
      </c>
      <c r="H96" s="46">
        <v>0</v>
      </c>
      <c r="I96" s="47">
        <f t="shared" si="6"/>
        <v>0</v>
      </c>
      <c r="J96" s="48">
        <f t="shared" si="5"/>
        <v>1</v>
      </c>
    </row>
    <row r="97" spans="1:10" x14ac:dyDescent="0.3">
      <c r="A97" s="42">
        <v>43933</v>
      </c>
      <c r="B97" s="43">
        <v>4</v>
      </c>
      <c r="C97" s="44">
        <v>0</v>
      </c>
      <c r="D97" s="45">
        <v>4</v>
      </c>
      <c r="E97" s="45">
        <v>0</v>
      </c>
      <c r="F97" s="45">
        <v>0</v>
      </c>
      <c r="G97" s="45">
        <v>0</v>
      </c>
      <c r="H97" s="46">
        <v>0</v>
      </c>
      <c r="I97" s="47">
        <f t="shared" si="6"/>
        <v>0</v>
      </c>
      <c r="J97" s="48">
        <f t="shared" si="5"/>
        <v>1</v>
      </c>
    </row>
    <row r="98" spans="1:10" x14ac:dyDescent="0.3">
      <c r="A98" s="42">
        <v>43932</v>
      </c>
      <c r="B98" s="43">
        <v>31</v>
      </c>
      <c r="C98" s="44">
        <v>0</v>
      </c>
      <c r="D98" s="45">
        <v>31</v>
      </c>
      <c r="E98" s="45">
        <v>0</v>
      </c>
      <c r="F98" s="45">
        <v>0</v>
      </c>
      <c r="G98" s="45">
        <v>0</v>
      </c>
      <c r="H98" s="46">
        <v>0</v>
      </c>
      <c r="I98" s="47">
        <f t="shared" si="6"/>
        <v>0</v>
      </c>
      <c r="J98" s="48">
        <f t="shared" si="5"/>
        <v>1</v>
      </c>
    </row>
    <row r="99" spans="1:10" x14ac:dyDescent="0.3">
      <c r="A99" s="42">
        <v>43931</v>
      </c>
      <c r="B99" s="43">
        <v>405</v>
      </c>
      <c r="C99" s="44">
        <v>0</v>
      </c>
      <c r="D99" s="45">
        <v>405</v>
      </c>
      <c r="E99" s="45">
        <v>0</v>
      </c>
      <c r="F99" s="45">
        <v>0</v>
      </c>
      <c r="G99" s="45">
        <v>0</v>
      </c>
      <c r="H99" s="46">
        <v>0</v>
      </c>
      <c r="I99" s="47">
        <f t="shared" si="6"/>
        <v>0</v>
      </c>
      <c r="J99" s="48">
        <f t="shared" si="5"/>
        <v>1</v>
      </c>
    </row>
    <row r="100" spans="1:10" x14ac:dyDescent="0.3">
      <c r="A100" s="42">
        <v>43930</v>
      </c>
      <c r="B100" s="43">
        <v>437</v>
      </c>
      <c r="C100" s="44">
        <v>0</v>
      </c>
      <c r="D100" s="45">
        <v>437</v>
      </c>
      <c r="E100" s="45">
        <v>0</v>
      </c>
      <c r="F100" s="45">
        <v>0</v>
      </c>
      <c r="G100" s="45">
        <v>0</v>
      </c>
      <c r="H100" s="46">
        <v>0</v>
      </c>
      <c r="I100" s="47">
        <f t="shared" si="6"/>
        <v>0</v>
      </c>
      <c r="J100" s="48">
        <f t="shared" si="5"/>
        <v>1</v>
      </c>
    </row>
    <row r="101" spans="1:10" x14ac:dyDescent="0.3">
      <c r="A101" s="42">
        <v>43929</v>
      </c>
      <c r="B101" s="43">
        <v>465</v>
      </c>
      <c r="C101" s="44">
        <v>0</v>
      </c>
      <c r="D101" s="45">
        <v>463</v>
      </c>
      <c r="E101" s="45">
        <v>0</v>
      </c>
      <c r="F101" s="45">
        <v>0</v>
      </c>
      <c r="G101" s="45">
        <v>1</v>
      </c>
      <c r="H101" s="46">
        <v>1</v>
      </c>
      <c r="I101" s="47">
        <f t="shared" si="6"/>
        <v>0</v>
      </c>
      <c r="J101" s="48">
        <f t="shared" si="5"/>
        <v>0.99569892473118282</v>
      </c>
    </row>
    <row r="102" spans="1:10" x14ac:dyDescent="0.3">
      <c r="A102" s="42">
        <v>43928</v>
      </c>
      <c r="B102" s="43">
        <v>570</v>
      </c>
      <c r="C102" s="44">
        <v>6</v>
      </c>
      <c r="D102" s="45">
        <v>556</v>
      </c>
      <c r="E102" s="45">
        <v>0</v>
      </c>
      <c r="F102" s="45">
        <v>0</v>
      </c>
      <c r="G102" s="45">
        <v>0</v>
      </c>
      <c r="H102" s="46">
        <v>8</v>
      </c>
      <c r="I102" s="47">
        <f t="shared" si="6"/>
        <v>1.0526315789473684E-2</v>
      </c>
      <c r="J102" s="48">
        <f t="shared" si="5"/>
        <v>0.9754385964912281</v>
      </c>
    </row>
    <row r="103" spans="1:10" x14ac:dyDescent="0.3">
      <c r="A103" s="42">
        <v>43927</v>
      </c>
      <c r="B103" s="43">
        <v>578</v>
      </c>
      <c r="C103" s="44">
        <v>3</v>
      </c>
      <c r="D103" s="45">
        <v>572</v>
      </c>
      <c r="E103" s="45">
        <v>0</v>
      </c>
      <c r="F103" s="45">
        <v>0</v>
      </c>
      <c r="G103" s="45">
        <v>0</v>
      </c>
      <c r="H103" s="46">
        <v>3</v>
      </c>
      <c r="I103" s="47">
        <f t="shared" si="6"/>
        <v>5.1903114186851208E-3</v>
      </c>
      <c r="J103" s="48">
        <f t="shared" si="5"/>
        <v>0.98961937716262971</v>
      </c>
    </row>
    <row r="104" spans="1:10" x14ac:dyDescent="0.3">
      <c r="A104" s="42">
        <v>43925</v>
      </c>
      <c r="B104" s="43">
        <v>38</v>
      </c>
      <c r="C104" s="44">
        <v>0</v>
      </c>
      <c r="D104" s="45">
        <v>38</v>
      </c>
      <c r="E104" s="45">
        <v>0</v>
      </c>
      <c r="F104" s="45">
        <v>0</v>
      </c>
      <c r="G104" s="45">
        <v>0</v>
      </c>
      <c r="H104" s="46">
        <v>0</v>
      </c>
      <c r="I104" s="47">
        <f t="shared" si="6"/>
        <v>0</v>
      </c>
      <c r="J104" s="48">
        <f t="shared" si="5"/>
        <v>1</v>
      </c>
    </row>
    <row r="105" spans="1:10" x14ac:dyDescent="0.3">
      <c r="A105" s="42">
        <v>43924</v>
      </c>
      <c r="B105" s="43">
        <v>529</v>
      </c>
      <c r="C105" s="44">
        <v>0</v>
      </c>
      <c r="D105" s="45">
        <v>529</v>
      </c>
      <c r="E105" s="45">
        <v>0</v>
      </c>
      <c r="F105" s="45">
        <v>0</v>
      </c>
      <c r="G105" s="45">
        <v>0</v>
      </c>
      <c r="H105" s="46">
        <v>0</v>
      </c>
      <c r="I105" s="47">
        <f t="shared" si="6"/>
        <v>0</v>
      </c>
      <c r="J105" s="48">
        <f t="shared" si="5"/>
        <v>1</v>
      </c>
    </row>
    <row r="106" spans="1:10" x14ac:dyDescent="0.3">
      <c r="A106" s="42">
        <v>43923</v>
      </c>
      <c r="B106" s="43">
        <v>440</v>
      </c>
      <c r="C106" s="44">
        <v>0</v>
      </c>
      <c r="D106" s="45">
        <v>440</v>
      </c>
      <c r="E106" s="45">
        <v>0</v>
      </c>
      <c r="F106" s="45">
        <v>0</v>
      </c>
      <c r="G106" s="45">
        <v>0</v>
      </c>
      <c r="H106" s="46">
        <v>0</v>
      </c>
      <c r="I106" s="47">
        <f t="shared" si="6"/>
        <v>0</v>
      </c>
      <c r="J106" s="48">
        <f t="shared" si="5"/>
        <v>1</v>
      </c>
    </row>
    <row r="107" spans="1:10" x14ac:dyDescent="0.3">
      <c r="A107" s="42">
        <v>43922</v>
      </c>
      <c r="B107" s="43">
        <v>588</v>
      </c>
      <c r="C107" s="44">
        <v>0</v>
      </c>
      <c r="D107" s="45">
        <v>588</v>
      </c>
      <c r="E107" s="45">
        <v>0</v>
      </c>
      <c r="F107" s="45">
        <v>0</v>
      </c>
      <c r="G107" s="45">
        <v>0</v>
      </c>
      <c r="H107" s="46">
        <v>0</v>
      </c>
      <c r="I107" s="47">
        <f t="shared" si="6"/>
        <v>0</v>
      </c>
      <c r="J107" s="48">
        <f t="shared" si="5"/>
        <v>1</v>
      </c>
    </row>
    <row r="108" spans="1:10" x14ac:dyDescent="0.3">
      <c r="A108" s="42">
        <v>43921</v>
      </c>
      <c r="B108" s="43">
        <v>485</v>
      </c>
      <c r="C108" s="44">
        <v>0</v>
      </c>
      <c r="D108" s="45">
        <v>485</v>
      </c>
      <c r="E108" s="45">
        <v>0</v>
      </c>
      <c r="F108" s="45">
        <v>0</v>
      </c>
      <c r="G108" s="45">
        <v>0</v>
      </c>
      <c r="H108" s="46">
        <v>0</v>
      </c>
      <c r="I108" s="47">
        <f t="shared" si="6"/>
        <v>0</v>
      </c>
      <c r="J108" s="48">
        <f t="shared" si="5"/>
        <v>1</v>
      </c>
    </row>
    <row r="109" spans="1:10" x14ac:dyDescent="0.3">
      <c r="A109" s="42">
        <v>43918</v>
      </c>
      <c r="B109" s="43">
        <v>90</v>
      </c>
      <c r="C109" s="44">
        <v>0</v>
      </c>
      <c r="D109" s="45">
        <v>90</v>
      </c>
      <c r="E109" s="45">
        <v>0</v>
      </c>
      <c r="F109" s="45">
        <v>0</v>
      </c>
      <c r="G109" s="45">
        <v>0</v>
      </c>
      <c r="H109" s="46">
        <v>0</v>
      </c>
      <c r="I109" s="47">
        <f t="shared" si="6"/>
        <v>0</v>
      </c>
      <c r="J109" s="48">
        <f t="shared" si="5"/>
        <v>1</v>
      </c>
    </row>
    <row r="110" spans="1:10" x14ac:dyDescent="0.3">
      <c r="A110" s="42">
        <v>43917</v>
      </c>
      <c r="B110" s="43">
        <v>412</v>
      </c>
      <c r="C110" s="44">
        <v>0</v>
      </c>
      <c r="D110" s="45">
        <v>412</v>
      </c>
      <c r="E110" s="45">
        <v>0</v>
      </c>
      <c r="F110" s="45">
        <v>0</v>
      </c>
      <c r="G110" s="45">
        <v>0</v>
      </c>
      <c r="H110" s="46">
        <v>0</v>
      </c>
      <c r="I110" s="47">
        <f t="shared" si="6"/>
        <v>0</v>
      </c>
      <c r="J110" s="48">
        <f t="shared" si="5"/>
        <v>1</v>
      </c>
    </row>
    <row r="111" spans="1:10" x14ac:dyDescent="0.3">
      <c r="A111" s="42">
        <v>43916</v>
      </c>
      <c r="B111" s="43">
        <v>407</v>
      </c>
      <c r="C111" s="44">
        <v>0</v>
      </c>
      <c r="D111" s="45">
        <v>407</v>
      </c>
      <c r="E111" s="45">
        <v>0</v>
      </c>
      <c r="F111" s="45">
        <v>0</v>
      </c>
      <c r="G111" s="45">
        <v>0</v>
      </c>
      <c r="H111" s="46">
        <v>0</v>
      </c>
      <c r="I111" s="47">
        <f t="shared" si="6"/>
        <v>0</v>
      </c>
      <c r="J111" s="48">
        <f t="shared" si="5"/>
        <v>1</v>
      </c>
    </row>
    <row r="112" spans="1:10" x14ac:dyDescent="0.3">
      <c r="A112" s="42">
        <v>43915</v>
      </c>
      <c r="B112" s="43">
        <v>484</v>
      </c>
      <c r="C112" s="44">
        <v>0</v>
      </c>
      <c r="D112" s="45">
        <v>484</v>
      </c>
      <c r="E112" s="45">
        <v>0</v>
      </c>
      <c r="F112" s="45">
        <v>0</v>
      </c>
      <c r="G112" s="45">
        <v>0</v>
      </c>
      <c r="H112" s="46">
        <v>0</v>
      </c>
      <c r="I112" s="47">
        <f t="shared" si="6"/>
        <v>0</v>
      </c>
      <c r="J112" s="48">
        <f t="shared" si="5"/>
        <v>1</v>
      </c>
    </row>
    <row r="113" spans="1:10" x14ac:dyDescent="0.3">
      <c r="A113" s="42">
        <v>43914</v>
      </c>
      <c r="B113" s="43">
        <v>581</v>
      </c>
      <c r="C113" s="44">
        <v>0</v>
      </c>
      <c r="D113" s="45">
        <v>581</v>
      </c>
      <c r="E113" s="45">
        <v>0</v>
      </c>
      <c r="F113" s="45">
        <v>0</v>
      </c>
      <c r="G113" s="45">
        <v>0</v>
      </c>
      <c r="H113" s="46">
        <v>0</v>
      </c>
      <c r="I113" s="47">
        <f t="shared" si="6"/>
        <v>0</v>
      </c>
      <c r="J113" s="48">
        <f t="shared" si="5"/>
        <v>1</v>
      </c>
    </row>
    <row r="114" spans="1:10" x14ac:dyDescent="0.3">
      <c r="A114" s="42">
        <v>43913</v>
      </c>
      <c r="B114" s="43">
        <v>291</v>
      </c>
      <c r="C114" s="44">
        <v>0</v>
      </c>
      <c r="D114" s="45">
        <v>291</v>
      </c>
      <c r="E114" s="45">
        <v>0</v>
      </c>
      <c r="F114" s="45">
        <v>0</v>
      </c>
      <c r="G114" s="45">
        <v>0</v>
      </c>
      <c r="H114" s="46">
        <v>0</v>
      </c>
      <c r="I114" s="47">
        <f t="shared" si="6"/>
        <v>0</v>
      </c>
      <c r="J114" s="48">
        <f t="shared" si="5"/>
        <v>1</v>
      </c>
    </row>
    <row r="115" spans="1:10" x14ac:dyDescent="0.3">
      <c r="A115" s="42">
        <v>43912</v>
      </c>
      <c r="B115" s="43">
        <v>39</v>
      </c>
      <c r="C115" s="44">
        <v>0</v>
      </c>
      <c r="D115" s="45">
        <v>39</v>
      </c>
      <c r="E115" s="45">
        <v>0</v>
      </c>
      <c r="F115" s="45">
        <v>0</v>
      </c>
      <c r="G115" s="45">
        <v>0</v>
      </c>
      <c r="H115" s="46">
        <v>0</v>
      </c>
      <c r="I115" s="47">
        <f t="shared" si="6"/>
        <v>0</v>
      </c>
      <c r="J115" s="48">
        <f t="shared" si="5"/>
        <v>1</v>
      </c>
    </row>
    <row r="116" spans="1:10" x14ac:dyDescent="0.3">
      <c r="A116" s="42">
        <v>43911</v>
      </c>
      <c r="B116" s="43">
        <v>233</v>
      </c>
      <c r="C116" s="44">
        <v>0</v>
      </c>
      <c r="D116" s="45">
        <v>233</v>
      </c>
      <c r="E116" s="45">
        <v>0</v>
      </c>
      <c r="F116" s="45">
        <v>0</v>
      </c>
      <c r="G116" s="45">
        <v>0</v>
      </c>
      <c r="H116" s="46">
        <v>0</v>
      </c>
      <c r="I116" s="47">
        <f t="shared" si="6"/>
        <v>0</v>
      </c>
      <c r="J116" s="48">
        <f t="shared" si="5"/>
        <v>1</v>
      </c>
    </row>
    <row r="117" spans="1:10" x14ac:dyDescent="0.3">
      <c r="A117" s="42">
        <v>43910</v>
      </c>
      <c r="B117" s="43">
        <v>451</v>
      </c>
      <c r="C117" s="44">
        <v>0</v>
      </c>
      <c r="D117" s="45">
        <v>451</v>
      </c>
      <c r="E117" s="45">
        <v>0</v>
      </c>
      <c r="F117" s="45">
        <v>0</v>
      </c>
      <c r="G117" s="45">
        <v>0</v>
      </c>
      <c r="H117" s="46">
        <v>0</v>
      </c>
      <c r="I117" s="47">
        <f t="shared" si="6"/>
        <v>0</v>
      </c>
      <c r="J117" s="48">
        <f t="shared" si="5"/>
        <v>1</v>
      </c>
    </row>
    <row r="118" spans="1:10" x14ac:dyDescent="0.3">
      <c r="A118" s="42">
        <v>43909</v>
      </c>
      <c r="B118" s="43">
        <v>570</v>
      </c>
      <c r="C118" s="44">
        <v>0</v>
      </c>
      <c r="D118" s="45">
        <v>570</v>
      </c>
      <c r="E118" s="45">
        <v>0</v>
      </c>
      <c r="F118" s="45">
        <v>0</v>
      </c>
      <c r="G118" s="45">
        <v>0</v>
      </c>
      <c r="H118" s="46">
        <v>0</v>
      </c>
      <c r="I118" s="47">
        <f t="shared" si="6"/>
        <v>0</v>
      </c>
      <c r="J118" s="48">
        <f t="shared" si="5"/>
        <v>1</v>
      </c>
    </row>
    <row r="119" spans="1:10" x14ac:dyDescent="0.3">
      <c r="A119" s="42">
        <v>43908</v>
      </c>
      <c r="B119" s="43">
        <v>930</v>
      </c>
      <c r="C119" s="44">
        <v>0</v>
      </c>
      <c r="D119" s="45">
        <v>930</v>
      </c>
      <c r="E119" s="45">
        <v>0</v>
      </c>
      <c r="F119" s="45">
        <v>0</v>
      </c>
      <c r="G119" s="45">
        <v>0</v>
      </c>
      <c r="H119" s="46">
        <v>0</v>
      </c>
      <c r="I119" s="47">
        <f t="shared" si="6"/>
        <v>0</v>
      </c>
      <c r="J119" s="48">
        <f t="shared" si="5"/>
        <v>1</v>
      </c>
    </row>
    <row r="120" spans="1:10" x14ac:dyDescent="0.3">
      <c r="A120" s="42">
        <v>43907</v>
      </c>
      <c r="B120" s="43">
        <v>790</v>
      </c>
      <c r="C120" s="44">
        <v>0</v>
      </c>
      <c r="D120" s="45">
        <v>790</v>
      </c>
      <c r="E120" s="45">
        <v>0</v>
      </c>
      <c r="F120" s="45">
        <v>0</v>
      </c>
      <c r="G120" s="45">
        <v>0</v>
      </c>
      <c r="H120" s="46">
        <v>0</v>
      </c>
      <c r="I120" s="47">
        <f t="shared" si="6"/>
        <v>0</v>
      </c>
      <c r="J120" s="48">
        <f t="shared" si="5"/>
        <v>1</v>
      </c>
    </row>
    <row r="121" spans="1:10" x14ac:dyDescent="0.3">
      <c r="A121" s="42">
        <v>43906</v>
      </c>
      <c r="B121" s="43">
        <v>611</v>
      </c>
      <c r="C121" s="44">
        <v>0</v>
      </c>
      <c r="D121" s="45">
        <v>611</v>
      </c>
      <c r="E121" s="45">
        <v>0</v>
      </c>
      <c r="F121" s="45">
        <v>0</v>
      </c>
      <c r="G121" s="45">
        <v>0</v>
      </c>
      <c r="H121" s="46">
        <v>0</v>
      </c>
      <c r="I121" s="47">
        <f t="shared" si="6"/>
        <v>0</v>
      </c>
      <c r="J121" s="48">
        <f t="shared" si="5"/>
        <v>1</v>
      </c>
    </row>
    <row r="122" spans="1:10" x14ac:dyDescent="0.3">
      <c r="A122" s="42">
        <v>43905</v>
      </c>
      <c r="B122" s="43">
        <v>67</v>
      </c>
      <c r="C122" s="44">
        <v>0</v>
      </c>
      <c r="D122" s="45">
        <v>67</v>
      </c>
      <c r="E122" s="45">
        <v>0</v>
      </c>
      <c r="F122" s="45">
        <v>0</v>
      </c>
      <c r="G122" s="45">
        <v>0</v>
      </c>
      <c r="H122" s="46">
        <v>0</v>
      </c>
      <c r="I122" s="47">
        <f t="shared" si="6"/>
        <v>0</v>
      </c>
      <c r="J122" s="48">
        <f t="shared" si="5"/>
        <v>1</v>
      </c>
    </row>
    <row r="123" spans="1:10" x14ac:dyDescent="0.3">
      <c r="A123" s="42">
        <v>43904</v>
      </c>
      <c r="B123" s="43">
        <v>429</v>
      </c>
      <c r="C123" s="44">
        <v>0</v>
      </c>
      <c r="D123" s="45">
        <v>429</v>
      </c>
      <c r="E123" s="45">
        <v>0</v>
      </c>
      <c r="F123" s="45">
        <v>0</v>
      </c>
      <c r="G123" s="45">
        <v>0</v>
      </c>
      <c r="H123" s="46">
        <v>0</v>
      </c>
      <c r="I123" s="47">
        <f t="shared" si="6"/>
        <v>0</v>
      </c>
      <c r="J123" s="48">
        <f t="shared" si="5"/>
        <v>1</v>
      </c>
    </row>
    <row r="124" spans="1:10" x14ac:dyDescent="0.3">
      <c r="A124" s="42">
        <v>43903</v>
      </c>
      <c r="B124" s="43">
        <v>1111</v>
      </c>
      <c r="C124" s="44">
        <v>0</v>
      </c>
      <c r="D124" s="45">
        <v>1111</v>
      </c>
      <c r="E124" s="45">
        <v>0</v>
      </c>
      <c r="F124" s="45">
        <v>0</v>
      </c>
      <c r="G124" s="45">
        <v>0</v>
      </c>
      <c r="H124" s="46">
        <v>0</v>
      </c>
      <c r="I124" s="47">
        <f t="shared" si="6"/>
        <v>0</v>
      </c>
      <c r="J124" s="48">
        <f t="shared" si="5"/>
        <v>1</v>
      </c>
    </row>
    <row r="125" spans="1:10" x14ac:dyDescent="0.3">
      <c r="A125" s="42">
        <v>43902</v>
      </c>
      <c r="B125" s="43">
        <v>1706</v>
      </c>
      <c r="C125" s="44">
        <v>0</v>
      </c>
      <c r="D125" s="45">
        <v>1706</v>
      </c>
      <c r="E125" s="45">
        <v>0</v>
      </c>
      <c r="F125" s="45">
        <v>0</v>
      </c>
      <c r="G125" s="45">
        <v>0</v>
      </c>
      <c r="H125" s="46">
        <v>0</v>
      </c>
      <c r="I125" s="47">
        <f t="shared" si="6"/>
        <v>0</v>
      </c>
      <c r="J125" s="48">
        <f t="shared" si="5"/>
        <v>1</v>
      </c>
    </row>
    <row r="126" spans="1:10" x14ac:dyDescent="0.3">
      <c r="A126" s="42">
        <v>43901</v>
      </c>
      <c r="B126" s="43">
        <v>1094</v>
      </c>
      <c r="C126" s="44">
        <v>0</v>
      </c>
      <c r="D126" s="45">
        <v>1094</v>
      </c>
      <c r="E126" s="45">
        <v>0</v>
      </c>
      <c r="F126" s="45">
        <v>0</v>
      </c>
      <c r="G126" s="45">
        <v>0</v>
      </c>
      <c r="H126" s="46">
        <v>0</v>
      </c>
      <c r="I126" s="47">
        <f t="shared" si="6"/>
        <v>0</v>
      </c>
      <c r="J126" s="48">
        <f t="shared" si="5"/>
        <v>1</v>
      </c>
    </row>
    <row r="127" spans="1:10" x14ac:dyDescent="0.3">
      <c r="A127" s="42">
        <v>43900</v>
      </c>
      <c r="B127" s="43">
        <v>1020</v>
      </c>
      <c r="C127" s="44">
        <v>0</v>
      </c>
      <c r="D127" s="45">
        <v>1020</v>
      </c>
      <c r="E127" s="45">
        <v>0</v>
      </c>
      <c r="F127" s="45">
        <v>0</v>
      </c>
      <c r="G127" s="45">
        <v>0</v>
      </c>
      <c r="H127" s="46">
        <v>0</v>
      </c>
      <c r="I127" s="47">
        <f t="shared" si="6"/>
        <v>0</v>
      </c>
      <c r="J127" s="48">
        <f t="shared" si="5"/>
        <v>1</v>
      </c>
    </row>
    <row r="128" spans="1:10" x14ac:dyDescent="0.3">
      <c r="A128" s="42">
        <v>43899</v>
      </c>
      <c r="B128" s="43">
        <v>364</v>
      </c>
      <c r="C128" s="44">
        <v>0</v>
      </c>
      <c r="D128" s="45">
        <v>364</v>
      </c>
      <c r="E128" s="45">
        <v>0</v>
      </c>
      <c r="F128" s="45">
        <v>0</v>
      </c>
      <c r="G128" s="45">
        <v>0</v>
      </c>
      <c r="H128" s="46">
        <v>0</v>
      </c>
      <c r="I128" s="47">
        <f t="shared" si="6"/>
        <v>0</v>
      </c>
      <c r="J128" s="48">
        <f t="shared" si="5"/>
        <v>1</v>
      </c>
    </row>
    <row r="129" spans="1:10" x14ac:dyDescent="0.3">
      <c r="A129" s="42">
        <v>43898</v>
      </c>
      <c r="B129" s="43">
        <v>719</v>
      </c>
      <c r="C129" s="44">
        <v>0</v>
      </c>
      <c r="D129" s="45">
        <v>719</v>
      </c>
      <c r="E129" s="45">
        <v>0</v>
      </c>
      <c r="F129" s="45">
        <v>0</v>
      </c>
      <c r="G129" s="45">
        <v>0</v>
      </c>
      <c r="H129" s="46">
        <v>0</v>
      </c>
      <c r="I129" s="47">
        <f t="shared" si="6"/>
        <v>0</v>
      </c>
      <c r="J129" s="48">
        <f t="shared" si="5"/>
        <v>1</v>
      </c>
    </row>
    <row r="130" spans="1:10" x14ac:dyDescent="0.3">
      <c r="A130" s="42">
        <v>43897</v>
      </c>
      <c r="B130" s="43">
        <v>481</v>
      </c>
      <c r="C130" s="44">
        <v>0</v>
      </c>
      <c r="D130" s="45">
        <v>481</v>
      </c>
      <c r="E130" s="45">
        <v>0</v>
      </c>
      <c r="F130" s="45">
        <v>0</v>
      </c>
      <c r="G130" s="45">
        <v>0</v>
      </c>
      <c r="H130" s="46">
        <v>0</v>
      </c>
      <c r="I130" s="47">
        <f t="shared" si="6"/>
        <v>0</v>
      </c>
      <c r="J130" s="48">
        <f t="shared" si="5"/>
        <v>1</v>
      </c>
    </row>
    <row r="131" spans="1:10" x14ac:dyDescent="0.3">
      <c r="A131" s="42">
        <v>43896</v>
      </c>
      <c r="B131" s="43">
        <v>875</v>
      </c>
      <c r="C131" s="44">
        <v>0</v>
      </c>
      <c r="D131" s="45">
        <v>875</v>
      </c>
      <c r="E131" s="45">
        <v>0</v>
      </c>
      <c r="F131" s="45">
        <v>0</v>
      </c>
      <c r="G131" s="45">
        <v>0</v>
      </c>
      <c r="H131" s="46">
        <v>0</v>
      </c>
      <c r="I131" s="47">
        <f t="shared" si="6"/>
        <v>0</v>
      </c>
      <c r="J131" s="48">
        <f t="shared" si="5"/>
        <v>1</v>
      </c>
    </row>
    <row r="132" spans="1:10" x14ac:dyDescent="0.3">
      <c r="A132" s="42">
        <v>43895</v>
      </c>
      <c r="B132" s="43">
        <v>1170</v>
      </c>
      <c r="C132" s="44">
        <v>0</v>
      </c>
      <c r="D132" s="45">
        <v>1170</v>
      </c>
      <c r="E132" s="45">
        <v>0</v>
      </c>
      <c r="F132" s="45">
        <v>0</v>
      </c>
      <c r="G132" s="45">
        <v>0</v>
      </c>
      <c r="H132" s="46">
        <v>0</v>
      </c>
      <c r="I132" s="47">
        <f t="shared" si="6"/>
        <v>0</v>
      </c>
      <c r="J132" s="48">
        <f t="shared" si="5"/>
        <v>1</v>
      </c>
    </row>
    <row r="133" spans="1:10" x14ac:dyDescent="0.3">
      <c r="A133" s="42">
        <v>43894</v>
      </c>
      <c r="B133" s="43">
        <v>887</v>
      </c>
      <c r="C133" s="44">
        <v>0</v>
      </c>
      <c r="D133" s="45">
        <v>887</v>
      </c>
      <c r="E133" s="45">
        <v>0</v>
      </c>
      <c r="F133" s="45">
        <v>0</v>
      </c>
      <c r="G133" s="45">
        <v>0</v>
      </c>
      <c r="H133" s="46">
        <v>0</v>
      </c>
      <c r="I133" s="47">
        <f t="shared" si="6"/>
        <v>0</v>
      </c>
      <c r="J133" s="48">
        <f t="shared" si="5"/>
        <v>1</v>
      </c>
    </row>
    <row r="134" spans="1:10" x14ac:dyDescent="0.3">
      <c r="A134" s="42">
        <v>43893</v>
      </c>
      <c r="B134" s="43">
        <v>1189</v>
      </c>
      <c r="C134" s="44">
        <v>0</v>
      </c>
      <c r="D134" s="45">
        <v>1189</v>
      </c>
      <c r="E134" s="45">
        <v>0</v>
      </c>
      <c r="F134" s="45">
        <v>0</v>
      </c>
      <c r="G134" s="45">
        <v>0</v>
      </c>
      <c r="H134" s="46">
        <v>0</v>
      </c>
      <c r="I134" s="47">
        <f t="shared" si="6"/>
        <v>0</v>
      </c>
      <c r="J134" s="48">
        <f t="shared" si="5"/>
        <v>1</v>
      </c>
    </row>
    <row r="135" spans="1:10" x14ac:dyDescent="0.3">
      <c r="A135" s="42">
        <v>43892</v>
      </c>
      <c r="B135" s="43">
        <v>795</v>
      </c>
      <c r="C135" s="44">
        <v>0</v>
      </c>
      <c r="D135" s="45">
        <v>795</v>
      </c>
      <c r="E135" s="45">
        <v>0</v>
      </c>
      <c r="F135" s="45">
        <v>0</v>
      </c>
      <c r="G135" s="45">
        <v>0</v>
      </c>
      <c r="H135" s="46">
        <v>0</v>
      </c>
      <c r="I135" s="47">
        <f t="shared" si="6"/>
        <v>0</v>
      </c>
      <c r="J135" s="48">
        <f t="shared" si="5"/>
        <v>1</v>
      </c>
    </row>
    <row r="136" spans="1:10" x14ac:dyDescent="0.3">
      <c r="A136" s="42">
        <v>43891</v>
      </c>
      <c r="B136" s="43">
        <v>644</v>
      </c>
      <c r="C136" s="44">
        <v>0</v>
      </c>
      <c r="D136" s="45">
        <v>644</v>
      </c>
      <c r="E136" s="45">
        <v>0</v>
      </c>
      <c r="F136" s="45">
        <v>0</v>
      </c>
      <c r="G136" s="45">
        <v>0</v>
      </c>
      <c r="H136" s="46">
        <v>0</v>
      </c>
      <c r="I136" s="47">
        <f t="shared" si="6"/>
        <v>0</v>
      </c>
      <c r="J136" s="48">
        <f t="shared" si="5"/>
        <v>1</v>
      </c>
    </row>
    <row r="137" spans="1:10" x14ac:dyDescent="0.3">
      <c r="A137" s="42">
        <v>43890</v>
      </c>
      <c r="B137" s="43">
        <v>1026</v>
      </c>
      <c r="C137" s="44">
        <v>0</v>
      </c>
      <c r="D137" s="45">
        <v>1026</v>
      </c>
      <c r="E137" s="45">
        <v>0</v>
      </c>
      <c r="F137" s="45">
        <v>0</v>
      </c>
      <c r="G137" s="45">
        <v>0</v>
      </c>
      <c r="H137" s="46">
        <v>0</v>
      </c>
      <c r="I137" s="47">
        <f t="shared" si="6"/>
        <v>0</v>
      </c>
      <c r="J137" s="48">
        <f t="shared" ref="J137:J167" si="7">D137/B137</f>
        <v>1</v>
      </c>
    </row>
    <row r="138" spans="1:10" x14ac:dyDescent="0.3">
      <c r="A138" s="42">
        <v>43889</v>
      </c>
      <c r="B138" s="43">
        <v>822</v>
      </c>
      <c r="C138" s="44">
        <v>0</v>
      </c>
      <c r="D138" s="45">
        <v>822</v>
      </c>
      <c r="E138" s="45">
        <v>0</v>
      </c>
      <c r="F138" s="45">
        <v>0</v>
      </c>
      <c r="G138" s="45">
        <v>0</v>
      </c>
      <c r="H138" s="46">
        <v>0</v>
      </c>
      <c r="I138" s="47">
        <f t="shared" ref="I138:I167" si="8">C138/B138</f>
        <v>0</v>
      </c>
      <c r="J138" s="48">
        <f t="shared" si="7"/>
        <v>1</v>
      </c>
    </row>
    <row r="139" spans="1:10" x14ac:dyDescent="0.3">
      <c r="A139" s="42">
        <v>43888</v>
      </c>
      <c r="B139" s="43">
        <v>968</v>
      </c>
      <c r="C139" s="44">
        <v>0</v>
      </c>
      <c r="D139" s="45">
        <v>968</v>
      </c>
      <c r="E139" s="45">
        <v>0</v>
      </c>
      <c r="F139" s="45">
        <v>0</v>
      </c>
      <c r="G139" s="45">
        <v>0</v>
      </c>
      <c r="H139" s="46">
        <v>0</v>
      </c>
      <c r="I139" s="47">
        <f t="shared" si="8"/>
        <v>0</v>
      </c>
      <c r="J139" s="48">
        <f t="shared" si="7"/>
        <v>1</v>
      </c>
    </row>
    <row r="140" spans="1:10" x14ac:dyDescent="0.3">
      <c r="A140" s="42">
        <v>43887</v>
      </c>
      <c r="B140" s="43">
        <v>580</v>
      </c>
      <c r="C140" s="44">
        <v>0</v>
      </c>
      <c r="D140" s="45">
        <v>580</v>
      </c>
      <c r="E140" s="45">
        <v>0</v>
      </c>
      <c r="F140" s="45">
        <v>0</v>
      </c>
      <c r="G140" s="45">
        <v>0</v>
      </c>
      <c r="H140" s="46">
        <v>0</v>
      </c>
      <c r="I140" s="47">
        <f t="shared" si="8"/>
        <v>0</v>
      </c>
      <c r="J140" s="48">
        <f t="shared" si="7"/>
        <v>1</v>
      </c>
    </row>
    <row r="141" spans="1:10" x14ac:dyDescent="0.3">
      <c r="A141" s="42">
        <v>43886</v>
      </c>
      <c r="B141" s="43">
        <v>692</v>
      </c>
      <c r="C141" s="44">
        <v>0</v>
      </c>
      <c r="D141" s="45">
        <v>692</v>
      </c>
      <c r="E141" s="45">
        <v>0</v>
      </c>
      <c r="F141" s="45">
        <v>0</v>
      </c>
      <c r="G141" s="45">
        <v>0</v>
      </c>
      <c r="H141" s="46">
        <v>0</v>
      </c>
      <c r="I141" s="47">
        <f t="shared" si="8"/>
        <v>0</v>
      </c>
      <c r="J141" s="48">
        <f t="shared" si="7"/>
        <v>1</v>
      </c>
    </row>
    <row r="142" spans="1:10" x14ac:dyDescent="0.3">
      <c r="A142" s="42">
        <v>43885</v>
      </c>
      <c r="B142" s="43">
        <v>413</v>
      </c>
      <c r="C142" s="44">
        <v>0</v>
      </c>
      <c r="D142" s="45">
        <v>413</v>
      </c>
      <c r="E142" s="45">
        <v>0</v>
      </c>
      <c r="F142" s="45">
        <v>0</v>
      </c>
      <c r="G142" s="45">
        <v>0</v>
      </c>
      <c r="H142" s="46">
        <v>0</v>
      </c>
      <c r="I142" s="47">
        <f t="shared" si="8"/>
        <v>0</v>
      </c>
      <c r="J142" s="48">
        <f t="shared" si="7"/>
        <v>1</v>
      </c>
    </row>
    <row r="143" spans="1:10" x14ac:dyDescent="0.3">
      <c r="A143" s="42">
        <v>43884</v>
      </c>
      <c r="B143" s="43">
        <v>695</v>
      </c>
      <c r="C143" s="44">
        <v>0</v>
      </c>
      <c r="D143" s="45">
        <v>695</v>
      </c>
      <c r="E143" s="45">
        <v>0</v>
      </c>
      <c r="F143" s="45">
        <v>0</v>
      </c>
      <c r="G143" s="45">
        <v>0</v>
      </c>
      <c r="H143" s="46">
        <v>0</v>
      </c>
      <c r="I143" s="47">
        <f t="shared" si="8"/>
        <v>0</v>
      </c>
      <c r="J143" s="48">
        <f t="shared" si="7"/>
        <v>1</v>
      </c>
    </row>
    <row r="144" spans="1:10" x14ac:dyDescent="0.3">
      <c r="A144" s="42">
        <v>43883</v>
      </c>
      <c r="B144" s="43">
        <v>161</v>
      </c>
      <c r="C144" s="44">
        <v>0</v>
      </c>
      <c r="D144" s="45">
        <v>161</v>
      </c>
      <c r="E144" s="45">
        <v>0</v>
      </c>
      <c r="F144" s="45">
        <v>0</v>
      </c>
      <c r="G144" s="45">
        <v>0</v>
      </c>
      <c r="H144" s="46">
        <v>0</v>
      </c>
      <c r="I144" s="47">
        <f t="shared" si="8"/>
        <v>0</v>
      </c>
      <c r="J144" s="48">
        <f t="shared" si="7"/>
        <v>1</v>
      </c>
    </row>
    <row r="145" spans="1:10" x14ac:dyDescent="0.3">
      <c r="A145" s="42">
        <v>43882</v>
      </c>
      <c r="B145" s="43">
        <v>524</v>
      </c>
      <c r="C145" s="44">
        <v>0</v>
      </c>
      <c r="D145" s="45">
        <v>524</v>
      </c>
      <c r="E145" s="45">
        <v>0</v>
      </c>
      <c r="F145" s="45">
        <v>0</v>
      </c>
      <c r="G145" s="45">
        <v>0</v>
      </c>
      <c r="H145" s="46">
        <v>0</v>
      </c>
      <c r="I145" s="47">
        <f t="shared" si="8"/>
        <v>0</v>
      </c>
      <c r="J145" s="48">
        <f t="shared" si="7"/>
        <v>1</v>
      </c>
    </row>
    <row r="146" spans="1:10" x14ac:dyDescent="0.3">
      <c r="A146" s="42">
        <v>43881</v>
      </c>
      <c r="B146" s="43">
        <v>785</v>
      </c>
      <c r="C146" s="44">
        <v>0</v>
      </c>
      <c r="D146" s="45">
        <v>785</v>
      </c>
      <c r="E146" s="45">
        <v>0</v>
      </c>
      <c r="F146" s="45">
        <v>0</v>
      </c>
      <c r="G146" s="45">
        <v>0</v>
      </c>
      <c r="H146" s="46">
        <v>0</v>
      </c>
      <c r="I146" s="47">
        <f t="shared" si="8"/>
        <v>0</v>
      </c>
      <c r="J146" s="48">
        <f t="shared" si="7"/>
        <v>1</v>
      </c>
    </row>
    <row r="147" spans="1:10" x14ac:dyDescent="0.3">
      <c r="A147" s="42">
        <v>43880</v>
      </c>
      <c r="B147" s="43">
        <v>1027</v>
      </c>
      <c r="C147" s="44">
        <v>0</v>
      </c>
      <c r="D147" s="45">
        <v>1027</v>
      </c>
      <c r="E147" s="45">
        <v>0</v>
      </c>
      <c r="F147" s="45">
        <v>0</v>
      </c>
      <c r="G147" s="45">
        <v>0</v>
      </c>
      <c r="H147" s="46">
        <v>0</v>
      </c>
      <c r="I147" s="47">
        <f t="shared" si="8"/>
        <v>0</v>
      </c>
      <c r="J147" s="48">
        <f t="shared" si="7"/>
        <v>1</v>
      </c>
    </row>
    <row r="148" spans="1:10" x14ac:dyDescent="0.3">
      <c r="A148" s="42">
        <v>43879</v>
      </c>
      <c r="B148" s="43">
        <v>662</v>
      </c>
      <c r="C148" s="44">
        <v>0</v>
      </c>
      <c r="D148" s="45">
        <v>662</v>
      </c>
      <c r="E148" s="45">
        <v>0</v>
      </c>
      <c r="F148" s="45">
        <v>0</v>
      </c>
      <c r="G148" s="45">
        <v>0</v>
      </c>
      <c r="H148" s="46">
        <v>0</v>
      </c>
      <c r="I148" s="47">
        <f t="shared" si="8"/>
        <v>0</v>
      </c>
      <c r="J148" s="48">
        <f t="shared" si="7"/>
        <v>1</v>
      </c>
    </row>
    <row r="149" spans="1:10" x14ac:dyDescent="0.3">
      <c r="A149" s="42">
        <v>43878</v>
      </c>
      <c r="B149" s="43">
        <v>552</v>
      </c>
      <c r="C149" s="44">
        <v>0</v>
      </c>
      <c r="D149" s="45">
        <v>552</v>
      </c>
      <c r="E149" s="45">
        <v>0</v>
      </c>
      <c r="F149" s="45">
        <v>0</v>
      </c>
      <c r="G149" s="45">
        <v>0</v>
      </c>
      <c r="H149" s="46">
        <v>0</v>
      </c>
      <c r="I149" s="47">
        <f t="shared" si="8"/>
        <v>0</v>
      </c>
      <c r="J149" s="48">
        <f t="shared" si="7"/>
        <v>1</v>
      </c>
    </row>
    <row r="150" spans="1:10" x14ac:dyDescent="0.3">
      <c r="A150" s="42">
        <v>43875</v>
      </c>
      <c r="B150" s="43">
        <v>492</v>
      </c>
      <c r="C150" s="44">
        <v>0</v>
      </c>
      <c r="D150" s="45">
        <v>492</v>
      </c>
      <c r="E150" s="45">
        <v>0</v>
      </c>
      <c r="F150" s="45">
        <v>0</v>
      </c>
      <c r="G150" s="45">
        <v>0</v>
      </c>
      <c r="H150" s="46">
        <v>0</v>
      </c>
      <c r="I150" s="47">
        <f t="shared" si="8"/>
        <v>0</v>
      </c>
      <c r="J150" s="48">
        <f t="shared" si="7"/>
        <v>1</v>
      </c>
    </row>
    <row r="151" spans="1:10" x14ac:dyDescent="0.3">
      <c r="A151" s="42">
        <v>43874</v>
      </c>
      <c r="B151" s="43">
        <v>662</v>
      </c>
      <c r="C151" s="44">
        <v>0</v>
      </c>
      <c r="D151" s="45">
        <v>662</v>
      </c>
      <c r="E151" s="45">
        <v>0</v>
      </c>
      <c r="F151" s="45">
        <v>0</v>
      </c>
      <c r="G151" s="45">
        <v>0</v>
      </c>
      <c r="H151" s="46">
        <v>0</v>
      </c>
      <c r="I151" s="47">
        <f t="shared" si="8"/>
        <v>0</v>
      </c>
      <c r="J151" s="48">
        <f t="shared" si="7"/>
        <v>1</v>
      </c>
    </row>
    <row r="152" spans="1:10" x14ac:dyDescent="0.3">
      <c r="A152" s="42">
        <v>43873</v>
      </c>
      <c r="B152" s="43">
        <v>574</v>
      </c>
      <c r="C152" s="44">
        <v>0</v>
      </c>
      <c r="D152" s="45">
        <v>574</v>
      </c>
      <c r="E152" s="45">
        <v>0</v>
      </c>
      <c r="F152" s="45">
        <v>0</v>
      </c>
      <c r="G152" s="45">
        <v>0</v>
      </c>
      <c r="H152" s="46">
        <v>0</v>
      </c>
      <c r="I152" s="47">
        <f t="shared" si="8"/>
        <v>0</v>
      </c>
      <c r="J152" s="48">
        <f t="shared" si="7"/>
        <v>1</v>
      </c>
    </row>
    <row r="153" spans="1:10" x14ac:dyDescent="0.3">
      <c r="A153" s="42">
        <v>43872</v>
      </c>
      <c r="B153" s="43">
        <v>313</v>
      </c>
      <c r="C153" s="44">
        <v>0</v>
      </c>
      <c r="D153" s="45">
        <v>313</v>
      </c>
      <c r="E153" s="45">
        <v>0</v>
      </c>
      <c r="F153" s="45">
        <v>0</v>
      </c>
      <c r="G153" s="45">
        <v>0</v>
      </c>
      <c r="H153" s="46">
        <v>0</v>
      </c>
      <c r="I153" s="47">
        <f t="shared" si="8"/>
        <v>0</v>
      </c>
      <c r="J153" s="48">
        <f t="shared" si="7"/>
        <v>1</v>
      </c>
    </row>
    <row r="154" spans="1:10" x14ac:dyDescent="0.3">
      <c r="A154" s="42">
        <v>43871</v>
      </c>
      <c r="B154" s="43">
        <v>63</v>
      </c>
      <c r="C154" s="44">
        <v>0</v>
      </c>
      <c r="D154" s="45">
        <v>63</v>
      </c>
      <c r="E154" s="45">
        <v>0</v>
      </c>
      <c r="F154" s="45">
        <v>0</v>
      </c>
      <c r="G154" s="45">
        <v>0</v>
      </c>
      <c r="H154" s="46">
        <v>0</v>
      </c>
      <c r="I154" s="47">
        <f t="shared" si="8"/>
        <v>0</v>
      </c>
      <c r="J154" s="48">
        <f t="shared" si="7"/>
        <v>1</v>
      </c>
    </row>
    <row r="155" spans="1:10" x14ac:dyDescent="0.3">
      <c r="A155" s="42">
        <v>43870</v>
      </c>
      <c r="B155" s="43">
        <v>3</v>
      </c>
      <c r="C155" s="44">
        <v>0</v>
      </c>
      <c r="D155" s="45">
        <v>3</v>
      </c>
      <c r="E155" s="45">
        <v>0</v>
      </c>
      <c r="F155" s="45">
        <v>0</v>
      </c>
      <c r="G155" s="45">
        <v>0</v>
      </c>
      <c r="H155" s="46">
        <v>0</v>
      </c>
      <c r="I155" s="47">
        <f t="shared" si="8"/>
        <v>0</v>
      </c>
      <c r="J155" s="48">
        <f t="shared" si="7"/>
        <v>1</v>
      </c>
    </row>
    <row r="156" spans="1:10" x14ac:dyDescent="0.3">
      <c r="A156" s="42">
        <v>43869</v>
      </c>
      <c r="B156" s="43">
        <v>81</v>
      </c>
      <c r="C156" s="44">
        <v>0</v>
      </c>
      <c r="D156" s="45">
        <v>81</v>
      </c>
      <c r="E156" s="45">
        <v>0</v>
      </c>
      <c r="F156" s="45">
        <v>0</v>
      </c>
      <c r="G156" s="45">
        <v>0</v>
      </c>
      <c r="H156" s="46">
        <v>0</v>
      </c>
      <c r="I156" s="47">
        <f t="shared" si="8"/>
        <v>0</v>
      </c>
      <c r="J156" s="48">
        <f t="shared" si="7"/>
        <v>1</v>
      </c>
    </row>
    <row r="157" spans="1:10" x14ac:dyDescent="0.3">
      <c r="A157" s="42">
        <v>43868</v>
      </c>
      <c r="B157" s="43">
        <v>363</v>
      </c>
      <c r="C157" s="44">
        <v>0</v>
      </c>
      <c r="D157" s="45">
        <v>363</v>
      </c>
      <c r="E157" s="45">
        <v>0</v>
      </c>
      <c r="F157" s="45">
        <v>0</v>
      </c>
      <c r="G157" s="45">
        <v>0</v>
      </c>
      <c r="H157" s="46">
        <v>0</v>
      </c>
      <c r="I157" s="47">
        <f t="shared" si="8"/>
        <v>0</v>
      </c>
      <c r="J157" s="48">
        <f t="shared" si="7"/>
        <v>1</v>
      </c>
    </row>
    <row r="158" spans="1:10" x14ac:dyDescent="0.3">
      <c r="A158" s="42">
        <v>43867</v>
      </c>
      <c r="B158" s="43">
        <v>215</v>
      </c>
      <c r="C158" s="44">
        <v>0</v>
      </c>
      <c r="D158" s="45">
        <v>215</v>
      </c>
      <c r="E158" s="45">
        <v>0</v>
      </c>
      <c r="F158" s="45">
        <v>0</v>
      </c>
      <c r="G158" s="45">
        <v>0</v>
      </c>
      <c r="H158" s="46">
        <v>0</v>
      </c>
      <c r="I158" s="47">
        <f t="shared" si="8"/>
        <v>0</v>
      </c>
      <c r="J158" s="48">
        <f t="shared" si="7"/>
        <v>1</v>
      </c>
    </row>
    <row r="159" spans="1:10" x14ac:dyDescent="0.3">
      <c r="A159" s="42">
        <v>43866</v>
      </c>
      <c r="B159" s="43">
        <v>292</v>
      </c>
      <c r="C159" s="44">
        <v>0</v>
      </c>
      <c r="D159" s="45">
        <v>292</v>
      </c>
      <c r="E159" s="45">
        <v>0</v>
      </c>
      <c r="F159" s="45">
        <v>0</v>
      </c>
      <c r="G159" s="45">
        <v>0</v>
      </c>
      <c r="H159" s="46">
        <v>0</v>
      </c>
      <c r="I159" s="47">
        <f t="shared" si="8"/>
        <v>0</v>
      </c>
      <c r="J159" s="48">
        <f t="shared" si="7"/>
        <v>1</v>
      </c>
    </row>
    <row r="160" spans="1:10" x14ac:dyDescent="0.3">
      <c r="A160" s="42">
        <v>43865</v>
      </c>
      <c r="B160" s="43">
        <v>95</v>
      </c>
      <c r="C160" s="44">
        <v>0</v>
      </c>
      <c r="D160" s="45">
        <v>95</v>
      </c>
      <c r="E160" s="45">
        <v>0</v>
      </c>
      <c r="F160" s="45">
        <v>0</v>
      </c>
      <c r="G160" s="45">
        <v>0</v>
      </c>
      <c r="H160" s="46">
        <v>0</v>
      </c>
      <c r="I160" s="47">
        <f t="shared" si="8"/>
        <v>0</v>
      </c>
      <c r="J160" s="48">
        <f t="shared" si="7"/>
        <v>1</v>
      </c>
    </row>
    <row r="161" spans="1:10" x14ac:dyDescent="0.3">
      <c r="A161" s="42">
        <v>43864</v>
      </c>
      <c r="B161" s="43">
        <v>164</v>
      </c>
      <c r="C161" s="44">
        <v>0</v>
      </c>
      <c r="D161" s="45">
        <v>164</v>
      </c>
      <c r="E161" s="45">
        <v>0</v>
      </c>
      <c r="F161" s="45">
        <v>0</v>
      </c>
      <c r="G161" s="45">
        <v>0</v>
      </c>
      <c r="H161" s="46">
        <v>0</v>
      </c>
      <c r="I161" s="47">
        <f t="shared" si="8"/>
        <v>0</v>
      </c>
      <c r="J161" s="48">
        <f t="shared" si="7"/>
        <v>1</v>
      </c>
    </row>
    <row r="162" spans="1:10" x14ac:dyDescent="0.3">
      <c r="A162" s="42">
        <v>43863</v>
      </c>
      <c r="B162" s="43">
        <v>118</v>
      </c>
      <c r="C162" s="44">
        <v>0</v>
      </c>
      <c r="D162" s="45">
        <v>118</v>
      </c>
      <c r="E162" s="45">
        <v>0</v>
      </c>
      <c r="F162" s="45">
        <v>0</v>
      </c>
      <c r="G162" s="45">
        <v>0</v>
      </c>
      <c r="H162" s="46">
        <v>0</v>
      </c>
      <c r="I162" s="47">
        <f t="shared" si="8"/>
        <v>0</v>
      </c>
      <c r="J162" s="48">
        <f t="shared" si="7"/>
        <v>1</v>
      </c>
    </row>
    <row r="163" spans="1:10" x14ac:dyDescent="0.3">
      <c r="A163" s="42">
        <v>43861</v>
      </c>
      <c r="B163" s="43">
        <v>29</v>
      </c>
      <c r="C163" s="44">
        <v>1</v>
      </c>
      <c r="D163" s="45">
        <v>28</v>
      </c>
      <c r="E163" s="45">
        <v>0</v>
      </c>
      <c r="F163" s="45">
        <v>0</v>
      </c>
      <c r="G163" s="45">
        <v>0</v>
      </c>
      <c r="H163" s="46">
        <v>0</v>
      </c>
      <c r="I163" s="47">
        <f t="shared" si="8"/>
        <v>3.4482758620689655E-2</v>
      </c>
      <c r="J163" s="48">
        <f t="shared" si="7"/>
        <v>0.96551724137931039</v>
      </c>
    </row>
    <row r="164" spans="1:10" x14ac:dyDescent="0.3">
      <c r="A164" s="42">
        <v>43857</v>
      </c>
      <c r="B164" s="43">
        <v>2</v>
      </c>
      <c r="C164" s="44">
        <v>0</v>
      </c>
      <c r="D164" s="45">
        <v>2</v>
      </c>
      <c r="E164" s="45">
        <v>0</v>
      </c>
      <c r="F164" s="45">
        <v>0</v>
      </c>
      <c r="G164" s="45">
        <v>0</v>
      </c>
      <c r="H164" s="46">
        <v>0</v>
      </c>
      <c r="I164" s="47">
        <f t="shared" si="8"/>
        <v>0</v>
      </c>
      <c r="J164" s="48">
        <f t="shared" si="7"/>
        <v>1</v>
      </c>
    </row>
    <row r="165" spans="1:10" x14ac:dyDescent="0.3">
      <c r="A165" s="42">
        <v>43856</v>
      </c>
      <c r="B165" s="43">
        <v>13</v>
      </c>
      <c r="C165" s="44">
        <v>0</v>
      </c>
      <c r="D165" s="45">
        <v>13</v>
      </c>
      <c r="E165" s="45">
        <v>0</v>
      </c>
      <c r="F165" s="45">
        <v>0</v>
      </c>
      <c r="G165" s="45">
        <v>0</v>
      </c>
      <c r="H165" s="46">
        <v>0</v>
      </c>
      <c r="I165" s="47">
        <f t="shared" si="8"/>
        <v>0</v>
      </c>
      <c r="J165" s="48">
        <f t="shared" si="7"/>
        <v>1</v>
      </c>
    </row>
    <row r="166" spans="1:10" x14ac:dyDescent="0.3">
      <c r="A166" s="42">
        <v>43855</v>
      </c>
      <c r="B166" s="43">
        <v>62</v>
      </c>
      <c r="C166" s="44">
        <v>0</v>
      </c>
      <c r="D166" s="45">
        <v>62</v>
      </c>
      <c r="E166" s="45">
        <v>0</v>
      </c>
      <c r="F166" s="45">
        <v>0</v>
      </c>
      <c r="G166" s="45">
        <v>0</v>
      </c>
      <c r="H166" s="46">
        <v>0</v>
      </c>
      <c r="I166" s="47">
        <f t="shared" si="8"/>
        <v>0</v>
      </c>
      <c r="J166" s="48">
        <f t="shared" si="7"/>
        <v>1</v>
      </c>
    </row>
    <row r="167" spans="1:10" ht="15" thickBot="1" x14ac:dyDescent="0.35">
      <c r="A167" s="49">
        <v>43854</v>
      </c>
      <c r="B167" s="50">
        <v>12</v>
      </c>
      <c r="C167" s="44">
        <v>0</v>
      </c>
      <c r="D167" s="45">
        <v>12</v>
      </c>
      <c r="E167" s="45">
        <v>0</v>
      </c>
      <c r="F167" s="45">
        <v>0</v>
      </c>
      <c r="G167" s="45">
        <v>0</v>
      </c>
      <c r="H167" s="46">
        <v>0</v>
      </c>
      <c r="I167" s="47">
        <f t="shared" si="8"/>
        <v>0</v>
      </c>
      <c r="J167" s="48">
        <f t="shared" si="7"/>
        <v>1</v>
      </c>
    </row>
  </sheetData>
  <mergeCells count="1">
    <mergeCell ref="C1:H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Packet Eligibility Summary</vt:lpstr>
      <vt:lpstr>Document Summary</vt:lpstr>
      <vt:lpstr>Packets and Docs</vt:lpstr>
      <vt:lpstr>HIL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JORDON KNEISLY</cp:lastModifiedBy>
  <dcterms:created xsi:type="dcterms:W3CDTF">2020-03-08T12:09:08Z</dcterms:created>
  <dcterms:modified xsi:type="dcterms:W3CDTF">2020-07-20T11:52:57Z</dcterms:modified>
</cp:coreProperties>
</file>