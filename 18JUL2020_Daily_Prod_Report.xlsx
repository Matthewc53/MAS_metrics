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E9810D8B-E0B9-4132-A7D2-3A675217E292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" i="3" l="1"/>
  <c r="G14" i="3"/>
  <c r="D14" i="3"/>
  <c r="D30" i="3"/>
  <c r="J3" i="5"/>
  <c r="I3" i="5"/>
  <c r="J4" i="5" l="1"/>
  <c r="I4" i="5"/>
  <c r="G43" i="3" l="1"/>
  <c r="D43" i="3"/>
  <c r="J5" i="5"/>
  <c r="I5" i="5"/>
  <c r="M11" i="1"/>
  <c r="M9" i="1"/>
  <c r="M5" i="1"/>
  <c r="J6" i="5" l="1"/>
  <c r="I6" i="5"/>
  <c r="G58" i="3" l="1"/>
  <c r="D58" i="3"/>
  <c r="J8" i="5"/>
  <c r="I8" i="5"/>
  <c r="J7" i="5"/>
  <c r="I7" i="5"/>
  <c r="G107" i="3" l="1"/>
  <c r="D107" i="3"/>
  <c r="D97" i="3"/>
  <c r="G97" i="3"/>
  <c r="G92" i="3"/>
  <c r="D92" i="3"/>
  <c r="G77" i="3"/>
  <c r="D77" i="3"/>
  <c r="G82" i="3" l="1"/>
  <c r="D82" i="3"/>
  <c r="J23" i="5" l="1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9" i="5"/>
  <c r="J10" i="5"/>
  <c r="J11" i="5"/>
  <c r="J12" i="5"/>
  <c r="J13" i="5"/>
  <c r="J14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0" i="5"/>
  <c r="I11" i="5"/>
  <c r="I12" i="5"/>
  <c r="I13" i="5"/>
  <c r="I14" i="5"/>
  <c r="I9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H92" i="3" l="1"/>
  <c r="H43" i="3"/>
  <c r="H30" i="3"/>
  <c r="H97" i="3"/>
  <c r="H82" i="3"/>
  <c r="H77" i="3"/>
  <c r="H58" i="3"/>
  <c r="H14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<sst xmlns="http://schemas.openxmlformats.org/spreadsheetml/2006/main" count="20747" uniqueCount="295">
  <si>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</si>
  <si>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</si>
  <si>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</si>
  <si>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</si>
  <si>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</si>
  <si>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</si>
  <si>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</si>
  <si>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</si>
  <si>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</si>
  <si>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</si>
  <si>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</si>
  <si>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</si>
  <si>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</si>
  <si>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</si>
  <si>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</si>
  <si>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</si>
  <si>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</si>
  <si>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</si>
  <si>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</si>
  <si>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</si>
  <si>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</si>
  <si>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</si>
  <si>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</si>
  <si>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</si>
  <si>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</si>
  <si>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</si>
  <si>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</si>
  <si>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</si>
  <si>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</si>
  <si>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</si>
  <si>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</si>
  <si>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</si>
  <si>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</si>
  <si>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</si>
  <si>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</si>
  <si>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</si>
  <si>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</si>
  <si>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</si>
  <si>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</si>
  <si>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</si>
  <si>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</si>
  <si>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</si>
  <si>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</si>
  <si>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</si>
  <si>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</si>
  <si>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</si>
  <si>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</si>
  <si>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</si>
  <si>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</si>
  <si>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</si>
  <si>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</si>
  <si>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</si>
  <si>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</si>
  <si>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</si>
  <si>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</si>
  <si>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</si>
  <si>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</si>
  <si>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</si>
  <si>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</si>
  <si>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</si>
  <si>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</si>
  <si>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</si>
  <si>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</si>
  <si>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</si>
  <si>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</si>
  <si>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</si>
  <si>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</si>
  <si>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</si>
  <si>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</si>
  <si>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</si>
  <si>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</si>
  <si>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</si>
  <si>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</si>
  <si>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</si>
  <si>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</si>
  <si>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</si>
  <si>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</si>
  <si>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</si>
  <si>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</si>
  <si>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</si>
  <si>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</si>
  <si>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</si>
  <si>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BUSINESS OFFRAMP</t>
  </si>
  <si>
    <t>High</t>
  </si>
  <si>
    <t>SYSTEM OFFRAMP</t>
  </si>
  <si>
    <t>NOT CHARGEABLE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</si>
  <si>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</si>
  <si>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</si>
  <si>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</si>
  <si>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</si>
  <si>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</si>
  <si>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>Medium</t>
  </si>
  <si>
    <t>Claim Successfully Submitt</t>
  </si>
  <si>
    <t>Different address. Address</t>
  </si>
  <si>
    <t>Doc Status: OFFRAMPED. Pac</t>
  </si>
  <si>
    <t>Failed to find profile for</t>
  </si>
  <si>
    <t>Final Exception Reason: Bu</t>
  </si>
  <si>
    <t>Final Exception Reason: Sy</t>
  </si>
  <si>
    <t>Incomplete POA Form</t>
  </si>
  <si>
    <t>Integrated Disability Eval</t>
  </si>
  <si>
    <t>No claims open, pending an</t>
  </si>
  <si>
    <t>POA Not Updated, as POA on</t>
  </si>
  <si>
    <t>POA Not Updated, but POA m</t>
  </si>
  <si>
    <t>POA Updated based on 21-22</t>
  </si>
  <si>
    <t>Processed</t>
  </si>
  <si>
    <t>Profile Valid</t>
  </si>
  <si>
    <t xml:space="preserve">Report of Death present - </t>
  </si>
  <si>
    <t>Veterans Affairs (VA) Bene</t>
  </si>
  <si>
    <t>OFFRAMPED</t>
  </si>
  <si>
    <t>Third Party Correspondence</t>
  </si>
  <si>
    <t>OP2</t>
  </si>
  <si>
    <t>UNKNOWN</t>
  </si>
  <si>
    <t>BVA_APPEALS_REMAND</t>
  </si>
  <si>
    <t>HIL_VBMS</t>
  </si>
  <si>
    <t>Correspondence</t>
  </si>
  <si>
    <t>FOIA_PRIVACYACT</t>
  </si>
  <si>
    <t>PENDING UPLOAD</t>
  </si>
  <si>
    <t>RM</t>
  </si>
  <si>
    <t>NON_ESS</t>
  </si>
  <si>
    <t>ESS</t>
  </si>
  <si>
    <t>ATTORNEY_FEE_LETTER_FROM_POA</t>
  </si>
  <si>
    <t>INCOME_VERIFICATION</t>
  </si>
  <si>
    <t>VBOTPROCESSING</t>
  </si>
  <si>
    <t>AUDIT_REQUEST</t>
  </si>
  <si>
    <t>OMPF</t>
  </si>
  <si>
    <t>Certificate of Release or Discharge From Active Duty (e.g. DD 214, NOAA 56-16, PHS 1867)</t>
  </si>
  <si>
    <t>NULL</t>
  </si>
  <si>
    <t>EVD-TPROI</t>
  </si>
  <si>
    <t>Third Party Release of Information</t>
  </si>
  <si>
    <t>VA 21-4138 Statement In Support of Claim</t>
  </si>
  <si>
    <t>VA 21-0845 Authorization to Disclose Personal Info</t>
  </si>
  <si>
    <t>EVD-21-0538</t>
  </si>
  <si>
    <t>VA 21-0538 Mandatory Status of Dependents</t>
  </si>
  <si>
    <t>VA 21-4142 Authorization for Release of Information</t>
  </si>
  <si>
    <t>Open Claim Exists.</t>
  </si>
  <si>
    <t>VA 21-22 Appointment of Veterans Serv. Org. as Claimant's Representative</t>
  </si>
  <si>
    <t>VA 21-0820 Report of General Information</t>
  </si>
  <si>
    <t>VA 21-526EZ, Fully Developed Claim Compensation</t>
  </si>
  <si>
    <t>IU</t>
  </si>
  <si>
    <t>VA 21-0966 Intent to File</t>
  </si>
  <si>
    <t>EVD-VCAADTAL</t>
  </si>
  <si>
    <t>VCAA/DTA Letter</t>
  </si>
  <si>
    <t>EVD-DC</t>
  </si>
  <si>
    <t>Death Certificate</t>
  </si>
  <si>
    <t>Military Personnel Record</t>
  </si>
  <si>
    <t>VA 21-4192 Request for Employment Information in Connection with claim for Disability Benefit</t>
  </si>
  <si>
    <t>PMR</t>
  </si>
  <si>
    <t>Medical Treatment Record - Government Facility</t>
  </si>
  <si>
    <t>EVD-BLS</t>
  </si>
  <si>
    <t>Buddy Lay Statement</t>
  </si>
  <si>
    <t>VCAA</t>
  </si>
  <si>
    <t>VCAA Notice Acknowledgement</t>
  </si>
  <si>
    <t>VA 21-8416 Request for Information concerning Medical</t>
  </si>
  <si>
    <t>Medical Treatment Record - Non-Government Facility</t>
  </si>
  <si>
    <t>EVD-VA-EXM</t>
  </si>
  <si>
    <t>VA Examination</t>
  </si>
  <si>
    <t>EVD-21P-0969</t>
  </si>
  <si>
    <t>VA 21P-0969 Income and Asset Statement in Support of Claim</t>
  </si>
  <si>
    <t>EVD-PTIVA</t>
  </si>
  <si>
    <t>PTIVA Form</t>
  </si>
  <si>
    <t>VA 21-0781, Statement in Support of Claim for PTSD</t>
  </si>
  <si>
    <t>EVD-NL</t>
  </si>
  <si>
    <t xml:space="preserve">Notification Letter </t>
  </si>
  <si>
    <t>VA Form 21P-0518-1 Improved Pension Eligibility Verification Report (Surviving Souse with No Children)</t>
  </si>
  <si>
    <t>EVD-FAXCS</t>
  </si>
  <si>
    <t>Fax Cover Sheet</t>
  </si>
  <si>
    <t>EVD-SSAIL</t>
  </si>
  <si>
    <t>SSA/SSI Letter</t>
  </si>
  <si>
    <t>EVD-21-0847</t>
  </si>
  <si>
    <t>VA 21-0847 - Request for Substitution of Claimant Upon Death of Claimant</t>
  </si>
  <si>
    <t>0820b</t>
  </si>
  <si>
    <t>VA 27-0820b Report of Nursing Home or Assisted Living</t>
  </si>
  <si>
    <t>686c</t>
  </si>
  <si>
    <t>VA 21-686c Declaration of Status of Dependents</t>
  </si>
  <si>
    <t>EVD-26-1880</t>
  </si>
  <si>
    <t xml:space="preserve">VA 26-1880 Request for Certificate of Eligibility </t>
  </si>
  <si>
    <t>EVD-21-8960</t>
  </si>
  <si>
    <t>VA 21-8960 Certification of School Attendance or Termination</t>
  </si>
  <si>
    <t>EVD-FBE</t>
  </si>
  <si>
    <t>Funeral Bill/Expenses</t>
  </si>
  <si>
    <t>EVD-21-0972</t>
  </si>
  <si>
    <t>VA Form 21-0972 Notice of VeteranClaimant of VA Fo</t>
  </si>
  <si>
    <t>EVD-EDUGEN</t>
  </si>
  <si>
    <t>Education - General</t>
  </si>
  <si>
    <t>EVD-70-3288</t>
  </si>
  <si>
    <t>VA 70-3288 Request for and Consent to Release of Information from Claimants Records</t>
  </si>
  <si>
    <t>EVD-RDN</t>
  </si>
  <si>
    <t>Rating Decision - Narrative</t>
  </si>
  <si>
    <t>EVD-MSFCOAAA</t>
  </si>
  <si>
    <t>Medical Statement for Consideration of Aid and Attendance</t>
  </si>
  <si>
    <t>OCRNOTCLASSIFIED</t>
  </si>
  <si>
    <t>OCRSUCCESS</t>
  </si>
  <si>
    <t>OCRINSERTFAILURE</t>
  </si>
  <si>
    <t>READYFOROCR</t>
  </si>
  <si>
    <t>Successfully Added Unsolic</t>
  </si>
  <si>
    <t>MEDICAL_REQUEST_REJECT_NOTICE</t>
  </si>
  <si>
    <t>Address has been updated (</t>
  </si>
  <si>
    <t>CM Packet Num: 21528168 Of</t>
  </si>
  <si>
    <t>Successfully updated solic</t>
  </si>
  <si>
    <t>534EZ</t>
  </si>
  <si>
    <t>VA 21-534EZ Application for Dependency and Indemnity</t>
  </si>
  <si>
    <t>18JUL2020 0000-2359</t>
  </si>
  <si>
    <t xml:space="preserve">API Error getting Claims. </t>
  </si>
  <si>
    <t>CM Packet Num: 21529571 Ad</t>
  </si>
  <si>
    <t>CM Packet Num: 241122 Adde</t>
  </si>
  <si>
    <t xml:space="preserve">CM Packet Num: 244879 Off </t>
  </si>
  <si>
    <t>CM Packet Num: 9683635 Off</t>
  </si>
  <si>
    <t>CM Packet Num: 9683894 Off</t>
  </si>
  <si>
    <t>CM Packet Num: 9684117 Off</t>
  </si>
  <si>
    <t>CM Packet Num: 9684281 Off</t>
  </si>
  <si>
    <t>CM Packet Num: 9684296 Off</t>
  </si>
  <si>
    <t>CM Packet Num: 9684388 Off</t>
  </si>
  <si>
    <t>CM Packet Num: 9684396 Add</t>
  </si>
  <si>
    <t>CM Packet Num: 9684845 Off</t>
  </si>
  <si>
    <t>CM Packet Num: 9685066 Off</t>
  </si>
  <si>
    <t>CM Packet Num: 9685069 Add</t>
  </si>
  <si>
    <t>CM Packet Num: 9685071 Off</t>
  </si>
  <si>
    <t>CM Packet Num: 9685376 Off</t>
  </si>
  <si>
    <t>CM Packet Num: 9685534 Off</t>
  </si>
  <si>
    <t>CM Packet Num: 9685579 Off</t>
  </si>
  <si>
    <t>CM Packet Num: 9686046 Add</t>
  </si>
  <si>
    <t>CM Packet Num: 9686207 Off</t>
  </si>
  <si>
    <t>CM Packet Num: 9686555 Off</t>
  </si>
  <si>
    <t>CM Packet Num: 9686636 Off</t>
  </si>
  <si>
    <t>CM Packet Num: 9688573 Add</t>
  </si>
  <si>
    <t>CM Packet Num: 9688596 Off</t>
  </si>
  <si>
    <t>Doc Status: OCRINPROGRESS.</t>
  </si>
  <si>
    <t xml:space="preserve">ITF Processed (CMP Packet </t>
  </si>
  <si>
    <t xml:space="preserve">Final Exception Reason: System </t>
  </si>
  <si>
    <t>Doc Status: OFFRAMPED. Packet S</t>
  </si>
  <si>
    <t>ESS or Unidentified?: FALSE. CM</t>
  </si>
  <si>
    <t xml:space="preserve">ESS or Unidentified?: TRUE. CM </t>
  </si>
  <si>
    <t xml:space="preserve">Failed to find profile for Doc </t>
  </si>
  <si>
    <t xml:space="preserve">Successfully Added Unsolicited </t>
  </si>
  <si>
    <t>CM Packet Num: 9684296 Off Ramp</t>
  </si>
  <si>
    <t>CM Packet Num: 9683635 Off Ramp</t>
  </si>
  <si>
    <t>CM Packet Num: 9684117 Off Ramp</t>
  </si>
  <si>
    <t>CM Packet Num: 9684388 Off ramp</t>
  </si>
  <si>
    <t>EP Creation successful for COR/</t>
  </si>
  <si>
    <t>CM Packet Num: 21529571 Added u</t>
  </si>
  <si>
    <t>CM Packet Num: 9684845 Off ramp</t>
  </si>
  <si>
    <t>CM Packet Num: 9684281 Off Ramp</t>
  </si>
  <si>
    <t>CM Packet Num: 9686046 Added un</t>
  </si>
  <si>
    <t>CM Packet Num: 9685376 Off Ramp</t>
  </si>
  <si>
    <t>CM Packet Num: 9686207 Off Ramp</t>
  </si>
  <si>
    <t>Claim Successfully Submitted fo</t>
  </si>
  <si>
    <t>CM Packet Num: 9686555 Off ramp</t>
  </si>
  <si>
    <t>CM Packet Num: 21524595 Added u</t>
  </si>
  <si>
    <t>CM Packet Num: 9688596 Off Ramp</t>
  </si>
  <si>
    <t>820: Contention creation finish</t>
  </si>
  <si>
    <t xml:space="preserve">Successfully added unsolicited </t>
  </si>
  <si>
    <t>POA Updated based on 21-22 rece</t>
  </si>
  <si>
    <t>Address not updated. Address va</t>
  </si>
  <si>
    <t>CM Packet Num: 21528168 Off ram</t>
  </si>
  <si>
    <t>CM Packet Num: 9684396 Added un</t>
  </si>
  <si>
    <t>CM Packet Num: 9685534 Off ramp</t>
  </si>
  <si>
    <t>CM Packet Num: 241122 Added uns</t>
  </si>
  <si>
    <t>Final Exception Reason: Busines</t>
  </si>
  <si>
    <t>CM Packet Num: 9683894 Off Ramp</t>
  </si>
  <si>
    <t>CM Packet Num: 9685069 Added un</t>
  </si>
  <si>
    <t xml:space="preserve">Contentions Successfully Added </t>
  </si>
  <si>
    <t>Different address. Address upda</t>
  </si>
  <si>
    <t>Report of Death present - Offra</t>
  </si>
  <si>
    <t xml:space="preserve">No claims open, pending and/or </t>
  </si>
  <si>
    <t>VA 21-0537 Marital Status Questionnaire</t>
  </si>
  <si>
    <t>Integrated Disability Evaluatio</t>
  </si>
  <si>
    <t>CM Packet Num: 9685071 Off Ramp</t>
  </si>
  <si>
    <t>CM Packet Num: 9685579 Off Ramp</t>
  </si>
  <si>
    <t>CM Packet Num: 9686964 Added un</t>
  </si>
  <si>
    <t>CM Packet Num: 244879 Off Rampe</t>
  </si>
  <si>
    <t>0820 not eligible for automatio</t>
  </si>
  <si>
    <t>CM Packet Num: 9685066 Off Ramp</t>
  </si>
  <si>
    <t>CM Packet Num: 9688573 Added un</t>
  </si>
  <si>
    <t>CM Packet Num: 244863 Added uns</t>
  </si>
  <si>
    <t>CM Packet Num: 9686636 Off Ramp</t>
  </si>
  <si>
    <t>POA Not Updated, but POA manage</t>
  </si>
  <si>
    <t xml:space="preserve">Address not updated. Different </t>
  </si>
  <si>
    <t>Address not updated. ITF Receiv</t>
  </si>
  <si>
    <t>VA Form 20-0995 Supplemental Claim Application</t>
  </si>
  <si>
    <t>Failed to add unsolicited evide</t>
  </si>
  <si>
    <t>Address not updated. Same addre</t>
  </si>
  <si>
    <t xml:space="preserve">Veterans Affairs (VA) Benefits </t>
  </si>
  <si>
    <t>RFA letter generation has start</t>
  </si>
  <si>
    <t>API Error getting Claims. CM Pa</t>
  </si>
  <si>
    <t>Fail to get tracked items - The</t>
  </si>
  <si>
    <t>POA Not Updated, as POA on reco</t>
  </si>
  <si>
    <t xml:space="preserve">Successfully updated solicited </t>
  </si>
  <si>
    <t xml:space="preserve">Drop Mail - Successfully added </t>
  </si>
  <si>
    <t>VA 9</t>
  </si>
  <si>
    <t>VA 9 Appeal to Board of Appeals</t>
  </si>
  <si>
    <t>Address has been updated (CMP p</t>
  </si>
  <si>
    <t>OCRINPROGRESS</t>
  </si>
  <si>
    <t>Doc Status: OCRINPROGRESS. Pack</t>
  </si>
  <si>
    <t xml:space="preserve">Final Exception Reason: SE RFA </t>
  </si>
  <si>
    <t>ITF Processed (CMP Packet ID: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</si>
</sst>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14" fontId="0" fillId="0" borderId="23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2" xfId="1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24" xfId="0" applyFont="1" applyBorder="1" applyAlignment="1">
      <alignment horizontal="right" wrapText="1"/>
    </xf>
    <xf numFmtId="10" fontId="0" fillId="0" borderId="25" xfId="0" applyNumberFormat="1" applyFont="1" applyBorder="1" applyAlignment="1">
      <alignment horizontal="right" wrapText="1"/>
    </xf>
    <xf numFmtId="10" fontId="0" fillId="0" borderId="26" xfId="0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Summary'!$A$2:$A$171</c:f>
              <c:numCache>
                <c:formatCode>m/d/yy;@</c:formatCode>
                <c:ptCount val="17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</c:numCache>
            </c:numRef>
          </c:cat>
          <c:val>
            <c:numRef>
              <c:f>'Packet Eligibility Summary'!$B$2:$B$171</c:f>
              <c:numCache>
                <c:formatCode>General</c:formatCode>
                <c:ptCount val="170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9205</c:v>
                </c:pt>
                <c:pt idx="167">
                  <c:v>6781</c:v>
                </c:pt>
                <c:pt idx="168">
                  <c:v>7203</c:v>
                </c:pt>
                <c:pt idx="169">
                  <c:v>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Summary'!$A$2:$A$171</c:f>
              <c:numCache>
                <c:formatCode>m/d/yy;@</c:formatCode>
                <c:ptCount val="170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</c:numCache>
            </c:numRef>
          </c:cat>
          <c:val>
            <c:numRef>
              <c:f>'Packet Eligibility Summary'!$C$2:$C$171</c:f>
              <c:numCache>
                <c:formatCode>General</c:formatCode>
                <c:ptCount val="170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201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1933</v>
      </c>
    </row>
    <row r="6" spans="1:13" x14ac:dyDescent="0.3">
      <c r="A6" t="s">
        <v>72</v>
      </c>
      <c r="B6" t="s">
        <v>73</v>
      </c>
      <c r="C6">
        <v>2623</v>
      </c>
      <c r="E6" t="s">
        <v>81</v>
      </c>
      <c r="F6" t="s">
        <v>82</v>
      </c>
      <c r="G6" t="s">
        <v>42</v>
      </c>
      <c r="H6" s="30" t="s">
        <v>83</v>
      </c>
      <c r="I6" s="30">
        <v>63</v>
      </c>
      <c r="J6" s="3"/>
    </row>
    <row r="7" spans="1:13" x14ac:dyDescent="0.3">
      <c r="A7" t="s">
        <v>72</v>
      </c>
      <c r="B7" t="s">
        <v>74</v>
      </c>
      <c r="C7">
        <v>1090</v>
      </c>
      <c r="E7" t="s">
        <v>196</v>
      </c>
      <c r="F7" t="s">
        <v>84</v>
      </c>
      <c r="G7" t="s">
        <v>85</v>
      </c>
      <c r="H7" t="s">
        <v>83</v>
      </c>
      <c r="I7">
        <v>1</v>
      </c>
      <c r="K7" s="2" t="s">
        <v>7</v>
      </c>
      <c r="L7" s="2"/>
      <c r="M7" s="2">
        <v>13807</v>
      </c>
    </row>
    <row r="8" spans="1:13" x14ac:dyDescent="0.3">
      <c r="A8" t="s">
        <v>75</v>
      </c>
      <c r="C8">
        <v>71</v>
      </c>
      <c r="E8" t="s">
        <v>86</v>
      </c>
      <c r="F8" t="s">
        <v>84</v>
      </c>
      <c r="G8" t="s">
        <v>85</v>
      </c>
      <c r="H8" t="s">
        <v>83</v>
      </c>
      <c r="I8">
        <v>4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46</v>
      </c>
      <c r="E9" t="s">
        <v>86</v>
      </c>
      <c r="F9" t="s">
        <v>84</v>
      </c>
      <c r="G9" t="s">
        <v>85</v>
      </c>
      <c r="H9" t="s">
        <v>87</v>
      </c>
      <c r="I9">
        <v>5</v>
      </c>
      <c r="K9" s="2" t="s">
        <v>8</v>
      </c>
      <c r="L9" s="2"/>
      <c r="M9" s="10">
        <f>((SUMIF(F6:F182,"PROCESSED",I6:I182) +SUMIF(F6:F182,"BUSINESS OFFRAMP",I1:I182)) / $M$7)</f>
        <v>0.13435214021872963</v>
      </c>
    </row>
    <row r="10" spans="1:13" x14ac:dyDescent="0.3">
      <c r="A10" t="s">
        <v>77</v>
      </c>
      <c r="B10" t="s">
        <v>73</v>
      </c>
      <c r="C10">
        <v>16</v>
      </c>
      <c r="E10" t="s">
        <v>88</v>
      </c>
      <c r="F10" t="s">
        <v>84</v>
      </c>
      <c r="G10" t="s">
        <v>85</v>
      </c>
      <c r="H10" t="s">
        <v>83</v>
      </c>
      <c r="I10">
        <v>16</v>
      </c>
      <c r="M10" s="7"/>
    </row>
    <row r="11" spans="1:13" x14ac:dyDescent="0.3">
      <c r="A11" t="s">
        <v>78</v>
      </c>
      <c r="B11" t="s">
        <v>73</v>
      </c>
      <c r="C11">
        <v>2881</v>
      </c>
      <c r="E11" t="s">
        <v>89</v>
      </c>
      <c r="F11" t="s">
        <v>84</v>
      </c>
      <c r="G11" t="s">
        <v>85</v>
      </c>
      <c r="H11" t="s">
        <v>83</v>
      </c>
      <c r="I11">
        <v>1</v>
      </c>
      <c r="K11" s="2" t="s">
        <v>9</v>
      </c>
      <c r="L11" s="2"/>
      <c r="M11" s="6">
        <f>(SUMIF(F6:F182,"PROCESSED",I6:I182) / $M$7)</f>
        <v>5.8738321141449987E-2</v>
      </c>
    </row>
    <row r="12" spans="1:13" x14ac:dyDescent="0.3">
      <c r="A12" t="s">
        <v>79</v>
      </c>
      <c r="B12" t="s">
        <v>73</v>
      </c>
      <c r="C12">
        <v>113</v>
      </c>
      <c r="E12" t="s">
        <v>89</v>
      </c>
      <c r="F12" t="s">
        <v>84</v>
      </c>
      <c r="G12" t="s">
        <v>85</v>
      </c>
      <c r="H12" t="s">
        <v>87</v>
      </c>
      <c r="I12">
        <v>1</v>
      </c>
    </row>
    <row r="13" spans="1:13" x14ac:dyDescent="0.3">
      <c r="A13" t="s">
        <v>80</v>
      </c>
      <c r="B13" t="s">
        <v>73</v>
      </c>
      <c r="C13">
        <v>4237</v>
      </c>
      <c r="E13" t="s">
        <v>90</v>
      </c>
      <c r="F13" t="s">
        <v>84</v>
      </c>
      <c r="G13" t="s">
        <v>85</v>
      </c>
      <c r="H13" t="s">
        <v>83</v>
      </c>
      <c r="I13">
        <v>1</v>
      </c>
    </row>
    <row r="14" spans="1:13" x14ac:dyDescent="0.3">
      <c r="E14" t="s">
        <v>202</v>
      </c>
      <c r="F14" t="s">
        <v>84</v>
      </c>
      <c r="G14" t="s">
        <v>85</v>
      </c>
      <c r="H14" t="s">
        <v>83</v>
      </c>
      <c r="I14">
        <v>1</v>
      </c>
    </row>
    <row r="15" spans="1:13" x14ac:dyDescent="0.3">
      <c r="E15" t="s">
        <v>92</v>
      </c>
      <c r="F15" t="s">
        <v>82</v>
      </c>
      <c r="G15" t="s">
        <v>42</v>
      </c>
      <c r="H15" t="s">
        <v>83</v>
      </c>
      <c r="I15">
        <v>4</v>
      </c>
      <c r="K15" s="20"/>
    </row>
    <row r="16" spans="1:13" ht="15" thickBot="1" x14ac:dyDescent="0.35">
      <c r="A16" s="4" t="s">
        <v>3</v>
      </c>
      <c r="B16" s="4"/>
      <c r="C16" s="4">
        <f>SUM(C6:C13)</f>
        <v>11077</v>
      </c>
      <c r="E16" t="s">
        <v>197</v>
      </c>
      <c r="F16" t="s">
        <v>84</v>
      </c>
      <c r="G16" t="s">
        <v>85</v>
      </c>
      <c r="H16" t="s">
        <v>87</v>
      </c>
      <c r="I16">
        <v>1</v>
      </c>
    </row>
    <row r="17" spans="1:18" x14ac:dyDescent="0.3">
      <c r="E17" t="s">
        <v>203</v>
      </c>
      <c r="F17" t="s">
        <v>84</v>
      </c>
      <c r="G17" t="s">
        <v>85</v>
      </c>
      <c r="H17" t="s">
        <v>87</v>
      </c>
      <c r="I17">
        <v>1</v>
      </c>
    </row>
    <row r="18" spans="1:18" x14ac:dyDescent="0.3">
      <c r="E18" t="s">
        <v>204</v>
      </c>
      <c r="F18" t="s">
        <v>84</v>
      </c>
      <c r="G18" t="s">
        <v>85</v>
      </c>
      <c r="H18" t="s">
        <v>87</v>
      </c>
      <c r="I18">
        <v>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0.29054054054054052</v>
      </c>
      <c r="E19" t="s">
        <v>205</v>
      </c>
      <c r="F19" t="s">
        <v>84</v>
      </c>
      <c r="G19" t="s">
        <v>85</v>
      </c>
      <c r="H19" t="s">
        <v>87</v>
      </c>
      <c r="I19">
        <v>2</v>
      </c>
    </row>
    <row r="20" spans="1:18" x14ac:dyDescent="0.3">
      <c r="A20" s="2"/>
      <c r="B20" s="5"/>
      <c r="C20" s="6"/>
      <c r="E20" t="s">
        <v>206</v>
      </c>
      <c r="F20" t="s">
        <v>84</v>
      </c>
      <c r="G20" t="s">
        <v>85</v>
      </c>
      <c r="H20" t="s">
        <v>87</v>
      </c>
      <c r="I20">
        <v>3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0.2617663092858441</v>
      </c>
      <c r="E21" t="s">
        <v>207</v>
      </c>
      <c r="F21" t="s">
        <v>84</v>
      </c>
      <c r="G21" t="s">
        <v>85</v>
      </c>
      <c r="H21" t="s">
        <v>87</v>
      </c>
      <c r="I21">
        <v>2</v>
      </c>
    </row>
    <row r="22" spans="1:18" x14ac:dyDescent="0.3">
      <c r="C22" s="7"/>
      <c r="E22" t="s">
        <v>208</v>
      </c>
      <c r="F22" t="s">
        <v>84</v>
      </c>
      <c r="G22" t="s">
        <v>85</v>
      </c>
      <c r="H22" t="s">
        <v>87</v>
      </c>
      <c r="I22">
        <v>4</v>
      </c>
    </row>
    <row r="23" spans="1:18" x14ac:dyDescent="0.3">
      <c r="A23" s="13" t="s">
        <v>27</v>
      </c>
      <c r="C23" s="13"/>
      <c r="E23" t="s">
        <v>209</v>
      </c>
      <c r="F23" t="s">
        <v>84</v>
      </c>
      <c r="G23" t="s">
        <v>85</v>
      </c>
      <c r="H23" t="s">
        <v>87</v>
      </c>
      <c r="I23">
        <v>2</v>
      </c>
      <c r="K23" s="31"/>
    </row>
    <row r="24" spans="1:18" x14ac:dyDescent="0.3">
      <c r="E24" t="s">
        <v>210</v>
      </c>
      <c r="F24" t="s">
        <v>84</v>
      </c>
      <c r="G24" t="s">
        <v>85</v>
      </c>
      <c r="H24" t="s">
        <v>87</v>
      </c>
      <c r="I24">
        <v>2</v>
      </c>
    </row>
    <row r="25" spans="1:18" x14ac:dyDescent="0.3">
      <c r="A25" s="13" t="s">
        <v>29</v>
      </c>
      <c r="C25" s="23"/>
      <c r="E25" t="s">
        <v>211</v>
      </c>
      <c r="F25" t="s">
        <v>84</v>
      </c>
      <c r="G25" t="s">
        <v>85</v>
      </c>
      <c r="H25" t="s">
        <v>87</v>
      </c>
      <c r="I25">
        <v>4</v>
      </c>
    </row>
    <row r="26" spans="1:18" x14ac:dyDescent="0.3">
      <c r="E26" t="s">
        <v>212</v>
      </c>
      <c r="F26" t="s">
        <v>84</v>
      </c>
      <c r="G26" t="s">
        <v>85</v>
      </c>
      <c r="H26" t="s">
        <v>87</v>
      </c>
      <c r="I26">
        <v>1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213</v>
      </c>
      <c r="F27" t="s">
        <v>84</v>
      </c>
      <c r="G27" t="s">
        <v>85</v>
      </c>
      <c r="H27" t="s">
        <v>87</v>
      </c>
      <c r="I27">
        <v>2</v>
      </c>
    </row>
    <row r="28" spans="1:18" x14ac:dyDescent="0.3">
      <c r="E28" t="s">
        <v>214</v>
      </c>
      <c r="F28" t="s">
        <v>84</v>
      </c>
      <c r="G28" t="s">
        <v>85</v>
      </c>
      <c r="H28" t="s">
        <v>87</v>
      </c>
      <c r="I28">
        <v>2</v>
      </c>
      <c r="K28" s="25"/>
    </row>
    <row r="29" spans="1:18" x14ac:dyDescent="0.3">
      <c r="E29" t="s">
        <v>215</v>
      </c>
      <c r="F29" t="s">
        <v>84</v>
      </c>
      <c r="G29" t="s">
        <v>85</v>
      </c>
      <c r="H29" t="s">
        <v>87</v>
      </c>
      <c r="I29">
        <v>1</v>
      </c>
      <c r="K29" s="25"/>
    </row>
    <row r="30" spans="1:18" x14ac:dyDescent="0.3">
      <c r="E30" t="s">
        <v>216</v>
      </c>
      <c r="F30" t="s">
        <v>84</v>
      </c>
      <c r="G30" t="s">
        <v>85</v>
      </c>
      <c r="H30" t="s">
        <v>87</v>
      </c>
      <c r="I30">
        <v>2</v>
      </c>
      <c r="K30" s="25"/>
    </row>
    <row r="31" spans="1:18" x14ac:dyDescent="0.3">
      <c r="E31" t="s">
        <v>217</v>
      </c>
      <c r="F31" t="s">
        <v>84</v>
      </c>
      <c r="G31" t="s">
        <v>85</v>
      </c>
      <c r="H31" t="s">
        <v>87</v>
      </c>
      <c r="I31">
        <v>2</v>
      </c>
      <c r="K31" s="25"/>
      <c r="P31" s="13"/>
      <c r="R31" s="13"/>
    </row>
    <row r="32" spans="1:18" x14ac:dyDescent="0.3">
      <c r="E32" t="s">
        <v>218</v>
      </c>
      <c r="F32" t="s">
        <v>84</v>
      </c>
      <c r="G32" t="s">
        <v>85</v>
      </c>
      <c r="H32" t="s">
        <v>87</v>
      </c>
      <c r="I32">
        <v>2</v>
      </c>
      <c r="K32" s="25"/>
      <c r="R32" s="13"/>
    </row>
    <row r="33" spans="5:18" x14ac:dyDescent="0.3">
      <c r="E33" t="s">
        <v>219</v>
      </c>
      <c r="F33" t="s">
        <v>84</v>
      </c>
      <c r="G33" t="s">
        <v>85</v>
      </c>
      <c r="H33" t="s">
        <v>87</v>
      </c>
      <c r="I33">
        <v>3</v>
      </c>
      <c r="K33" s="25"/>
      <c r="P33" s="13"/>
      <c r="R33" s="13"/>
    </row>
    <row r="34" spans="5:18" x14ac:dyDescent="0.3">
      <c r="E34" t="s">
        <v>220</v>
      </c>
      <c r="F34" t="s">
        <v>84</v>
      </c>
      <c r="G34" t="s">
        <v>85</v>
      </c>
      <c r="H34" t="s">
        <v>87</v>
      </c>
      <c r="I34">
        <v>1</v>
      </c>
      <c r="K34" s="25"/>
      <c r="R34" s="13"/>
    </row>
    <row r="35" spans="5:18" x14ac:dyDescent="0.3">
      <c r="E35" t="s">
        <v>221</v>
      </c>
      <c r="F35" t="s">
        <v>84</v>
      </c>
      <c r="G35" t="s">
        <v>85</v>
      </c>
      <c r="H35" t="s">
        <v>87</v>
      </c>
      <c r="I35">
        <v>2</v>
      </c>
      <c r="K35" s="25"/>
      <c r="P35" s="13"/>
      <c r="R35" s="13"/>
    </row>
    <row r="36" spans="5:18" x14ac:dyDescent="0.3">
      <c r="E36" t="s">
        <v>222</v>
      </c>
      <c r="F36" t="s">
        <v>84</v>
      </c>
      <c r="G36" t="s">
        <v>85</v>
      </c>
      <c r="H36" t="s">
        <v>87</v>
      </c>
      <c r="I36">
        <v>2</v>
      </c>
      <c r="K36" s="25"/>
      <c r="R36" s="13"/>
    </row>
    <row r="37" spans="5:18" x14ac:dyDescent="0.3">
      <c r="E37" t="s">
        <v>223</v>
      </c>
      <c r="F37" t="s">
        <v>84</v>
      </c>
      <c r="G37" t="s">
        <v>85</v>
      </c>
      <c r="H37" t="s">
        <v>87</v>
      </c>
      <c r="I37">
        <v>2</v>
      </c>
      <c r="K37" s="25"/>
      <c r="P37" s="13"/>
      <c r="R37" s="26"/>
    </row>
    <row r="38" spans="5:18" x14ac:dyDescent="0.3">
      <c r="E38" t="s">
        <v>224</v>
      </c>
      <c r="F38" t="s">
        <v>84</v>
      </c>
      <c r="G38" t="s">
        <v>85</v>
      </c>
      <c r="H38" t="s">
        <v>87</v>
      </c>
      <c r="I38">
        <v>1</v>
      </c>
      <c r="K38" s="25"/>
      <c r="R38" s="13"/>
    </row>
    <row r="39" spans="5:18" x14ac:dyDescent="0.3">
      <c r="E39" t="s">
        <v>225</v>
      </c>
      <c r="F39" t="s">
        <v>84</v>
      </c>
      <c r="G39" t="s">
        <v>85</v>
      </c>
      <c r="H39" t="s">
        <v>87</v>
      </c>
      <c r="I39">
        <v>2</v>
      </c>
      <c r="K39" s="25"/>
      <c r="P39" s="13"/>
      <c r="R39" s="26"/>
    </row>
    <row r="40" spans="5:18" x14ac:dyDescent="0.3">
      <c r="E40" t="s">
        <v>93</v>
      </c>
      <c r="F40" t="s">
        <v>84</v>
      </c>
      <c r="G40" t="s">
        <v>85</v>
      </c>
      <c r="H40" t="s">
        <v>83</v>
      </c>
      <c r="I40">
        <v>7</v>
      </c>
      <c r="K40" s="25"/>
    </row>
    <row r="41" spans="5:18" x14ac:dyDescent="0.3">
      <c r="E41" t="s">
        <v>93</v>
      </c>
      <c r="F41" t="s">
        <v>84</v>
      </c>
      <c r="G41" t="s">
        <v>85</v>
      </c>
      <c r="H41" t="s">
        <v>87</v>
      </c>
      <c r="I41">
        <v>6</v>
      </c>
      <c r="K41" s="25"/>
    </row>
    <row r="42" spans="5:18" x14ac:dyDescent="0.3">
      <c r="E42" t="s">
        <v>226</v>
      </c>
      <c r="F42" t="s">
        <v>84</v>
      </c>
      <c r="G42" t="s">
        <v>85</v>
      </c>
      <c r="H42" t="s">
        <v>87</v>
      </c>
      <c r="I42">
        <v>1</v>
      </c>
      <c r="K42" s="25"/>
    </row>
    <row r="43" spans="5:18" x14ac:dyDescent="0.3">
      <c r="E43" t="s">
        <v>94</v>
      </c>
      <c r="F43" t="s">
        <v>84</v>
      </c>
      <c r="G43" t="s">
        <v>85</v>
      </c>
      <c r="H43" t="s">
        <v>83</v>
      </c>
      <c r="I43">
        <v>146</v>
      </c>
      <c r="K43" s="25"/>
    </row>
    <row r="44" spans="5:18" x14ac:dyDescent="0.3">
      <c r="E44" t="s">
        <v>94</v>
      </c>
      <c r="F44" t="s">
        <v>84</v>
      </c>
      <c r="G44" t="s">
        <v>85</v>
      </c>
      <c r="H44" t="s">
        <v>87</v>
      </c>
      <c r="I44">
        <v>215</v>
      </c>
      <c r="K44" s="25"/>
    </row>
    <row r="45" spans="5:18" x14ac:dyDescent="0.3">
      <c r="E45" t="s">
        <v>94</v>
      </c>
      <c r="F45" t="s">
        <v>84</v>
      </c>
      <c r="G45" t="s">
        <v>85</v>
      </c>
      <c r="H45" t="s">
        <v>91</v>
      </c>
      <c r="I45">
        <v>26</v>
      </c>
      <c r="K45" s="25"/>
    </row>
    <row r="46" spans="5:18" x14ac:dyDescent="0.3">
      <c r="E46" t="s">
        <v>95</v>
      </c>
      <c r="F46" t="s">
        <v>84</v>
      </c>
      <c r="G46" t="s">
        <v>85</v>
      </c>
      <c r="H46" t="s">
        <v>83</v>
      </c>
      <c r="I46">
        <v>13</v>
      </c>
      <c r="K46" s="25"/>
    </row>
    <row r="47" spans="5:18" x14ac:dyDescent="0.3">
      <c r="E47" t="s">
        <v>95</v>
      </c>
      <c r="F47" t="s">
        <v>84</v>
      </c>
      <c r="G47" t="s">
        <v>85</v>
      </c>
      <c r="H47" t="s">
        <v>87</v>
      </c>
      <c r="I47">
        <v>315</v>
      </c>
      <c r="K47" s="25"/>
    </row>
    <row r="48" spans="5:18" x14ac:dyDescent="0.3">
      <c r="E48" t="s">
        <v>95</v>
      </c>
      <c r="F48" t="s">
        <v>84</v>
      </c>
      <c r="G48" t="s">
        <v>85</v>
      </c>
      <c r="H48" t="s">
        <v>91</v>
      </c>
      <c r="I48">
        <v>4</v>
      </c>
      <c r="K48" s="25"/>
    </row>
    <row r="49" spans="5:11" x14ac:dyDescent="0.3">
      <c r="E49" t="s">
        <v>96</v>
      </c>
      <c r="F49" t="s">
        <v>82</v>
      </c>
      <c r="G49" t="s">
        <v>42</v>
      </c>
      <c r="H49" t="s">
        <v>83</v>
      </c>
      <c r="I49">
        <v>1</v>
      </c>
      <c r="K49" s="25"/>
    </row>
    <row r="50" spans="5:11" x14ac:dyDescent="0.3">
      <c r="E50" t="s">
        <v>96</v>
      </c>
      <c r="F50" t="s">
        <v>82</v>
      </c>
      <c r="G50" t="s">
        <v>42</v>
      </c>
      <c r="H50" t="s">
        <v>87</v>
      </c>
      <c r="I50">
        <v>12</v>
      </c>
      <c r="K50" s="25"/>
    </row>
    <row r="51" spans="5:11" x14ac:dyDescent="0.3">
      <c r="E51" t="s">
        <v>96</v>
      </c>
      <c r="F51" t="s">
        <v>82</v>
      </c>
      <c r="G51" t="s">
        <v>42</v>
      </c>
      <c r="H51" t="s">
        <v>91</v>
      </c>
      <c r="I51">
        <v>4</v>
      </c>
      <c r="K51" s="25"/>
    </row>
    <row r="52" spans="5:11" x14ac:dyDescent="0.3">
      <c r="E52" t="s">
        <v>96</v>
      </c>
      <c r="F52" t="s">
        <v>84</v>
      </c>
      <c r="G52" t="s">
        <v>85</v>
      </c>
      <c r="H52" t="s">
        <v>87</v>
      </c>
      <c r="I52">
        <v>2</v>
      </c>
      <c r="K52" s="25"/>
    </row>
    <row r="53" spans="5:11" x14ac:dyDescent="0.3">
      <c r="E53" t="s">
        <v>97</v>
      </c>
      <c r="F53" t="s">
        <v>84</v>
      </c>
      <c r="G53" t="s">
        <v>85</v>
      </c>
      <c r="H53" t="s">
        <v>83</v>
      </c>
      <c r="I53">
        <v>8</v>
      </c>
      <c r="K53" s="25"/>
    </row>
    <row r="54" spans="5:11" x14ac:dyDescent="0.3">
      <c r="E54" t="s">
        <v>97</v>
      </c>
      <c r="F54" t="s">
        <v>84</v>
      </c>
      <c r="G54" t="s">
        <v>85</v>
      </c>
      <c r="H54" t="s">
        <v>87</v>
      </c>
      <c r="I54">
        <v>18</v>
      </c>
      <c r="K54" s="25"/>
    </row>
    <row r="55" spans="5:11" x14ac:dyDescent="0.3">
      <c r="E55" t="s">
        <v>97</v>
      </c>
      <c r="F55" t="s">
        <v>84</v>
      </c>
      <c r="G55" t="s">
        <v>85</v>
      </c>
      <c r="H55" t="s">
        <v>91</v>
      </c>
      <c r="I55">
        <v>1</v>
      </c>
      <c r="K55" s="25"/>
    </row>
    <row r="56" spans="5:11" x14ac:dyDescent="0.3">
      <c r="E56" t="s">
        <v>98</v>
      </c>
      <c r="F56" t="s">
        <v>82</v>
      </c>
      <c r="G56" t="s">
        <v>42</v>
      </c>
      <c r="H56" t="s">
        <v>83</v>
      </c>
      <c r="I56">
        <v>12</v>
      </c>
      <c r="K56" s="25"/>
    </row>
    <row r="57" spans="5:11" x14ac:dyDescent="0.3">
      <c r="E57" t="s">
        <v>99</v>
      </c>
      <c r="F57" t="s">
        <v>82</v>
      </c>
      <c r="G57" t="s">
        <v>42</v>
      </c>
      <c r="H57" t="s">
        <v>83</v>
      </c>
      <c r="I57">
        <v>3</v>
      </c>
      <c r="K57" s="25"/>
    </row>
    <row r="58" spans="5:11" x14ac:dyDescent="0.3">
      <c r="E58" t="s">
        <v>227</v>
      </c>
      <c r="F58" t="s">
        <v>82</v>
      </c>
      <c r="G58" t="s">
        <v>42</v>
      </c>
      <c r="H58" t="s">
        <v>87</v>
      </c>
      <c r="I58">
        <v>1</v>
      </c>
      <c r="K58" s="25"/>
    </row>
    <row r="59" spans="5:11" x14ac:dyDescent="0.3">
      <c r="E59" t="s">
        <v>100</v>
      </c>
      <c r="F59" t="s">
        <v>82</v>
      </c>
      <c r="G59" t="s">
        <v>42</v>
      </c>
      <c r="H59" t="s">
        <v>83</v>
      </c>
      <c r="I59">
        <v>2</v>
      </c>
      <c r="K59" s="25"/>
    </row>
    <row r="60" spans="5:11" x14ac:dyDescent="0.3">
      <c r="E60" t="s">
        <v>100</v>
      </c>
      <c r="F60" t="s">
        <v>82</v>
      </c>
      <c r="G60" t="s">
        <v>42</v>
      </c>
      <c r="H60" t="s">
        <v>87</v>
      </c>
      <c r="I60">
        <v>69</v>
      </c>
      <c r="K60" s="25"/>
    </row>
    <row r="61" spans="5:11" x14ac:dyDescent="0.3">
      <c r="E61" t="s">
        <v>101</v>
      </c>
      <c r="F61" t="s">
        <v>82</v>
      </c>
      <c r="G61" t="s">
        <v>42</v>
      </c>
      <c r="H61" t="s">
        <v>83</v>
      </c>
      <c r="I61">
        <v>3</v>
      </c>
      <c r="K61" s="25"/>
    </row>
    <row r="62" spans="5:11" x14ac:dyDescent="0.3">
      <c r="E62" t="s">
        <v>102</v>
      </c>
      <c r="F62" t="s">
        <v>82</v>
      </c>
      <c r="G62" t="s">
        <v>42</v>
      </c>
      <c r="H62" t="s">
        <v>83</v>
      </c>
      <c r="I62">
        <v>17</v>
      </c>
      <c r="K62" s="25"/>
    </row>
    <row r="63" spans="5:11" x14ac:dyDescent="0.3">
      <c r="E63" t="s">
        <v>103</v>
      </c>
      <c r="F63" t="s">
        <v>82</v>
      </c>
      <c r="G63" t="s">
        <v>42</v>
      </c>
      <c r="H63" t="s">
        <v>83</v>
      </c>
      <c r="I63">
        <v>12</v>
      </c>
      <c r="K63" s="25"/>
    </row>
    <row r="64" spans="5:11" x14ac:dyDescent="0.3">
      <c r="E64" t="s">
        <v>104</v>
      </c>
      <c r="F64" t="s">
        <v>78</v>
      </c>
      <c r="G64" t="s">
        <v>42</v>
      </c>
      <c r="H64" t="s">
        <v>83</v>
      </c>
      <c r="I64">
        <v>416</v>
      </c>
      <c r="K64" s="25"/>
    </row>
    <row r="65" spans="5:11" x14ac:dyDescent="0.3">
      <c r="E65" t="s">
        <v>104</v>
      </c>
      <c r="F65" t="s">
        <v>78</v>
      </c>
      <c r="G65" t="s">
        <v>42</v>
      </c>
      <c r="H65" t="s">
        <v>87</v>
      </c>
      <c r="I65">
        <v>280</v>
      </c>
      <c r="K65" s="25"/>
    </row>
    <row r="66" spans="5:11" x14ac:dyDescent="0.3">
      <c r="E66" t="s">
        <v>104</v>
      </c>
      <c r="F66" t="s">
        <v>78</v>
      </c>
      <c r="G66" t="s">
        <v>42</v>
      </c>
      <c r="H66" t="s">
        <v>91</v>
      </c>
      <c r="I66">
        <v>115</v>
      </c>
      <c r="K66" s="25"/>
    </row>
    <row r="67" spans="5:11" x14ac:dyDescent="0.3">
      <c r="E67" t="s">
        <v>106</v>
      </c>
      <c r="F67" t="s">
        <v>82</v>
      </c>
      <c r="G67" t="s">
        <v>42</v>
      </c>
      <c r="H67" t="s">
        <v>83</v>
      </c>
      <c r="I67">
        <v>11</v>
      </c>
      <c r="K67" s="25"/>
    </row>
    <row r="68" spans="5:11" x14ac:dyDescent="0.3">
      <c r="E68" t="s">
        <v>194</v>
      </c>
      <c r="F68" t="s">
        <v>82</v>
      </c>
      <c r="G68" t="s">
        <v>42</v>
      </c>
      <c r="H68" t="s">
        <v>87</v>
      </c>
      <c r="I68">
        <v>66</v>
      </c>
      <c r="K68" s="25"/>
    </row>
    <row r="69" spans="5:11" x14ac:dyDescent="0.3">
      <c r="E69" t="s">
        <v>198</v>
      </c>
      <c r="F69" t="s">
        <v>82</v>
      </c>
      <c r="G69" t="s">
        <v>42</v>
      </c>
      <c r="H69" t="s">
        <v>87</v>
      </c>
      <c r="I69">
        <v>1</v>
      </c>
      <c r="K69" s="25"/>
    </row>
    <row r="70" spans="5:11" x14ac:dyDescent="0.3">
      <c r="E70" t="s">
        <v>107</v>
      </c>
      <c r="F70" t="s">
        <v>82</v>
      </c>
      <c r="G70" t="s">
        <v>42</v>
      </c>
      <c r="H70" t="s">
        <v>83</v>
      </c>
      <c r="I70">
        <v>1</v>
      </c>
      <c r="K70" s="25"/>
    </row>
    <row r="71" spans="5:11" x14ac:dyDescent="0.3">
      <c r="K71" s="25"/>
    </row>
    <row r="72" spans="5:11" x14ac:dyDescent="0.3">
      <c r="K72" s="25"/>
    </row>
    <row r="73" spans="5:11" x14ac:dyDescent="0.3">
      <c r="K73" s="25"/>
    </row>
    <row r="74" spans="5:11" x14ac:dyDescent="0.3">
      <c r="K74" s="25"/>
    </row>
    <row r="75" spans="5:11" x14ac:dyDescent="0.3">
      <c r="K75" s="25"/>
    </row>
    <row r="76" spans="5:11" x14ac:dyDescent="0.3">
      <c r="K76" s="25"/>
    </row>
    <row r="77" spans="5:11" x14ac:dyDescent="0.3">
      <c r="K77" s="25"/>
    </row>
    <row r="78" spans="5:11" x14ac:dyDescent="0.3">
      <c r="K78" s="25"/>
    </row>
    <row r="79" spans="5:11" x14ac:dyDescent="0.3">
      <c r="K79" s="25"/>
    </row>
    <row r="80" spans="5:11" x14ac:dyDescent="0.3">
      <c r="K80" s="25"/>
    </row>
    <row r="81" spans="11:11" x14ac:dyDescent="0.3">
      <c r="K81" s="25"/>
    </row>
    <row r="82" spans="11:11" x14ac:dyDescent="0.3">
      <c r="K82" s="25"/>
    </row>
    <row r="83" spans="11:11" x14ac:dyDescent="0.3">
      <c r="K83" s="25"/>
    </row>
    <row r="84" spans="11:11" x14ac:dyDescent="0.3">
      <c r="K84" s="25"/>
    </row>
    <row r="85" spans="11:11" x14ac:dyDescent="0.3">
      <c r="K85" s="25"/>
    </row>
    <row r="86" spans="11:11" x14ac:dyDescent="0.3">
      <c r="K86" s="25"/>
    </row>
    <row r="87" spans="11:11" x14ac:dyDescent="0.3">
      <c r="K87" s="25"/>
    </row>
    <row r="88" spans="11:11" x14ac:dyDescent="0.3">
      <c r="K88" s="25"/>
    </row>
    <row r="89" spans="11:11" x14ac:dyDescent="0.3">
      <c r="K89" s="25"/>
    </row>
    <row r="90" spans="11:11" x14ac:dyDescent="0.3">
      <c r="K90" s="25"/>
    </row>
    <row r="91" spans="11:11" x14ac:dyDescent="0.3">
      <c r="K91" s="25"/>
    </row>
    <row r="92" spans="11:11" x14ac:dyDescent="0.3">
      <c r="K92" s="25"/>
    </row>
    <row r="93" spans="11:11" x14ac:dyDescent="0.3">
      <c r="K93" s="25"/>
    </row>
    <row r="94" spans="11:11" x14ac:dyDescent="0.3">
      <c r="K94" s="25"/>
    </row>
    <row r="95" spans="11:11" x14ac:dyDescent="0.3">
      <c r="K95" s="25"/>
    </row>
    <row r="96" spans="11:11" x14ac:dyDescent="0.3">
      <c r="K96" s="25"/>
    </row>
    <row r="97" spans="11:11" x14ac:dyDescent="0.3">
      <c r="K97" s="25"/>
    </row>
    <row r="98" spans="11:11" x14ac:dyDescent="0.3">
      <c r="K98" s="25"/>
    </row>
    <row r="99" spans="11:11" x14ac:dyDescent="0.3">
      <c r="K99" s="25"/>
    </row>
    <row r="100" spans="11:11" x14ac:dyDescent="0.3">
      <c r="K100" s="25"/>
    </row>
    <row r="101" spans="11:11" x14ac:dyDescent="0.3">
      <c r="K101" s="25"/>
    </row>
    <row r="102" spans="11:11" x14ac:dyDescent="0.3">
      <c r="K102" s="25"/>
    </row>
    <row r="103" spans="11:11" x14ac:dyDescent="0.3">
      <c r="K103" s="25"/>
    </row>
    <row r="104" spans="11:11" x14ac:dyDescent="0.3">
      <c r="K104" s="25"/>
    </row>
    <row r="105" spans="11:11" x14ac:dyDescent="0.3">
      <c r="K105" s="25"/>
    </row>
    <row r="106" spans="11:11" x14ac:dyDescent="0.3">
      <c r="K106" s="25"/>
    </row>
    <row r="107" spans="11:11" x14ac:dyDescent="0.3">
      <c r="K107" s="25"/>
    </row>
    <row r="108" spans="11:11" x14ac:dyDescent="0.3">
      <c r="K108" s="25"/>
    </row>
    <row r="109" spans="11:11" x14ac:dyDescent="0.3">
      <c r="K109" s="25"/>
    </row>
    <row r="110" spans="11:11" x14ac:dyDescent="0.3">
      <c r="K110" s="25"/>
    </row>
    <row r="111" spans="11:11" x14ac:dyDescent="0.3">
      <c r="K111" s="25"/>
    </row>
    <row r="112" spans="11:11" x14ac:dyDescent="0.3">
      <c r="K112" s="25"/>
    </row>
    <row r="113" spans="11:11" x14ac:dyDescent="0.3">
      <c r="K113" s="25"/>
    </row>
    <row r="114" spans="11:11" x14ac:dyDescent="0.3">
      <c r="K114" s="25"/>
    </row>
    <row r="115" spans="11:11" x14ac:dyDescent="0.3">
      <c r="K115" s="25"/>
    </row>
    <row r="116" spans="11:11" x14ac:dyDescent="0.3">
      <c r="K116" s="25"/>
    </row>
    <row r="117" spans="11:11" x14ac:dyDescent="0.3">
      <c r="K117" s="25"/>
    </row>
    <row r="118" spans="11:11" x14ac:dyDescent="0.3">
      <c r="K118" s="25"/>
    </row>
    <row r="119" spans="11:11" x14ac:dyDescent="0.3">
      <c r="K119" s="25"/>
    </row>
    <row r="120" spans="11:11" x14ac:dyDescent="0.3">
      <c r="K120" s="25"/>
    </row>
    <row r="121" spans="11:11" x14ac:dyDescent="0.3">
      <c r="K121" s="25"/>
    </row>
    <row r="122" spans="11:11" x14ac:dyDescent="0.3">
      <c r="K122" s="25"/>
    </row>
    <row r="123" spans="11:11" x14ac:dyDescent="0.3">
      <c r="K123" s="25"/>
    </row>
    <row r="124" spans="11:11" x14ac:dyDescent="0.3">
      <c r="K124" s="25"/>
    </row>
    <row r="125" spans="11:11" x14ac:dyDescent="0.3">
      <c r="K125" s="25"/>
    </row>
    <row r="126" spans="11:11" x14ac:dyDescent="0.3">
      <c r="K126" s="25"/>
    </row>
    <row r="127" spans="11:11" x14ac:dyDescent="0.3">
      <c r="K127" s="25"/>
    </row>
    <row r="128" spans="11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1175928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883488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292440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0.75131130477376162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0.24868869522623835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9205</v>
      </c>
      <c r="C168">
        <v>3416</v>
      </c>
    </row>
    <row r="169" spans="1:3" x14ac:dyDescent="0.3">
      <c r="A169" s="28">
        <v>44028</v>
      </c>
      <c r="B169">
        <v>6781</v>
      </c>
      <c r="C169">
        <v>3522</v>
      </c>
    </row>
    <row r="170" spans="1:3" x14ac:dyDescent="0.3">
      <c r="A170" s="28">
        <v>44029</v>
      </c>
      <c r="B170">
        <v>7203</v>
      </c>
      <c r="C170">
        <v>3258</v>
      </c>
    </row>
    <row r="171" spans="1:3" x14ac:dyDescent="0.3">
      <c r="A171" s="28">
        <v>44030</v>
      </c>
      <c r="B171">
        <v>9778</v>
      </c>
      <c r="C171">
        <v>441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7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190</v>
      </c>
      <c r="C2" t="s">
        <v>79</v>
      </c>
      <c r="D2">
        <v>1</v>
      </c>
      <c r="J2" s="20"/>
      <c r="K2" s="20"/>
    </row>
    <row r="3" spans="1:11" x14ac:dyDescent="0.3">
      <c r="A3" s="20" t="s">
        <v>18</v>
      </c>
      <c r="B3" s="20" t="s">
        <v>190</v>
      </c>
      <c r="C3" t="s">
        <v>72</v>
      </c>
      <c r="D3">
        <v>2</v>
      </c>
      <c r="J3" s="20"/>
      <c r="K3" s="20"/>
    </row>
    <row r="4" spans="1:11" x14ac:dyDescent="0.3">
      <c r="A4" s="20" t="s">
        <v>18</v>
      </c>
      <c r="B4" s="20" t="s">
        <v>78</v>
      </c>
      <c r="C4" t="s">
        <v>78</v>
      </c>
      <c r="D4">
        <v>64</v>
      </c>
      <c r="J4" s="20"/>
      <c r="K4" s="20"/>
    </row>
    <row r="5" spans="1:11" x14ac:dyDescent="0.3">
      <c r="A5" s="20" t="s">
        <v>18</v>
      </c>
      <c r="B5" s="20" t="s">
        <v>191</v>
      </c>
      <c r="C5" t="s">
        <v>80</v>
      </c>
      <c r="D5">
        <v>32</v>
      </c>
      <c r="J5" s="20"/>
      <c r="K5" s="20"/>
    </row>
    <row r="6" spans="1:11" x14ac:dyDescent="0.3">
      <c r="A6" s="20" t="s">
        <v>18</v>
      </c>
      <c r="B6" t="s">
        <v>122</v>
      </c>
      <c r="C6" t="s">
        <v>79</v>
      </c>
      <c r="D6">
        <v>10</v>
      </c>
      <c r="J6" s="20"/>
      <c r="K6" s="20"/>
    </row>
    <row r="7" spans="1:11" x14ac:dyDescent="0.3">
      <c r="A7" s="20" t="s">
        <v>18</v>
      </c>
      <c r="B7" t="s">
        <v>191</v>
      </c>
      <c r="C7" t="s">
        <v>78</v>
      </c>
      <c r="D7">
        <v>1</v>
      </c>
      <c r="J7" s="20"/>
      <c r="K7" s="20"/>
    </row>
    <row r="8" spans="1:11" x14ac:dyDescent="0.3">
      <c r="A8" s="20" t="s">
        <v>18</v>
      </c>
      <c r="B8" t="s">
        <v>190</v>
      </c>
      <c r="C8" t="s">
        <v>80</v>
      </c>
      <c r="D8">
        <v>2</v>
      </c>
      <c r="J8" s="20"/>
      <c r="K8" s="20"/>
    </row>
    <row r="9" spans="1:11" x14ac:dyDescent="0.3">
      <c r="A9" s="20" t="s">
        <v>18</v>
      </c>
      <c r="B9" t="s">
        <v>122</v>
      </c>
      <c r="C9" t="s">
        <v>72</v>
      </c>
      <c r="D9">
        <v>5</v>
      </c>
      <c r="J9" s="20"/>
      <c r="K9" s="20"/>
    </row>
    <row r="10" spans="1:11" x14ac:dyDescent="0.3">
      <c r="A10" s="20" t="s">
        <v>18</v>
      </c>
      <c r="B10" t="s">
        <v>122</v>
      </c>
      <c r="C10" t="s">
        <v>80</v>
      </c>
      <c r="D10">
        <v>49</v>
      </c>
      <c r="J10" s="20"/>
      <c r="K10" s="20"/>
    </row>
    <row r="11" spans="1:11" x14ac:dyDescent="0.3">
      <c r="A11" s="20" t="s">
        <v>18</v>
      </c>
      <c r="B11" t="s">
        <v>191</v>
      </c>
      <c r="C11" t="s">
        <v>79</v>
      </c>
      <c r="D11">
        <v>6</v>
      </c>
      <c r="J11" s="20"/>
      <c r="K11" s="20"/>
    </row>
    <row r="12" spans="1:11" x14ac:dyDescent="0.3">
      <c r="A12" s="20" t="s">
        <v>18</v>
      </c>
      <c r="B12" t="s">
        <v>191</v>
      </c>
      <c r="C12" t="s">
        <v>72</v>
      </c>
      <c r="D12">
        <v>63</v>
      </c>
      <c r="J12" s="20"/>
      <c r="K12" s="20"/>
    </row>
    <row r="13" spans="1:11" x14ac:dyDescent="0.3">
      <c r="A13" s="20" t="s">
        <v>18</v>
      </c>
      <c r="B13" t="s">
        <v>108</v>
      </c>
      <c r="C13" t="s">
        <v>72</v>
      </c>
      <c r="D13">
        <v>63</v>
      </c>
      <c r="J13" s="20"/>
      <c r="K13" s="20"/>
    </row>
    <row r="14" spans="1:11" x14ac:dyDescent="0.3">
      <c r="A14" s="32" t="s">
        <v>18</v>
      </c>
      <c r="B14" s="33"/>
      <c r="C14" s="33"/>
      <c r="D14" s="21">
        <f>(SUMIF(B2:B13,"PROCESSED",D2:D13) +SUMIF(B2:B13,"OFFRAMPED",D2:D13))</f>
        <v>127</v>
      </c>
      <c r="F14">
        <v>298</v>
      </c>
      <c r="G14" s="15">
        <f>SUMIF(B2:B13,"PROCESSED",D2:D13)/(SUMIF(B2:B13,"PROCESSED",D2:D13) +SUMIF(B2:B13,"OFFRAMPED",D2:D13))</f>
        <v>0.50393700787401574</v>
      </c>
      <c r="H14" s="34">
        <f>D14/F14</f>
        <v>0.4261744966442953</v>
      </c>
      <c r="J14" s="20"/>
      <c r="K14" s="20"/>
    </row>
    <row r="15" spans="1:11" x14ac:dyDescent="0.3">
      <c r="A15" s="20" t="s">
        <v>12</v>
      </c>
      <c r="B15" t="s">
        <v>122</v>
      </c>
      <c r="C15" t="s">
        <v>72</v>
      </c>
      <c r="D15">
        <v>1</v>
      </c>
      <c r="J15" s="20"/>
      <c r="K15" s="20"/>
    </row>
    <row r="16" spans="1:11" x14ac:dyDescent="0.3">
      <c r="A16" s="20" t="s">
        <v>12</v>
      </c>
      <c r="B16" t="s">
        <v>122</v>
      </c>
      <c r="C16" t="s">
        <v>79</v>
      </c>
      <c r="D16">
        <v>10</v>
      </c>
      <c r="J16" s="20"/>
      <c r="K16" s="20"/>
    </row>
    <row r="17" spans="1:11" x14ac:dyDescent="0.3">
      <c r="A17" s="20" t="s">
        <v>12</v>
      </c>
      <c r="B17" t="s">
        <v>122</v>
      </c>
      <c r="C17" t="s">
        <v>77</v>
      </c>
      <c r="D17">
        <v>4</v>
      </c>
      <c r="J17" s="20"/>
      <c r="K17" s="20"/>
    </row>
    <row r="18" spans="1:11" x14ac:dyDescent="0.3">
      <c r="A18" t="s">
        <v>12</v>
      </c>
      <c r="B18" t="s">
        <v>108</v>
      </c>
      <c r="C18" t="s">
        <v>72</v>
      </c>
      <c r="D18">
        <v>262</v>
      </c>
      <c r="J18" s="20"/>
      <c r="K18" s="20"/>
    </row>
    <row r="19" spans="1:11" x14ac:dyDescent="0.3">
      <c r="A19" t="s">
        <v>12</v>
      </c>
      <c r="B19" t="s">
        <v>113</v>
      </c>
      <c r="C19" t="s">
        <v>80</v>
      </c>
      <c r="D19">
        <v>1</v>
      </c>
      <c r="J19" s="20"/>
      <c r="K19" s="20"/>
    </row>
    <row r="20" spans="1:11" x14ac:dyDescent="0.3">
      <c r="A20" t="s">
        <v>12</v>
      </c>
      <c r="B20" t="s">
        <v>122</v>
      </c>
      <c r="C20" t="s">
        <v>80</v>
      </c>
      <c r="D20">
        <v>22</v>
      </c>
      <c r="J20" s="20"/>
      <c r="K20" s="20"/>
    </row>
    <row r="21" spans="1:11" x14ac:dyDescent="0.3">
      <c r="A21" t="s">
        <v>12</v>
      </c>
      <c r="B21" t="s">
        <v>78</v>
      </c>
      <c r="C21" t="s">
        <v>78</v>
      </c>
      <c r="D21">
        <v>142</v>
      </c>
      <c r="J21" s="20"/>
      <c r="K21" s="20"/>
    </row>
    <row r="22" spans="1:11" x14ac:dyDescent="0.3">
      <c r="A22" t="s">
        <v>12</v>
      </c>
      <c r="B22" t="s">
        <v>78</v>
      </c>
      <c r="C22" t="s">
        <v>76</v>
      </c>
      <c r="D22">
        <v>46</v>
      </c>
      <c r="J22" s="20"/>
      <c r="K22" s="20"/>
    </row>
    <row r="23" spans="1:11" x14ac:dyDescent="0.3">
      <c r="A23" t="s">
        <v>12</v>
      </c>
      <c r="B23" t="s">
        <v>108</v>
      </c>
      <c r="C23" t="s">
        <v>80</v>
      </c>
      <c r="D23">
        <v>1</v>
      </c>
      <c r="J23" s="20"/>
    </row>
    <row r="24" spans="1:11" x14ac:dyDescent="0.3">
      <c r="A24" t="s">
        <v>12</v>
      </c>
      <c r="B24" t="s">
        <v>291</v>
      </c>
      <c r="C24" t="s">
        <v>80</v>
      </c>
      <c r="D24">
        <v>62</v>
      </c>
      <c r="J24" s="20"/>
    </row>
    <row r="25" spans="1:11" x14ac:dyDescent="0.3">
      <c r="A25" t="s">
        <v>12</v>
      </c>
      <c r="B25" t="s">
        <v>291</v>
      </c>
      <c r="C25" t="s">
        <v>77</v>
      </c>
      <c r="D25">
        <v>13</v>
      </c>
      <c r="J25" s="20"/>
    </row>
    <row r="26" spans="1:11" x14ac:dyDescent="0.3">
      <c r="A26" t="s">
        <v>12</v>
      </c>
      <c r="B26" t="s">
        <v>291</v>
      </c>
      <c r="C26" t="s">
        <v>72</v>
      </c>
      <c r="D26">
        <v>1</v>
      </c>
      <c r="J26" s="20"/>
    </row>
    <row r="27" spans="1:11" x14ac:dyDescent="0.3">
      <c r="A27" t="s">
        <v>12</v>
      </c>
      <c r="B27" t="s">
        <v>291</v>
      </c>
      <c r="C27" t="s">
        <v>79</v>
      </c>
      <c r="D27">
        <v>26</v>
      </c>
      <c r="J27" s="20"/>
    </row>
    <row r="28" spans="1:11" x14ac:dyDescent="0.3">
      <c r="A28" t="s">
        <v>12</v>
      </c>
      <c r="B28" t="s">
        <v>78</v>
      </c>
      <c r="C28" t="s">
        <v>79</v>
      </c>
      <c r="D28">
        <v>30</v>
      </c>
      <c r="J28" s="20"/>
    </row>
    <row r="29" spans="1:11" x14ac:dyDescent="0.3">
      <c r="A29" t="s">
        <v>12</v>
      </c>
      <c r="B29" t="s">
        <v>78</v>
      </c>
      <c r="C29" t="s">
        <v>72</v>
      </c>
      <c r="D29">
        <v>39</v>
      </c>
      <c r="J29" s="20"/>
    </row>
    <row r="30" spans="1:11" x14ac:dyDescent="0.3">
      <c r="A30" s="16" t="s">
        <v>12</v>
      </c>
      <c r="B30" s="14"/>
      <c r="C30" s="14"/>
      <c r="D30" s="21">
        <f>(SUMIF(B15:B29,"PROCESSED",D15:D29) +SUMIF(B15:B29,"OFFRAMPED",D15:D29))</f>
        <v>520</v>
      </c>
      <c r="F30">
        <v>660</v>
      </c>
      <c r="G30" s="15">
        <f>SUMIF(B15:B29,"PROCESSED",D15:D29)/(SUMIF(B15:B29,"PROCESSED",D15:D29) +SUMIF(B15:B29,"OFFRAMPED",D15:D29))</f>
        <v>0.49423076923076925</v>
      </c>
      <c r="H30" s="15">
        <f>D30/F30</f>
        <v>0.78787878787878785</v>
      </c>
      <c r="J30" s="20"/>
    </row>
    <row r="31" spans="1:11" x14ac:dyDescent="0.3">
      <c r="A31" t="s">
        <v>58</v>
      </c>
      <c r="B31" t="s">
        <v>78</v>
      </c>
      <c r="C31" t="s">
        <v>79</v>
      </c>
      <c r="D31">
        <v>64</v>
      </c>
      <c r="J31" s="20"/>
    </row>
    <row r="32" spans="1:11" x14ac:dyDescent="0.3">
      <c r="A32" t="s">
        <v>58</v>
      </c>
      <c r="B32" t="s">
        <v>78</v>
      </c>
      <c r="C32" t="s">
        <v>72</v>
      </c>
      <c r="D32">
        <v>2</v>
      </c>
      <c r="J32" s="20"/>
    </row>
    <row r="33" spans="1:10" x14ac:dyDescent="0.3">
      <c r="A33" t="s">
        <v>58</v>
      </c>
      <c r="B33" t="s">
        <v>78</v>
      </c>
      <c r="C33" t="s">
        <v>78</v>
      </c>
      <c r="D33">
        <v>331</v>
      </c>
      <c r="J33" s="20"/>
    </row>
    <row r="34" spans="1:10" x14ac:dyDescent="0.3">
      <c r="A34" t="s">
        <v>58</v>
      </c>
      <c r="B34" t="s">
        <v>122</v>
      </c>
      <c r="C34" t="s">
        <v>72</v>
      </c>
      <c r="D34">
        <v>10</v>
      </c>
      <c r="J34" s="20"/>
    </row>
    <row r="35" spans="1:10" x14ac:dyDescent="0.3">
      <c r="A35" t="s">
        <v>58</v>
      </c>
      <c r="B35" t="s">
        <v>108</v>
      </c>
      <c r="C35" t="s">
        <v>72</v>
      </c>
      <c r="D35">
        <v>567</v>
      </c>
      <c r="J35" s="20"/>
    </row>
    <row r="36" spans="1:10" x14ac:dyDescent="0.3">
      <c r="A36" t="s">
        <v>58</v>
      </c>
      <c r="B36" t="s">
        <v>191</v>
      </c>
      <c r="C36" t="s">
        <v>72</v>
      </c>
      <c r="D36">
        <v>35</v>
      </c>
      <c r="J36" s="20"/>
    </row>
    <row r="37" spans="1:10" x14ac:dyDescent="0.3">
      <c r="A37" t="s">
        <v>58</v>
      </c>
      <c r="B37" t="s">
        <v>191</v>
      </c>
      <c r="C37" t="s">
        <v>80</v>
      </c>
      <c r="D37">
        <v>45</v>
      </c>
      <c r="J37" s="20"/>
    </row>
    <row r="38" spans="1:10" x14ac:dyDescent="0.3">
      <c r="A38" t="s">
        <v>58</v>
      </c>
      <c r="B38" t="s">
        <v>113</v>
      </c>
      <c r="C38" t="s">
        <v>72</v>
      </c>
      <c r="D38">
        <v>4</v>
      </c>
    </row>
    <row r="39" spans="1:10" x14ac:dyDescent="0.3">
      <c r="A39" t="s">
        <v>58</v>
      </c>
      <c r="B39" t="s">
        <v>113</v>
      </c>
      <c r="C39" t="s">
        <v>80</v>
      </c>
      <c r="D39">
        <v>2</v>
      </c>
    </row>
    <row r="40" spans="1:10" x14ac:dyDescent="0.3">
      <c r="A40" t="s">
        <v>58</v>
      </c>
      <c r="B40" t="s">
        <v>191</v>
      </c>
      <c r="C40" t="s">
        <v>79</v>
      </c>
      <c r="D40">
        <v>1</v>
      </c>
    </row>
    <row r="41" spans="1:10" x14ac:dyDescent="0.3">
      <c r="A41" t="s">
        <v>58</v>
      </c>
      <c r="B41" t="s">
        <v>122</v>
      </c>
      <c r="C41" t="s">
        <v>80</v>
      </c>
      <c r="D41">
        <v>388</v>
      </c>
    </row>
    <row r="42" spans="1:10" x14ac:dyDescent="0.3">
      <c r="A42" t="s">
        <v>58</v>
      </c>
      <c r="B42" t="s">
        <v>122</v>
      </c>
      <c r="C42" t="s">
        <v>78</v>
      </c>
      <c r="D42">
        <v>15</v>
      </c>
    </row>
    <row r="43" spans="1:10" x14ac:dyDescent="0.3">
      <c r="A43" s="16" t="s">
        <v>58</v>
      </c>
      <c r="B43" s="14"/>
      <c r="C43" s="14"/>
      <c r="D43" s="21">
        <f>(SUMIF(B31:B42,"PROCESSED",D31:D42) +SUMIF(B31:B42,"OFFRAMPED",D31:D42))</f>
        <v>964</v>
      </c>
      <c r="F43">
        <v>1464</v>
      </c>
      <c r="G43" s="15">
        <f>SUMIF(B31:B42,"PROCESSED",D31:D42)/(SUMIF(B31:B42,"PROCESSED",D31:D42) +SUMIF(B31:B42,"OFFRAMPED",D31:D42))</f>
        <v>0.41182572614107882</v>
      </c>
      <c r="H43" s="15">
        <f>D43/F43</f>
        <v>0.65846994535519121</v>
      </c>
    </row>
    <row r="44" spans="1:10" x14ac:dyDescent="0.3">
      <c r="A44" t="s">
        <v>57</v>
      </c>
      <c r="B44" t="s">
        <v>108</v>
      </c>
      <c r="C44" t="s">
        <v>72</v>
      </c>
      <c r="D44">
        <v>315</v>
      </c>
    </row>
    <row r="45" spans="1:10" x14ac:dyDescent="0.3">
      <c r="A45" t="s">
        <v>57</v>
      </c>
      <c r="B45" t="s">
        <v>122</v>
      </c>
      <c r="C45" t="s">
        <v>78</v>
      </c>
      <c r="D45">
        <v>13</v>
      </c>
    </row>
    <row r="46" spans="1:10" x14ac:dyDescent="0.3">
      <c r="A46" t="s">
        <v>57</v>
      </c>
      <c r="B46" t="s">
        <v>113</v>
      </c>
      <c r="C46" t="s">
        <v>80</v>
      </c>
      <c r="D46">
        <v>1</v>
      </c>
    </row>
    <row r="47" spans="1:10" x14ac:dyDescent="0.3">
      <c r="A47" t="s">
        <v>57</v>
      </c>
      <c r="B47" t="s">
        <v>78</v>
      </c>
      <c r="C47" t="s">
        <v>72</v>
      </c>
      <c r="D47">
        <v>3</v>
      </c>
    </row>
    <row r="48" spans="1:10" x14ac:dyDescent="0.3">
      <c r="A48" t="s">
        <v>57</v>
      </c>
      <c r="B48" t="s">
        <v>191</v>
      </c>
      <c r="C48" t="s">
        <v>79</v>
      </c>
      <c r="D48">
        <v>3</v>
      </c>
    </row>
    <row r="49" spans="1:8" x14ac:dyDescent="0.3">
      <c r="A49" t="s">
        <v>57</v>
      </c>
      <c r="B49" t="s">
        <v>122</v>
      </c>
      <c r="C49" t="s">
        <v>80</v>
      </c>
      <c r="D49">
        <v>139</v>
      </c>
    </row>
    <row r="50" spans="1:8" x14ac:dyDescent="0.3">
      <c r="A50" t="s">
        <v>57</v>
      </c>
      <c r="B50" t="s">
        <v>191</v>
      </c>
      <c r="C50" t="s">
        <v>80</v>
      </c>
      <c r="D50">
        <v>10</v>
      </c>
    </row>
    <row r="51" spans="1:8" x14ac:dyDescent="0.3">
      <c r="A51" t="s">
        <v>57</v>
      </c>
      <c r="B51" t="s">
        <v>191</v>
      </c>
      <c r="C51" t="s">
        <v>72</v>
      </c>
      <c r="D51">
        <v>30</v>
      </c>
    </row>
    <row r="52" spans="1:8" x14ac:dyDescent="0.3">
      <c r="A52" t="s">
        <v>57</v>
      </c>
      <c r="B52" t="s">
        <v>192</v>
      </c>
      <c r="C52" t="s">
        <v>78</v>
      </c>
      <c r="D52">
        <v>1</v>
      </c>
    </row>
    <row r="53" spans="1:8" x14ac:dyDescent="0.3">
      <c r="A53" t="s">
        <v>57</v>
      </c>
      <c r="B53" t="s">
        <v>78</v>
      </c>
      <c r="C53" t="s">
        <v>79</v>
      </c>
      <c r="D53">
        <v>2</v>
      </c>
    </row>
    <row r="54" spans="1:8" x14ac:dyDescent="0.3">
      <c r="A54" t="s">
        <v>57</v>
      </c>
      <c r="B54" t="s">
        <v>113</v>
      </c>
      <c r="C54" t="s">
        <v>78</v>
      </c>
      <c r="D54">
        <v>1</v>
      </c>
    </row>
    <row r="55" spans="1:8" x14ac:dyDescent="0.3">
      <c r="A55" t="s">
        <v>57</v>
      </c>
      <c r="B55" t="s">
        <v>122</v>
      </c>
      <c r="C55" t="s">
        <v>79</v>
      </c>
      <c r="D55">
        <v>2</v>
      </c>
    </row>
    <row r="56" spans="1:8" x14ac:dyDescent="0.3">
      <c r="A56" t="s">
        <v>57</v>
      </c>
      <c r="B56" t="s">
        <v>122</v>
      </c>
      <c r="C56" t="s">
        <v>72</v>
      </c>
      <c r="D56">
        <v>1</v>
      </c>
    </row>
    <row r="57" spans="1:8" x14ac:dyDescent="0.3">
      <c r="A57" t="s">
        <v>57</v>
      </c>
      <c r="B57" t="s">
        <v>78</v>
      </c>
      <c r="C57" t="s">
        <v>78</v>
      </c>
      <c r="D57">
        <v>285</v>
      </c>
    </row>
    <row r="58" spans="1:8" x14ac:dyDescent="0.3">
      <c r="A58" s="16" t="s">
        <v>57</v>
      </c>
      <c r="B58" s="14"/>
      <c r="C58" s="14"/>
      <c r="D58" s="21">
        <f>(SUMIF(B44:B57,"PROCESSED",D44:D57) +SUMIF(B44:B57,"OFFRAMPED",D44:D57))</f>
        <v>605</v>
      </c>
      <c r="F58">
        <v>806</v>
      </c>
      <c r="G58" s="15">
        <f>SUMIF(B44:B57,"PROCESSED",D44:D57)/(SUMIF(B44:B57,"PROCESSED",D44:D57) +SUMIF(B44:B57,"OFFRAMPED",D44:D57))</f>
        <v>0.47933884297520662</v>
      </c>
      <c r="H58" s="15">
        <f>D58/F58</f>
        <v>0.75062034739454098</v>
      </c>
    </row>
    <row r="59" spans="1:8" x14ac:dyDescent="0.3">
      <c r="A59" t="s">
        <v>17</v>
      </c>
      <c r="B59" t="s">
        <v>122</v>
      </c>
      <c r="C59" t="s">
        <v>80</v>
      </c>
      <c r="D59">
        <v>3184</v>
      </c>
    </row>
    <row r="60" spans="1:8" x14ac:dyDescent="0.3">
      <c r="A60" t="s">
        <v>17</v>
      </c>
      <c r="B60" t="s">
        <v>190</v>
      </c>
      <c r="C60" t="s">
        <v>72</v>
      </c>
      <c r="D60">
        <v>9</v>
      </c>
    </row>
    <row r="61" spans="1:8" x14ac:dyDescent="0.3">
      <c r="A61" t="s">
        <v>17</v>
      </c>
      <c r="B61" t="s">
        <v>78</v>
      </c>
      <c r="C61" t="s">
        <v>78</v>
      </c>
      <c r="D61">
        <v>1425</v>
      </c>
    </row>
    <row r="62" spans="1:8" x14ac:dyDescent="0.3">
      <c r="A62" t="s">
        <v>17</v>
      </c>
      <c r="B62" t="s">
        <v>78</v>
      </c>
      <c r="C62" t="s">
        <v>72</v>
      </c>
      <c r="D62">
        <v>7</v>
      </c>
    </row>
    <row r="63" spans="1:8" x14ac:dyDescent="0.3">
      <c r="A63" t="s">
        <v>17</v>
      </c>
      <c r="B63" t="s">
        <v>190</v>
      </c>
      <c r="C63" t="s">
        <v>78</v>
      </c>
      <c r="D63">
        <v>2</v>
      </c>
    </row>
    <row r="64" spans="1:8" x14ac:dyDescent="0.3">
      <c r="A64" t="s">
        <v>17</v>
      </c>
      <c r="B64" t="s">
        <v>122</v>
      </c>
      <c r="C64" t="s">
        <v>79</v>
      </c>
      <c r="D64">
        <v>31</v>
      </c>
    </row>
    <row r="65" spans="1:8" x14ac:dyDescent="0.3">
      <c r="A65" t="s">
        <v>17</v>
      </c>
      <c r="B65" t="s">
        <v>113</v>
      </c>
      <c r="C65" t="s">
        <v>72</v>
      </c>
      <c r="D65">
        <v>1</v>
      </c>
    </row>
    <row r="66" spans="1:8" x14ac:dyDescent="0.3">
      <c r="A66" t="s">
        <v>17</v>
      </c>
      <c r="B66" t="s">
        <v>113</v>
      </c>
      <c r="C66" t="s">
        <v>78</v>
      </c>
      <c r="D66">
        <v>2</v>
      </c>
    </row>
    <row r="67" spans="1:8" x14ac:dyDescent="0.3">
      <c r="A67" t="s">
        <v>17</v>
      </c>
      <c r="B67" t="s">
        <v>191</v>
      </c>
      <c r="C67" t="s">
        <v>80</v>
      </c>
      <c r="D67">
        <v>737</v>
      </c>
    </row>
    <row r="68" spans="1:8" x14ac:dyDescent="0.3">
      <c r="A68" t="s">
        <v>17</v>
      </c>
      <c r="B68" t="s">
        <v>122</v>
      </c>
      <c r="C68" t="s">
        <v>78</v>
      </c>
      <c r="D68">
        <v>179</v>
      </c>
    </row>
    <row r="69" spans="1:8" x14ac:dyDescent="0.3">
      <c r="A69" t="s">
        <v>17</v>
      </c>
      <c r="B69" t="s">
        <v>190</v>
      </c>
      <c r="C69" t="s">
        <v>80</v>
      </c>
      <c r="D69">
        <v>3</v>
      </c>
    </row>
    <row r="70" spans="1:8" x14ac:dyDescent="0.3">
      <c r="A70" t="s">
        <v>17</v>
      </c>
      <c r="B70" t="s">
        <v>191</v>
      </c>
      <c r="C70" t="s">
        <v>78</v>
      </c>
      <c r="D70">
        <v>106</v>
      </c>
    </row>
    <row r="71" spans="1:8" x14ac:dyDescent="0.3">
      <c r="A71" t="s">
        <v>17</v>
      </c>
      <c r="B71" t="s">
        <v>122</v>
      </c>
      <c r="C71" t="s">
        <v>72</v>
      </c>
      <c r="D71">
        <v>32</v>
      </c>
    </row>
    <row r="72" spans="1:8" x14ac:dyDescent="0.3">
      <c r="A72" t="s">
        <v>17</v>
      </c>
      <c r="B72" t="s">
        <v>108</v>
      </c>
      <c r="C72" t="s">
        <v>78</v>
      </c>
      <c r="D72">
        <v>1</v>
      </c>
    </row>
    <row r="73" spans="1:8" x14ac:dyDescent="0.3">
      <c r="A73" t="s">
        <v>17</v>
      </c>
      <c r="B73" t="s">
        <v>191</v>
      </c>
      <c r="C73" t="s">
        <v>79</v>
      </c>
      <c r="D73">
        <v>91</v>
      </c>
    </row>
    <row r="74" spans="1:8" x14ac:dyDescent="0.3">
      <c r="A74" t="s">
        <v>17</v>
      </c>
      <c r="B74" t="s">
        <v>191</v>
      </c>
      <c r="C74" t="s">
        <v>72</v>
      </c>
      <c r="D74">
        <v>690</v>
      </c>
    </row>
    <row r="75" spans="1:8" x14ac:dyDescent="0.3">
      <c r="A75" t="s">
        <v>17</v>
      </c>
      <c r="B75" t="s">
        <v>108</v>
      </c>
      <c r="C75" t="s">
        <v>72</v>
      </c>
      <c r="D75">
        <v>1191</v>
      </c>
    </row>
    <row r="76" spans="1:8" x14ac:dyDescent="0.3">
      <c r="A76" t="s">
        <v>17</v>
      </c>
      <c r="B76" t="s">
        <v>193</v>
      </c>
      <c r="C76" t="s">
        <v>80</v>
      </c>
      <c r="D76">
        <v>1</v>
      </c>
    </row>
    <row r="77" spans="1:8" x14ac:dyDescent="0.3">
      <c r="A77" s="16" t="s">
        <v>17</v>
      </c>
      <c r="B77" s="14"/>
      <c r="C77" s="14"/>
      <c r="D77" s="21">
        <f>(SUMIF(B59:B76,"PROCESSED",D59:D76) +SUMIF(B59:B76,"OFFRAMPED",D59:D76))</f>
        <v>2624</v>
      </c>
      <c r="F77">
        <v>7692</v>
      </c>
      <c r="G77" s="15">
        <f>SUMIF(B59:B76,"PROCESSED",D59:D76)/(SUMIF(B59:B76,"PROCESSED",D59:D76) +SUMIF(B59:B76,"OFFRAMPED",D59:D76))</f>
        <v>0.54573170731707321</v>
      </c>
      <c r="H77" s="35">
        <f>D77/F77</f>
        <v>0.34113364534581381</v>
      </c>
    </row>
    <row r="78" spans="1:8" x14ac:dyDescent="0.3">
      <c r="A78" t="s">
        <v>59</v>
      </c>
      <c r="B78" t="s">
        <v>78</v>
      </c>
      <c r="C78" t="s">
        <v>78</v>
      </c>
      <c r="D78">
        <v>441</v>
      </c>
    </row>
    <row r="79" spans="1:8" x14ac:dyDescent="0.3">
      <c r="A79" t="s">
        <v>59</v>
      </c>
      <c r="B79" t="s">
        <v>122</v>
      </c>
      <c r="C79" t="s">
        <v>80</v>
      </c>
      <c r="D79">
        <v>663</v>
      </c>
    </row>
    <row r="80" spans="1:8" x14ac:dyDescent="0.3">
      <c r="A80" t="s">
        <v>59</v>
      </c>
      <c r="B80" t="s">
        <v>191</v>
      </c>
      <c r="C80" t="s">
        <v>72</v>
      </c>
      <c r="D80">
        <v>1</v>
      </c>
    </row>
    <row r="81" spans="1:8" x14ac:dyDescent="0.3">
      <c r="A81" t="s">
        <v>59</v>
      </c>
      <c r="B81" t="s">
        <v>108</v>
      </c>
      <c r="C81" t="s">
        <v>72</v>
      </c>
      <c r="D81">
        <v>236</v>
      </c>
    </row>
    <row r="82" spans="1:8" x14ac:dyDescent="0.3">
      <c r="A82" s="16" t="s">
        <v>19</v>
      </c>
      <c r="B82" s="14"/>
      <c r="C82" s="14"/>
      <c r="D82" s="21">
        <f>(SUMIF(B78:B81,"PROCESSED",D78:D81) +SUMIF(B78:B81,"OFFRAMPED",D78:D81))</f>
        <v>677</v>
      </c>
      <c r="F82">
        <v>1341</v>
      </c>
      <c r="G82" s="15">
        <f>SUMIF(B78:B81,"PROCESSED",D78:D81)/(SUMIF(B78:B81,"PROCESSED",D78:D81) +SUMIF(B78:B81,"OFFRAMPED",D78:D81))</f>
        <v>0.65140324963072382</v>
      </c>
      <c r="H82" s="36">
        <f>D82/F82</f>
        <v>0.50484712900820283</v>
      </c>
    </row>
    <row r="83" spans="1:8" x14ac:dyDescent="0.3">
      <c r="A83" t="s">
        <v>26</v>
      </c>
      <c r="B83" t="s">
        <v>291</v>
      </c>
      <c r="C83" t="s">
        <v>80</v>
      </c>
      <c r="D83">
        <v>84</v>
      </c>
    </row>
    <row r="84" spans="1:8" x14ac:dyDescent="0.3">
      <c r="A84" t="s">
        <v>26</v>
      </c>
      <c r="B84" t="s">
        <v>108</v>
      </c>
      <c r="C84" t="s">
        <v>72</v>
      </c>
      <c r="D84">
        <v>147</v>
      </c>
    </row>
    <row r="85" spans="1:8" x14ac:dyDescent="0.3">
      <c r="A85" t="s">
        <v>26</v>
      </c>
      <c r="B85" t="s">
        <v>291</v>
      </c>
      <c r="C85" t="s">
        <v>72</v>
      </c>
      <c r="D85">
        <v>1</v>
      </c>
    </row>
    <row r="86" spans="1:8" x14ac:dyDescent="0.3">
      <c r="A86" t="s">
        <v>26</v>
      </c>
      <c r="B86" t="s">
        <v>78</v>
      </c>
      <c r="C86" t="s">
        <v>78</v>
      </c>
      <c r="D86">
        <v>118</v>
      </c>
    </row>
    <row r="87" spans="1:8" x14ac:dyDescent="0.3">
      <c r="A87" t="s">
        <v>26</v>
      </c>
      <c r="B87" t="s">
        <v>78</v>
      </c>
      <c r="C87" t="s">
        <v>79</v>
      </c>
      <c r="D87">
        <v>2</v>
      </c>
    </row>
    <row r="88" spans="1:8" x14ac:dyDescent="0.3">
      <c r="A88" t="s">
        <v>26</v>
      </c>
      <c r="B88" t="s">
        <v>78</v>
      </c>
      <c r="C88" t="s">
        <v>72</v>
      </c>
      <c r="D88">
        <v>1</v>
      </c>
    </row>
    <row r="89" spans="1:8" x14ac:dyDescent="0.3">
      <c r="A89" t="s">
        <v>26</v>
      </c>
      <c r="B89" t="s">
        <v>122</v>
      </c>
      <c r="C89" t="s">
        <v>72</v>
      </c>
      <c r="D89">
        <v>4</v>
      </c>
    </row>
    <row r="90" spans="1:8" x14ac:dyDescent="0.3">
      <c r="A90" t="s">
        <v>26</v>
      </c>
      <c r="B90" t="s">
        <v>191</v>
      </c>
      <c r="C90" t="s">
        <v>72</v>
      </c>
      <c r="D90">
        <v>1</v>
      </c>
    </row>
    <row r="91" spans="1:8" x14ac:dyDescent="0.3">
      <c r="A91" t="s">
        <v>26</v>
      </c>
      <c r="B91" t="s">
        <v>122</v>
      </c>
      <c r="C91" t="s">
        <v>80</v>
      </c>
      <c r="D91">
        <v>32</v>
      </c>
    </row>
    <row r="92" spans="1:8" x14ac:dyDescent="0.3">
      <c r="A92" s="16" t="s">
        <v>26</v>
      </c>
      <c r="B92" s="14"/>
      <c r="C92" s="14"/>
      <c r="D92" s="21">
        <f>(SUMIF(B83:B91,"PROCESSED",D83:D91) +SUMIF(B83:B91,"OFFRAMPED",D83:D91))</f>
        <v>268</v>
      </c>
      <c r="F92">
        <v>390</v>
      </c>
      <c r="G92" s="15">
        <f>SUMIF(B83:B91,"PROCESSED",D83:D91)/(SUMIF(B83:B91,"PROCESSED",D83:D91) +SUMIF(B83:B91,"OFFRAMPED",D83:D91))</f>
        <v>0.45149253731343286</v>
      </c>
      <c r="H92" s="15">
        <f>D92/F92</f>
        <v>0.68717948717948718</v>
      </c>
    </row>
    <row r="93" spans="1:8" x14ac:dyDescent="0.3">
      <c r="A93" s="20" t="s">
        <v>30</v>
      </c>
      <c r="B93" s="20" t="s">
        <v>78</v>
      </c>
      <c r="C93" t="s">
        <v>79</v>
      </c>
      <c r="D93">
        <v>1</v>
      </c>
    </row>
    <row r="94" spans="1:8" x14ac:dyDescent="0.3">
      <c r="A94" s="20" t="s">
        <v>30</v>
      </c>
      <c r="B94" s="20" t="s">
        <v>108</v>
      </c>
      <c r="C94" t="s">
        <v>72</v>
      </c>
      <c r="D94">
        <v>237</v>
      </c>
    </row>
    <row r="95" spans="1:8" x14ac:dyDescent="0.3">
      <c r="A95" s="20" t="s">
        <v>30</v>
      </c>
      <c r="B95" s="20" t="s">
        <v>78</v>
      </c>
      <c r="C95" t="s">
        <v>78</v>
      </c>
      <c r="D95">
        <v>716</v>
      </c>
    </row>
    <row r="96" spans="1:8" x14ac:dyDescent="0.3">
      <c r="A96" s="20" t="s">
        <v>30</v>
      </c>
      <c r="B96" s="20" t="s">
        <v>122</v>
      </c>
      <c r="C96" t="s">
        <v>80</v>
      </c>
      <c r="D96">
        <v>11</v>
      </c>
    </row>
    <row r="97" spans="1:8" x14ac:dyDescent="0.3">
      <c r="A97" s="22" t="s">
        <v>30</v>
      </c>
      <c r="B97" s="14"/>
      <c r="C97" s="14"/>
      <c r="D97" s="21">
        <f>(SUMIF(B93:B96,"PROCESSED",D93:D96) +SUMIF(B93:B96,"OFFRAMPED",D93:D96))</f>
        <v>954</v>
      </c>
      <c r="F97">
        <v>965</v>
      </c>
      <c r="G97" s="15">
        <f>SUMIF(B93:B96,"PROCESSED",D93:D96)/(SUMIF(B93:B96,"PROCESSED",D93:D96) +SUMIF(B93:B96,"OFFRAMPED",D93:D96))</f>
        <v>0.75157232704402521</v>
      </c>
      <c r="H97" s="15">
        <f>D97/F97</f>
        <v>0.98860103626943008</v>
      </c>
    </row>
    <row r="98" spans="1:8" x14ac:dyDescent="0.3">
      <c r="A98" s="20" t="s">
        <v>31</v>
      </c>
      <c r="B98" s="20" t="s">
        <v>78</v>
      </c>
      <c r="C98" t="s">
        <v>78</v>
      </c>
      <c r="D98">
        <v>72</v>
      </c>
    </row>
    <row r="99" spans="1:8" x14ac:dyDescent="0.3">
      <c r="A99" s="20" t="s">
        <v>31</v>
      </c>
      <c r="B99" s="20" t="s">
        <v>122</v>
      </c>
      <c r="C99" t="s">
        <v>80</v>
      </c>
      <c r="D99">
        <v>14</v>
      </c>
    </row>
    <row r="100" spans="1:8" x14ac:dyDescent="0.3">
      <c r="A100" s="20" t="s">
        <v>31</v>
      </c>
      <c r="B100" s="20" t="s">
        <v>190</v>
      </c>
      <c r="C100" t="s">
        <v>72</v>
      </c>
      <c r="D100">
        <v>4</v>
      </c>
    </row>
    <row r="101" spans="1:8" x14ac:dyDescent="0.3">
      <c r="A101" s="20" t="s">
        <v>31</v>
      </c>
      <c r="B101" s="20" t="s">
        <v>191</v>
      </c>
      <c r="C101" t="s">
        <v>80</v>
      </c>
      <c r="D101">
        <v>1</v>
      </c>
    </row>
    <row r="102" spans="1:8" x14ac:dyDescent="0.3">
      <c r="A102" s="20" t="s">
        <v>31</v>
      </c>
      <c r="B102" s="20" t="s">
        <v>108</v>
      </c>
      <c r="C102" t="s">
        <v>72</v>
      </c>
      <c r="D102">
        <v>33</v>
      </c>
    </row>
    <row r="103" spans="1:8" x14ac:dyDescent="0.3">
      <c r="A103" s="20" t="s">
        <v>31</v>
      </c>
      <c r="B103" s="20" t="s">
        <v>191</v>
      </c>
      <c r="C103" t="s">
        <v>78</v>
      </c>
      <c r="D103">
        <v>1</v>
      </c>
    </row>
    <row r="104" spans="1:8" x14ac:dyDescent="0.3">
      <c r="A104" s="20" t="s">
        <v>31</v>
      </c>
      <c r="B104" s="20" t="s">
        <v>191</v>
      </c>
      <c r="C104" t="s">
        <v>72</v>
      </c>
      <c r="D104">
        <v>12</v>
      </c>
    </row>
    <row r="105" spans="1:8" x14ac:dyDescent="0.3">
      <c r="A105" s="20" t="s">
        <v>31</v>
      </c>
      <c r="B105" s="20" t="s">
        <v>191</v>
      </c>
      <c r="C105" t="s">
        <v>79</v>
      </c>
      <c r="D105">
        <v>1</v>
      </c>
    </row>
    <row r="106" spans="1:8" x14ac:dyDescent="0.3">
      <c r="A106" s="20" t="s">
        <v>31</v>
      </c>
      <c r="B106" s="20" t="s">
        <v>291</v>
      </c>
      <c r="C106" t="s">
        <v>80</v>
      </c>
      <c r="D106">
        <v>53</v>
      </c>
    </row>
    <row r="107" spans="1:8" x14ac:dyDescent="0.3">
      <c r="A107" s="22" t="s">
        <v>31</v>
      </c>
      <c r="B107" s="14"/>
      <c r="C107" s="14"/>
      <c r="D107" s="21">
        <f>(SUMIF(B98:B106,"PROCESSED",D98:D106) +SUMIF(B98:B106,"OFFRAMPED",D98:D106))</f>
        <v>105</v>
      </c>
      <c r="F107">
        <v>191</v>
      </c>
      <c r="G107" s="15">
        <f>SUMIF(B98:B106,"PROCESSED",D98:D106)/(SUMIF(B98:B106,"PROCESSED",D98:D106) +SUMIF(B98:B106,"OFFRAMPED",D98:D106))</f>
        <v>0.68571428571428572</v>
      </c>
      <c r="H107" s="15">
        <f>D107/F107</f>
        <v>0.54973821989528793</v>
      </c>
    </row>
  </sheetData>
  <phoneticPr fontId="9" type="noConversion"/>
  <conditionalFormatting sqref="H92">
    <cfRule type="cellIs" dxfId="12" priority="20" operator="greaterThan">
      <formula>1</formula>
    </cfRule>
  </conditionalFormatting>
  <conditionalFormatting sqref="H107">
    <cfRule type="cellIs" dxfId="11" priority="19" operator="greaterThan">
      <formula>1</formula>
    </cfRule>
  </conditionalFormatting>
  <conditionalFormatting sqref="H14 H77 H82">
    <cfRule type="cellIs" dxfId="10" priority="21" operator="greaterThan">
      <formula>1</formula>
    </cfRule>
  </conditionalFormatting>
  <conditionalFormatting sqref="H97">
    <cfRule type="cellIs" dxfId="9" priority="18" operator="greaterThan">
      <formula>1</formula>
    </cfRule>
  </conditionalFormatting>
  <conditionalFormatting sqref="G14">
    <cfRule type="cellIs" dxfId="8" priority="17" operator="lessThan">
      <formula>0.41</formula>
    </cfRule>
  </conditionalFormatting>
  <conditionalFormatting sqref="G30">
    <cfRule type="cellIs" dxfId="7" priority="8" operator="lessThan">
      <formula>0.14</formula>
    </cfRule>
  </conditionalFormatting>
  <conditionalFormatting sqref="G43">
    <cfRule type="cellIs" dxfId="6" priority="7" operator="lessThan">
      <formula>0.18</formula>
    </cfRule>
  </conditionalFormatting>
  <conditionalFormatting sqref="G58">
    <cfRule type="cellIs" dxfId="5" priority="6" operator="lessThan">
      <formula>0.3</formula>
    </cfRule>
  </conditionalFormatting>
  <conditionalFormatting sqref="G77">
    <cfRule type="cellIs" dxfId="4" priority="5" operator="lessThan">
      <formula>0.41</formula>
    </cfRule>
  </conditionalFormatting>
  <conditionalFormatting sqref="G82">
    <cfRule type="cellIs" dxfId="3" priority="4" operator="lessThan">
      <formula>0.47</formula>
    </cfRule>
  </conditionalFormatting>
  <conditionalFormatting sqref="G92">
    <cfRule type="cellIs" dxfId="2" priority="3" operator="lessThan">
      <formula>0.06</formula>
    </cfRule>
  </conditionalFormatting>
  <conditionalFormatting sqref="G97">
    <cfRule type="cellIs" dxfId="1" priority="2" operator="lessThan">
      <formula>0.54</formula>
    </cfRule>
  </conditionalFormatting>
  <conditionalFormatting sqref="G107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240923</v>
      </c>
      <c r="B2" t="s">
        <v>78</v>
      </c>
      <c r="C2">
        <v>1319765</v>
      </c>
      <c r="D2" t="s">
        <v>78</v>
      </c>
      <c r="E2" t="s">
        <v>57</v>
      </c>
      <c r="F2" t="s">
        <v>57</v>
      </c>
      <c r="G2" t="s">
        <v>109</v>
      </c>
      <c r="H2" t="s">
        <v>228</v>
      </c>
      <c r="I2" t="s">
        <v>78</v>
      </c>
      <c r="J2" t="s">
        <v>42</v>
      </c>
      <c r="K2" t="s">
        <v>87</v>
      </c>
      <c r="L2" s="25">
        <v>44030</v>
      </c>
      <c r="M2">
        <v>7</v>
      </c>
      <c r="N2">
        <v>2020</v>
      </c>
      <c r="O2" t="s">
        <v>110</v>
      </c>
      <c r="P2">
        <v>170</v>
      </c>
      <c r="Q2" s="17">
        <v>44030.443172569445</v>
      </c>
      <c r="R2" t="s">
        <v>111</v>
      </c>
    </row>
    <row r="3" spans="1:18" x14ac:dyDescent="0.3">
      <c r="A3">
        <v>9679513</v>
      </c>
      <c r="B3" t="s">
        <v>72</v>
      </c>
      <c r="C3">
        <v>1319867</v>
      </c>
      <c r="D3" t="s">
        <v>108</v>
      </c>
      <c r="E3" t="s">
        <v>57</v>
      </c>
      <c r="F3" t="s">
        <v>57</v>
      </c>
      <c r="G3" t="s">
        <v>109</v>
      </c>
      <c r="H3" t="s">
        <v>229</v>
      </c>
      <c r="I3" t="s">
        <v>84</v>
      </c>
      <c r="J3" t="s">
        <v>85</v>
      </c>
      <c r="K3" t="s">
        <v>87</v>
      </c>
      <c r="L3" s="25">
        <v>44030</v>
      </c>
      <c r="M3">
        <v>7</v>
      </c>
      <c r="N3">
        <v>2020</v>
      </c>
      <c r="O3" t="s">
        <v>110</v>
      </c>
      <c r="P3">
        <v>170</v>
      </c>
      <c r="Q3" s="17">
        <v>44030.468340509258</v>
      </c>
      <c r="R3" t="s">
        <v>111</v>
      </c>
    </row>
    <row r="4" spans="1:18" x14ac:dyDescent="0.3">
      <c r="A4">
        <v>242003</v>
      </c>
      <c r="B4" t="s">
        <v>78</v>
      </c>
      <c r="C4">
        <v>1322454</v>
      </c>
      <c r="D4" t="s">
        <v>78</v>
      </c>
      <c r="E4" t="s">
        <v>58</v>
      </c>
      <c r="F4" t="s">
        <v>58</v>
      </c>
      <c r="G4" t="s">
        <v>114</v>
      </c>
      <c r="H4" t="s">
        <v>105</v>
      </c>
      <c r="I4" t="s">
        <v>78</v>
      </c>
      <c r="J4" t="s">
        <v>42</v>
      </c>
      <c r="K4" t="s">
        <v>87</v>
      </c>
      <c r="L4" s="25">
        <v>44030</v>
      </c>
      <c r="M4">
        <v>7</v>
      </c>
      <c r="N4">
        <v>2020</v>
      </c>
      <c r="O4" t="s">
        <v>110</v>
      </c>
      <c r="P4">
        <v>170</v>
      </c>
      <c r="Q4" s="17">
        <v>44030.482557870368</v>
      </c>
      <c r="R4" t="s">
        <v>111</v>
      </c>
    </row>
    <row r="5" spans="1:18" x14ac:dyDescent="0.3">
      <c r="A5">
        <v>242654</v>
      </c>
      <c r="B5" t="s">
        <v>78</v>
      </c>
      <c r="C5">
        <v>1326147</v>
      </c>
      <c r="D5" t="s">
        <v>78</v>
      </c>
      <c r="E5" t="s">
        <v>58</v>
      </c>
      <c r="F5" t="s">
        <v>58</v>
      </c>
      <c r="G5" t="s">
        <v>114</v>
      </c>
      <c r="H5" t="s">
        <v>105</v>
      </c>
      <c r="I5" t="s">
        <v>78</v>
      </c>
      <c r="J5" t="s">
        <v>42</v>
      </c>
      <c r="K5" t="s">
        <v>87</v>
      </c>
      <c r="L5" s="25">
        <v>44030</v>
      </c>
      <c r="M5">
        <v>7</v>
      </c>
      <c r="N5">
        <v>2020</v>
      </c>
      <c r="O5" t="s">
        <v>110</v>
      </c>
      <c r="P5">
        <v>170</v>
      </c>
      <c r="Q5" s="17">
        <v>44030.484315277776</v>
      </c>
      <c r="R5" t="s">
        <v>111</v>
      </c>
    </row>
    <row r="6" spans="1:18" x14ac:dyDescent="0.3">
      <c r="A6">
        <v>21529511</v>
      </c>
      <c r="B6" t="s">
        <v>78</v>
      </c>
      <c r="C6">
        <v>1326381</v>
      </c>
      <c r="D6" t="s">
        <v>78</v>
      </c>
      <c r="E6" t="s">
        <v>117</v>
      </c>
      <c r="F6" t="s">
        <v>117</v>
      </c>
      <c r="G6" t="s">
        <v>59</v>
      </c>
      <c r="H6" t="s">
        <v>230</v>
      </c>
      <c r="I6" t="s">
        <v>78</v>
      </c>
      <c r="J6" t="s">
        <v>42</v>
      </c>
      <c r="K6" t="s">
        <v>91</v>
      </c>
      <c r="L6" s="25">
        <v>44030</v>
      </c>
      <c r="M6">
        <v>7</v>
      </c>
      <c r="N6">
        <v>2020</v>
      </c>
      <c r="O6" t="s">
        <v>110</v>
      </c>
      <c r="P6">
        <v>170</v>
      </c>
      <c r="Q6" s="17">
        <v>44030.424703703706</v>
      </c>
      <c r="R6" t="s">
        <v>118</v>
      </c>
    </row>
    <row r="7" spans="1:18" x14ac:dyDescent="0.3">
      <c r="A7">
        <v>21527859</v>
      </c>
      <c r="B7" t="s">
        <v>78</v>
      </c>
      <c r="C7">
        <v>1326585</v>
      </c>
      <c r="D7" t="s">
        <v>78</v>
      </c>
      <c r="E7" t="s">
        <v>117</v>
      </c>
      <c r="F7" t="s">
        <v>117</v>
      </c>
      <c r="G7" t="s">
        <v>59</v>
      </c>
      <c r="H7" t="s">
        <v>230</v>
      </c>
      <c r="I7" t="s">
        <v>78</v>
      </c>
      <c r="J7" t="s">
        <v>42</v>
      </c>
      <c r="K7" t="s">
        <v>91</v>
      </c>
      <c r="L7" s="25">
        <v>44030</v>
      </c>
      <c r="M7">
        <v>7</v>
      </c>
      <c r="N7">
        <v>2020</v>
      </c>
      <c r="O7" t="s">
        <v>110</v>
      </c>
      <c r="P7">
        <v>170</v>
      </c>
      <c r="Q7" s="17">
        <v>44030.429535069445</v>
      </c>
      <c r="R7" t="s">
        <v>118</v>
      </c>
    </row>
    <row r="8" spans="1:18" x14ac:dyDescent="0.3">
      <c r="A8">
        <v>21529401</v>
      </c>
      <c r="B8" t="s">
        <v>78</v>
      </c>
      <c r="C8">
        <v>1326700</v>
      </c>
      <c r="D8" t="s">
        <v>78</v>
      </c>
      <c r="E8" t="s">
        <v>117</v>
      </c>
      <c r="F8" t="s">
        <v>117</v>
      </c>
      <c r="G8" t="s">
        <v>59</v>
      </c>
      <c r="H8" t="s">
        <v>230</v>
      </c>
      <c r="I8" t="s">
        <v>78</v>
      </c>
      <c r="J8" t="s">
        <v>42</v>
      </c>
      <c r="K8" t="s">
        <v>91</v>
      </c>
      <c r="L8" s="25">
        <v>44030</v>
      </c>
      <c r="M8">
        <v>7</v>
      </c>
      <c r="N8">
        <v>2020</v>
      </c>
      <c r="O8" t="s">
        <v>110</v>
      </c>
      <c r="P8">
        <v>170</v>
      </c>
      <c r="Q8" s="17">
        <v>44030.430777199072</v>
      </c>
      <c r="R8" t="s">
        <v>118</v>
      </c>
    </row>
    <row r="9" spans="1:18" x14ac:dyDescent="0.3">
      <c r="A9">
        <v>21529452</v>
      </c>
      <c r="B9" t="s">
        <v>78</v>
      </c>
      <c r="C9">
        <v>1326717</v>
      </c>
      <c r="D9" t="s">
        <v>78</v>
      </c>
      <c r="E9" t="s">
        <v>117</v>
      </c>
      <c r="F9" t="s">
        <v>117</v>
      </c>
      <c r="G9" t="s">
        <v>59</v>
      </c>
      <c r="H9" t="s">
        <v>231</v>
      </c>
      <c r="I9" t="s">
        <v>78</v>
      </c>
      <c r="J9" t="s">
        <v>42</v>
      </c>
      <c r="K9" t="s">
        <v>91</v>
      </c>
      <c r="L9" s="25">
        <v>44030</v>
      </c>
      <c r="M9">
        <v>7</v>
      </c>
      <c r="N9">
        <v>2020</v>
      </c>
      <c r="O9" t="s">
        <v>110</v>
      </c>
      <c r="P9">
        <v>170</v>
      </c>
      <c r="Q9" s="17">
        <v>44030.430765625002</v>
      </c>
      <c r="R9" t="s">
        <v>119</v>
      </c>
    </row>
    <row r="10" spans="1:18" x14ac:dyDescent="0.3">
      <c r="A10">
        <v>21529349</v>
      </c>
      <c r="B10" t="s">
        <v>78</v>
      </c>
      <c r="C10">
        <v>1326751</v>
      </c>
      <c r="D10" t="s">
        <v>78</v>
      </c>
      <c r="E10" t="s">
        <v>117</v>
      </c>
      <c r="F10" t="s">
        <v>117</v>
      </c>
      <c r="G10" t="s">
        <v>59</v>
      </c>
      <c r="H10" t="s">
        <v>231</v>
      </c>
      <c r="I10" t="s">
        <v>78</v>
      </c>
      <c r="J10" t="s">
        <v>42</v>
      </c>
      <c r="K10" t="s">
        <v>91</v>
      </c>
      <c r="L10" s="25">
        <v>44030</v>
      </c>
      <c r="M10">
        <v>7</v>
      </c>
      <c r="N10">
        <v>2020</v>
      </c>
      <c r="O10" t="s">
        <v>110</v>
      </c>
      <c r="P10">
        <v>170</v>
      </c>
      <c r="Q10" s="17">
        <v>44030.431975115738</v>
      </c>
      <c r="R10" t="s">
        <v>119</v>
      </c>
    </row>
    <row r="11" spans="1:18" x14ac:dyDescent="0.3">
      <c r="A11">
        <v>21527853</v>
      </c>
      <c r="B11" t="s">
        <v>72</v>
      </c>
      <c r="C11">
        <v>1327053</v>
      </c>
      <c r="D11" t="s">
        <v>108</v>
      </c>
      <c r="E11" t="s">
        <v>117</v>
      </c>
      <c r="F11" t="s">
        <v>117</v>
      </c>
      <c r="G11" t="s">
        <v>59</v>
      </c>
      <c r="H11" t="s">
        <v>229</v>
      </c>
      <c r="I11" t="s">
        <v>84</v>
      </c>
      <c r="J11" t="s">
        <v>85</v>
      </c>
      <c r="K11" t="s">
        <v>91</v>
      </c>
      <c r="L11" s="25">
        <v>44030</v>
      </c>
      <c r="M11">
        <v>7</v>
      </c>
      <c r="N11">
        <v>2020</v>
      </c>
      <c r="O11" t="s">
        <v>110</v>
      </c>
      <c r="P11">
        <v>170</v>
      </c>
      <c r="Q11" s="17">
        <v>44030.434005787036</v>
      </c>
      <c r="R11" t="s">
        <v>119</v>
      </c>
    </row>
    <row r="12" spans="1:18" x14ac:dyDescent="0.3">
      <c r="A12">
        <v>21529393</v>
      </c>
      <c r="B12" t="s">
        <v>78</v>
      </c>
      <c r="C12">
        <v>1327253</v>
      </c>
      <c r="D12" t="s">
        <v>78</v>
      </c>
      <c r="E12" t="s">
        <v>117</v>
      </c>
      <c r="F12" t="s">
        <v>117</v>
      </c>
      <c r="G12" t="s">
        <v>59</v>
      </c>
      <c r="H12" t="s">
        <v>231</v>
      </c>
      <c r="I12" t="s">
        <v>78</v>
      </c>
      <c r="J12" t="s">
        <v>42</v>
      </c>
      <c r="K12" t="s">
        <v>91</v>
      </c>
      <c r="L12" s="25">
        <v>44030</v>
      </c>
      <c r="M12">
        <v>7</v>
      </c>
      <c r="N12">
        <v>2020</v>
      </c>
      <c r="O12" t="s">
        <v>110</v>
      </c>
      <c r="P12">
        <v>170</v>
      </c>
      <c r="Q12" s="17">
        <v>44030.437573842595</v>
      </c>
      <c r="R12" t="s">
        <v>119</v>
      </c>
    </row>
    <row r="13" spans="1:18" x14ac:dyDescent="0.3">
      <c r="A13">
        <v>21529249</v>
      </c>
      <c r="B13" t="s">
        <v>78</v>
      </c>
      <c r="C13">
        <v>1327236</v>
      </c>
      <c r="D13" t="s">
        <v>78</v>
      </c>
      <c r="E13" t="s">
        <v>117</v>
      </c>
      <c r="F13" t="s">
        <v>117</v>
      </c>
      <c r="G13" t="s">
        <v>59</v>
      </c>
      <c r="H13" t="s">
        <v>231</v>
      </c>
      <c r="I13" t="s">
        <v>78</v>
      </c>
      <c r="J13" t="s">
        <v>42</v>
      </c>
      <c r="K13" t="s">
        <v>91</v>
      </c>
      <c r="L13" s="25">
        <v>44030</v>
      </c>
      <c r="M13">
        <v>7</v>
      </c>
      <c r="N13">
        <v>2020</v>
      </c>
      <c r="O13" t="s">
        <v>110</v>
      </c>
      <c r="P13">
        <v>170</v>
      </c>
      <c r="Q13" s="17">
        <v>44030.435924074074</v>
      </c>
      <c r="R13" t="s">
        <v>119</v>
      </c>
    </row>
    <row r="14" spans="1:18" x14ac:dyDescent="0.3">
      <c r="A14">
        <v>21529323</v>
      </c>
      <c r="B14" t="s">
        <v>78</v>
      </c>
      <c r="C14">
        <v>1327351</v>
      </c>
      <c r="D14" t="s">
        <v>78</v>
      </c>
      <c r="E14" t="s">
        <v>117</v>
      </c>
      <c r="F14" t="s">
        <v>117</v>
      </c>
      <c r="G14" t="s">
        <v>59</v>
      </c>
      <c r="H14" t="s">
        <v>230</v>
      </c>
      <c r="I14" t="s">
        <v>78</v>
      </c>
      <c r="J14" t="s">
        <v>42</v>
      </c>
      <c r="K14" t="s">
        <v>91</v>
      </c>
      <c r="L14" s="25">
        <v>44030</v>
      </c>
      <c r="M14">
        <v>7</v>
      </c>
      <c r="N14">
        <v>2020</v>
      </c>
      <c r="O14" t="s">
        <v>110</v>
      </c>
      <c r="P14">
        <v>170</v>
      </c>
      <c r="Q14" s="17">
        <v>44030.439856828707</v>
      </c>
      <c r="R14" t="s">
        <v>118</v>
      </c>
    </row>
    <row r="15" spans="1:18" x14ac:dyDescent="0.3">
      <c r="A15">
        <v>21529593</v>
      </c>
      <c r="B15" t="s">
        <v>78</v>
      </c>
      <c r="C15">
        <v>1327504</v>
      </c>
      <c r="D15" t="s">
        <v>78</v>
      </c>
      <c r="E15" t="s">
        <v>117</v>
      </c>
      <c r="F15" t="s">
        <v>117</v>
      </c>
      <c r="G15" t="s">
        <v>59</v>
      </c>
      <c r="H15" t="s">
        <v>230</v>
      </c>
      <c r="I15" t="s">
        <v>78</v>
      </c>
      <c r="J15" t="s">
        <v>42</v>
      </c>
      <c r="K15" t="s">
        <v>91</v>
      </c>
      <c r="L15" s="25">
        <v>44030</v>
      </c>
      <c r="M15">
        <v>7</v>
      </c>
      <c r="N15">
        <v>2020</v>
      </c>
      <c r="O15" t="s">
        <v>110</v>
      </c>
      <c r="P15">
        <v>170</v>
      </c>
      <c r="Q15" s="17">
        <v>44030.439842245367</v>
      </c>
      <c r="R15" t="s">
        <v>118</v>
      </c>
    </row>
    <row r="16" spans="1:18" x14ac:dyDescent="0.3">
      <c r="A16">
        <v>241644</v>
      </c>
      <c r="B16" t="s">
        <v>80</v>
      </c>
      <c r="C16">
        <v>1327521</v>
      </c>
      <c r="D16" t="s">
        <v>113</v>
      </c>
      <c r="E16" t="s">
        <v>117</v>
      </c>
      <c r="F16" t="s">
        <v>117</v>
      </c>
      <c r="G16" t="s">
        <v>59</v>
      </c>
      <c r="H16" t="s">
        <v>232</v>
      </c>
      <c r="I16" t="s">
        <v>84</v>
      </c>
      <c r="J16" t="s">
        <v>85</v>
      </c>
      <c r="K16" t="s">
        <v>91</v>
      </c>
      <c r="L16" s="25">
        <v>44030</v>
      </c>
      <c r="M16">
        <v>7</v>
      </c>
      <c r="N16">
        <v>2020</v>
      </c>
      <c r="O16" t="s">
        <v>110</v>
      </c>
      <c r="P16">
        <v>170</v>
      </c>
      <c r="Q16" s="17">
        <v>44030.444416782404</v>
      </c>
      <c r="R16" t="s">
        <v>119</v>
      </c>
    </row>
    <row r="17" spans="1:18" x14ac:dyDescent="0.3">
      <c r="A17">
        <v>9684511</v>
      </c>
      <c r="B17" t="s">
        <v>79</v>
      </c>
      <c r="C17">
        <v>1327938</v>
      </c>
      <c r="D17" t="s">
        <v>116</v>
      </c>
      <c r="E17" t="s">
        <v>58</v>
      </c>
      <c r="F17" t="s">
        <v>58</v>
      </c>
      <c r="G17" t="s">
        <v>114</v>
      </c>
      <c r="H17" t="s">
        <v>233</v>
      </c>
      <c r="I17" t="s">
        <v>82</v>
      </c>
      <c r="J17" t="s">
        <v>42</v>
      </c>
      <c r="K17" t="s">
        <v>87</v>
      </c>
      <c r="L17" s="25">
        <v>44030</v>
      </c>
      <c r="M17">
        <v>7</v>
      </c>
      <c r="N17">
        <v>2020</v>
      </c>
      <c r="O17" t="s">
        <v>110</v>
      </c>
      <c r="P17">
        <v>170</v>
      </c>
      <c r="Q17" s="17">
        <v>44030.435067708335</v>
      </c>
      <c r="R17" t="s">
        <v>111</v>
      </c>
    </row>
    <row r="18" spans="1:18" x14ac:dyDescent="0.3">
      <c r="A18">
        <v>9684511</v>
      </c>
      <c r="B18" t="s">
        <v>79</v>
      </c>
      <c r="C18">
        <v>1327955</v>
      </c>
      <c r="D18" t="s">
        <v>116</v>
      </c>
      <c r="E18" t="s">
        <v>58</v>
      </c>
      <c r="F18" t="s">
        <v>58</v>
      </c>
      <c r="G18" t="s">
        <v>114</v>
      </c>
      <c r="H18" t="s">
        <v>233</v>
      </c>
      <c r="I18" t="s">
        <v>82</v>
      </c>
      <c r="J18" t="s">
        <v>42</v>
      </c>
      <c r="K18" t="s">
        <v>87</v>
      </c>
      <c r="L18" s="25">
        <v>44030</v>
      </c>
      <c r="M18">
        <v>7</v>
      </c>
      <c r="N18">
        <v>2020</v>
      </c>
      <c r="O18" t="s">
        <v>110</v>
      </c>
      <c r="P18">
        <v>170</v>
      </c>
      <c r="Q18" s="17">
        <v>44030.437710532409</v>
      </c>
      <c r="R18" t="s">
        <v>111</v>
      </c>
    </row>
    <row r="19" spans="1:18" x14ac:dyDescent="0.3">
      <c r="A19">
        <v>9683671</v>
      </c>
      <c r="B19" t="s">
        <v>78</v>
      </c>
      <c r="C19">
        <v>1328019</v>
      </c>
      <c r="D19" t="s">
        <v>78</v>
      </c>
      <c r="E19" t="s">
        <v>57</v>
      </c>
      <c r="F19" t="s">
        <v>57</v>
      </c>
      <c r="G19" t="s">
        <v>109</v>
      </c>
      <c r="H19" t="s">
        <v>105</v>
      </c>
      <c r="I19" t="s">
        <v>78</v>
      </c>
      <c r="J19" t="s">
        <v>42</v>
      </c>
      <c r="K19" t="s">
        <v>87</v>
      </c>
      <c r="L19" s="25">
        <v>44030</v>
      </c>
      <c r="M19">
        <v>7</v>
      </c>
      <c r="N19">
        <v>2020</v>
      </c>
      <c r="O19" t="s">
        <v>110</v>
      </c>
      <c r="P19">
        <v>170</v>
      </c>
      <c r="Q19" s="17">
        <v>44030.440853125001</v>
      </c>
      <c r="R19" t="s">
        <v>111</v>
      </c>
    </row>
    <row r="20" spans="1:18" x14ac:dyDescent="0.3">
      <c r="A20">
        <v>9684296</v>
      </c>
      <c r="B20" t="s">
        <v>72</v>
      </c>
      <c r="C20">
        <v>1328589</v>
      </c>
      <c r="D20" t="s">
        <v>108</v>
      </c>
      <c r="E20" t="s">
        <v>57</v>
      </c>
      <c r="F20" t="s">
        <v>57</v>
      </c>
      <c r="G20" t="s">
        <v>109</v>
      </c>
      <c r="H20" t="s">
        <v>234</v>
      </c>
      <c r="I20" t="s">
        <v>84</v>
      </c>
      <c r="J20" t="s">
        <v>85</v>
      </c>
      <c r="K20" t="s">
        <v>87</v>
      </c>
      <c r="L20" s="25">
        <v>44030</v>
      </c>
      <c r="M20">
        <v>7</v>
      </c>
      <c r="N20">
        <v>2020</v>
      </c>
      <c r="O20" t="s">
        <v>110</v>
      </c>
      <c r="P20">
        <v>170</v>
      </c>
      <c r="Q20" s="17">
        <v>44030.447155092595</v>
      </c>
      <c r="R20" t="s">
        <v>112</v>
      </c>
    </row>
    <row r="21" spans="1:18" x14ac:dyDescent="0.3">
      <c r="A21">
        <v>9686218</v>
      </c>
      <c r="B21" t="s">
        <v>72</v>
      </c>
      <c r="C21">
        <v>1328938</v>
      </c>
      <c r="D21" t="s">
        <v>108</v>
      </c>
      <c r="E21" t="s">
        <v>57</v>
      </c>
      <c r="F21" t="s">
        <v>57</v>
      </c>
      <c r="G21" t="s">
        <v>109</v>
      </c>
      <c r="H21" t="s">
        <v>229</v>
      </c>
      <c r="I21" t="s">
        <v>84</v>
      </c>
      <c r="J21" t="s">
        <v>85</v>
      </c>
      <c r="K21" t="s">
        <v>87</v>
      </c>
      <c r="L21" s="25">
        <v>44030</v>
      </c>
      <c r="M21">
        <v>7</v>
      </c>
      <c r="N21">
        <v>2020</v>
      </c>
      <c r="O21" t="s">
        <v>110</v>
      </c>
      <c r="P21">
        <v>170</v>
      </c>
      <c r="Q21" s="17">
        <v>44030.45694733796</v>
      </c>
      <c r="R21" t="s">
        <v>115</v>
      </c>
    </row>
    <row r="22" spans="1:18" x14ac:dyDescent="0.3">
      <c r="A22">
        <v>9685306</v>
      </c>
      <c r="B22" t="s">
        <v>79</v>
      </c>
      <c r="C22">
        <v>1329074</v>
      </c>
      <c r="D22" t="s">
        <v>116</v>
      </c>
      <c r="E22" t="s">
        <v>58</v>
      </c>
      <c r="F22" t="s">
        <v>58</v>
      </c>
      <c r="G22" t="s">
        <v>114</v>
      </c>
      <c r="H22" t="s">
        <v>233</v>
      </c>
      <c r="I22" t="s">
        <v>82</v>
      </c>
      <c r="J22" t="s">
        <v>42</v>
      </c>
      <c r="K22" t="s">
        <v>87</v>
      </c>
      <c r="L22" s="25">
        <v>44030</v>
      </c>
      <c r="M22">
        <v>7</v>
      </c>
      <c r="N22">
        <v>2020</v>
      </c>
      <c r="O22" t="s">
        <v>110</v>
      </c>
      <c r="P22">
        <v>170</v>
      </c>
      <c r="Q22" s="17">
        <v>44030.455655324076</v>
      </c>
      <c r="R22" t="s">
        <v>111</v>
      </c>
    </row>
    <row r="23" spans="1:18" x14ac:dyDescent="0.3">
      <c r="A23">
        <v>244264</v>
      </c>
      <c r="B23" t="s">
        <v>72</v>
      </c>
      <c r="C23">
        <v>1329257</v>
      </c>
      <c r="D23" t="s">
        <v>108</v>
      </c>
      <c r="E23" t="s">
        <v>58</v>
      </c>
      <c r="F23" t="s">
        <v>58</v>
      </c>
      <c r="G23" t="s">
        <v>114</v>
      </c>
      <c r="H23" t="s">
        <v>229</v>
      </c>
      <c r="I23" t="s">
        <v>84</v>
      </c>
      <c r="J23" t="s">
        <v>85</v>
      </c>
      <c r="K23" t="s">
        <v>87</v>
      </c>
      <c r="L23" s="25">
        <v>44030</v>
      </c>
      <c r="M23">
        <v>7</v>
      </c>
      <c r="N23">
        <v>2020</v>
      </c>
      <c r="O23" t="s">
        <v>110</v>
      </c>
      <c r="P23">
        <v>170</v>
      </c>
      <c r="Q23" s="17">
        <v>44030.459378703701</v>
      </c>
      <c r="R23" t="s">
        <v>121</v>
      </c>
    </row>
    <row r="24" spans="1:18" x14ac:dyDescent="0.3">
      <c r="A24">
        <v>240995</v>
      </c>
      <c r="B24" t="s">
        <v>72</v>
      </c>
      <c r="C24">
        <v>1319122</v>
      </c>
      <c r="D24" t="s">
        <v>108</v>
      </c>
      <c r="E24" t="s">
        <v>57</v>
      </c>
      <c r="F24" t="s">
        <v>57</v>
      </c>
      <c r="G24" t="s">
        <v>109</v>
      </c>
      <c r="H24" t="s">
        <v>229</v>
      </c>
      <c r="I24" t="s">
        <v>84</v>
      </c>
      <c r="J24" t="s">
        <v>85</v>
      </c>
      <c r="K24" t="s">
        <v>87</v>
      </c>
      <c r="L24" s="25">
        <v>44030</v>
      </c>
      <c r="M24">
        <v>7</v>
      </c>
      <c r="N24">
        <v>2020</v>
      </c>
      <c r="O24" t="s">
        <v>110</v>
      </c>
      <c r="P24">
        <v>170</v>
      </c>
      <c r="Q24" s="17">
        <v>44030.444213888892</v>
      </c>
      <c r="R24" t="s">
        <v>111</v>
      </c>
    </row>
    <row r="25" spans="1:18" x14ac:dyDescent="0.3">
      <c r="A25">
        <v>242183</v>
      </c>
      <c r="B25" t="s">
        <v>78</v>
      </c>
      <c r="C25">
        <v>1325641</v>
      </c>
      <c r="D25" t="s">
        <v>78</v>
      </c>
      <c r="E25" t="s">
        <v>57</v>
      </c>
      <c r="F25" t="s">
        <v>57</v>
      </c>
      <c r="G25" t="s">
        <v>109</v>
      </c>
      <c r="H25" t="s">
        <v>105</v>
      </c>
      <c r="I25" t="s">
        <v>78</v>
      </c>
      <c r="J25" t="s">
        <v>42</v>
      </c>
      <c r="K25" t="s">
        <v>87</v>
      </c>
      <c r="L25" s="25">
        <v>44030</v>
      </c>
      <c r="M25">
        <v>7</v>
      </c>
      <c r="N25">
        <v>2020</v>
      </c>
      <c r="O25" t="s">
        <v>110</v>
      </c>
      <c r="P25">
        <v>170</v>
      </c>
      <c r="Q25" s="17">
        <v>44030.485063541666</v>
      </c>
      <c r="R25" t="s">
        <v>111</v>
      </c>
    </row>
    <row r="26" spans="1:18" x14ac:dyDescent="0.3">
      <c r="A26">
        <v>21527854</v>
      </c>
      <c r="B26" t="s">
        <v>78</v>
      </c>
      <c r="C26">
        <v>1326573</v>
      </c>
      <c r="D26" t="s">
        <v>78</v>
      </c>
      <c r="E26" t="s">
        <v>117</v>
      </c>
      <c r="F26" t="s">
        <v>117</v>
      </c>
      <c r="G26" t="s">
        <v>59</v>
      </c>
      <c r="H26" t="s">
        <v>230</v>
      </c>
      <c r="I26" t="s">
        <v>78</v>
      </c>
      <c r="J26" t="s">
        <v>42</v>
      </c>
      <c r="K26" t="s">
        <v>91</v>
      </c>
      <c r="L26" s="25">
        <v>44030</v>
      </c>
      <c r="M26">
        <v>7</v>
      </c>
      <c r="N26">
        <v>2020</v>
      </c>
      <c r="O26" t="s">
        <v>110</v>
      </c>
      <c r="P26">
        <v>170</v>
      </c>
      <c r="Q26" s="17">
        <v>44030.425829861109</v>
      </c>
      <c r="R26" t="s">
        <v>118</v>
      </c>
    </row>
    <row r="27" spans="1:18" x14ac:dyDescent="0.3">
      <c r="A27">
        <v>21529399</v>
      </c>
      <c r="B27" t="s">
        <v>78</v>
      </c>
      <c r="C27">
        <v>1326709</v>
      </c>
      <c r="D27" t="s">
        <v>78</v>
      </c>
      <c r="E27" t="s">
        <v>117</v>
      </c>
      <c r="F27" t="s">
        <v>117</v>
      </c>
      <c r="G27" t="s">
        <v>59</v>
      </c>
      <c r="H27" t="s">
        <v>231</v>
      </c>
      <c r="I27" t="s">
        <v>78</v>
      </c>
      <c r="J27" t="s">
        <v>42</v>
      </c>
      <c r="K27" t="s">
        <v>91</v>
      </c>
      <c r="L27" s="25">
        <v>44030</v>
      </c>
      <c r="M27">
        <v>7</v>
      </c>
      <c r="N27">
        <v>2020</v>
      </c>
      <c r="O27" t="s">
        <v>110</v>
      </c>
      <c r="P27">
        <v>170</v>
      </c>
      <c r="Q27" s="17">
        <v>44030.429392361111</v>
      </c>
      <c r="R27" t="s">
        <v>119</v>
      </c>
    </row>
    <row r="28" spans="1:18" x14ac:dyDescent="0.3">
      <c r="A28">
        <v>21529402</v>
      </c>
      <c r="B28" t="s">
        <v>78</v>
      </c>
      <c r="C28">
        <v>1326742</v>
      </c>
      <c r="D28" t="s">
        <v>78</v>
      </c>
      <c r="E28" t="s">
        <v>117</v>
      </c>
      <c r="F28" t="s">
        <v>117</v>
      </c>
      <c r="G28" t="s">
        <v>59</v>
      </c>
      <c r="H28" t="s">
        <v>231</v>
      </c>
      <c r="I28" t="s">
        <v>78</v>
      </c>
      <c r="J28" t="s">
        <v>42</v>
      </c>
      <c r="K28" t="s">
        <v>91</v>
      </c>
      <c r="L28" s="25">
        <v>44030</v>
      </c>
      <c r="M28">
        <v>7</v>
      </c>
      <c r="N28">
        <v>2020</v>
      </c>
      <c r="O28" t="s">
        <v>110</v>
      </c>
      <c r="P28">
        <v>170</v>
      </c>
      <c r="Q28" s="17">
        <v>44030.431388888886</v>
      </c>
      <c r="R28" t="s">
        <v>119</v>
      </c>
    </row>
    <row r="29" spans="1:18" x14ac:dyDescent="0.3">
      <c r="A29">
        <v>21527789</v>
      </c>
      <c r="B29" t="s">
        <v>78</v>
      </c>
      <c r="C29">
        <v>1326942</v>
      </c>
      <c r="D29" t="s">
        <v>78</v>
      </c>
      <c r="E29" t="s">
        <v>117</v>
      </c>
      <c r="F29" t="s">
        <v>117</v>
      </c>
      <c r="G29" t="s">
        <v>59</v>
      </c>
      <c r="H29" t="s">
        <v>230</v>
      </c>
      <c r="I29" t="s">
        <v>78</v>
      </c>
      <c r="J29" t="s">
        <v>42</v>
      </c>
      <c r="K29" t="s">
        <v>91</v>
      </c>
      <c r="L29" s="25">
        <v>44030</v>
      </c>
      <c r="M29">
        <v>7</v>
      </c>
      <c r="N29">
        <v>2020</v>
      </c>
      <c r="O29" t="s">
        <v>110</v>
      </c>
      <c r="P29">
        <v>170</v>
      </c>
      <c r="Q29" s="17">
        <v>44030.435693634259</v>
      </c>
      <c r="R29" t="s">
        <v>119</v>
      </c>
    </row>
    <row r="30" spans="1:18" x14ac:dyDescent="0.3">
      <c r="A30">
        <v>21527789</v>
      </c>
      <c r="B30" t="s">
        <v>78</v>
      </c>
      <c r="C30">
        <v>1326942</v>
      </c>
      <c r="D30" t="s">
        <v>78</v>
      </c>
      <c r="E30" t="s">
        <v>117</v>
      </c>
      <c r="F30" t="s">
        <v>117</v>
      </c>
      <c r="G30" t="s">
        <v>59</v>
      </c>
      <c r="H30" t="s">
        <v>230</v>
      </c>
      <c r="I30" t="s">
        <v>78</v>
      </c>
      <c r="J30" t="s">
        <v>42</v>
      </c>
      <c r="K30" t="s">
        <v>91</v>
      </c>
      <c r="L30" s="25">
        <v>44030</v>
      </c>
      <c r="M30">
        <v>7</v>
      </c>
      <c r="N30">
        <v>2020</v>
      </c>
      <c r="O30" t="s">
        <v>110</v>
      </c>
      <c r="P30">
        <v>170</v>
      </c>
      <c r="Q30" s="17">
        <v>44030.435693634259</v>
      </c>
      <c r="R30" t="s">
        <v>118</v>
      </c>
    </row>
    <row r="31" spans="1:18" x14ac:dyDescent="0.3">
      <c r="A31">
        <v>21528561</v>
      </c>
      <c r="B31" t="s">
        <v>78</v>
      </c>
      <c r="C31">
        <v>1327278</v>
      </c>
      <c r="D31" t="s">
        <v>78</v>
      </c>
      <c r="E31" t="s">
        <v>117</v>
      </c>
      <c r="F31" t="s">
        <v>117</v>
      </c>
      <c r="G31" t="s">
        <v>59</v>
      </c>
      <c r="H31" t="s">
        <v>230</v>
      </c>
      <c r="I31" t="s">
        <v>78</v>
      </c>
      <c r="J31" t="s">
        <v>42</v>
      </c>
      <c r="K31" t="s">
        <v>91</v>
      </c>
      <c r="L31" s="25">
        <v>44030</v>
      </c>
      <c r="M31">
        <v>7</v>
      </c>
      <c r="N31">
        <v>2020</v>
      </c>
      <c r="O31" t="s">
        <v>110</v>
      </c>
      <c r="P31">
        <v>170</v>
      </c>
      <c r="Q31" s="17">
        <v>44030.438362615743</v>
      </c>
      <c r="R31" t="s">
        <v>118</v>
      </c>
    </row>
    <row r="32" spans="1:18" x14ac:dyDescent="0.3">
      <c r="A32">
        <v>21529177</v>
      </c>
      <c r="B32" t="s">
        <v>78</v>
      </c>
      <c r="C32">
        <v>1327245</v>
      </c>
      <c r="D32" t="s">
        <v>78</v>
      </c>
      <c r="E32" t="s">
        <v>117</v>
      </c>
      <c r="F32" t="s">
        <v>117</v>
      </c>
      <c r="G32" t="s">
        <v>59</v>
      </c>
      <c r="H32" t="s">
        <v>230</v>
      </c>
      <c r="I32" t="s">
        <v>78</v>
      </c>
      <c r="J32" t="s">
        <v>42</v>
      </c>
      <c r="K32" t="s">
        <v>91</v>
      </c>
      <c r="L32" s="25">
        <v>44030</v>
      </c>
      <c r="M32">
        <v>7</v>
      </c>
      <c r="N32">
        <v>2020</v>
      </c>
      <c r="O32" t="s">
        <v>110</v>
      </c>
      <c r="P32">
        <v>170</v>
      </c>
      <c r="Q32" s="17">
        <v>44030.436060879627</v>
      </c>
      <c r="R32" t="s">
        <v>118</v>
      </c>
    </row>
    <row r="33" spans="1:18" x14ac:dyDescent="0.3">
      <c r="A33">
        <v>21529351</v>
      </c>
      <c r="B33" t="s">
        <v>78</v>
      </c>
      <c r="C33">
        <v>1327342</v>
      </c>
      <c r="D33" t="s">
        <v>78</v>
      </c>
      <c r="E33" t="s">
        <v>117</v>
      </c>
      <c r="F33" t="s">
        <v>117</v>
      </c>
      <c r="G33" t="s">
        <v>59</v>
      </c>
      <c r="H33" t="s">
        <v>231</v>
      </c>
      <c r="I33" t="s">
        <v>78</v>
      </c>
      <c r="J33" t="s">
        <v>42</v>
      </c>
      <c r="K33" t="s">
        <v>91</v>
      </c>
      <c r="L33" s="25">
        <v>44030</v>
      </c>
      <c r="M33">
        <v>7</v>
      </c>
      <c r="N33">
        <v>2020</v>
      </c>
      <c r="O33" t="s">
        <v>110</v>
      </c>
      <c r="P33">
        <v>170</v>
      </c>
      <c r="Q33" s="17">
        <v>44030.439895370371</v>
      </c>
      <c r="R33" t="s">
        <v>119</v>
      </c>
    </row>
    <row r="34" spans="1:18" x14ac:dyDescent="0.3">
      <c r="A34">
        <v>9682589</v>
      </c>
      <c r="B34" t="s">
        <v>78</v>
      </c>
      <c r="C34">
        <v>1327546</v>
      </c>
      <c r="D34" t="s">
        <v>78</v>
      </c>
      <c r="E34" t="s">
        <v>57</v>
      </c>
      <c r="F34" t="s">
        <v>57</v>
      </c>
      <c r="G34" t="s">
        <v>109</v>
      </c>
      <c r="H34" t="s">
        <v>105</v>
      </c>
      <c r="I34" t="s">
        <v>78</v>
      </c>
      <c r="J34" t="s">
        <v>42</v>
      </c>
      <c r="K34" t="s">
        <v>87</v>
      </c>
      <c r="L34" s="25">
        <v>44030</v>
      </c>
      <c r="M34">
        <v>7</v>
      </c>
      <c r="N34">
        <v>2020</v>
      </c>
      <c r="O34" t="s">
        <v>110</v>
      </c>
      <c r="P34">
        <v>170</v>
      </c>
      <c r="Q34" s="17">
        <v>44030.429226273147</v>
      </c>
      <c r="R34" t="s">
        <v>111</v>
      </c>
    </row>
    <row r="35" spans="1:18" x14ac:dyDescent="0.3">
      <c r="A35">
        <v>21529180</v>
      </c>
      <c r="B35" t="s">
        <v>78</v>
      </c>
      <c r="C35">
        <v>1327628</v>
      </c>
      <c r="D35" t="s">
        <v>78</v>
      </c>
      <c r="E35" t="s">
        <v>117</v>
      </c>
      <c r="F35" t="s">
        <v>117</v>
      </c>
      <c r="G35" t="s">
        <v>59</v>
      </c>
      <c r="H35" t="s">
        <v>231</v>
      </c>
      <c r="I35" t="s">
        <v>78</v>
      </c>
      <c r="J35" t="s">
        <v>42</v>
      </c>
      <c r="K35" t="s">
        <v>91</v>
      </c>
      <c r="L35" s="25">
        <v>44030</v>
      </c>
      <c r="M35">
        <v>7</v>
      </c>
      <c r="N35">
        <v>2020</v>
      </c>
      <c r="O35" t="s">
        <v>110</v>
      </c>
      <c r="P35">
        <v>170</v>
      </c>
      <c r="Q35" s="17">
        <v>44030.441071875</v>
      </c>
      <c r="R35" t="s">
        <v>119</v>
      </c>
    </row>
    <row r="36" spans="1:18" x14ac:dyDescent="0.3">
      <c r="A36">
        <v>9646275</v>
      </c>
      <c r="B36" t="s">
        <v>78</v>
      </c>
      <c r="C36">
        <v>1327810</v>
      </c>
      <c r="D36" t="s">
        <v>78</v>
      </c>
      <c r="E36" t="s">
        <v>58</v>
      </c>
      <c r="F36" t="s">
        <v>58</v>
      </c>
      <c r="G36" t="s">
        <v>114</v>
      </c>
      <c r="H36" t="s">
        <v>105</v>
      </c>
      <c r="I36" t="s">
        <v>78</v>
      </c>
      <c r="J36" t="s">
        <v>42</v>
      </c>
      <c r="K36" t="s">
        <v>87</v>
      </c>
      <c r="L36" s="25">
        <v>44030</v>
      </c>
      <c r="M36">
        <v>7</v>
      </c>
      <c r="N36">
        <v>2020</v>
      </c>
      <c r="O36" t="s">
        <v>110</v>
      </c>
      <c r="P36">
        <v>170</v>
      </c>
      <c r="Q36" s="17">
        <v>44030.43186689815</v>
      </c>
      <c r="R36" t="s">
        <v>111</v>
      </c>
    </row>
    <row r="37" spans="1:18" x14ac:dyDescent="0.3">
      <c r="A37">
        <v>9683635</v>
      </c>
      <c r="B37" t="s">
        <v>72</v>
      </c>
      <c r="C37">
        <v>1327845</v>
      </c>
      <c r="D37" t="s">
        <v>108</v>
      </c>
      <c r="E37" t="s">
        <v>57</v>
      </c>
      <c r="F37" t="s">
        <v>57</v>
      </c>
      <c r="G37" t="s">
        <v>109</v>
      </c>
      <c r="H37" t="s">
        <v>235</v>
      </c>
      <c r="I37" t="s">
        <v>84</v>
      </c>
      <c r="J37" t="s">
        <v>85</v>
      </c>
      <c r="K37" t="s">
        <v>87</v>
      </c>
      <c r="L37" s="25">
        <v>44030</v>
      </c>
      <c r="M37">
        <v>7</v>
      </c>
      <c r="N37">
        <v>2020</v>
      </c>
      <c r="O37" t="s">
        <v>110</v>
      </c>
      <c r="P37">
        <v>170</v>
      </c>
      <c r="Q37" s="17">
        <v>44030.431794212964</v>
      </c>
      <c r="R37" t="s">
        <v>111</v>
      </c>
    </row>
    <row r="38" spans="1:18" x14ac:dyDescent="0.3">
      <c r="A38">
        <v>9684425</v>
      </c>
      <c r="B38" t="s">
        <v>78</v>
      </c>
      <c r="C38">
        <v>1328014</v>
      </c>
      <c r="D38" t="s">
        <v>78</v>
      </c>
      <c r="E38" t="s">
        <v>57</v>
      </c>
      <c r="F38" t="s">
        <v>57</v>
      </c>
      <c r="G38" t="s">
        <v>109</v>
      </c>
      <c r="H38" t="s">
        <v>105</v>
      </c>
      <c r="I38" t="s">
        <v>78</v>
      </c>
      <c r="J38" t="s">
        <v>42</v>
      </c>
      <c r="K38" t="s">
        <v>87</v>
      </c>
      <c r="L38" s="25">
        <v>44030</v>
      </c>
      <c r="M38">
        <v>7</v>
      </c>
      <c r="N38">
        <v>2020</v>
      </c>
      <c r="O38" t="s">
        <v>110</v>
      </c>
      <c r="P38">
        <v>170</v>
      </c>
      <c r="Q38" s="17">
        <v>44030.437670949075</v>
      </c>
      <c r="R38" t="s">
        <v>111</v>
      </c>
    </row>
    <row r="39" spans="1:18" x14ac:dyDescent="0.3">
      <c r="A39">
        <v>9684117</v>
      </c>
      <c r="B39" t="s">
        <v>72</v>
      </c>
      <c r="C39">
        <v>1328028</v>
      </c>
      <c r="D39" t="s">
        <v>108</v>
      </c>
      <c r="E39" t="s">
        <v>57</v>
      </c>
      <c r="F39" t="s">
        <v>57</v>
      </c>
      <c r="G39" t="s">
        <v>109</v>
      </c>
      <c r="H39" t="s">
        <v>236</v>
      </c>
      <c r="I39" t="s">
        <v>84</v>
      </c>
      <c r="J39" t="s">
        <v>85</v>
      </c>
      <c r="K39" t="s">
        <v>87</v>
      </c>
      <c r="L39" s="25">
        <v>44030</v>
      </c>
      <c r="M39">
        <v>7</v>
      </c>
      <c r="N39">
        <v>2020</v>
      </c>
      <c r="O39" t="s">
        <v>110</v>
      </c>
      <c r="P39">
        <v>170</v>
      </c>
      <c r="Q39" s="17">
        <v>44030.439930208333</v>
      </c>
      <c r="R39" t="s">
        <v>111</v>
      </c>
    </row>
    <row r="40" spans="1:18" x14ac:dyDescent="0.3">
      <c r="A40">
        <v>9684117</v>
      </c>
      <c r="B40" t="s">
        <v>72</v>
      </c>
      <c r="C40">
        <v>1328027</v>
      </c>
      <c r="D40" t="s">
        <v>108</v>
      </c>
      <c r="E40" t="s">
        <v>58</v>
      </c>
      <c r="F40" t="s">
        <v>58</v>
      </c>
      <c r="G40" t="s">
        <v>114</v>
      </c>
      <c r="H40" t="s">
        <v>236</v>
      </c>
      <c r="I40" t="s">
        <v>84</v>
      </c>
      <c r="J40" t="s">
        <v>85</v>
      </c>
      <c r="K40" t="s">
        <v>87</v>
      </c>
      <c r="L40" s="25">
        <v>44030</v>
      </c>
      <c r="M40">
        <v>7</v>
      </c>
      <c r="N40">
        <v>2020</v>
      </c>
      <c r="O40" t="s">
        <v>110</v>
      </c>
      <c r="P40">
        <v>170</v>
      </c>
      <c r="Q40" s="17">
        <v>44030.442548726853</v>
      </c>
      <c r="R40" t="s">
        <v>111</v>
      </c>
    </row>
    <row r="41" spans="1:18" x14ac:dyDescent="0.3">
      <c r="A41">
        <v>9684388</v>
      </c>
      <c r="B41" t="s">
        <v>72</v>
      </c>
      <c r="C41">
        <v>1328078</v>
      </c>
      <c r="D41" t="s">
        <v>108</v>
      </c>
      <c r="E41" t="s">
        <v>57</v>
      </c>
      <c r="F41" t="s">
        <v>57</v>
      </c>
      <c r="G41" t="s">
        <v>109</v>
      </c>
      <c r="H41" t="s">
        <v>237</v>
      </c>
      <c r="I41" t="s">
        <v>84</v>
      </c>
      <c r="J41" t="s">
        <v>85</v>
      </c>
      <c r="K41" t="s">
        <v>87</v>
      </c>
      <c r="L41" s="25">
        <v>44030</v>
      </c>
      <c r="M41">
        <v>7</v>
      </c>
      <c r="N41">
        <v>2020</v>
      </c>
      <c r="O41" t="s">
        <v>110</v>
      </c>
      <c r="P41">
        <v>170</v>
      </c>
      <c r="Q41" s="17">
        <v>44030.443644444444</v>
      </c>
      <c r="R41" t="s">
        <v>111</v>
      </c>
    </row>
    <row r="42" spans="1:18" x14ac:dyDescent="0.3">
      <c r="A42">
        <v>9685034</v>
      </c>
      <c r="B42" t="s">
        <v>72</v>
      </c>
      <c r="C42">
        <v>1328414</v>
      </c>
      <c r="D42" t="s">
        <v>108</v>
      </c>
      <c r="E42" t="s">
        <v>57</v>
      </c>
      <c r="F42" t="s">
        <v>57</v>
      </c>
      <c r="G42" t="s">
        <v>109</v>
      </c>
      <c r="H42" t="s">
        <v>229</v>
      </c>
      <c r="I42" t="s">
        <v>84</v>
      </c>
      <c r="J42" t="s">
        <v>85</v>
      </c>
      <c r="K42" t="s">
        <v>87</v>
      </c>
      <c r="L42" s="25">
        <v>44030</v>
      </c>
      <c r="M42">
        <v>7</v>
      </c>
      <c r="N42">
        <v>2020</v>
      </c>
      <c r="O42" t="s">
        <v>110</v>
      </c>
      <c r="P42">
        <v>170</v>
      </c>
      <c r="Q42" s="17">
        <v>44030.444699652777</v>
      </c>
      <c r="R42" t="s">
        <v>111</v>
      </c>
    </row>
    <row r="43" spans="1:18" x14ac:dyDescent="0.3">
      <c r="A43">
        <v>9685428</v>
      </c>
      <c r="B43" t="s">
        <v>78</v>
      </c>
      <c r="C43">
        <v>1328496</v>
      </c>
      <c r="D43" t="s">
        <v>78</v>
      </c>
      <c r="E43" t="s">
        <v>57</v>
      </c>
      <c r="F43" t="s">
        <v>57</v>
      </c>
      <c r="G43" t="s">
        <v>109</v>
      </c>
      <c r="H43" t="s">
        <v>105</v>
      </c>
      <c r="I43" t="s">
        <v>78</v>
      </c>
      <c r="J43" t="s">
        <v>42</v>
      </c>
      <c r="K43" t="s">
        <v>87</v>
      </c>
      <c r="L43" s="25">
        <v>44030</v>
      </c>
      <c r="M43">
        <v>7</v>
      </c>
      <c r="N43">
        <v>2020</v>
      </c>
      <c r="O43" t="s">
        <v>110</v>
      </c>
      <c r="P43">
        <v>170</v>
      </c>
      <c r="Q43" s="17">
        <v>44030.447000925924</v>
      </c>
      <c r="R43" t="s">
        <v>112</v>
      </c>
    </row>
    <row r="44" spans="1:18" x14ac:dyDescent="0.3">
      <c r="A44">
        <v>9685240</v>
      </c>
      <c r="B44" t="s">
        <v>72</v>
      </c>
      <c r="C44">
        <v>1328631</v>
      </c>
      <c r="D44" t="s">
        <v>108</v>
      </c>
      <c r="E44" t="s">
        <v>58</v>
      </c>
      <c r="F44" t="s">
        <v>58</v>
      </c>
      <c r="G44" t="s">
        <v>114</v>
      </c>
      <c r="H44" t="s">
        <v>229</v>
      </c>
      <c r="I44" t="s">
        <v>84</v>
      </c>
      <c r="J44" t="s">
        <v>85</v>
      </c>
      <c r="K44" t="s">
        <v>87</v>
      </c>
      <c r="L44" s="25">
        <v>44030</v>
      </c>
      <c r="M44">
        <v>7</v>
      </c>
      <c r="N44">
        <v>2020</v>
      </c>
      <c r="O44" t="s">
        <v>110</v>
      </c>
      <c r="P44">
        <v>170</v>
      </c>
      <c r="Q44" s="17">
        <v>44030.44779849537</v>
      </c>
      <c r="R44" t="s">
        <v>111</v>
      </c>
    </row>
    <row r="45" spans="1:18" x14ac:dyDescent="0.3">
      <c r="A45">
        <v>9685262</v>
      </c>
      <c r="B45" t="s">
        <v>79</v>
      </c>
      <c r="C45">
        <v>1328814</v>
      </c>
      <c r="D45" t="s">
        <v>116</v>
      </c>
      <c r="E45" t="s">
        <v>58</v>
      </c>
      <c r="F45" t="s">
        <v>58</v>
      </c>
      <c r="G45" t="s">
        <v>114</v>
      </c>
      <c r="H45" t="s">
        <v>233</v>
      </c>
      <c r="I45" t="s">
        <v>82</v>
      </c>
      <c r="J45" t="s">
        <v>42</v>
      </c>
      <c r="K45" t="s">
        <v>87</v>
      </c>
      <c r="L45" s="25">
        <v>44030</v>
      </c>
      <c r="M45">
        <v>7</v>
      </c>
      <c r="N45">
        <v>2020</v>
      </c>
      <c r="O45" t="s">
        <v>110</v>
      </c>
      <c r="P45">
        <v>170</v>
      </c>
      <c r="Q45" s="17">
        <v>44030.451551736114</v>
      </c>
      <c r="R45" t="s">
        <v>111</v>
      </c>
    </row>
    <row r="46" spans="1:18" x14ac:dyDescent="0.3">
      <c r="A46">
        <v>9684363</v>
      </c>
      <c r="B46" t="s">
        <v>72</v>
      </c>
      <c r="C46">
        <v>1328832</v>
      </c>
      <c r="D46" t="s">
        <v>108</v>
      </c>
      <c r="E46" t="s">
        <v>57</v>
      </c>
      <c r="F46" t="s">
        <v>57</v>
      </c>
      <c r="G46" t="s">
        <v>109</v>
      </c>
      <c r="H46" t="s">
        <v>229</v>
      </c>
      <c r="I46" t="s">
        <v>84</v>
      </c>
      <c r="J46" t="s">
        <v>85</v>
      </c>
      <c r="K46" t="s">
        <v>87</v>
      </c>
      <c r="L46" s="25">
        <v>44030</v>
      </c>
      <c r="M46">
        <v>7</v>
      </c>
      <c r="N46">
        <v>2020</v>
      </c>
      <c r="O46" t="s">
        <v>110</v>
      </c>
      <c r="P46">
        <v>170</v>
      </c>
      <c r="Q46" s="17">
        <v>44030.4498775463</v>
      </c>
      <c r="R46" t="s">
        <v>121</v>
      </c>
    </row>
    <row r="47" spans="1:18" x14ac:dyDescent="0.3">
      <c r="A47">
        <v>240846</v>
      </c>
      <c r="B47" t="s">
        <v>79</v>
      </c>
      <c r="C47">
        <v>1318162</v>
      </c>
      <c r="D47" t="s">
        <v>116</v>
      </c>
      <c r="E47" t="s">
        <v>58</v>
      </c>
      <c r="F47" t="s">
        <v>58</v>
      </c>
      <c r="G47" t="s">
        <v>114</v>
      </c>
      <c r="H47" t="s">
        <v>233</v>
      </c>
      <c r="I47" t="s">
        <v>82</v>
      </c>
      <c r="J47" t="s">
        <v>42</v>
      </c>
      <c r="K47" t="s">
        <v>87</v>
      </c>
      <c r="L47" s="25">
        <v>44030</v>
      </c>
      <c r="M47">
        <v>7</v>
      </c>
      <c r="N47">
        <v>2020</v>
      </c>
      <c r="O47" t="s">
        <v>110</v>
      </c>
      <c r="P47">
        <v>170</v>
      </c>
      <c r="Q47" s="17">
        <v>44030.474988078706</v>
      </c>
      <c r="R47" t="s">
        <v>111</v>
      </c>
    </row>
    <row r="48" spans="1:18" x14ac:dyDescent="0.3">
      <c r="A48">
        <v>240940</v>
      </c>
      <c r="B48" t="s">
        <v>72</v>
      </c>
      <c r="C48">
        <v>1319111</v>
      </c>
      <c r="D48" t="s">
        <v>108</v>
      </c>
      <c r="E48" t="s">
        <v>57</v>
      </c>
      <c r="F48" t="s">
        <v>57</v>
      </c>
      <c r="G48" t="s">
        <v>109</v>
      </c>
      <c r="H48" t="s">
        <v>229</v>
      </c>
      <c r="I48" t="s">
        <v>84</v>
      </c>
      <c r="J48" t="s">
        <v>85</v>
      </c>
      <c r="K48" t="s">
        <v>87</v>
      </c>
      <c r="L48" s="25">
        <v>44030</v>
      </c>
      <c r="M48">
        <v>7</v>
      </c>
      <c r="N48">
        <v>2020</v>
      </c>
      <c r="O48" t="s">
        <v>110</v>
      </c>
      <c r="P48">
        <v>170</v>
      </c>
      <c r="Q48" s="17">
        <v>44030.43359803241</v>
      </c>
      <c r="R48" t="s">
        <v>111</v>
      </c>
    </row>
    <row r="49" spans="1:18" x14ac:dyDescent="0.3">
      <c r="A49">
        <v>241136</v>
      </c>
      <c r="B49" t="s">
        <v>72</v>
      </c>
      <c r="C49">
        <v>1319447</v>
      </c>
      <c r="D49" t="s">
        <v>108</v>
      </c>
      <c r="E49" t="s">
        <v>58</v>
      </c>
      <c r="F49" t="s">
        <v>58</v>
      </c>
      <c r="G49" t="s">
        <v>114</v>
      </c>
      <c r="H49" t="s">
        <v>229</v>
      </c>
      <c r="I49" t="s">
        <v>84</v>
      </c>
      <c r="J49" t="s">
        <v>85</v>
      </c>
      <c r="K49" t="s">
        <v>87</v>
      </c>
      <c r="L49" s="25">
        <v>44030</v>
      </c>
      <c r="M49">
        <v>7</v>
      </c>
      <c r="N49">
        <v>2020</v>
      </c>
      <c r="O49" t="s">
        <v>110</v>
      </c>
      <c r="P49">
        <v>170</v>
      </c>
      <c r="Q49" s="17">
        <v>44030.493402893517</v>
      </c>
      <c r="R49" t="s">
        <v>112</v>
      </c>
    </row>
    <row r="50" spans="1:18" x14ac:dyDescent="0.3">
      <c r="A50">
        <v>240583</v>
      </c>
      <c r="B50" t="s">
        <v>78</v>
      </c>
      <c r="C50">
        <v>1319998</v>
      </c>
      <c r="D50" t="s">
        <v>113</v>
      </c>
      <c r="E50" t="s">
        <v>57</v>
      </c>
      <c r="F50" t="s">
        <v>57</v>
      </c>
      <c r="G50" t="s">
        <v>109</v>
      </c>
      <c r="H50" t="s">
        <v>232</v>
      </c>
      <c r="I50" t="s">
        <v>84</v>
      </c>
      <c r="J50" t="s">
        <v>85</v>
      </c>
      <c r="K50" t="s">
        <v>87</v>
      </c>
      <c r="L50" s="25">
        <v>44030</v>
      </c>
      <c r="M50">
        <v>7</v>
      </c>
      <c r="N50">
        <v>2020</v>
      </c>
      <c r="O50" t="s">
        <v>110</v>
      </c>
      <c r="P50">
        <v>170</v>
      </c>
      <c r="Q50" s="17">
        <v>44030.47641412037</v>
      </c>
      <c r="R50" t="s">
        <v>111</v>
      </c>
    </row>
    <row r="51" spans="1:18" x14ac:dyDescent="0.3">
      <c r="A51">
        <v>241836</v>
      </c>
      <c r="B51" t="s">
        <v>72</v>
      </c>
      <c r="C51">
        <v>1322421</v>
      </c>
      <c r="D51" t="s">
        <v>108</v>
      </c>
      <c r="E51" t="s">
        <v>57</v>
      </c>
      <c r="F51" t="s">
        <v>57</v>
      </c>
      <c r="G51" t="s">
        <v>109</v>
      </c>
      <c r="H51" t="s">
        <v>229</v>
      </c>
      <c r="I51" t="s">
        <v>84</v>
      </c>
      <c r="J51" t="s">
        <v>85</v>
      </c>
      <c r="K51" t="s">
        <v>87</v>
      </c>
      <c r="L51" s="25">
        <v>44030</v>
      </c>
      <c r="M51">
        <v>7</v>
      </c>
      <c r="N51">
        <v>2020</v>
      </c>
      <c r="O51" t="s">
        <v>110</v>
      </c>
      <c r="P51">
        <v>170</v>
      </c>
      <c r="Q51" s="17">
        <v>44030.481650810187</v>
      </c>
      <c r="R51" t="s">
        <v>111</v>
      </c>
    </row>
    <row r="52" spans="1:18" x14ac:dyDescent="0.3">
      <c r="A52">
        <v>241933</v>
      </c>
      <c r="B52" t="s">
        <v>78</v>
      </c>
      <c r="C52">
        <v>1322621</v>
      </c>
      <c r="D52" t="s">
        <v>78</v>
      </c>
      <c r="E52" t="s">
        <v>57</v>
      </c>
      <c r="F52" t="s">
        <v>57</v>
      </c>
      <c r="G52" t="s">
        <v>109</v>
      </c>
      <c r="H52" t="s">
        <v>105</v>
      </c>
      <c r="I52" t="s">
        <v>78</v>
      </c>
      <c r="J52" t="s">
        <v>42</v>
      </c>
      <c r="K52" t="s">
        <v>87</v>
      </c>
      <c r="L52" s="25">
        <v>44030</v>
      </c>
      <c r="M52">
        <v>7</v>
      </c>
      <c r="N52">
        <v>2020</v>
      </c>
      <c r="O52" t="s">
        <v>110</v>
      </c>
      <c r="P52">
        <v>170</v>
      </c>
      <c r="Q52" s="17">
        <v>44030.484204398148</v>
      </c>
      <c r="R52" t="s">
        <v>111</v>
      </c>
    </row>
    <row r="53" spans="1:18" x14ac:dyDescent="0.3">
      <c r="A53">
        <v>21527120</v>
      </c>
      <c r="B53" t="s">
        <v>72</v>
      </c>
      <c r="C53">
        <v>1322708</v>
      </c>
      <c r="D53" t="s">
        <v>108</v>
      </c>
      <c r="E53" t="s">
        <v>58</v>
      </c>
      <c r="F53" t="s">
        <v>58</v>
      </c>
      <c r="G53" t="s">
        <v>114</v>
      </c>
      <c r="H53" t="s">
        <v>229</v>
      </c>
      <c r="I53" t="s">
        <v>84</v>
      </c>
      <c r="J53" t="s">
        <v>85</v>
      </c>
      <c r="K53" t="s">
        <v>87</v>
      </c>
      <c r="L53" s="25">
        <v>44030</v>
      </c>
      <c r="M53">
        <v>7</v>
      </c>
      <c r="N53">
        <v>2020</v>
      </c>
      <c r="O53" t="s">
        <v>110</v>
      </c>
      <c r="P53">
        <v>170</v>
      </c>
      <c r="Q53" s="17">
        <v>44030.483120254627</v>
      </c>
      <c r="R53" t="s">
        <v>111</v>
      </c>
    </row>
    <row r="54" spans="1:18" x14ac:dyDescent="0.3">
      <c r="A54">
        <v>21529070</v>
      </c>
      <c r="B54" t="s">
        <v>78</v>
      </c>
      <c r="C54">
        <v>1326365</v>
      </c>
      <c r="D54" t="s">
        <v>78</v>
      </c>
      <c r="E54" t="s">
        <v>117</v>
      </c>
      <c r="F54" t="s">
        <v>117</v>
      </c>
      <c r="G54" t="s">
        <v>59</v>
      </c>
      <c r="H54" t="s">
        <v>230</v>
      </c>
      <c r="I54" t="s">
        <v>78</v>
      </c>
      <c r="J54" t="s">
        <v>42</v>
      </c>
      <c r="K54" t="s">
        <v>91</v>
      </c>
      <c r="L54" s="25">
        <v>44030</v>
      </c>
      <c r="M54">
        <v>7</v>
      </c>
      <c r="N54">
        <v>2020</v>
      </c>
      <c r="O54" t="s">
        <v>110</v>
      </c>
      <c r="P54">
        <v>170</v>
      </c>
      <c r="Q54" s="17">
        <v>44030.423579745373</v>
      </c>
      <c r="R54" t="s">
        <v>118</v>
      </c>
    </row>
    <row r="55" spans="1:18" x14ac:dyDescent="0.3">
      <c r="A55">
        <v>21527860</v>
      </c>
      <c r="B55" t="s">
        <v>78</v>
      </c>
      <c r="C55">
        <v>1326565</v>
      </c>
      <c r="D55" t="s">
        <v>78</v>
      </c>
      <c r="E55" t="s">
        <v>117</v>
      </c>
      <c r="F55" t="s">
        <v>117</v>
      </c>
      <c r="G55" t="s">
        <v>59</v>
      </c>
      <c r="H55" t="s">
        <v>230</v>
      </c>
      <c r="I55" t="s">
        <v>78</v>
      </c>
      <c r="J55" t="s">
        <v>42</v>
      </c>
      <c r="K55" t="s">
        <v>91</v>
      </c>
      <c r="L55" s="25">
        <v>44030</v>
      </c>
      <c r="M55">
        <v>7</v>
      </c>
      <c r="N55">
        <v>2020</v>
      </c>
      <c r="O55" t="s">
        <v>110</v>
      </c>
      <c r="P55">
        <v>170</v>
      </c>
      <c r="Q55" s="17">
        <v>44030.426131944441</v>
      </c>
      <c r="R55" t="s">
        <v>118</v>
      </c>
    </row>
    <row r="56" spans="1:18" x14ac:dyDescent="0.3">
      <c r="A56">
        <v>21529374</v>
      </c>
      <c r="B56" t="s">
        <v>72</v>
      </c>
      <c r="C56">
        <v>1326716</v>
      </c>
      <c r="D56" t="s">
        <v>108</v>
      </c>
      <c r="E56" t="s">
        <v>117</v>
      </c>
      <c r="F56" t="s">
        <v>117</v>
      </c>
      <c r="G56" t="s">
        <v>59</v>
      </c>
      <c r="H56" t="s">
        <v>229</v>
      </c>
      <c r="I56" t="s">
        <v>84</v>
      </c>
      <c r="J56" t="s">
        <v>85</v>
      </c>
      <c r="K56" t="s">
        <v>91</v>
      </c>
      <c r="L56" s="25">
        <v>44030</v>
      </c>
      <c r="M56">
        <v>7</v>
      </c>
      <c r="N56">
        <v>2020</v>
      </c>
      <c r="O56" t="s">
        <v>110</v>
      </c>
      <c r="P56">
        <v>170</v>
      </c>
      <c r="Q56" s="17">
        <v>44030.429559143522</v>
      </c>
      <c r="R56" t="s">
        <v>119</v>
      </c>
    </row>
    <row r="57" spans="1:18" x14ac:dyDescent="0.3">
      <c r="A57">
        <v>21529353</v>
      </c>
      <c r="B57" t="s">
        <v>78</v>
      </c>
      <c r="C57">
        <v>1326886</v>
      </c>
      <c r="D57" t="s">
        <v>78</v>
      </c>
      <c r="E57" t="s">
        <v>117</v>
      </c>
      <c r="F57" t="s">
        <v>117</v>
      </c>
      <c r="G57" t="s">
        <v>59</v>
      </c>
      <c r="H57" t="s">
        <v>230</v>
      </c>
      <c r="I57" t="s">
        <v>78</v>
      </c>
      <c r="J57" t="s">
        <v>42</v>
      </c>
      <c r="K57" t="s">
        <v>91</v>
      </c>
      <c r="L57" s="25">
        <v>44030</v>
      </c>
      <c r="M57">
        <v>7</v>
      </c>
      <c r="N57">
        <v>2020</v>
      </c>
      <c r="O57" t="s">
        <v>110</v>
      </c>
      <c r="P57">
        <v>170</v>
      </c>
      <c r="Q57" s="17">
        <v>44030.433509490744</v>
      </c>
      <c r="R57" t="s">
        <v>118</v>
      </c>
    </row>
    <row r="58" spans="1:18" x14ac:dyDescent="0.3">
      <c r="A58">
        <v>21527933</v>
      </c>
      <c r="B58" t="s">
        <v>78</v>
      </c>
      <c r="C58">
        <v>1327352</v>
      </c>
      <c r="D58" t="s">
        <v>78</v>
      </c>
      <c r="E58" t="s">
        <v>117</v>
      </c>
      <c r="F58" t="s">
        <v>117</v>
      </c>
      <c r="G58" t="s">
        <v>59</v>
      </c>
      <c r="H58" t="s">
        <v>230</v>
      </c>
      <c r="I58" t="s">
        <v>78</v>
      </c>
      <c r="J58" t="s">
        <v>42</v>
      </c>
      <c r="K58" t="s">
        <v>91</v>
      </c>
      <c r="L58" s="25">
        <v>44030</v>
      </c>
      <c r="M58">
        <v>7</v>
      </c>
      <c r="N58">
        <v>2020</v>
      </c>
      <c r="O58" t="s">
        <v>110</v>
      </c>
      <c r="P58">
        <v>170</v>
      </c>
      <c r="Q58" s="17">
        <v>44030.438239583331</v>
      </c>
      <c r="R58" t="s">
        <v>118</v>
      </c>
    </row>
    <row r="59" spans="1:18" x14ac:dyDescent="0.3">
      <c r="A59">
        <v>21528527</v>
      </c>
      <c r="B59" t="s">
        <v>72</v>
      </c>
      <c r="C59">
        <v>1327386</v>
      </c>
      <c r="D59" t="s">
        <v>108</v>
      </c>
      <c r="E59" t="s">
        <v>58</v>
      </c>
      <c r="F59" t="s">
        <v>58</v>
      </c>
      <c r="G59" t="s">
        <v>114</v>
      </c>
      <c r="H59" t="s">
        <v>229</v>
      </c>
      <c r="I59" t="s">
        <v>84</v>
      </c>
      <c r="J59" t="s">
        <v>85</v>
      </c>
      <c r="K59" t="s">
        <v>87</v>
      </c>
      <c r="L59" s="25">
        <v>44030</v>
      </c>
      <c r="M59">
        <v>7</v>
      </c>
      <c r="N59">
        <v>2020</v>
      </c>
      <c r="O59" t="s">
        <v>110</v>
      </c>
      <c r="P59">
        <v>170</v>
      </c>
      <c r="Q59" s="17">
        <v>44030.42545613426</v>
      </c>
      <c r="R59" t="s">
        <v>111</v>
      </c>
    </row>
    <row r="60" spans="1:18" x14ac:dyDescent="0.3">
      <c r="A60">
        <v>21529521</v>
      </c>
      <c r="B60" t="s">
        <v>78</v>
      </c>
      <c r="C60">
        <v>1327501</v>
      </c>
      <c r="D60" t="s">
        <v>78</v>
      </c>
      <c r="E60" t="s">
        <v>57</v>
      </c>
      <c r="F60" t="s">
        <v>57</v>
      </c>
      <c r="G60" t="s">
        <v>109</v>
      </c>
      <c r="H60" t="s">
        <v>105</v>
      </c>
      <c r="I60" t="s">
        <v>78</v>
      </c>
      <c r="J60" t="s">
        <v>42</v>
      </c>
      <c r="K60" t="s">
        <v>87</v>
      </c>
      <c r="L60" s="25">
        <v>44030</v>
      </c>
      <c r="M60">
        <v>7</v>
      </c>
      <c r="N60">
        <v>2020</v>
      </c>
      <c r="O60" t="s">
        <v>110</v>
      </c>
      <c r="P60">
        <v>170</v>
      </c>
      <c r="Q60" s="17">
        <v>44030.42755659722</v>
      </c>
      <c r="R60" t="s">
        <v>111</v>
      </c>
    </row>
    <row r="61" spans="1:18" x14ac:dyDescent="0.3">
      <c r="A61">
        <v>21528866</v>
      </c>
      <c r="B61" t="s">
        <v>78</v>
      </c>
      <c r="C61">
        <v>1327486</v>
      </c>
      <c r="D61" t="s">
        <v>78</v>
      </c>
      <c r="E61" t="s">
        <v>57</v>
      </c>
      <c r="F61" t="s">
        <v>57</v>
      </c>
      <c r="G61" t="s">
        <v>109</v>
      </c>
      <c r="H61" t="s">
        <v>105</v>
      </c>
      <c r="I61" t="s">
        <v>78</v>
      </c>
      <c r="J61" t="s">
        <v>42</v>
      </c>
      <c r="K61" t="s">
        <v>87</v>
      </c>
      <c r="L61" s="25">
        <v>44030</v>
      </c>
      <c r="M61">
        <v>7</v>
      </c>
      <c r="N61">
        <v>2020</v>
      </c>
      <c r="O61" t="s">
        <v>110</v>
      </c>
      <c r="P61">
        <v>170</v>
      </c>
      <c r="Q61" s="17">
        <v>44030.426910648152</v>
      </c>
      <c r="R61" t="s">
        <v>111</v>
      </c>
    </row>
    <row r="62" spans="1:18" x14ac:dyDescent="0.3">
      <c r="A62">
        <v>21529179</v>
      </c>
      <c r="B62" t="s">
        <v>78</v>
      </c>
      <c r="C62">
        <v>1327586</v>
      </c>
      <c r="D62" t="s">
        <v>78</v>
      </c>
      <c r="E62" t="s">
        <v>117</v>
      </c>
      <c r="F62" t="s">
        <v>117</v>
      </c>
      <c r="G62" t="s">
        <v>59</v>
      </c>
      <c r="H62" t="s">
        <v>231</v>
      </c>
      <c r="I62" t="s">
        <v>78</v>
      </c>
      <c r="J62" t="s">
        <v>42</v>
      </c>
      <c r="K62" t="s">
        <v>91</v>
      </c>
      <c r="L62" s="25">
        <v>44030</v>
      </c>
      <c r="M62">
        <v>7</v>
      </c>
      <c r="N62">
        <v>2020</v>
      </c>
      <c r="O62" t="s">
        <v>110</v>
      </c>
      <c r="P62">
        <v>170</v>
      </c>
      <c r="Q62" s="17">
        <v>44030.440529398147</v>
      </c>
      <c r="R62" t="s">
        <v>119</v>
      </c>
    </row>
    <row r="63" spans="1:18" x14ac:dyDescent="0.3">
      <c r="A63">
        <v>9683409</v>
      </c>
      <c r="B63" t="s">
        <v>72</v>
      </c>
      <c r="C63">
        <v>1327637</v>
      </c>
      <c r="D63" t="s">
        <v>108</v>
      </c>
      <c r="E63" t="s">
        <v>57</v>
      </c>
      <c r="F63" t="s">
        <v>57</v>
      </c>
      <c r="G63" t="s">
        <v>109</v>
      </c>
      <c r="H63" t="s">
        <v>229</v>
      </c>
      <c r="I63" t="s">
        <v>84</v>
      </c>
      <c r="J63" t="s">
        <v>85</v>
      </c>
      <c r="K63" t="s">
        <v>87</v>
      </c>
      <c r="L63" s="25">
        <v>44030</v>
      </c>
      <c r="M63">
        <v>7</v>
      </c>
      <c r="N63">
        <v>2020</v>
      </c>
      <c r="O63" t="s">
        <v>110</v>
      </c>
      <c r="P63">
        <v>170</v>
      </c>
      <c r="Q63" s="17">
        <v>44030.429395717591</v>
      </c>
      <c r="R63" t="s">
        <v>111</v>
      </c>
    </row>
    <row r="64" spans="1:18" x14ac:dyDescent="0.3">
      <c r="A64">
        <v>9683396</v>
      </c>
      <c r="B64" t="s">
        <v>72</v>
      </c>
      <c r="C64">
        <v>1327635</v>
      </c>
      <c r="D64" t="s">
        <v>108</v>
      </c>
      <c r="E64" t="s">
        <v>57</v>
      </c>
      <c r="F64" t="s">
        <v>57</v>
      </c>
      <c r="G64" t="s">
        <v>109</v>
      </c>
      <c r="H64" t="s">
        <v>229</v>
      </c>
      <c r="I64" t="s">
        <v>84</v>
      </c>
      <c r="J64" t="s">
        <v>85</v>
      </c>
      <c r="K64" t="s">
        <v>87</v>
      </c>
      <c r="L64" s="25">
        <v>44030</v>
      </c>
      <c r="M64">
        <v>7</v>
      </c>
      <c r="N64">
        <v>2020</v>
      </c>
      <c r="O64" t="s">
        <v>110</v>
      </c>
      <c r="P64">
        <v>170</v>
      </c>
      <c r="Q64" s="17">
        <v>44030.432276273146</v>
      </c>
      <c r="R64" t="s">
        <v>115</v>
      </c>
    </row>
    <row r="65" spans="1:18" x14ac:dyDescent="0.3">
      <c r="A65">
        <v>9683400</v>
      </c>
      <c r="B65" t="s">
        <v>78</v>
      </c>
      <c r="C65">
        <v>1327688</v>
      </c>
      <c r="D65" t="s">
        <v>78</v>
      </c>
      <c r="E65" t="s">
        <v>57</v>
      </c>
      <c r="F65" t="s">
        <v>57</v>
      </c>
      <c r="G65" t="s">
        <v>109</v>
      </c>
      <c r="H65" t="s">
        <v>105</v>
      </c>
      <c r="I65" t="s">
        <v>78</v>
      </c>
      <c r="J65" t="s">
        <v>42</v>
      </c>
      <c r="K65" t="s">
        <v>87</v>
      </c>
      <c r="L65" s="25">
        <v>44030</v>
      </c>
      <c r="M65">
        <v>7</v>
      </c>
      <c r="N65">
        <v>2020</v>
      </c>
      <c r="O65" t="s">
        <v>110</v>
      </c>
      <c r="P65">
        <v>170</v>
      </c>
      <c r="Q65" s="17">
        <v>44030.431200578707</v>
      </c>
      <c r="R65" t="s">
        <v>112</v>
      </c>
    </row>
    <row r="66" spans="1:18" x14ac:dyDescent="0.3">
      <c r="A66">
        <v>241920</v>
      </c>
      <c r="B66" t="s">
        <v>72</v>
      </c>
      <c r="C66">
        <v>1327737</v>
      </c>
      <c r="D66" t="s">
        <v>108</v>
      </c>
      <c r="E66" t="s">
        <v>57</v>
      </c>
      <c r="F66" t="s">
        <v>57</v>
      </c>
      <c r="G66" t="s">
        <v>109</v>
      </c>
      <c r="H66" t="s">
        <v>229</v>
      </c>
      <c r="I66" t="s">
        <v>84</v>
      </c>
      <c r="J66" t="s">
        <v>85</v>
      </c>
      <c r="K66" t="s">
        <v>87</v>
      </c>
      <c r="L66" s="25">
        <v>44030</v>
      </c>
      <c r="M66">
        <v>7</v>
      </c>
      <c r="N66">
        <v>2020</v>
      </c>
      <c r="O66" t="s">
        <v>110</v>
      </c>
      <c r="P66">
        <v>170</v>
      </c>
      <c r="Q66" s="17">
        <v>44030.432887615738</v>
      </c>
      <c r="R66" t="s">
        <v>111</v>
      </c>
    </row>
    <row r="67" spans="1:18" x14ac:dyDescent="0.3">
      <c r="A67">
        <v>240853</v>
      </c>
      <c r="B67" t="s">
        <v>78</v>
      </c>
      <c r="C67">
        <v>1318208</v>
      </c>
      <c r="D67" t="s">
        <v>78</v>
      </c>
      <c r="E67" t="s">
        <v>57</v>
      </c>
      <c r="F67" t="s">
        <v>57</v>
      </c>
      <c r="G67" t="s">
        <v>109</v>
      </c>
      <c r="H67" t="s">
        <v>105</v>
      </c>
      <c r="I67" t="s">
        <v>78</v>
      </c>
      <c r="J67" t="s">
        <v>42</v>
      </c>
      <c r="K67" t="s">
        <v>87</v>
      </c>
      <c r="L67" s="25">
        <v>44030</v>
      </c>
      <c r="M67">
        <v>7</v>
      </c>
      <c r="N67">
        <v>2020</v>
      </c>
      <c r="O67" t="s">
        <v>110</v>
      </c>
      <c r="P67">
        <v>170</v>
      </c>
      <c r="Q67" s="17">
        <v>44030.472951967589</v>
      </c>
      <c r="R67" t="s">
        <v>111</v>
      </c>
    </row>
    <row r="68" spans="1:18" x14ac:dyDescent="0.3">
      <c r="A68">
        <v>240931</v>
      </c>
      <c r="B68" t="s">
        <v>72</v>
      </c>
      <c r="C68">
        <v>1319101</v>
      </c>
      <c r="D68" t="s">
        <v>108</v>
      </c>
      <c r="E68" t="s">
        <v>57</v>
      </c>
      <c r="F68" t="s">
        <v>57</v>
      </c>
      <c r="G68" t="s">
        <v>109</v>
      </c>
      <c r="H68" t="s">
        <v>229</v>
      </c>
      <c r="I68" t="s">
        <v>84</v>
      </c>
      <c r="J68" t="s">
        <v>85</v>
      </c>
      <c r="K68" t="s">
        <v>87</v>
      </c>
      <c r="L68" s="25">
        <v>44030</v>
      </c>
      <c r="M68">
        <v>7</v>
      </c>
      <c r="N68">
        <v>2020</v>
      </c>
      <c r="O68" t="s">
        <v>110</v>
      </c>
      <c r="P68">
        <v>170</v>
      </c>
      <c r="Q68" s="17">
        <v>44030.426331828705</v>
      </c>
      <c r="R68" t="s">
        <v>111</v>
      </c>
    </row>
    <row r="69" spans="1:18" x14ac:dyDescent="0.3">
      <c r="A69">
        <v>21524380</v>
      </c>
      <c r="B69" t="s">
        <v>78</v>
      </c>
      <c r="C69">
        <v>1319676</v>
      </c>
      <c r="D69" t="s">
        <v>78</v>
      </c>
      <c r="E69" t="s">
        <v>58</v>
      </c>
      <c r="F69" t="s">
        <v>58</v>
      </c>
      <c r="G69" t="s">
        <v>114</v>
      </c>
      <c r="H69" t="s">
        <v>105</v>
      </c>
      <c r="I69" t="s">
        <v>78</v>
      </c>
      <c r="J69" t="s">
        <v>42</v>
      </c>
      <c r="K69" t="s">
        <v>87</v>
      </c>
      <c r="L69" s="25">
        <v>44030</v>
      </c>
      <c r="M69">
        <v>7</v>
      </c>
      <c r="N69">
        <v>2020</v>
      </c>
      <c r="O69" t="s">
        <v>110</v>
      </c>
      <c r="P69">
        <v>170</v>
      </c>
      <c r="Q69" s="17">
        <v>44030.464324768516</v>
      </c>
      <c r="R69" t="s">
        <v>111</v>
      </c>
    </row>
    <row r="70" spans="1:18" x14ac:dyDescent="0.3">
      <c r="A70">
        <v>241113</v>
      </c>
      <c r="B70" t="s">
        <v>72</v>
      </c>
      <c r="C70">
        <v>1320412</v>
      </c>
      <c r="D70" t="s">
        <v>108</v>
      </c>
      <c r="E70" t="s">
        <v>57</v>
      </c>
      <c r="F70" t="s">
        <v>57</v>
      </c>
      <c r="G70" t="s">
        <v>109</v>
      </c>
      <c r="H70" t="s">
        <v>229</v>
      </c>
      <c r="I70" t="s">
        <v>84</v>
      </c>
      <c r="J70" t="s">
        <v>85</v>
      </c>
      <c r="K70" t="s">
        <v>87</v>
      </c>
      <c r="L70" s="25">
        <v>44030</v>
      </c>
      <c r="M70">
        <v>7</v>
      </c>
      <c r="N70">
        <v>2020</v>
      </c>
      <c r="O70" t="s">
        <v>110</v>
      </c>
      <c r="P70">
        <v>170</v>
      </c>
      <c r="Q70" s="17">
        <v>44030.468865162038</v>
      </c>
      <c r="R70" t="s">
        <v>111</v>
      </c>
    </row>
    <row r="71" spans="1:18" x14ac:dyDescent="0.3">
      <c r="A71">
        <v>9680954</v>
      </c>
      <c r="B71" t="s">
        <v>78</v>
      </c>
      <c r="C71">
        <v>1326194</v>
      </c>
      <c r="D71" t="s">
        <v>78</v>
      </c>
      <c r="E71" t="s">
        <v>57</v>
      </c>
      <c r="F71" t="s">
        <v>57</v>
      </c>
      <c r="G71" t="s">
        <v>109</v>
      </c>
      <c r="H71" t="s">
        <v>238</v>
      </c>
      <c r="I71" t="s">
        <v>78</v>
      </c>
      <c r="J71" t="s">
        <v>42</v>
      </c>
      <c r="K71" t="s">
        <v>87</v>
      </c>
      <c r="L71" s="25">
        <v>44030</v>
      </c>
      <c r="M71">
        <v>7</v>
      </c>
      <c r="N71">
        <v>2020</v>
      </c>
      <c r="O71" t="s">
        <v>110</v>
      </c>
      <c r="P71">
        <v>170</v>
      </c>
      <c r="Q71" s="17">
        <v>44030.488415509259</v>
      </c>
      <c r="R71" t="s">
        <v>115</v>
      </c>
    </row>
    <row r="72" spans="1:18" x14ac:dyDescent="0.3">
      <c r="A72">
        <v>21529159</v>
      </c>
      <c r="B72" t="s">
        <v>78</v>
      </c>
      <c r="C72">
        <v>1326364</v>
      </c>
      <c r="D72" t="s">
        <v>78</v>
      </c>
      <c r="E72" t="s">
        <v>117</v>
      </c>
      <c r="F72" t="s">
        <v>117</v>
      </c>
      <c r="G72" t="s">
        <v>59</v>
      </c>
      <c r="H72" t="s">
        <v>230</v>
      </c>
      <c r="I72" t="s">
        <v>78</v>
      </c>
      <c r="J72" t="s">
        <v>42</v>
      </c>
      <c r="K72" t="s">
        <v>91</v>
      </c>
      <c r="L72" s="25">
        <v>44030</v>
      </c>
      <c r="M72">
        <v>7</v>
      </c>
      <c r="N72">
        <v>2020</v>
      </c>
      <c r="O72" t="s">
        <v>110</v>
      </c>
      <c r="P72">
        <v>170</v>
      </c>
      <c r="Q72" s="17">
        <v>44030.423425462963</v>
      </c>
      <c r="R72" t="s">
        <v>118</v>
      </c>
    </row>
    <row r="73" spans="1:18" x14ac:dyDescent="0.3">
      <c r="A73">
        <v>21527579</v>
      </c>
      <c r="B73" t="s">
        <v>78</v>
      </c>
      <c r="C73">
        <v>1326594</v>
      </c>
      <c r="D73" t="s">
        <v>78</v>
      </c>
      <c r="E73" t="s">
        <v>117</v>
      </c>
      <c r="F73" t="s">
        <v>117</v>
      </c>
      <c r="G73" t="s">
        <v>59</v>
      </c>
      <c r="H73" t="s">
        <v>230</v>
      </c>
      <c r="I73" t="s">
        <v>78</v>
      </c>
      <c r="J73" t="s">
        <v>42</v>
      </c>
      <c r="K73" t="s">
        <v>91</v>
      </c>
      <c r="L73" s="25">
        <v>44030</v>
      </c>
      <c r="M73">
        <v>7</v>
      </c>
      <c r="N73">
        <v>2020</v>
      </c>
      <c r="O73" t="s">
        <v>110</v>
      </c>
      <c r="P73">
        <v>170</v>
      </c>
      <c r="Q73" s="17">
        <v>44030.426331944444</v>
      </c>
      <c r="R73" t="s">
        <v>118</v>
      </c>
    </row>
    <row r="74" spans="1:18" x14ac:dyDescent="0.3">
      <c r="A74">
        <v>21529339</v>
      </c>
      <c r="B74" t="s">
        <v>78</v>
      </c>
      <c r="C74">
        <v>1326764</v>
      </c>
      <c r="D74" t="s">
        <v>78</v>
      </c>
      <c r="E74" t="s">
        <v>117</v>
      </c>
      <c r="F74" t="s">
        <v>117</v>
      </c>
      <c r="G74" t="s">
        <v>59</v>
      </c>
      <c r="H74" t="s">
        <v>231</v>
      </c>
      <c r="I74" t="s">
        <v>78</v>
      </c>
      <c r="J74" t="s">
        <v>42</v>
      </c>
      <c r="K74" t="s">
        <v>91</v>
      </c>
      <c r="L74" s="25">
        <v>44030</v>
      </c>
      <c r="M74">
        <v>7</v>
      </c>
      <c r="N74">
        <v>2020</v>
      </c>
      <c r="O74" t="s">
        <v>110</v>
      </c>
      <c r="P74">
        <v>170</v>
      </c>
      <c r="Q74" s="17">
        <v>44030.432106134256</v>
      </c>
      <c r="R74" t="s">
        <v>119</v>
      </c>
    </row>
    <row r="75" spans="1:18" x14ac:dyDescent="0.3">
      <c r="A75">
        <v>21528138</v>
      </c>
      <c r="B75" t="s">
        <v>72</v>
      </c>
      <c r="C75">
        <v>1327087</v>
      </c>
      <c r="D75" t="s">
        <v>108</v>
      </c>
      <c r="E75" t="s">
        <v>117</v>
      </c>
      <c r="F75" t="s">
        <v>117</v>
      </c>
      <c r="G75" t="s">
        <v>59</v>
      </c>
      <c r="H75" t="s">
        <v>229</v>
      </c>
      <c r="I75" t="s">
        <v>84</v>
      </c>
      <c r="J75" t="s">
        <v>85</v>
      </c>
      <c r="K75" t="s">
        <v>91</v>
      </c>
      <c r="L75" s="25">
        <v>44030</v>
      </c>
      <c r="M75">
        <v>7</v>
      </c>
      <c r="N75">
        <v>2020</v>
      </c>
      <c r="O75" t="s">
        <v>110</v>
      </c>
      <c r="P75">
        <v>170</v>
      </c>
      <c r="Q75" s="17">
        <v>44030.433228472219</v>
      </c>
      <c r="R75" t="s">
        <v>119</v>
      </c>
    </row>
    <row r="76" spans="1:18" x14ac:dyDescent="0.3">
      <c r="A76">
        <v>21528295</v>
      </c>
      <c r="B76" t="s">
        <v>78</v>
      </c>
      <c r="C76">
        <v>1327121</v>
      </c>
      <c r="D76" t="s">
        <v>78</v>
      </c>
      <c r="E76" t="s">
        <v>117</v>
      </c>
      <c r="F76" t="s">
        <v>117</v>
      </c>
      <c r="G76" t="s">
        <v>59</v>
      </c>
      <c r="H76" t="s">
        <v>230</v>
      </c>
      <c r="I76" t="s">
        <v>78</v>
      </c>
      <c r="J76" t="s">
        <v>42</v>
      </c>
      <c r="K76" t="s">
        <v>91</v>
      </c>
      <c r="L76" s="25">
        <v>44030</v>
      </c>
      <c r="M76">
        <v>7</v>
      </c>
      <c r="N76">
        <v>2020</v>
      </c>
      <c r="O76" t="s">
        <v>110</v>
      </c>
      <c r="P76">
        <v>170</v>
      </c>
      <c r="Q76" s="17">
        <v>44030.434112731484</v>
      </c>
      <c r="R76" t="s">
        <v>118</v>
      </c>
    </row>
    <row r="77" spans="1:18" x14ac:dyDescent="0.3">
      <c r="A77">
        <v>21529394</v>
      </c>
      <c r="B77" t="s">
        <v>80</v>
      </c>
      <c r="C77">
        <v>1327257</v>
      </c>
      <c r="D77" t="s">
        <v>122</v>
      </c>
      <c r="E77" t="s">
        <v>117</v>
      </c>
      <c r="F77" t="s">
        <v>117</v>
      </c>
      <c r="G77" t="s">
        <v>59</v>
      </c>
      <c r="H77" t="s">
        <v>228</v>
      </c>
      <c r="I77" t="s">
        <v>84</v>
      </c>
      <c r="J77" t="s">
        <v>85</v>
      </c>
      <c r="K77" t="s">
        <v>91</v>
      </c>
      <c r="L77" s="25">
        <v>44030</v>
      </c>
      <c r="M77">
        <v>7</v>
      </c>
      <c r="N77">
        <v>2020</v>
      </c>
      <c r="O77" t="s">
        <v>110</v>
      </c>
      <c r="P77">
        <v>170</v>
      </c>
      <c r="Q77" s="17">
        <v>44029.956113541666</v>
      </c>
      <c r="R77" t="s">
        <v>118</v>
      </c>
    </row>
    <row r="78" spans="1:18" x14ac:dyDescent="0.3">
      <c r="A78">
        <v>21528511</v>
      </c>
      <c r="B78" t="s">
        <v>72</v>
      </c>
      <c r="C78">
        <v>1327325</v>
      </c>
      <c r="D78" t="s">
        <v>108</v>
      </c>
      <c r="E78" t="s">
        <v>57</v>
      </c>
      <c r="F78" t="s">
        <v>57</v>
      </c>
      <c r="G78" t="s">
        <v>109</v>
      </c>
      <c r="H78" t="s">
        <v>229</v>
      </c>
      <c r="I78" t="s">
        <v>84</v>
      </c>
      <c r="J78" t="s">
        <v>85</v>
      </c>
      <c r="K78" t="s">
        <v>87</v>
      </c>
      <c r="L78" s="25">
        <v>44030</v>
      </c>
      <c r="M78">
        <v>7</v>
      </c>
      <c r="N78">
        <v>2020</v>
      </c>
      <c r="O78" t="s">
        <v>110</v>
      </c>
      <c r="P78">
        <v>170</v>
      </c>
      <c r="Q78" s="17">
        <v>44030.422826388887</v>
      </c>
      <c r="R78" t="s">
        <v>121</v>
      </c>
    </row>
    <row r="79" spans="1:18" x14ac:dyDescent="0.3">
      <c r="A79">
        <v>21527947</v>
      </c>
      <c r="B79" t="s">
        <v>80</v>
      </c>
      <c r="C79">
        <v>1327330</v>
      </c>
      <c r="D79" t="s">
        <v>113</v>
      </c>
      <c r="E79" t="s">
        <v>57</v>
      </c>
      <c r="F79" t="s">
        <v>57</v>
      </c>
      <c r="G79" t="s">
        <v>109</v>
      </c>
      <c r="H79" t="s">
        <v>232</v>
      </c>
      <c r="I79" t="s">
        <v>84</v>
      </c>
      <c r="J79" t="s">
        <v>85</v>
      </c>
      <c r="K79" t="s">
        <v>87</v>
      </c>
      <c r="L79" s="25">
        <v>44030</v>
      </c>
      <c r="M79">
        <v>7</v>
      </c>
      <c r="N79">
        <v>2020</v>
      </c>
      <c r="O79" t="s">
        <v>110</v>
      </c>
      <c r="P79">
        <v>170</v>
      </c>
      <c r="Q79" s="17">
        <v>44030.425253009256</v>
      </c>
      <c r="R79" t="s">
        <v>111</v>
      </c>
    </row>
    <row r="80" spans="1:18" x14ac:dyDescent="0.3">
      <c r="A80">
        <v>9682660</v>
      </c>
      <c r="B80" t="s">
        <v>79</v>
      </c>
      <c r="C80">
        <v>1327398</v>
      </c>
      <c r="D80" t="s">
        <v>116</v>
      </c>
      <c r="E80" t="s">
        <v>58</v>
      </c>
      <c r="F80" t="s">
        <v>58</v>
      </c>
      <c r="G80" t="s">
        <v>114</v>
      </c>
      <c r="H80" t="s">
        <v>233</v>
      </c>
      <c r="I80" t="s">
        <v>82</v>
      </c>
      <c r="J80" t="s">
        <v>42</v>
      </c>
      <c r="K80" t="s">
        <v>87</v>
      </c>
      <c r="L80" s="25">
        <v>44030</v>
      </c>
      <c r="M80">
        <v>7</v>
      </c>
      <c r="N80">
        <v>2020</v>
      </c>
      <c r="O80" t="s">
        <v>110</v>
      </c>
      <c r="P80">
        <v>170</v>
      </c>
      <c r="Q80" s="17">
        <v>44030.427747569447</v>
      </c>
      <c r="R80" t="s">
        <v>111</v>
      </c>
    </row>
    <row r="81" spans="1:18" x14ac:dyDescent="0.3">
      <c r="A81">
        <v>21527677</v>
      </c>
      <c r="B81" t="s">
        <v>72</v>
      </c>
      <c r="C81">
        <v>1327189</v>
      </c>
      <c r="D81" t="s">
        <v>108</v>
      </c>
      <c r="E81" t="s">
        <v>117</v>
      </c>
      <c r="F81" t="s">
        <v>117</v>
      </c>
      <c r="G81" t="s">
        <v>59</v>
      </c>
      <c r="H81" t="s">
        <v>229</v>
      </c>
      <c r="I81" t="s">
        <v>84</v>
      </c>
      <c r="J81" t="s">
        <v>85</v>
      </c>
      <c r="K81" t="s">
        <v>91</v>
      </c>
      <c r="L81" s="25">
        <v>44030</v>
      </c>
      <c r="M81">
        <v>7</v>
      </c>
      <c r="N81">
        <v>2020</v>
      </c>
      <c r="O81" t="s">
        <v>110</v>
      </c>
      <c r="P81">
        <v>170</v>
      </c>
      <c r="Q81" s="17">
        <v>44030.43829421296</v>
      </c>
      <c r="R81" t="s">
        <v>119</v>
      </c>
    </row>
    <row r="82" spans="1:18" x14ac:dyDescent="0.3">
      <c r="A82">
        <v>21528868</v>
      </c>
      <c r="B82" t="s">
        <v>72</v>
      </c>
      <c r="C82">
        <v>1327491</v>
      </c>
      <c r="D82" t="s">
        <v>108</v>
      </c>
      <c r="E82" t="s">
        <v>58</v>
      </c>
      <c r="F82" t="s">
        <v>58</v>
      </c>
      <c r="G82" t="s">
        <v>114</v>
      </c>
      <c r="H82" t="s">
        <v>229</v>
      </c>
      <c r="I82" t="s">
        <v>84</v>
      </c>
      <c r="J82" t="s">
        <v>85</v>
      </c>
      <c r="K82" t="s">
        <v>87</v>
      </c>
      <c r="L82" s="25">
        <v>44030</v>
      </c>
      <c r="M82">
        <v>7</v>
      </c>
      <c r="N82">
        <v>2020</v>
      </c>
      <c r="O82" t="s">
        <v>110</v>
      </c>
      <c r="P82">
        <v>170</v>
      </c>
      <c r="Q82" s="17">
        <v>44030.427239814817</v>
      </c>
      <c r="R82" t="s">
        <v>111</v>
      </c>
    </row>
    <row r="83" spans="1:18" x14ac:dyDescent="0.3">
      <c r="A83">
        <v>9683959</v>
      </c>
      <c r="B83" t="s">
        <v>78</v>
      </c>
      <c r="C83">
        <v>1327457</v>
      </c>
      <c r="D83" t="s">
        <v>78</v>
      </c>
      <c r="E83" t="s">
        <v>57</v>
      </c>
      <c r="F83" t="s">
        <v>57</v>
      </c>
      <c r="G83" t="s">
        <v>109</v>
      </c>
      <c r="H83" t="s">
        <v>105</v>
      </c>
      <c r="I83" t="s">
        <v>78</v>
      </c>
      <c r="J83" t="s">
        <v>42</v>
      </c>
      <c r="K83" t="s">
        <v>87</v>
      </c>
      <c r="L83" s="25">
        <v>44030</v>
      </c>
      <c r="M83">
        <v>7</v>
      </c>
      <c r="N83">
        <v>2020</v>
      </c>
      <c r="O83" t="s">
        <v>110</v>
      </c>
      <c r="P83">
        <v>170</v>
      </c>
      <c r="Q83" s="17">
        <v>44030.42705810185</v>
      </c>
      <c r="R83" t="s">
        <v>115</v>
      </c>
    </row>
    <row r="84" spans="1:18" x14ac:dyDescent="0.3">
      <c r="A84">
        <v>21528481</v>
      </c>
      <c r="B84" t="s">
        <v>72</v>
      </c>
      <c r="C84">
        <v>1327555</v>
      </c>
      <c r="D84" t="s">
        <v>108</v>
      </c>
      <c r="E84" t="s">
        <v>57</v>
      </c>
      <c r="F84" t="s">
        <v>57</v>
      </c>
      <c r="G84" t="s">
        <v>109</v>
      </c>
      <c r="H84" t="s">
        <v>229</v>
      </c>
      <c r="I84" t="s">
        <v>84</v>
      </c>
      <c r="J84" t="s">
        <v>85</v>
      </c>
      <c r="K84" t="s">
        <v>87</v>
      </c>
      <c r="L84" s="25">
        <v>44030</v>
      </c>
      <c r="M84">
        <v>7</v>
      </c>
      <c r="N84">
        <v>2020</v>
      </c>
      <c r="O84" t="s">
        <v>110</v>
      </c>
      <c r="P84">
        <v>170</v>
      </c>
      <c r="Q84" s="17">
        <v>44030.429976967593</v>
      </c>
      <c r="R84" t="s">
        <v>111</v>
      </c>
    </row>
    <row r="85" spans="1:18" x14ac:dyDescent="0.3">
      <c r="A85">
        <v>21529247</v>
      </c>
      <c r="B85" t="s">
        <v>78</v>
      </c>
      <c r="C85">
        <v>1327564</v>
      </c>
      <c r="D85" t="s">
        <v>78</v>
      </c>
      <c r="E85" t="s">
        <v>117</v>
      </c>
      <c r="F85" t="s">
        <v>117</v>
      </c>
      <c r="G85" t="s">
        <v>59</v>
      </c>
      <c r="H85" t="s">
        <v>231</v>
      </c>
      <c r="I85" t="s">
        <v>78</v>
      </c>
      <c r="J85" t="s">
        <v>42</v>
      </c>
      <c r="K85" t="s">
        <v>91</v>
      </c>
      <c r="L85" s="25">
        <v>44030</v>
      </c>
      <c r="M85">
        <v>7</v>
      </c>
      <c r="N85">
        <v>2020</v>
      </c>
      <c r="O85" t="s">
        <v>110</v>
      </c>
      <c r="P85">
        <v>170</v>
      </c>
      <c r="Q85" s="17">
        <v>44030.442558333336</v>
      </c>
      <c r="R85" t="s">
        <v>119</v>
      </c>
    </row>
    <row r="86" spans="1:18" x14ac:dyDescent="0.3">
      <c r="A86">
        <v>21529571</v>
      </c>
      <c r="B86" t="s">
        <v>78</v>
      </c>
      <c r="C86">
        <v>1327857</v>
      </c>
      <c r="D86" t="s">
        <v>116</v>
      </c>
      <c r="E86" t="s">
        <v>58</v>
      </c>
      <c r="F86" t="s">
        <v>58</v>
      </c>
      <c r="G86" t="s">
        <v>114</v>
      </c>
      <c r="H86" t="s">
        <v>239</v>
      </c>
      <c r="I86" t="s">
        <v>84</v>
      </c>
      <c r="J86" t="s">
        <v>85</v>
      </c>
      <c r="K86" t="s">
        <v>87</v>
      </c>
      <c r="L86" s="25">
        <v>44030</v>
      </c>
      <c r="M86">
        <v>7</v>
      </c>
      <c r="N86">
        <v>2020</v>
      </c>
      <c r="O86" t="s">
        <v>110</v>
      </c>
      <c r="P86">
        <v>170</v>
      </c>
      <c r="Q86" s="17">
        <v>44030.432266666663</v>
      </c>
      <c r="R86" t="s">
        <v>111</v>
      </c>
    </row>
    <row r="87" spans="1:18" x14ac:dyDescent="0.3">
      <c r="A87">
        <v>241404</v>
      </c>
      <c r="B87" t="s">
        <v>72</v>
      </c>
      <c r="C87">
        <v>1320592</v>
      </c>
      <c r="D87" t="s">
        <v>108</v>
      </c>
      <c r="E87" t="s">
        <v>57</v>
      </c>
      <c r="F87" t="s">
        <v>57</v>
      </c>
      <c r="G87" t="s">
        <v>109</v>
      </c>
      <c r="H87" t="s">
        <v>229</v>
      </c>
      <c r="I87" t="s">
        <v>84</v>
      </c>
      <c r="J87" t="s">
        <v>85</v>
      </c>
      <c r="K87" t="s">
        <v>87</v>
      </c>
      <c r="L87" s="25">
        <v>44030</v>
      </c>
      <c r="M87">
        <v>7</v>
      </c>
      <c r="N87">
        <v>2020</v>
      </c>
      <c r="O87" t="s">
        <v>110</v>
      </c>
      <c r="P87">
        <v>170</v>
      </c>
      <c r="Q87" s="17">
        <v>44030.468697685188</v>
      </c>
      <c r="R87" t="s">
        <v>111</v>
      </c>
    </row>
    <row r="88" spans="1:18" x14ac:dyDescent="0.3">
      <c r="A88">
        <v>242551</v>
      </c>
      <c r="B88" t="s">
        <v>72</v>
      </c>
      <c r="C88">
        <v>1325757</v>
      </c>
      <c r="D88" t="s">
        <v>108</v>
      </c>
      <c r="E88" t="s">
        <v>57</v>
      </c>
      <c r="F88" t="s">
        <v>57</v>
      </c>
      <c r="G88" t="s">
        <v>109</v>
      </c>
      <c r="H88" t="s">
        <v>229</v>
      </c>
      <c r="I88" t="s">
        <v>84</v>
      </c>
      <c r="J88" t="s">
        <v>85</v>
      </c>
      <c r="K88" t="s">
        <v>87</v>
      </c>
      <c r="L88" s="25">
        <v>44030</v>
      </c>
      <c r="M88">
        <v>7</v>
      </c>
      <c r="N88">
        <v>2020</v>
      </c>
      <c r="O88" t="s">
        <v>110</v>
      </c>
      <c r="P88">
        <v>170</v>
      </c>
      <c r="Q88" s="17">
        <v>44030.482738078703</v>
      </c>
      <c r="R88" t="s">
        <v>111</v>
      </c>
    </row>
    <row r="89" spans="1:18" x14ac:dyDescent="0.3">
      <c r="A89">
        <v>21529451</v>
      </c>
      <c r="B89" t="s">
        <v>78</v>
      </c>
      <c r="C89">
        <v>1326358</v>
      </c>
      <c r="D89" t="s">
        <v>78</v>
      </c>
      <c r="E89" t="s">
        <v>117</v>
      </c>
      <c r="F89" t="s">
        <v>117</v>
      </c>
      <c r="G89" t="s">
        <v>59</v>
      </c>
      <c r="H89" t="s">
        <v>230</v>
      </c>
      <c r="I89" t="s">
        <v>78</v>
      </c>
      <c r="J89" t="s">
        <v>42</v>
      </c>
      <c r="K89" t="s">
        <v>91</v>
      </c>
      <c r="L89" s="25">
        <v>44030</v>
      </c>
      <c r="M89">
        <v>7</v>
      </c>
      <c r="N89">
        <v>2020</v>
      </c>
      <c r="O89" t="s">
        <v>110</v>
      </c>
      <c r="P89">
        <v>170</v>
      </c>
      <c r="Q89" s="17">
        <v>44030.42413634259</v>
      </c>
      <c r="R89" t="s">
        <v>118</v>
      </c>
    </row>
    <row r="90" spans="1:18" x14ac:dyDescent="0.3">
      <c r="A90">
        <v>21529358</v>
      </c>
      <c r="B90" t="s">
        <v>78</v>
      </c>
      <c r="C90">
        <v>1326408</v>
      </c>
      <c r="D90" t="s">
        <v>78</v>
      </c>
      <c r="E90" t="s">
        <v>117</v>
      </c>
      <c r="F90" t="s">
        <v>117</v>
      </c>
      <c r="G90" t="s">
        <v>59</v>
      </c>
      <c r="H90" t="s">
        <v>230</v>
      </c>
      <c r="I90" t="s">
        <v>78</v>
      </c>
      <c r="J90" t="s">
        <v>42</v>
      </c>
      <c r="K90" t="s">
        <v>91</v>
      </c>
      <c r="L90" s="25">
        <v>44030</v>
      </c>
      <c r="M90">
        <v>7</v>
      </c>
      <c r="N90">
        <v>2020</v>
      </c>
      <c r="O90" t="s">
        <v>110</v>
      </c>
      <c r="P90">
        <v>170</v>
      </c>
      <c r="Q90" s="17">
        <v>44030.42558865741</v>
      </c>
      <c r="R90" t="s">
        <v>118</v>
      </c>
    </row>
    <row r="91" spans="1:18" x14ac:dyDescent="0.3">
      <c r="A91">
        <v>21527007</v>
      </c>
      <c r="B91" t="s">
        <v>72</v>
      </c>
      <c r="C91">
        <v>1326558</v>
      </c>
      <c r="D91" t="s">
        <v>108</v>
      </c>
      <c r="E91" t="s">
        <v>117</v>
      </c>
      <c r="F91" t="s">
        <v>117</v>
      </c>
      <c r="G91" t="s">
        <v>59</v>
      </c>
      <c r="H91" t="s">
        <v>229</v>
      </c>
      <c r="I91" t="s">
        <v>84</v>
      </c>
      <c r="J91" t="s">
        <v>85</v>
      </c>
      <c r="K91" t="s">
        <v>91</v>
      </c>
      <c r="L91" s="25">
        <v>44030</v>
      </c>
      <c r="M91">
        <v>7</v>
      </c>
      <c r="N91">
        <v>2020</v>
      </c>
      <c r="O91" t="s">
        <v>110</v>
      </c>
      <c r="P91">
        <v>170</v>
      </c>
      <c r="Q91" s="17">
        <v>44030.424985995371</v>
      </c>
      <c r="R91" t="s">
        <v>119</v>
      </c>
    </row>
    <row r="92" spans="1:18" x14ac:dyDescent="0.3">
      <c r="A92">
        <v>21529403</v>
      </c>
      <c r="B92" t="s">
        <v>78</v>
      </c>
      <c r="C92">
        <v>1326708</v>
      </c>
      <c r="D92" t="s">
        <v>78</v>
      </c>
      <c r="E92" t="s">
        <v>117</v>
      </c>
      <c r="F92" t="s">
        <v>117</v>
      </c>
      <c r="G92" t="s">
        <v>59</v>
      </c>
      <c r="H92" t="s">
        <v>230</v>
      </c>
      <c r="I92" t="s">
        <v>78</v>
      </c>
      <c r="J92" t="s">
        <v>42</v>
      </c>
      <c r="K92" t="s">
        <v>91</v>
      </c>
      <c r="L92" s="25">
        <v>44030</v>
      </c>
      <c r="M92">
        <v>7</v>
      </c>
      <c r="N92">
        <v>2020</v>
      </c>
      <c r="O92" t="s">
        <v>110</v>
      </c>
      <c r="P92">
        <v>170</v>
      </c>
      <c r="Q92" s="17">
        <v>44030.429116435182</v>
      </c>
      <c r="R92" t="s">
        <v>118</v>
      </c>
    </row>
    <row r="93" spans="1:18" x14ac:dyDescent="0.3">
      <c r="A93">
        <v>21529398</v>
      </c>
      <c r="B93" t="s">
        <v>78</v>
      </c>
      <c r="C93">
        <v>1326707</v>
      </c>
      <c r="D93" t="s">
        <v>78</v>
      </c>
      <c r="E93" t="s">
        <v>117</v>
      </c>
      <c r="F93" t="s">
        <v>117</v>
      </c>
      <c r="G93" t="s">
        <v>59</v>
      </c>
      <c r="H93" t="s">
        <v>230</v>
      </c>
      <c r="I93" t="s">
        <v>78</v>
      </c>
      <c r="J93" t="s">
        <v>42</v>
      </c>
      <c r="K93" t="s">
        <v>91</v>
      </c>
      <c r="L93" s="25">
        <v>44030</v>
      </c>
      <c r="M93">
        <v>7</v>
      </c>
      <c r="N93">
        <v>2020</v>
      </c>
      <c r="O93" t="s">
        <v>110</v>
      </c>
      <c r="P93">
        <v>170</v>
      </c>
      <c r="Q93" s="17">
        <v>44030.429710879631</v>
      </c>
      <c r="R93" t="s">
        <v>118</v>
      </c>
    </row>
    <row r="94" spans="1:18" x14ac:dyDescent="0.3">
      <c r="A94">
        <v>21529501</v>
      </c>
      <c r="B94" t="s">
        <v>78</v>
      </c>
      <c r="C94">
        <v>1326743</v>
      </c>
      <c r="D94" t="s">
        <v>78</v>
      </c>
      <c r="E94" t="s">
        <v>117</v>
      </c>
      <c r="F94" t="s">
        <v>117</v>
      </c>
      <c r="G94" t="s">
        <v>59</v>
      </c>
      <c r="H94" t="s">
        <v>230</v>
      </c>
      <c r="I94" t="s">
        <v>78</v>
      </c>
      <c r="J94" t="s">
        <v>42</v>
      </c>
      <c r="K94" t="s">
        <v>91</v>
      </c>
      <c r="L94" s="25">
        <v>44030</v>
      </c>
      <c r="M94">
        <v>7</v>
      </c>
      <c r="N94">
        <v>2020</v>
      </c>
      <c r="O94" t="s">
        <v>110</v>
      </c>
      <c r="P94">
        <v>170</v>
      </c>
      <c r="Q94" s="17">
        <v>44030.431113194441</v>
      </c>
      <c r="R94" t="s">
        <v>118</v>
      </c>
    </row>
    <row r="95" spans="1:18" x14ac:dyDescent="0.3">
      <c r="A95">
        <v>21529363</v>
      </c>
      <c r="B95" t="s">
        <v>72</v>
      </c>
      <c r="C95">
        <v>1326893</v>
      </c>
      <c r="D95" t="s">
        <v>108</v>
      </c>
      <c r="E95" t="s">
        <v>117</v>
      </c>
      <c r="F95" t="s">
        <v>117</v>
      </c>
      <c r="G95" t="s">
        <v>59</v>
      </c>
      <c r="H95" t="s">
        <v>229</v>
      </c>
      <c r="I95" t="s">
        <v>84</v>
      </c>
      <c r="J95" t="s">
        <v>85</v>
      </c>
      <c r="K95" t="s">
        <v>91</v>
      </c>
      <c r="L95" s="25">
        <v>44030</v>
      </c>
      <c r="M95">
        <v>7</v>
      </c>
      <c r="N95">
        <v>2020</v>
      </c>
      <c r="O95" t="s">
        <v>110</v>
      </c>
      <c r="P95">
        <v>170</v>
      </c>
      <c r="Q95" s="17">
        <v>44030.432103587962</v>
      </c>
      <c r="R95" t="s">
        <v>119</v>
      </c>
    </row>
    <row r="96" spans="1:18" x14ac:dyDescent="0.3">
      <c r="A96">
        <v>21529324</v>
      </c>
      <c r="B96" t="s">
        <v>78</v>
      </c>
      <c r="C96">
        <v>1327143</v>
      </c>
      <c r="D96" t="s">
        <v>78</v>
      </c>
      <c r="E96" t="s">
        <v>117</v>
      </c>
      <c r="F96" t="s">
        <v>117</v>
      </c>
      <c r="G96" t="s">
        <v>59</v>
      </c>
      <c r="H96" t="s">
        <v>230</v>
      </c>
      <c r="I96" t="s">
        <v>78</v>
      </c>
      <c r="J96" t="s">
        <v>42</v>
      </c>
      <c r="K96" t="s">
        <v>91</v>
      </c>
      <c r="L96" s="25">
        <v>44030</v>
      </c>
      <c r="M96">
        <v>7</v>
      </c>
      <c r="N96">
        <v>2020</v>
      </c>
      <c r="O96" t="s">
        <v>110</v>
      </c>
      <c r="P96">
        <v>170</v>
      </c>
      <c r="Q96" s="17">
        <v>44030.435148263889</v>
      </c>
      <c r="R96" t="s">
        <v>118</v>
      </c>
    </row>
    <row r="97" spans="1:18" x14ac:dyDescent="0.3">
      <c r="A97">
        <v>21529242</v>
      </c>
      <c r="B97" t="s">
        <v>78</v>
      </c>
      <c r="C97">
        <v>1327193</v>
      </c>
      <c r="D97" t="s">
        <v>78</v>
      </c>
      <c r="E97" t="s">
        <v>117</v>
      </c>
      <c r="F97" t="s">
        <v>117</v>
      </c>
      <c r="G97" t="s">
        <v>59</v>
      </c>
      <c r="H97" t="s">
        <v>230</v>
      </c>
      <c r="I97" t="s">
        <v>78</v>
      </c>
      <c r="J97" t="s">
        <v>42</v>
      </c>
      <c r="K97" t="s">
        <v>91</v>
      </c>
      <c r="L97" s="25">
        <v>44030</v>
      </c>
      <c r="M97">
        <v>7</v>
      </c>
      <c r="N97">
        <v>2020</v>
      </c>
      <c r="O97" t="s">
        <v>110</v>
      </c>
      <c r="P97">
        <v>170</v>
      </c>
      <c r="Q97" s="17">
        <v>44030.434921180553</v>
      </c>
      <c r="R97" t="s">
        <v>118</v>
      </c>
    </row>
    <row r="98" spans="1:18" x14ac:dyDescent="0.3">
      <c r="A98">
        <v>21529414</v>
      </c>
      <c r="B98" t="s">
        <v>78</v>
      </c>
      <c r="C98">
        <v>1327329</v>
      </c>
      <c r="D98" t="s">
        <v>78</v>
      </c>
      <c r="E98" t="s">
        <v>117</v>
      </c>
      <c r="F98" t="s">
        <v>117</v>
      </c>
      <c r="G98" t="s">
        <v>59</v>
      </c>
      <c r="H98" t="s">
        <v>230</v>
      </c>
      <c r="I98" t="s">
        <v>78</v>
      </c>
      <c r="J98" t="s">
        <v>42</v>
      </c>
      <c r="K98" t="s">
        <v>91</v>
      </c>
      <c r="L98" s="25">
        <v>44030</v>
      </c>
      <c r="M98">
        <v>7</v>
      </c>
      <c r="N98">
        <v>2020</v>
      </c>
      <c r="O98" t="s">
        <v>110</v>
      </c>
      <c r="P98">
        <v>170</v>
      </c>
      <c r="Q98" s="17">
        <v>44030.437958449074</v>
      </c>
      <c r="R98" t="s">
        <v>118</v>
      </c>
    </row>
    <row r="99" spans="1:18" x14ac:dyDescent="0.3">
      <c r="A99">
        <v>21529453</v>
      </c>
      <c r="B99" t="s">
        <v>78</v>
      </c>
      <c r="C99">
        <v>1327394</v>
      </c>
      <c r="D99" t="s">
        <v>78</v>
      </c>
      <c r="E99" t="s">
        <v>117</v>
      </c>
      <c r="F99" t="s">
        <v>117</v>
      </c>
      <c r="G99" t="s">
        <v>59</v>
      </c>
      <c r="H99" t="s">
        <v>230</v>
      </c>
      <c r="I99" t="s">
        <v>78</v>
      </c>
      <c r="J99" t="s">
        <v>42</v>
      </c>
      <c r="K99" t="s">
        <v>91</v>
      </c>
      <c r="L99" s="25">
        <v>44030</v>
      </c>
      <c r="M99">
        <v>7</v>
      </c>
      <c r="N99">
        <v>2020</v>
      </c>
      <c r="O99" t="s">
        <v>110</v>
      </c>
      <c r="P99">
        <v>170</v>
      </c>
      <c r="Q99" s="17">
        <v>44030.440702199077</v>
      </c>
      <c r="R99" t="s">
        <v>118</v>
      </c>
    </row>
    <row r="100" spans="1:18" x14ac:dyDescent="0.3">
      <c r="A100">
        <v>21529321</v>
      </c>
      <c r="B100" t="s">
        <v>78</v>
      </c>
      <c r="C100">
        <v>1327393</v>
      </c>
      <c r="D100" t="s">
        <v>78</v>
      </c>
      <c r="E100" t="s">
        <v>117</v>
      </c>
      <c r="F100" t="s">
        <v>117</v>
      </c>
      <c r="G100" t="s">
        <v>59</v>
      </c>
      <c r="H100" t="s">
        <v>230</v>
      </c>
      <c r="I100" t="s">
        <v>78</v>
      </c>
      <c r="J100" t="s">
        <v>42</v>
      </c>
      <c r="K100" t="s">
        <v>91</v>
      </c>
      <c r="L100" s="25">
        <v>44030</v>
      </c>
      <c r="M100">
        <v>7</v>
      </c>
      <c r="N100">
        <v>2020</v>
      </c>
      <c r="O100" t="s">
        <v>110</v>
      </c>
      <c r="P100">
        <v>170</v>
      </c>
      <c r="Q100" s="17">
        <v>44030.439634606482</v>
      </c>
      <c r="R100" t="s">
        <v>118</v>
      </c>
    </row>
    <row r="101" spans="1:18" x14ac:dyDescent="0.3">
      <c r="A101">
        <v>9683028</v>
      </c>
      <c r="B101" t="s">
        <v>72</v>
      </c>
      <c r="C101">
        <v>1327643</v>
      </c>
      <c r="D101" t="s">
        <v>108</v>
      </c>
      <c r="E101" t="s">
        <v>57</v>
      </c>
      <c r="F101" t="s">
        <v>57</v>
      </c>
      <c r="G101" t="s">
        <v>109</v>
      </c>
      <c r="H101" t="s">
        <v>229</v>
      </c>
      <c r="I101" t="s">
        <v>84</v>
      </c>
      <c r="J101" t="s">
        <v>85</v>
      </c>
      <c r="K101" t="s">
        <v>87</v>
      </c>
      <c r="L101" s="25">
        <v>44030</v>
      </c>
      <c r="M101">
        <v>7</v>
      </c>
      <c r="N101">
        <v>2020</v>
      </c>
      <c r="O101" t="s">
        <v>110</v>
      </c>
      <c r="P101">
        <v>170</v>
      </c>
      <c r="Q101" s="17">
        <v>44030.428626851855</v>
      </c>
      <c r="R101" t="s">
        <v>120</v>
      </c>
    </row>
    <row r="102" spans="1:18" x14ac:dyDescent="0.3">
      <c r="A102">
        <v>9683182</v>
      </c>
      <c r="B102" t="s">
        <v>72</v>
      </c>
      <c r="C102">
        <v>1327680</v>
      </c>
      <c r="D102" t="s">
        <v>108</v>
      </c>
      <c r="E102" t="s">
        <v>57</v>
      </c>
      <c r="F102" t="s">
        <v>57</v>
      </c>
      <c r="G102" t="s">
        <v>109</v>
      </c>
      <c r="H102" t="s">
        <v>229</v>
      </c>
      <c r="I102" t="s">
        <v>84</v>
      </c>
      <c r="J102" t="s">
        <v>85</v>
      </c>
      <c r="K102" t="s">
        <v>87</v>
      </c>
      <c r="L102" s="25">
        <v>44030</v>
      </c>
      <c r="M102">
        <v>7</v>
      </c>
      <c r="N102">
        <v>2020</v>
      </c>
      <c r="O102" t="s">
        <v>110</v>
      </c>
      <c r="P102">
        <v>170</v>
      </c>
      <c r="Q102" s="17">
        <v>44030.429690277779</v>
      </c>
      <c r="R102" t="s">
        <v>111</v>
      </c>
    </row>
    <row r="103" spans="1:18" x14ac:dyDescent="0.3">
      <c r="A103">
        <v>21526299</v>
      </c>
      <c r="B103" t="s">
        <v>72</v>
      </c>
      <c r="C103">
        <v>1327780</v>
      </c>
      <c r="D103" t="s">
        <v>108</v>
      </c>
      <c r="E103" t="s">
        <v>57</v>
      </c>
      <c r="F103" t="s">
        <v>57</v>
      </c>
      <c r="G103" t="s">
        <v>109</v>
      </c>
      <c r="H103" t="s">
        <v>229</v>
      </c>
      <c r="I103" t="s">
        <v>84</v>
      </c>
      <c r="J103" t="s">
        <v>85</v>
      </c>
      <c r="K103" t="s">
        <v>87</v>
      </c>
      <c r="L103" s="25">
        <v>44030</v>
      </c>
      <c r="M103">
        <v>7</v>
      </c>
      <c r="N103">
        <v>2020</v>
      </c>
      <c r="O103" t="s">
        <v>110</v>
      </c>
      <c r="P103">
        <v>170</v>
      </c>
      <c r="Q103" s="17">
        <v>44030.430845023147</v>
      </c>
      <c r="R103" t="s">
        <v>111</v>
      </c>
    </row>
    <row r="104" spans="1:18" x14ac:dyDescent="0.3">
      <c r="A104">
        <v>9683635</v>
      </c>
      <c r="B104" t="s">
        <v>72</v>
      </c>
      <c r="C104">
        <v>1327844</v>
      </c>
      <c r="D104" t="s">
        <v>108</v>
      </c>
      <c r="E104" t="s">
        <v>57</v>
      </c>
      <c r="F104" t="s">
        <v>57</v>
      </c>
      <c r="G104" t="s">
        <v>109</v>
      </c>
      <c r="H104" t="s">
        <v>235</v>
      </c>
      <c r="I104" t="s">
        <v>84</v>
      </c>
      <c r="J104" t="s">
        <v>85</v>
      </c>
      <c r="K104" t="s">
        <v>87</v>
      </c>
      <c r="L104" s="25">
        <v>44030</v>
      </c>
      <c r="M104">
        <v>7</v>
      </c>
      <c r="N104">
        <v>2020</v>
      </c>
      <c r="O104" t="s">
        <v>110</v>
      </c>
      <c r="P104">
        <v>170</v>
      </c>
      <c r="Q104" s="17">
        <v>44030.431319328702</v>
      </c>
      <c r="R104" t="s">
        <v>115</v>
      </c>
    </row>
    <row r="105" spans="1:18" x14ac:dyDescent="0.3">
      <c r="A105">
        <v>9684121</v>
      </c>
      <c r="B105" t="s">
        <v>72</v>
      </c>
      <c r="C105">
        <v>1327894</v>
      </c>
      <c r="D105" t="s">
        <v>108</v>
      </c>
      <c r="E105" t="s">
        <v>57</v>
      </c>
      <c r="F105" t="s">
        <v>57</v>
      </c>
      <c r="G105" t="s">
        <v>109</v>
      </c>
      <c r="H105" t="s">
        <v>229</v>
      </c>
      <c r="I105" t="s">
        <v>84</v>
      </c>
      <c r="J105" t="s">
        <v>85</v>
      </c>
      <c r="K105" t="s">
        <v>87</v>
      </c>
      <c r="L105" s="25">
        <v>44030</v>
      </c>
      <c r="M105">
        <v>7</v>
      </c>
      <c r="N105">
        <v>2020</v>
      </c>
      <c r="O105" t="s">
        <v>110</v>
      </c>
      <c r="P105">
        <v>170</v>
      </c>
      <c r="Q105" s="17">
        <v>44030.433907986109</v>
      </c>
      <c r="R105" t="s">
        <v>112</v>
      </c>
    </row>
    <row r="106" spans="1:18" x14ac:dyDescent="0.3">
      <c r="A106">
        <v>9683628</v>
      </c>
      <c r="B106" t="s">
        <v>72</v>
      </c>
      <c r="C106">
        <v>1327994</v>
      </c>
      <c r="D106" t="s">
        <v>108</v>
      </c>
      <c r="E106" t="s">
        <v>57</v>
      </c>
      <c r="F106" t="s">
        <v>57</v>
      </c>
      <c r="G106" t="s">
        <v>109</v>
      </c>
      <c r="H106" t="s">
        <v>229</v>
      </c>
      <c r="I106" t="s">
        <v>84</v>
      </c>
      <c r="J106" t="s">
        <v>85</v>
      </c>
      <c r="K106" t="s">
        <v>87</v>
      </c>
      <c r="L106" s="25">
        <v>44030</v>
      </c>
      <c r="M106">
        <v>7</v>
      </c>
      <c r="N106">
        <v>2020</v>
      </c>
      <c r="O106" t="s">
        <v>110</v>
      </c>
      <c r="P106">
        <v>170</v>
      </c>
      <c r="Q106" s="17">
        <v>44030.437333912036</v>
      </c>
      <c r="R106" t="s">
        <v>112</v>
      </c>
    </row>
    <row r="107" spans="1:18" x14ac:dyDescent="0.3">
      <c r="A107">
        <v>9684117</v>
      </c>
      <c r="B107" t="s">
        <v>72</v>
      </c>
      <c r="C107">
        <v>1328029</v>
      </c>
      <c r="D107" t="s">
        <v>108</v>
      </c>
      <c r="E107" t="s">
        <v>57</v>
      </c>
      <c r="F107" t="s">
        <v>57</v>
      </c>
      <c r="G107" t="s">
        <v>109</v>
      </c>
      <c r="H107" t="s">
        <v>236</v>
      </c>
      <c r="I107" t="s">
        <v>84</v>
      </c>
      <c r="J107" t="s">
        <v>85</v>
      </c>
      <c r="K107" t="s">
        <v>87</v>
      </c>
      <c r="L107" s="25">
        <v>44030</v>
      </c>
      <c r="M107">
        <v>7</v>
      </c>
      <c r="N107">
        <v>2020</v>
      </c>
      <c r="O107" t="s">
        <v>110</v>
      </c>
      <c r="P107">
        <v>170</v>
      </c>
      <c r="Q107" s="17">
        <v>44030.441479745372</v>
      </c>
      <c r="R107" t="s">
        <v>111</v>
      </c>
    </row>
    <row r="108" spans="1:18" x14ac:dyDescent="0.3">
      <c r="A108">
        <v>240533</v>
      </c>
      <c r="B108" t="s">
        <v>78</v>
      </c>
      <c r="C108">
        <v>1319985</v>
      </c>
      <c r="D108" t="s">
        <v>78</v>
      </c>
      <c r="E108" t="s">
        <v>57</v>
      </c>
      <c r="F108" t="s">
        <v>57</v>
      </c>
      <c r="G108" t="s">
        <v>109</v>
      </c>
      <c r="H108" t="s">
        <v>105</v>
      </c>
      <c r="I108" t="s">
        <v>78</v>
      </c>
      <c r="J108" t="s">
        <v>42</v>
      </c>
      <c r="K108" t="s">
        <v>87</v>
      </c>
      <c r="L108" s="25">
        <v>44030</v>
      </c>
      <c r="M108">
        <v>7</v>
      </c>
      <c r="N108">
        <v>2020</v>
      </c>
      <c r="O108" t="s">
        <v>110</v>
      </c>
      <c r="P108">
        <v>170</v>
      </c>
      <c r="Q108" s="17">
        <v>44030.459155787037</v>
      </c>
      <c r="R108" t="s">
        <v>111</v>
      </c>
    </row>
    <row r="109" spans="1:18" x14ac:dyDescent="0.3">
      <c r="A109">
        <v>242777</v>
      </c>
      <c r="B109" t="s">
        <v>72</v>
      </c>
      <c r="C109">
        <v>1324708</v>
      </c>
      <c r="D109" t="s">
        <v>108</v>
      </c>
      <c r="E109" t="s">
        <v>57</v>
      </c>
      <c r="F109" t="s">
        <v>57</v>
      </c>
      <c r="G109" t="s">
        <v>109</v>
      </c>
      <c r="H109" t="s">
        <v>229</v>
      </c>
      <c r="I109" t="s">
        <v>84</v>
      </c>
      <c r="J109" t="s">
        <v>85</v>
      </c>
      <c r="K109" t="s">
        <v>87</v>
      </c>
      <c r="L109" s="25">
        <v>44030</v>
      </c>
      <c r="M109">
        <v>7</v>
      </c>
      <c r="N109">
        <v>2020</v>
      </c>
      <c r="O109" t="s">
        <v>110</v>
      </c>
      <c r="P109">
        <v>170</v>
      </c>
      <c r="Q109" s="17">
        <v>44030.482394212966</v>
      </c>
      <c r="R109" t="s">
        <v>111</v>
      </c>
    </row>
    <row r="110" spans="1:18" x14ac:dyDescent="0.3">
      <c r="A110">
        <v>21529506</v>
      </c>
      <c r="B110" t="s">
        <v>78</v>
      </c>
      <c r="C110">
        <v>1326380</v>
      </c>
      <c r="D110" t="s">
        <v>78</v>
      </c>
      <c r="E110" t="s">
        <v>117</v>
      </c>
      <c r="F110" t="s">
        <v>117</v>
      </c>
      <c r="G110" t="s">
        <v>59</v>
      </c>
      <c r="H110" t="s">
        <v>231</v>
      </c>
      <c r="I110" t="s">
        <v>78</v>
      </c>
      <c r="J110" t="s">
        <v>42</v>
      </c>
      <c r="K110" t="s">
        <v>91</v>
      </c>
      <c r="L110" s="25">
        <v>44030</v>
      </c>
      <c r="M110">
        <v>7</v>
      </c>
      <c r="N110">
        <v>2020</v>
      </c>
      <c r="O110" t="s">
        <v>110</v>
      </c>
      <c r="P110">
        <v>170</v>
      </c>
      <c r="Q110" s="17">
        <v>44030.425494791663</v>
      </c>
      <c r="R110" t="s">
        <v>119</v>
      </c>
    </row>
    <row r="111" spans="1:18" x14ac:dyDescent="0.3">
      <c r="A111">
        <v>21526970</v>
      </c>
      <c r="B111" t="s">
        <v>78</v>
      </c>
      <c r="C111">
        <v>1326537</v>
      </c>
      <c r="D111" t="s">
        <v>78</v>
      </c>
      <c r="E111" t="s">
        <v>117</v>
      </c>
      <c r="F111" t="s">
        <v>117</v>
      </c>
      <c r="G111" t="s">
        <v>59</v>
      </c>
      <c r="H111" t="s">
        <v>231</v>
      </c>
      <c r="I111" t="s">
        <v>78</v>
      </c>
      <c r="J111" t="s">
        <v>42</v>
      </c>
      <c r="K111" t="s">
        <v>91</v>
      </c>
      <c r="L111" s="25">
        <v>44030</v>
      </c>
      <c r="M111">
        <v>7</v>
      </c>
      <c r="N111">
        <v>2020</v>
      </c>
      <c r="O111" t="s">
        <v>110</v>
      </c>
      <c r="P111">
        <v>170</v>
      </c>
      <c r="Q111" s="17">
        <v>44030.427559722222</v>
      </c>
      <c r="R111" t="s">
        <v>119</v>
      </c>
    </row>
    <row r="112" spans="1:18" x14ac:dyDescent="0.3">
      <c r="A112">
        <v>21527957</v>
      </c>
      <c r="B112" t="s">
        <v>78</v>
      </c>
      <c r="C112">
        <v>1326673</v>
      </c>
      <c r="D112" t="s">
        <v>78</v>
      </c>
      <c r="E112" t="s">
        <v>117</v>
      </c>
      <c r="F112" t="s">
        <v>117</v>
      </c>
      <c r="G112" t="s">
        <v>59</v>
      </c>
      <c r="H112" t="s">
        <v>230</v>
      </c>
      <c r="I112" t="s">
        <v>78</v>
      </c>
      <c r="J112" t="s">
        <v>42</v>
      </c>
      <c r="K112" t="s">
        <v>91</v>
      </c>
      <c r="L112" s="25">
        <v>44030</v>
      </c>
      <c r="M112">
        <v>7</v>
      </c>
      <c r="N112">
        <v>2020</v>
      </c>
      <c r="O112" t="s">
        <v>110</v>
      </c>
      <c r="P112">
        <v>170</v>
      </c>
      <c r="Q112" s="17">
        <v>44030.430806018521</v>
      </c>
      <c r="R112" t="s">
        <v>118</v>
      </c>
    </row>
    <row r="113" spans="1:18" x14ac:dyDescent="0.3">
      <c r="A113">
        <v>21529404</v>
      </c>
      <c r="B113" t="s">
        <v>78</v>
      </c>
      <c r="C113">
        <v>1326714</v>
      </c>
      <c r="D113" t="s">
        <v>78</v>
      </c>
      <c r="E113" t="s">
        <v>117</v>
      </c>
      <c r="F113" t="s">
        <v>117</v>
      </c>
      <c r="G113" t="s">
        <v>59</v>
      </c>
      <c r="H113" t="s">
        <v>230</v>
      </c>
      <c r="I113" t="s">
        <v>78</v>
      </c>
      <c r="J113" t="s">
        <v>42</v>
      </c>
      <c r="K113" t="s">
        <v>91</v>
      </c>
      <c r="L113" s="25">
        <v>44030</v>
      </c>
      <c r="M113">
        <v>7</v>
      </c>
      <c r="N113">
        <v>2020</v>
      </c>
      <c r="O113" t="s">
        <v>110</v>
      </c>
      <c r="P113">
        <v>170</v>
      </c>
      <c r="Q113" s="17">
        <v>44030.431428356482</v>
      </c>
      <c r="R113" t="s">
        <v>118</v>
      </c>
    </row>
    <row r="114" spans="1:18" x14ac:dyDescent="0.3">
      <c r="A114">
        <v>21529350</v>
      </c>
      <c r="B114" t="s">
        <v>78</v>
      </c>
      <c r="C114">
        <v>1326778</v>
      </c>
      <c r="D114" t="s">
        <v>78</v>
      </c>
      <c r="E114" t="s">
        <v>117</v>
      </c>
      <c r="F114" t="s">
        <v>117</v>
      </c>
      <c r="G114" t="s">
        <v>59</v>
      </c>
      <c r="H114" t="s">
        <v>231</v>
      </c>
      <c r="I114" t="s">
        <v>78</v>
      </c>
      <c r="J114" t="s">
        <v>42</v>
      </c>
      <c r="K114" t="s">
        <v>91</v>
      </c>
      <c r="L114" s="25">
        <v>44030</v>
      </c>
      <c r="M114">
        <v>7</v>
      </c>
      <c r="N114">
        <v>2020</v>
      </c>
      <c r="O114" t="s">
        <v>110</v>
      </c>
      <c r="P114">
        <v>170</v>
      </c>
      <c r="Q114" s="17">
        <v>44030.433444444447</v>
      </c>
      <c r="R114" t="s">
        <v>119</v>
      </c>
    </row>
    <row r="115" spans="1:18" x14ac:dyDescent="0.3">
      <c r="A115">
        <v>21529205</v>
      </c>
      <c r="B115" t="s">
        <v>78</v>
      </c>
      <c r="C115">
        <v>1326737</v>
      </c>
      <c r="D115" t="s">
        <v>78</v>
      </c>
      <c r="E115" t="s">
        <v>117</v>
      </c>
      <c r="F115" t="s">
        <v>117</v>
      </c>
      <c r="G115" t="s">
        <v>59</v>
      </c>
      <c r="H115" t="s">
        <v>231</v>
      </c>
      <c r="I115" t="s">
        <v>78</v>
      </c>
      <c r="J115" t="s">
        <v>42</v>
      </c>
      <c r="K115" t="s">
        <v>91</v>
      </c>
      <c r="L115" s="25">
        <v>44030</v>
      </c>
      <c r="M115">
        <v>7</v>
      </c>
      <c r="N115">
        <v>2020</v>
      </c>
      <c r="O115" t="s">
        <v>110</v>
      </c>
      <c r="P115">
        <v>170</v>
      </c>
      <c r="Q115" s="17">
        <v>44030.432293634258</v>
      </c>
      <c r="R115" t="s">
        <v>119</v>
      </c>
    </row>
    <row r="116" spans="1:18" x14ac:dyDescent="0.3">
      <c r="A116">
        <v>21529195</v>
      </c>
      <c r="B116" t="s">
        <v>72</v>
      </c>
      <c r="C116">
        <v>1326771</v>
      </c>
      <c r="D116" t="s">
        <v>108</v>
      </c>
      <c r="E116" t="s">
        <v>117</v>
      </c>
      <c r="F116" t="s">
        <v>117</v>
      </c>
      <c r="G116" t="s">
        <v>59</v>
      </c>
      <c r="H116" t="s">
        <v>229</v>
      </c>
      <c r="I116" t="s">
        <v>84</v>
      </c>
      <c r="J116" t="s">
        <v>85</v>
      </c>
      <c r="K116" t="s">
        <v>91</v>
      </c>
      <c r="L116" s="25">
        <v>44030</v>
      </c>
      <c r="M116">
        <v>7</v>
      </c>
      <c r="N116">
        <v>2020</v>
      </c>
      <c r="O116" t="s">
        <v>110</v>
      </c>
      <c r="P116">
        <v>170</v>
      </c>
      <c r="Q116" s="17">
        <v>44030.431488194445</v>
      </c>
      <c r="R116" t="s">
        <v>119</v>
      </c>
    </row>
    <row r="117" spans="1:18" x14ac:dyDescent="0.3">
      <c r="A117">
        <v>21529362</v>
      </c>
      <c r="B117" t="s">
        <v>78</v>
      </c>
      <c r="C117">
        <v>1326880</v>
      </c>
      <c r="D117" t="s">
        <v>78</v>
      </c>
      <c r="E117" t="s">
        <v>117</v>
      </c>
      <c r="F117" t="s">
        <v>117</v>
      </c>
      <c r="G117" t="s">
        <v>59</v>
      </c>
      <c r="H117" t="s">
        <v>230</v>
      </c>
      <c r="I117" t="s">
        <v>78</v>
      </c>
      <c r="J117" t="s">
        <v>42</v>
      </c>
      <c r="K117" t="s">
        <v>91</v>
      </c>
      <c r="L117" s="25">
        <v>44030</v>
      </c>
      <c r="M117">
        <v>7</v>
      </c>
      <c r="N117">
        <v>2020</v>
      </c>
      <c r="O117" t="s">
        <v>110</v>
      </c>
      <c r="P117">
        <v>170</v>
      </c>
      <c r="Q117" s="17">
        <v>44030.433252314811</v>
      </c>
      <c r="R117" t="s">
        <v>118</v>
      </c>
    </row>
    <row r="118" spans="1:18" x14ac:dyDescent="0.3">
      <c r="A118">
        <v>21529152</v>
      </c>
      <c r="B118" t="s">
        <v>78</v>
      </c>
      <c r="C118">
        <v>1326873</v>
      </c>
      <c r="D118" t="s">
        <v>78</v>
      </c>
      <c r="E118" t="s">
        <v>117</v>
      </c>
      <c r="F118" t="s">
        <v>117</v>
      </c>
      <c r="G118" t="s">
        <v>59</v>
      </c>
      <c r="H118" t="s">
        <v>230</v>
      </c>
      <c r="I118" t="s">
        <v>78</v>
      </c>
      <c r="J118" t="s">
        <v>42</v>
      </c>
      <c r="K118" t="s">
        <v>91</v>
      </c>
      <c r="L118" s="25">
        <v>44030</v>
      </c>
      <c r="M118">
        <v>7</v>
      </c>
      <c r="N118">
        <v>2020</v>
      </c>
      <c r="O118" t="s">
        <v>110</v>
      </c>
      <c r="P118">
        <v>170</v>
      </c>
      <c r="Q118" s="17">
        <v>44030.433049652776</v>
      </c>
      <c r="R118" t="s">
        <v>118</v>
      </c>
    </row>
    <row r="119" spans="1:18" x14ac:dyDescent="0.3">
      <c r="A119">
        <v>21529372</v>
      </c>
      <c r="B119" t="s">
        <v>72</v>
      </c>
      <c r="C119">
        <v>1327116</v>
      </c>
      <c r="D119" t="s">
        <v>108</v>
      </c>
      <c r="E119" t="s">
        <v>117</v>
      </c>
      <c r="F119" t="s">
        <v>117</v>
      </c>
      <c r="G119" t="s">
        <v>59</v>
      </c>
      <c r="H119" t="s">
        <v>229</v>
      </c>
      <c r="I119" t="s">
        <v>84</v>
      </c>
      <c r="J119" t="s">
        <v>85</v>
      </c>
      <c r="K119" t="s">
        <v>91</v>
      </c>
      <c r="L119" s="25">
        <v>44030</v>
      </c>
      <c r="M119">
        <v>7</v>
      </c>
      <c r="N119">
        <v>2020</v>
      </c>
      <c r="O119" t="s">
        <v>110</v>
      </c>
      <c r="P119">
        <v>170</v>
      </c>
      <c r="Q119" s="17">
        <v>44030.434104282409</v>
      </c>
      <c r="R119" t="s">
        <v>119</v>
      </c>
    </row>
    <row r="120" spans="1:18" x14ac:dyDescent="0.3">
      <c r="A120">
        <v>21529178</v>
      </c>
      <c r="B120" t="s">
        <v>78</v>
      </c>
      <c r="C120">
        <v>1327371</v>
      </c>
      <c r="D120" t="s">
        <v>78</v>
      </c>
      <c r="E120" t="s">
        <v>117</v>
      </c>
      <c r="F120" t="s">
        <v>117</v>
      </c>
      <c r="G120" t="s">
        <v>59</v>
      </c>
      <c r="H120" t="s">
        <v>231</v>
      </c>
      <c r="I120" t="s">
        <v>78</v>
      </c>
      <c r="J120" t="s">
        <v>42</v>
      </c>
      <c r="K120" t="s">
        <v>91</v>
      </c>
      <c r="L120" s="25">
        <v>44030</v>
      </c>
      <c r="M120">
        <v>7</v>
      </c>
      <c r="N120">
        <v>2020</v>
      </c>
      <c r="O120" t="s">
        <v>110</v>
      </c>
      <c r="P120">
        <v>170</v>
      </c>
      <c r="Q120" s="17">
        <v>44030.440306365737</v>
      </c>
      <c r="R120" t="s">
        <v>119</v>
      </c>
    </row>
    <row r="121" spans="1:18" x14ac:dyDescent="0.3">
      <c r="A121">
        <v>9682387</v>
      </c>
      <c r="B121" t="s">
        <v>78</v>
      </c>
      <c r="C121">
        <v>1327516</v>
      </c>
      <c r="D121" t="s">
        <v>78</v>
      </c>
      <c r="E121" t="s">
        <v>58</v>
      </c>
      <c r="F121" t="s">
        <v>58</v>
      </c>
      <c r="G121" t="s">
        <v>114</v>
      </c>
      <c r="H121" t="s">
        <v>105</v>
      </c>
      <c r="I121" t="s">
        <v>78</v>
      </c>
      <c r="J121" t="s">
        <v>42</v>
      </c>
      <c r="K121" t="s">
        <v>87</v>
      </c>
      <c r="L121" s="25">
        <v>44030</v>
      </c>
      <c r="M121">
        <v>7</v>
      </c>
      <c r="N121">
        <v>2020</v>
      </c>
      <c r="O121" t="s">
        <v>110</v>
      </c>
      <c r="P121">
        <v>170</v>
      </c>
      <c r="Q121" s="17">
        <v>44030.428301273147</v>
      </c>
      <c r="R121" t="s">
        <v>111</v>
      </c>
    </row>
    <row r="122" spans="1:18" x14ac:dyDescent="0.3">
      <c r="A122">
        <v>21527883</v>
      </c>
      <c r="B122" t="s">
        <v>72</v>
      </c>
      <c r="C122">
        <v>1327609</v>
      </c>
      <c r="D122" t="s">
        <v>108</v>
      </c>
      <c r="E122" t="s">
        <v>58</v>
      </c>
      <c r="F122" t="s">
        <v>58</v>
      </c>
      <c r="G122" t="s">
        <v>114</v>
      </c>
      <c r="H122" t="s">
        <v>229</v>
      </c>
      <c r="I122" t="s">
        <v>84</v>
      </c>
      <c r="J122" t="s">
        <v>85</v>
      </c>
      <c r="K122" t="s">
        <v>87</v>
      </c>
      <c r="L122" s="25">
        <v>44030</v>
      </c>
      <c r="M122">
        <v>7</v>
      </c>
      <c r="N122">
        <v>2020</v>
      </c>
      <c r="O122" t="s">
        <v>110</v>
      </c>
      <c r="P122">
        <v>170</v>
      </c>
      <c r="Q122" s="17">
        <v>44030.428069212961</v>
      </c>
      <c r="R122" t="s">
        <v>111</v>
      </c>
    </row>
    <row r="123" spans="1:18" x14ac:dyDescent="0.3">
      <c r="A123">
        <v>9683730</v>
      </c>
      <c r="B123" t="s">
        <v>78</v>
      </c>
      <c r="C123">
        <v>1327773</v>
      </c>
      <c r="D123" t="s">
        <v>78</v>
      </c>
      <c r="E123" t="s">
        <v>57</v>
      </c>
      <c r="F123" t="s">
        <v>57</v>
      </c>
      <c r="G123" t="s">
        <v>109</v>
      </c>
      <c r="H123" t="s">
        <v>105</v>
      </c>
      <c r="I123" t="s">
        <v>78</v>
      </c>
      <c r="J123" t="s">
        <v>42</v>
      </c>
      <c r="K123" t="s">
        <v>87</v>
      </c>
      <c r="L123" s="25">
        <v>44030</v>
      </c>
      <c r="M123">
        <v>7</v>
      </c>
      <c r="N123">
        <v>2020</v>
      </c>
      <c r="O123" t="s">
        <v>110</v>
      </c>
      <c r="P123">
        <v>170</v>
      </c>
      <c r="Q123" s="17">
        <v>44030.431239583333</v>
      </c>
      <c r="R123" t="s">
        <v>112</v>
      </c>
    </row>
    <row r="124" spans="1:18" x14ac:dyDescent="0.3">
      <c r="A124">
        <v>9682948</v>
      </c>
      <c r="B124" t="s">
        <v>72</v>
      </c>
      <c r="C124">
        <v>1327809</v>
      </c>
      <c r="D124" t="s">
        <v>108</v>
      </c>
      <c r="E124" t="s">
        <v>58</v>
      </c>
      <c r="F124" t="s">
        <v>58</v>
      </c>
      <c r="G124" t="s">
        <v>114</v>
      </c>
      <c r="H124" t="s">
        <v>229</v>
      </c>
      <c r="I124" t="s">
        <v>84</v>
      </c>
      <c r="J124" t="s">
        <v>85</v>
      </c>
      <c r="K124" t="s">
        <v>87</v>
      </c>
      <c r="L124" s="25">
        <v>44030</v>
      </c>
      <c r="M124">
        <v>7</v>
      </c>
      <c r="N124">
        <v>2020</v>
      </c>
      <c r="O124" t="s">
        <v>110</v>
      </c>
      <c r="P124">
        <v>170</v>
      </c>
      <c r="Q124" s="17">
        <v>44030.43064027778</v>
      </c>
      <c r="R124" t="s">
        <v>111</v>
      </c>
    </row>
    <row r="125" spans="1:18" x14ac:dyDescent="0.3">
      <c r="A125">
        <v>9683635</v>
      </c>
      <c r="B125" t="s">
        <v>72</v>
      </c>
      <c r="C125">
        <v>1327850</v>
      </c>
      <c r="D125" t="s">
        <v>108</v>
      </c>
      <c r="E125" t="s">
        <v>57</v>
      </c>
      <c r="F125" t="s">
        <v>57</v>
      </c>
      <c r="G125" t="s">
        <v>109</v>
      </c>
      <c r="H125" t="s">
        <v>235</v>
      </c>
      <c r="I125" t="s">
        <v>84</v>
      </c>
      <c r="J125" t="s">
        <v>85</v>
      </c>
      <c r="K125" t="s">
        <v>87</v>
      </c>
      <c r="L125" s="25">
        <v>44030</v>
      </c>
      <c r="M125">
        <v>7</v>
      </c>
      <c r="N125">
        <v>2020</v>
      </c>
      <c r="O125" t="s">
        <v>110</v>
      </c>
      <c r="P125">
        <v>170</v>
      </c>
      <c r="Q125" s="17">
        <v>44030.43203541667</v>
      </c>
      <c r="R125" t="s">
        <v>111</v>
      </c>
    </row>
    <row r="126" spans="1:18" x14ac:dyDescent="0.3">
      <c r="A126">
        <v>9683809</v>
      </c>
      <c r="B126" t="s">
        <v>78</v>
      </c>
      <c r="C126">
        <v>1327907</v>
      </c>
      <c r="D126" t="s">
        <v>78</v>
      </c>
      <c r="E126" t="s">
        <v>58</v>
      </c>
      <c r="F126" t="s">
        <v>58</v>
      </c>
      <c r="G126" t="s">
        <v>114</v>
      </c>
      <c r="H126" t="s">
        <v>105</v>
      </c>
      <c r="I126" t="s">
        <v>78</v>
      </c>
      <c r="J126" t="s">
        <v>42</v>
      </c>
      <c r="K126" t="s">
        <v>87</v>
      </c>
      <c r="L126" s="25">
        <v>44030</v>
      </c>
      <c r="M126">
        <v>7</v>
      </c>
      <c r="N126">
        <v>2020</v>
      </c>
      <c r="O126" t="s">
        <v>110</v>
      </c>
      <c r="P126">
        <v>170</v>
      </c>
      <c r="Q126" s="17">
        <v>44030.433782291664</v>
      </c>
      <c r="R126" t="s">
        <v>111</v>
      </c>
    </row>
    <row r="127" spans="1:18" x14ac:dyDescent="0.3">
      <c r="A127">
        <v>9684485</v>
      </c>
      <c r="B127" t="s">
        <v>78</v>
      </c>
      <c r="C127">
        <v>1327909</v>
      </c>
      <c r="D127" t="s">
        <v>78</v>
      </c>
      <c r="E127" t="s">
        <v>57</v>
      </c>
      <c r="F127" t="s">
        <v>57</v>
      </c>
      <c r="G127" t="s">
        <v>109</v>
      </c>
      <c r="H127" t="s">
        <v>105</v>
      </c>
      <c r="I127" t="s">
        <v>78</v>
      </c>
      <c r="J127" t="s">
        <v>42</v>
      </c>
      <c r="K127" t="s">
        <v>87</v>
      </c>
      <c r="L127" s="25">
        <v>44030</v>
      </c>
      <c r="M127">
        <v>7</v>
      </c>
      <c r="N127">
        <v>2020</v>
      </c>
      <c r="O127" t="s">
        <v>110</v>
      </c>
      <c r="P127">
        <v>170</v>
      </c>
      <c r="Q127" s="17">
        <v>44030.434568055556</v>
      </c>
      <c r="R127" t="s">
        <v>112</v>
      </c>
    </row>
    <row r="128" spans="1:18" x14ac:dyDescent="0.3">
      <c r="A128">
        <v>9684390</v>
      </c>
      <c r="B128" t="s">
        <v>72</v>
      </c>
      <c r="C128">
        <v>1328016</v>
      </c>
      <c r="D128" t="s">
        <v>108</v>
      </c>
      <c r="E128" t="s">
        <v>57</v>
      </c>
      <c r="F128" t="s">
        <v>57</v>
      </c>
      <c r="G128" t="s">
        <v>109</v>
      </c>
      <c r="H128" t="s">
        <v>229</v>
      </c>
      <c r="I128" t="s">
        <v>84</v>
      </c>
      <c r="J128" t="s">
        <v>85</v>
      </c>
      <c r="K128" t="s">
        <v>87</v>
      </c>
      <c r="L128" s="25">
        <v>44030</v>
      </c>
      <c r="M128">
        <v>7</v>
      </c>
      <c r="N128">
        <v>2020</v>
      </c>
      <c r="O128" t="s">
        <v>110</v>
      </c>
      <c r="P128">
        <v>170</v>
      </c>
      <c r="Q128" s="17">
        <v>44030.439179398149</v>
      </c>
      <c r="R128" t="s">
        <v>112</v>
      </c>
    </row>
    <row r="129" spans="1:18" x14ac:dyDescent="0.3">
      <c r="A129">
        <v>9684458</v>
      </c>
      <c r="B129" t="s">
        <v>80</v>
      </c>
      <c r="C129">
        <v>1328316</v>
      </c>
      <c r="D129" t="s">
        <v>113</v>
      </c>
      <c r="E129" t="s">
        <v>58</v>
      </c>
      <c r="F129" t="s">
        <v>58</v>
      </c>
      <c r="G129" t="s">
        <v>114</v>
      </c>
      <c r="H129" t="s">
        <v>232</v>
      </c>
      <c r="I129" t="s">
        <v>84</v>
      </c>
      <c r="J129" t="s">
        <v>85</v>
      </c>
      <c r="K129" t="s">
        <v>87</v>
      </c>
      <c r="L129" s="25">
        <v>44030</v>
      </c>
      <c r="M129">
        <v>7</v>
      </c>
      <c r="N129">
        <v>2020</v>
      </c>
      <c r="O129" t="s">
        <v>110</v>
      </c>
      <c r="P129">
        <v>170</v>
      </c>
      <c r="Q129" s="17">
        <v>44030.451583333335</v>
      </c>
      <c r="R129" t="s">
        <v>111</v>
      </c>
    </row>
    <row r="130" spans="1:18" x14ac:dyDescent="0.3">
      <c r="A130">
        <v>9684511</v>
      </c>
      <c r="B130" t="s">
        <v>79</v>
      </c>
      <c r="C130">
        <v>1327952</v>
      </c>
      <c r="D130" t="s">
        <v>116</v>
      </c>
      <c r="E130" t="s">
        <v>58</v>
      </c>
      <c r="F130" t="s">
        <v>58</v>
      </c>
      <c r="G130" t="s">
        <v>114</v>
      </c>
      <c r="H130" t="s">
        <v>233</v>
      </c>
      <c r="I130" t="s">
        <v>82</v>
      </c>
      <c r="J130" t="s">
        <v>42</v>
      </c>
      <c r="K130" t="s">
        <v>87</v>
      </c>
      <c r="L130" s="25">
        <v>44030</v>
      </c>
      <c r="M130">
        <v>7</v>
      </c>
      <c r="N130">
        <v>2020</v>
      </c>
      <c r="O130" t="s">
        <v>110</v>
      </c>
      <c r="P130">
        <v>170</v>
      </c>
      <c r="Q130" s="17">
        <v>44030.437037962962</v>
      </c>
      <c r="R130" t="s">
        <v>111</v>
      </c>
    </row>
    <row r="131" spans="1:18" x14ac:dyDescent="0.3">
      <c r="A131">
        <v>9684845</v>
      </c>
      <c r="B131" t="s">
        <v>72</v>
      </c>
      <c r="C131">
        <v>1328037</v>
      </c>
      <c r="D131" t="s">
        <v>108</v>
      </c>
      <c r="E131" t="s">
        <v>58</v>
      </c>
      <c r="F131" t="s">
        <v>58</v>
      </c>
      <c r="G131" t="s">
        <v>114</v>
      </c>
      <c r="H131" t="s">
        <v>240</v>
      </c>
      <c r="I131" t="s">
        <v>84</v>
      </c>
      <c r="J131" t="s">
        <v>85</v>
      </c>
      <c r="K131" t="s">
        <v>87</v>
      </c>
      <c r="L131" s="25">
        <v>44030</v>
      </c>
      <c r="M131">
        <v>7</v>
      </c>
      <c r="N131">
        <v>2020</v>
      </c>
      <c r="O131" t="s">
        <v>110</v>
      </c>
      <c r="P131">
        <v>170</v>
      </c>
      <c r="Q131" s="17">
        <v>44030.444987731484</v>
      </c>
      <c r="R131" t="s">
        <v>115</v>
      </c>
    </row>
    <row r="132" spans="1:18" x14ac:dyDescent="0.3">
      <c r="A132">
        <v>9684281</v>
      </c>
      <c r="B132" t="s">
        <v>72</v>
      </c>
      <c r="C132">
        <v>1328637</v>
      </c>
      <c r="D132" t="s">
        <v>108</v>
      </c>
      <c r="E132" t="s">
        <v>57</v>
      </c>
      <c r="F132" t="s">
        <v>57</v>
      </c>
      <c r="G132" t="s">
        <v>109</v>
      </c>
      <c r="H132" t="s">
        <v>241</v>
      </c>
      <c r="I132" t="s">
        <v>84</v>
      </c>
      <c r="J132" t="s">
        <v>85</v>
      </c>
      <c r="K132" t="s">
        <v>87</v>
      </c>
      <c r="L132" s="25">
        <v>44030</v>
      </c>
      <c r="M132">
        <v>7</v>
      </c>
      <c r="N132">
        <v>2020</v>
      </c>
      <c r="O132" t="s">
        <v>110</v>
      </c>
      <c r="P132">
        <v>170</v>
      </c>
      <c r="Q132" s="17">
        <v>44030.447076388889</v>
      </c>
      <c r="R132" t="s">
        <v>111</v>
      </c>
    </row>
    <row r="133" spans="1:18" x14ac:dyDescent="0.3">
      <c r="A133">
        <v>9685007</v>
      </c>
      <c r="B133" t="s">
        <v>79</v>
      </c>
      <c r="C133">
        <v>1328873</v>
      </c>
      <c r="D133" t="s">
        <v>116</v>
      </c>
      <c r="E133" t="s">
        <v>58</v>
      </c>
      <c r="F133" t="s">
        <v>58</v>
      </c>
      <c r="G133" t="s">
        <v>114</v>
      </c>
      <c r="H133" t="s">
        <v>233</v>
      </c>
      <c r="I133" t="s">
        <v>82</v>
      </c>
      <c r="J133" t="s">
        <v>42</v>
      </c>
      <c r="K133" t="s">
        <v>87</v>
      </c>
      <c r="L133" s="25">
        <v>44030</v>
      </c>
      <c r="M133">
        <v>7</v>
      </c>
      <c r="N133">
        <v>2020</v>
      </c>
      <c r="O133" t="s">
        <v>110</v>
      </c>
      <c r="P133">
        <v>170</v>
      </c>
      <c r="Q133" s="17">
        <v>44030.45220266204</v>
      </c>
      <c r="R133" t="s">
        <v>111</v>
      </c>
    </row>
    <row r="134" spans="1:18" x14ac:dyDescent="0.3">
      <c r="A134">
        <v>9685130</v>
      </c>
      <c r="B134" t="s">
        <v>72</v>
      </c>
      <c r="C134">
        <v>1328858</v>
      </c>
      <c r="D134" t="s">
        <v>108</v>
      </c>
      <c r="E134" t="s">
        <v>58</v>
      </c>
      <c r="F134" t="s">
        <v>58</v>
      </c>
      <c r="G134" t="s">
        <v>114</v>
      </c>
      <c r="H134" t="s">
        <v>229</v>
      </c>
      <c r="I134" t="s">
        <v>84</v>
      </c>
      <c r="J134" t="s">
        <v>85</v>
      </c>
      <c r="K134" t="s">
        <v>87</v>
      </c>
      <c r="L134" s="25">
        <v>44030</v>
      </c>
      <c r="M134">
        <v>7</v>
      </c>
      <c r="N134">
        <v>2020</v>
      </c>
      <c r="O134" t="s">
        <v>110</v>
      </c>
      <c r="P134">
        <v>170</v>
      </c>
      <c r="Q134" s="17">
        <v>44030.451878703701</v>
      </c>
      <c r="R134" t="s">
        <v>111</v>
      </c>
    </row>
    <row r="135" spans="1:18" x14ac:dyDescent="0.3">
      <c r="A135">
        <v>9686046</v>
      </c>
      <c r="B135" t="s">
        <v>78</v>
      </c>
      <c r="C135">
        <v>1329109</v>
      </c>
      <c r="D135" t="s">
        <v>116</v>
      </c>
      <c r="E135" t="s">
        <v>58</v>
      </c>
      <c r="F135" t="s">
        <v>58</v>
      </c>
      <c r="G135" t="s">
        <v>114</v>
      </c>
      <c r="H135" t="s">
        <v>242</v>
      </c>
      <c r="I135" t="s">
        <v>84</v>
      </c>
      <c r="J135" t="s">
        <v>85</v>
      </c>
      <c r="K135" t="s">
        <v>87</v>
      </c>
      <c r="L135" s="25">
        <v>44030</v>
      </c>
      <c r="M135">
        <v>7</v>
      </c>
      <c r="N135">
        <v>2020</v>
      </c>
      <c r="O135" t="s">
        <v>110</v>
      </c>
      <c r="P135">
        <v>170</v>
      </c>
      <c r="Q135" s="17">
        <v>44030.454759375003</v>
      </c>
      <c r="R135" t="s">
        <v>121</v>
      </c>
    </row>
    <row r="136" spans="1:18" x14ac:dyDescent="0.3">
      <c r="A136">
        <v>9685376</v>
      </c>
      <c r="B136" t="s">
        <v>72</v>
      </c>
      <c r="C136">
        <v>1329222</v>
      </c>
      <c r="D136" t="s">
        <v>108</v>
      </c>
      <c r="E136" t="s">
        <v>58</v>
      </c>
      <c r="F136" t="s">
        <v>58</v>
      </c>
      <c r="G136" t="s">
        <v>114</v>
      </c>
      <c r="H136" t="s">
        <v>243</v>
      </c>
      <c r="I136" t="s">
        <v>84</v>
      </c>
      <c r="J136" t="s">
        <v>85</v>
      </c>
      <c r="K136" t="s">
        <v>87</v>
      </c>
      <c r="L136" s="25">
        <v>44030</v>
      </c>
      <c r="M136">
        <v>7</v>
      </c>
      <c r="N136">
        <v>2020</v>
      </c>
      <c r="O136" t="s">
        <v>110</v>
      </c>
      <c r="P136">
        <v>170</v>
      </c>
      <c r="Q136" s="17">
        <v>44030.458712037034</v>
      </c>
      <c r="R136" t="s">
        <v>111</v>
      </c>
    </row>
    <row r="137" spans="1:18" x14ac:dyDescent="0.3">
      <c r="A137">
        <v>9685482</v>
      </c>
      <c r="B137" t="s">
        <v>72</v>
      </c>
      <c r="C137">
        <v>1329258</v>
      </c>
      <c r="D137" t="s">
        <v>108</v>
      </c>
      <c r="E137" t="s">
        <v>57</v>
      </c>
      <c r="F137" t="s">
        <v>57</v>
      </c>
      <c r="G137" t="s">
        <v>109</v>
      </c>
      <c r="H137" t="s">
        <v>229</v>
      </c>
      <c r="I137" t="s">
        <v>84</v>
      </c>
      <c r="J137" t="s">
        <v>85</v>
      </c>
      <c r="K137" t="s">
        <v>87</v>
      </c>
      <c r="L137" s="25">
        <v>44030</v>
      </c>
      <c r="M137">
        <v>7</v>
      </c>
      <c r="N137">
        <v>2020</v>
      </c>
      <c r="O137" t="s">
        <v>110</v>
      </c>
      <c r="P137">
        <v>170</v>
      </c>
      <c r="Q137" s="17">
        <v>44030.459942013891</v>
      </c>
      <c r="R137" t="s">
        <v>112</v>
      </c>
    </row>
    <row r="138" spans="1:18" x14ac:dyDescent="0.3">
      <c r="A138">
        <v>244493</v>
      </c>
      <c r="B138" t="s">
        <v>72</v>
      </c>
      <c r="C138">
        <v>1329273</v>
      </c>
      <c r="D138" t="s">
        <v>108</v>
      </c>
      <c r="E138" t="s">
        <v>58</v>
      </c>
      <c r="F138" t="s">
        <v>58</v>
      </c>
      <c r="G138" t="s">
        <v>114</v>
      </c>
      <c r="H138" t="s">
        <v>229</v>
      </c>
      <c r="I138" t="s">
        <v>84</v>
      </c>
      <c r="J138" t="s">
        <v>85</v>
      </c>
      <c r="K138" t="s">
        <v>87</v>
      </c>
      <c r="L138" s="25">
        <v>44030</v>
      </c>
      <c r="M138">
        <v>7</v>
      </c>
      <c r="N138">
        <v>2020</v>
      </c>
      <c r="O138" t="s">
        <v>110</v>
      </c>
      <c r="P138">
        <v>170</v>
      </c>
      <c r="Q138" s="17">
        <v>44030.460051041664</v>
      </c>
      <c r="R138" t="s">
        <v>121</v>
      </c>
    </row>
    <row r="139" spans="1:18" x14ac:dyDescent="0.3">
      <c r="A139">
        <v>244654</v>
      </c>
      <c r="B139" t="s">
        <v>72</v>
      </c>
      <c r="C139">
        <v>1329343</v>
      </c>
      <c r="D139" t="s">
        <v>108</v>
      </c>
      <c r="E139" t="s">
        <v>58</v>
      </c>
      <c r="F139" t="s">
        <v>58</v>
      </c>
      <c r="G139" t="s">
        <v>114</v>
      </c>
      <c r="H139" t="s">
        <v>229</v>
      </c>
      <c r="I139" t="s">
        <v>84</v>
      </c>
      <c r="J139" t="s">
        <v>85</v>
      </c>
      <c r="K139" t="s">
        <v>87</v>
      </c>
      <c r="L139" s="25">
        <v>44030</v>
      </c>
      <c r="M139">
        <v>7</v>
      </c>
      <c r="N139">
        <v>2020</v>
      </c>
      <c r="O139" t="s">
        <v>110</v>
      </c>
      <c r="P139">
        <v>170</v>
      </c>
      <c r="Q139" s="17">
        <v>44030.461537037037</v>
      </c>
      <c r="R139" t="s">
        <v>111</v>
      </c>
    </row>
    <row r="140" spans="1:18" x14ac:dyDescent="0.3">
      <c r="A140">
        <v>9686207</v>
      </c>
      <c r="B140" t="s">
        <v>72</v>
      </c>
      <c r="C140">
        <v>1329607</v>
      </c>
      <c r="D140" t="s">
        <v>108</v>
      </c>
      <c r="E140" t="s">
        <v>57</v>
      </c>
      <c r="F140" t="s">
        <v>57</v>
      </c>
      <c r="G140" t="s">
        <v>109</v>
      </c>
      <c r="H140" t="s">
        <v>244</v>
      </c>
      <c r="I140" t="s">
        <v>84</v>
      </c>
      <c r="J140" t="s">
        <v>85</v>
      </c>
      <c r="K140" t="s">
        <v>87</v>
      </c>
      <c r="L140" s="25">
        <v>44030</v>
      </c>
      <c r="M140">
        <v>7</v>
      </c>
      <c r="N140">
        <v>2020</v>
      </c>
      <c r="O140" t="s">
        <v>110</v>
      </c>
      <c r="P140">
        <v>170</v>
      </c>
      <c r="Q140" s="17">
        <v>44030.465274421294</v>
      </c>
      <c r="R140" t="s">
        <v>111</v>
      </c>
    </row>
    <row r="141" spans="1:18" x14ac:dyDescent="0.3">
      <c r="A141">
        <v>9686372</v>
      </c>
      <c r="B141" t="s">
        <v>72</v>
      </c>
      <c r="C141">
        <v>1329958</v>
      </c>
      <c r="D141" t="s">
        <v>108</v>
      </c>
      <c r="E141" t="s">
        <v>57</v>
      </c>
      <c r="F141" t="s">
        <v>57</v>
      </c>
      <c r="G141" t="s">
        <v>109</v>
      </c>
      <c r="H141" t="s">
        <v>229</v>
      </c>
      <c r="I141" t="s">
        <v>84</v>
      </c>
      <c r="J141" t="s">
        <v>85</v>
      </c>
      <c r="K141" t="s">
        <v>87</v>
      </c>
      <c r="L141" s="25">
        <v>44030</v>
      </c>
      <c r="M141">
        <v>7</v>
      </c>
      <c r="N141">
        <v>2020</v>
      </c>
      <c r="O141" t="s">
        <v>110</v>
      </c>
      <c r="P141">
        <v>170</v>
      </c>
      <c r="Q141" s="17">
        <v>44030.469101041665</v>
      </c>
      <c r="R141" t="s">
        <v>111</v>
      </c>
    </row>
    <row r="142" spans="1:18" x14ac:dyDescent="0.3">
      <c r="A142">
        <v>245024</v>
      </c>
      <c r="B142" t="s">
        <v>72</v>
      </c>
      <c r="C142">
        <v>1330145</v>
      </c>
      <c r="D142" t="s">
        <v>108</v>
      </c>
      <c r="E142" t="s">
        <v>58</v>
      </c>
      <c r="F142" t="s">
        <v>58</v>
      </c>
      <c r="G142" t="s">
        <v>114</v>
      </c>
      <c r="H142" t="s">
        <v>229</v>
      </c>
      <c r="I142" t="s">
        <v>84</v>
      </c>
      <c r="J142" t="s">
        <v>85</v>
      </c>
      <c r="K142" t="s">
        <v>87</v>
      </c>
      <c r="L142" s="25">
        <v>44030</v>
      </c>
      <c r="M142">
        <v>7</v>
      </c>
      <c r="N142">
        <v>2020</v>
      </c>
      <c r="O142" t="s">
        <v>110</v>
      </c>
      <c r="P142">
        <v>170</v>
      </c>
      <c r="Q142" s="17">
        <v>44030.479846296294</v>
      </c>
      <c r="R142" t="s">
        <v>115</v>
      </c>
    </row>
    <row r="143" spans="1:18" x14ac:dyDescent="0.3">
      <c r="A143">
        <v>245015</v>
      </c>
      <c r="B143" t="s">
        <v>72</v>
      </c>
      <c r="C143">
        <v>1330143</v>
      </c>
      <c r="D143" t="s">
        <v>108</v>
      </c>
      <c r="E143" t="s">
        <v>58</v>
      </c>
      <c r="F143" t="s">
        <v>58</v>
      </c>
      <c r="G143" t="s">
        <v>114</v>
      </c>
      <c r="H143" t="s">
        <v>229</v>
      </c>
      <c r="I143" t="s">
        <v>84</v>
      </c>
      <c r="J143" t="s">
        <v>85</v>
      </c>
      <c r="K143" t="s">
        <v>87</v>
      </c>
      <c r="L143" s="25">
        <v>44030</v>
      </c>
      <c r="M143">
        <v>7</v>
      </c>
      <c r="N143">
        <v>2020</v>
      </c>
      <c r="O143" t="s">
        <v>110</v>
      </c>
      <c r="P143">
        <v>170</v>
      </c>
      <c r="Q143" s="17">
        <v>44030.480560069445</v>
      </c>
      <c r="R143" t="s">
        <v>115</v>
      </c>
    </row>
    <row r="144" spans="1:18" x14ac:dyDescent="0.3">
      <c r="A144">
        <v>9686708</v>
      </c>
      <c r="B144" t="s">
        <v>72</v>
      </c>
      <c r="C144">
        <v>1330209</v>
      </c>
      <c r="D144" t="s">
        <v>108</v>
      </c>
      <c r="E144" t="s">
        <v>58</v>
      </c>
      <c r="F144" t="s">
        <v>58</v>
      </c>
      <c r="G144" t="s">
        <v>114</v>
      </c>
      <c r="H144" t="s">
        <v>229</v>
      </c>
      <c r="I144" t="s">
        <v>84</v>
      </c>
      <c r="J144" t="s">
        <v>85</v>
      </c>
      <c r="K144" t="s">
        <v>87</v>
      </c>
      <c r="L144" s="25">
        <v>44030</v>
      </c>
      <c r="M144">
        <v>7</v>
      </c>
      <c r="N144">
        <v>2020</v>
      </c>
      <c r="O144" t="s">
        <v>110</v>
      </c>
      <c r="P144">
        <v>170</v>
      </c>
      <c r="Q144" s="17">
        <v>44030.481974189817</v>
      </c>
      <c r="R144" t="s">
        <v>115</v>
      </c>
    </row>
    <row r="145" spans="1:18" x14ac:dyDescent="0.3">
      <c r="A145">
        <v>9687395</v>
      </c>
      <c r="B145" t="s">
        <v>72</v>
      </c>
      <c r="C145">
        <v>1330245</v>
      </c>
      <c r="D145" t="s">
        <v>108</v>
      </c>
      <c r="E145" t="s">
        <v>57</v>
      </c>
      <c r="F145" t="s">
        <v>57</v>
      </c>
      <c r="G145" t="s">
        <v>109</v>
      </c>
      <c r="H145" t="s">
        <v>229</v>
      </c>
      <c r="I145" t="s">
        <v>84</v>
      </c>
      <c r="J145" t="s">
        <v>85</v>
      </c>
      <c r="K145" t="s">
        <v>87</v>
      </c>
      <c r="L145" s="25">
        <v>44030</v>
      </c>
      <c r="M145">
        <v>7</v>
      </c>
      <c r="N145">
        <v>2020</v>
      </c>
      <c r="O145" t="s">
        <v>110</v>
      </c>
      <c r="P145">
        <v>170</v>
      </c>
      <c r="Q145" s="17">
        <v>44030.482181134263</v>
      </c>
      <c r="R145" t="s">
        <v>115</v>
      </c>
    </row>
    <row r="146" spans="1:18" x14ac:dyDescent="0.3">
      <c r="A146">
        <v>21527065</v>
      </c>
      <c r="B146" t="s">
        <v>78</v>
      </c>
      <c r="C146">
        <v>1322070</v>
      </c>
      <c r="D146" t="s">
        <v>78</v>
      </c>
      <c r="E146" t="s">
        <v>26</v>
      </c>
      <c r="F146" t="s">
        <v>26</v>
      </c>
      <c r="G146" t="s">
        <v>137</v>
      </c>
      <c r="H146" t="s">
        <v>245</v>
      </c>
      <c r="I146" t="s">
        <v>78</v>
      </c>
      <c r="J146" t="s">
        <v>42</v>
      </c>
      <c r="K146" t="s">
        <v>83</v>
      </c>
      <c r="L146" s="25">
        <v>44030</v>
      </c>
      <c r="M146">
        <v>7</v>
      </c>
      <c r="N146">
        <v>2020</v>
      </c>
      <c r="O146" t="s">
        <v>110</v>
      </c>
      <c r="P146">
        <v>170</v>
      </c>
      <c r="Q146" s="17">
        <v>44030.477524074071</v>
      </c>
      <c r="R146" t="s">
        <v>126</v>
      </c>
    </row>
    <row r="147" spans="1:18" x14ac:dyDescent="0.3">
      <c r="A147">
        <v>9686160</v>
      </c>
      <c r="B147" t="s">
        <v>80</v>
      </c>
      <c r="C147">
        <v>1329658</v>
      </c>
      <c r="D147" t="s">
        <v>113</v>
      </c>
      <c r="E147" t="s">
        <v>146</v>
      </c>
      <c r="F147" t="s">
        <v>17</v>
      </c>
      <c r="G147" t="s">
        <v>153</v>
      </c>
      <c r="H147" t="s">
        <v>232</v>
      </c>
      <c r="I147" t="s">
        <v>84</v>
      </c>
      <c r="J147" t="s">
        <v>85</v>
      </c>
      <c r="K147" t="s">
        <v>87</v>
      </c>
      <c r="L147" s="25">
        <v>44030</v>
      </c>
      <c r="M147">
        <v>7</v>
      </c>
      <c r="N147">
        <v>2020</v>
      </c>
      <c r="O147" t="s">
        <v>110</v>
      </c>
      <c r="P147">
        <v>170</v>
      </c>
      <c r="Q147" s="17">
        <v>44030.448590046297</v>
      </c>
      <c r="R147" t="s">
        <v>126</v>
      </c>
    </row>
    <row r="148" spans="1:18" x14ac:dyDescent="0.3">
      <c r="A148">
        <v>9685548</v>
      </c>
      <c r="B148" t="s">
        <v>78</v>
      </c>
      <c r="C148">
        <v>1329359</v>
      </c>
      <c r="D148" t="s">
        <v>78</v>
      </c>
      <c r="E148" t="s">
        <v>58</v>
      </c>
      <c r="F148" t="s">
        <v>58</v>
      </c>
      <c r="G148" t="s">
        <v>114</v>
      </c>
      <c r="H148" t="s">
        <v>105</v>
      </c>
      <c r="I148" t="s">
        <v>78</v>
      </c>
      <c r="J148" t="s">
        <v>42</v>
      </c>
      <c r="K148" t="s">
        <v>87</v>
      </c>
      <c r="L148" s="25">
        <v>44030</v>
      </c>
      <c r="M148">
        <v>7</v>
      </c>
      <c r="N148">
        <v>2020</v>
      </c>
      <c r="O148" t="s">
        <v>110</v>
      </c>
      <c r="P148">
        <v>170</v>
      </c>
      <c r="Q148" s="17">
        <v>44030.462310185183</v>
      </c>
      <c r="R148" t="s">
        <v>111</v>
      </c>
    </row>
    <row r="149" spans="1:18" x14ac:dyDescent="0.3">
      <c r="A149">
        <v>9686359</v>
      </c>
      <c r="B149" t="s">
        <v>78</v>
      </c>
      <c r="C149">
        <v>1329393</v>
      </c>
      <c r="D149" t="s">
        <v>78</v>
      </c>
      <c r="E149" t="s">
        <v>57</v>
      </c>
      <c r="F149" t="s">
        <v>57</v>
      </c>
      <c r="G149" t="s">
        <v>109</v>
      </c>
      <c r="H149" t="s">
        <v>105</v>
      </c>
      <c r="I149" t="s">
        <v>78</v>
      </c>
      <c r="J149" t="s">
        <v>42</v>
      </c>
      <c r="K149" t="s">
        <v>87</v>
      </c>
      <c r="L149" s="25">
        <v>44030</v>
      </c>
      <c r="M149">
        <v>7</v>
      </c>
      <c r="N149">
        <v>2020</v>
      </c>
      <c r="O149" t="s">
        <v>110</v>
      </c>
      <c r="P149">
        <v>170</v>
      </c>
      <c r="Q149" s="17">
        <v>44030.462030208335</v>
      </c>
      <c r="R149" t="s">
        <v>111</v>
      </c>
    </row>
    <row r="150" spans="1:18" x14ac:dyDescent="0.3">
      <c r="A150">
        <v>9686207</v>
      </c>
      <c r="B150" t="s">
        <v>72</v>
      </c>
      <c r="C150">
        <v>1329610</v>
      </c>
      <c r="D150" t="s">
        <v>108</v>
      </c>
      <c r="E150" t="s">
        <v>57</v>
      </c>
      <c r="F150" t="s">
        <v>57</v>
      </c>
      <c r="G150" t="s">
        <v>109</v>
      </c>
      <c r="H150" t="s">
        <v>244</v>
      </c>
      <c r="I150" t="s">
        <v>84</v>
      </c>
      <c r="J150" t="s">
        <v>85</v>
      </c>
      <c r="K150" t="s">
        <v>87</v>
      </c>
      <c r="L150" s="25">
        <v>44030</v>
      </c>
      <c r="M150">
        <v>7</v>
      </c>
      <c r="N150">
        <v>2020</v>
      </c>
      <c r="O150" t="s">
        <v>110</v>
      </c>
      <c r="P150">
        <v>170</v>
      </c>
      <c r="Q150" s="17">
        <v>44030.464570023149</v>
      </c>
      <c r="R150" t="s">
        <v>111</v>
      </c>
    </row>
    <row r="151" spans="1:18" x14ac:dyDescent="0.3">
      <c r="A151">
        <v>9686220</v>
      </c>
      <c r="B151" t="s">
        <v>72</v>
      </c>
      <c r="C151">
        <v>1329640</v>
      </c>
      <c r="D151" t="s">
        <v>108</v>
      </c>
      <c r="E151" t="s">
        <v>57</v>
      </c>
      <c r="F151" t="s">
        <v>57</v>
      </c>
      <c r="G151" t="s">
        <v>109</v>
      </c>
      <c r="H151" t="s">
        <v>229</v>
      </c>
      <c r="I151" t="s">
        <v>84</v>
      </c>
      <c r="J151" t="s">
        <v>85</v>
      </c>
      <c r="K151" t="s">
        <v>87</v>
      </c>
      <c r="L151" s="25">
        <v>44030</v>
      </c>
      <c r="M151">
        <v>7</v>
      </c>
      <c r="N151">
        <v>2020</v>
      </c>
      <c r="O151" t="s">
        <v>110</v>
      </c>
      <c r="P151">
        <v>170</v>
      </c>
      <c r="Q151" s="17">
        <v>44030.463161805557</v>
      </c>
      <c r="R151" t="s">
        <v>111</v>
      </c>
    </row>
    <row r="152" spans="1:18" x14ac:dyDescent="0.3">
      <c r="A152">
        <v>9686189</v>
      </c>
      <c r="B152" t="s">
        <v>78</v>
      </c>
      <c r="C152">
        <v>1329861</v>
      </c>
      <c r="D152" t="s">
        <v>78</v>
      </c>
      <c r="E152" t="s">
        <v>57</v>
      </c>
      <c r="F152" t="s">
        <v>57</v>
      </c>
      <c r="G152" t="s">
        <v>109</v>
      </c>
      <c r="H152" t="s">
        <v>105</v>
      </c>
      <c r="I152" t="s">
        <v>78</v>
      </c>
      <c r="J152" t="s">
        <v>42</v>
      </c>
      <c r="K152" t="s">
        <v>87</v>
      </c>
      <c r="L152" s="25">
        <v>44030</v>
      </c>
      <c r="M152">
        <v>7</v>
      </c>
      <c r="N152">
        <v>2020</v>
      </c>
      <c r="O152" t="s">
        <v>110</v>
      </c>
      <c r="P152">
        <v>170</v>
      </c>
      <c r="Q152" s="17">
        <v>44030.467853587965</v>
      </c>
      <c r="R152" t="s">
        <v>111</v>
      </c>
    </row>
    <row r="153" spans="1:18" x14ac:dyDescent="0.3">
      <c r="A153">
        <v>244355</v>
      </c>
      <c r="B153" t="s">
        <v>72</v>
      </c>
      <c r="C153">
        <v>1329908</v>
      </c>
      <c r="D153" t="s">
        <v>108</v>
      </c>
      <c r="E153" t="s">
        <v>58</v>
      </c>
      <c r="F153" t="s">
        <v>58</v>
      </c>
      <c r="G153" t="s">
        <v>114</v>
      </c>
      <c r="H153" t="s">
        <v>229</v>
      </c>
      <c r="I153" t="s">
        <v>84</v>
      </c>
      <c r="J153" t="s">
        <v>85</v>
      </c>
      <c r="K153" t="s">
        <v>87</v>
      </c>
      <c r="L153" s="25">
        <v>44030</v>
      </c>
      <c r="M153">
        <v>7</v>
      </c>
      <c r="N153">
        <v>2020</v>
      </c>
      <c r="O153" t="s">
        <v>110</v>
      </c>
      <c r="P153">
        <v>170</v>
      </c>
      <c r="Q153" s="17">
        <v>44030.468547569442</v>
      </c>
      <c r="R153" t="s">
        <v>121</v>
      </c>
    </row>
    <row r="154" spans="1:18" x14ac:dyDescent="0.3">
      <c r="A154">
        <v>244698</v>
      </c>
      <c r="B154" t="s">
        <v>72</v>
      </c>
      <c r="C154">
        <v>1329925</v>
      </c>
      <c r="D154" t="s">
        <v>108</v>
      </c>
      <c r="E154" t="s">
        <v>58</v>
      </c>
      <c r="F154" t="s">
        <v>58</v>
      </c>
      <c r="G154" t="s">
        <v>114</v>
      </c>
      <c r="H154" t="s">
        <v>229</v>
      </c>
      <c r="I154" t="s">
        <v>84</v>
      </c>
      <c r="J154" t="s">
        <v>85</v>
      </c>
      <c r="K154" t="s">
        <v>87</v>
      </c>
      <c r="L154" s="25">
        <v>44030</v>
      </c>
      <c r="M154">
        <v>7</v>
      </c>
      <c r="N154">
        <v>2020</v>
      </c>
      <c r="O154" t="s">
        <v>110</v>
      </c>
      <c r="P154">
        <v>170</v>
      </c>
      <c r="Q154" s="17">
        <v>44030.467433796293</v>
      </c>
      <c r="R154" t="s">
        <v>111</v>
      </c>
    </row>
    <row r="155" spans="1:18" x14ac:dyDescent="0.3">
      <c r="A155">
        <v>9686555</v>
      </c>
      <c r="B155" t="s">
        <v>72</v>
      </c>
      <c r="C155">
        <v>1329976</v>
      </c>
      <c r="D155" t="s">
        <v>108</v>
      </c>
      <c r="E155" t="s">
        <v>58</v>
      </c>
      <c r="F155" t="s">
        <v>58</v>
      </c>
      <c r="G155" t="s">
        <v>114</v>
      </c>
      <c r="H155" t="s">
        <v>246</v>
      </c>
      <c r="I155" t="s">
        <v>84</v>
      </c>
      <c r="J155" t="s">
        <v>85</v>
      </c>
      <c r="K155" t="s">
        <v>87</v>
      </c>
      <c r="L155" s="25">
        <v>44030</v>
      </c>
      <c r="M155">
        <v>7</v>
      </c>
      <c r="N155">
        <v>2020</v>
      </c>
      <c r="O155" t="s">
        <v>110</v>
      </c>
      <c r="P155">
        <v>170</v>
      </c>
      <c r="Q155" s="17">
        <v>44030.469140972222</v>
      </c>
      <c r="R155" t="s">
        <v>115</v>
      </c>
    </row>
    <row r="156" spans="1:18" x14ac:dyDescent="0.3">
      <c r="A156">
        <v>244657</v>
      </c>
      <c r="B156" t="s">
        <v>72</v>
      </c>
      <c r="C156">
        <v>1330095</v>
      </c>
      <c r="D156" t="s">
        <v>108</v>
      </c>
      <c r="E156" t="s">
        <v>57</v>
      </c>
      <c r="F156" t="s">
        <v>57</v>
      </c>
      <c r="G156" t="s">
        <v>109</v>
      </c>
      <c r="H156" t="s">
        <v>229</v>
      </c>
      <c r="I156" t="s">
        <v>84</v>
      </c>
      <c r="J156" t="s">
        <v>85</v>
      </c>
      <c r="K156" t="s">
        <v>87</v>
      </c>
      <c r="L156" s="25">
        <v>44030</v>
      </c>
      <c r="M156">
        <v>7</v>
      </c>
      <c r="N156">
        <v>2020</v>
      </c>
      <c r="O156" t="s">
        <v>110</v>
      </c>
      <c r="P156">
        <v>170</v>
      </c>
      <c r="Q156" s="17">
        <v>44030.476397337959</v>
      </c>
      <c r="R156" t="s">
        <v>111</v>
      </c>
    </row>
    <row r="157" spans="1:18" x14ac:dyDescent="0.3">
      <c r="A157">
        <v>244663</v>
      </c>
      <c r="B157" t="s">
        <v>79</v>
      </c>
      <c r="C157">
        <v>1330108</v>
      </c>
      <c r="D157" t="s">
        <v>116</v>
      </c>
      <c r="E157" t="s">
        <v>58</v>
      </c>
      <c r="F157" t="s">
        <v>58</v>
      </c>
      <c r="G157" t="s">
        <v>114</v>
      </c>
      <c r="H157" t="s">
        <v>233</v>
      </c>
      <c r="I157" t="s">
        <v>82</v>
      </c>
      <c r="J157" t="s">
        <v>42</v>
      </c>
      <c r="K157" t="s">
        <v>87</v>
      </c>
      <c r="L157" s="25">
        <v>44030</v>
      </c>
      <c r="M157">
        <v>7</v>
      </c>
      <c r="N157">
        <v>2020</v>
      </c>
      <c r="O157" t="s">
        <v>110</v>
      </c>
      <c r="P157">
        <v>170</v>
      </c>
      <c r="Q157" s="17">
        <v>44030.481688078704</v>
      </c>
      <c r="R157" t="s">
        <v>115</v>
      </c>
    </row>
    <row r="158" spans="1:18" x14ac:dyDescent="0.3">
      <c r="A158">
        <v>244740</v>
      </c>
      <c r="B158" t="s">
        <v>78</v>
      </c>
      <c r="C158">
        <v>1330125</v>
      </c>
      <c r="D158" t="s">
        <v>78</v>
      </c>
      <c r="E158" t="s">
        <v>117</v>
      </c>
      <c r="F158" t="s">
        <v>117</v>
      </c>
      <c r="G158" t="s">
        <v>59</v>
      </c>
      <c r="H158" t="s">
        <v>230</v>
      </c>
      <c r="I158" t="s">
        <v>78</v>
      </c>
      <c r="J158" t="s">
        <v>42</v>
      </c>
      <c r="K158" t="s">
        <v>91</v>
      </c>
      <c r="L158" s="25">
        <v>44030</v>
      </c>
      <c r="M158">
        <v>7</v>
      </c>
      <c r="N158">
        <v>2020</v>
      </c>
      <c r="O158" t="s">
        <v>110</v>
      </c>
      <c r="P158">
        <v>170</v>
      </c>
      <c r="Q158" s="17">
        <v>44030.446148379633</v>
      </c>
      <c r="R158" t="s">
        <v>118</v>
      </c>
    </row>
    <row r="159" spans="1:18" x14ac:dyDescent="0.3">
      <c r="A159">
        <v>245022</v>
      </c>
      <c r="B159" t="s">
        <v>72</v>
      </c>
      <c r="C159">
        <v>1330142</v>
      </c>
      <c r="D159" t="s">
        <v>108</v>
      </c>
      <c r="E159" t="s">
        <v>58</v>
      </c>
      <c r="F159" t="s">
        <v>58</v>
      </c>
      <c r="G159" t="s">
        <v>114</v>
      </c>
      <c r="H159" t="s">
        <v>229</v>
      </c>
      <c r="I159" t="s">
        <v>84</v>
      </c>
      <c r="J159" t="s">
        <v>85</v>
      </c>
      <c r="K159" t="s">
        <v>87</v>
      </c>
      <c r="L159" s="25">
        <v>44030</v>
      </c>
      <c r="M159">
        <v>7</v>
      </c>
      <c r="N159">
        <v>2020</v>
      </c>
      <c r="O159" t="s">
        <v>110</v>
      </c>
      <c r="P159">
        <v>170</v>
      </c>
      <c r="Q159" s="17">
        <v>44030.479430092593</v>
      </c>
      <c r="R159" t="s">
        <v>111</v>
      </c>
    </row>
    <row r="160" spans="1:18" x14ac:dyDescent="0.3">
      <c r="A160">
        <v>244736</v>
      </c>
      <c r="B160" t="s">
        <v>78</v>
      </c>
      <c r="C160">
        <v>1330176</v>
      </c>
      <c r="D160" t="s">
        <v>78</v>
      </c>
      <c r="E160" t="s">
        <v>58</v>
      </c>
      <c r="F160" t="s">
        <v>58</v>
      </c>
      <c r="G160" t="s">
        <v>114</v>
      </c>
      <c r="H160" t="s">
        <v>105</v>
      </c>
      <c r="I160" t="s">
        <v>78</v>
      </c>
      <c r="J160" t="s">
        <v>42</v>
      </c>
      <c r="K160" t="s">
        <v>87</v>
      </c>
      <c r="L160" s="25">
        <v>44030</v>
      </c>
      <c r="M160">
        <v>7</v>
      </c>
      <c r="N160">
        <v>2020</v>
      </c>
      <c r="O160" t="s">
        <v>110</v>
      </c>
      <c r="P160">
        <v>170</v>
      </c>
      <c r="Q160" s="17">
        <v>44030.480527662039</v>
      </c>
      <c r="R160" t="s">
        <v>111</v>
      </c>
    </row>
    <row r="161" spans="1:18" x14ac:dyDescent="0.3">
      <c r="A161">
        <v>9687389</v>
      </c>
      <c r="B161" t="s">
        <v>78</v>
      </c>
      <c r="C161">
        <v>1330244</v>
      </c>
      <c r="D161" t="s">
        <v>78</v>
      </c>
      <c r="E161" t="s">
        <v>58</v>
      </c>
      <c r="F161" t="s">
        <v>58</v>
      </c>
      <c r="G161" t="s">
        <v>114</v>
      </c>
      <c r="H161" t="s">
        <v>105</v>
      </c>
      <c r="I161" t="s">
        <v>78</v>
      </c>
      <c r="J161" t="s">
        <v>42</v>
      </c>
      <c r="K161" t="s">
        <v>87</v>
      </c>
      <c r="L161" s="25">
        <v>44030</v>
      </c>
      <c r="M161">
        <v>7</v>
      </c>
      <c r="N161">
        <v>2020</v>
      </c>
      <c r="O161" t="s">
        <v>110</v>
      </c>
      <c r="P161">
        <v>170</v>
      </c>
      <c r="Q161" s="17">
        <v>44030.482705208335</v>
      </c>
      <c r="R161" t="s">
        <v>111</v>
      </c>
    </row>
    <row r="162" spans="1:18" x14ac:dyDescent="0.3">
      <c r="A162">
        <v>21524595</v>
      </c>
      <c r="B162" t="s">
        <v>79</v>
      </c>
      <c r="C162">
        <v>1330661</v>
      </c>
      <c r="D162" t="s">
        <v>78</v>
      </c>
      <c r="E162" t="s">
        <v>57</v>
      </c>
      <c r="F162" t="s">
        <v>57</v>
      </c>
      <c r="G162" t="s">
        <v>109</v>
      </c>
      <c r="H162" t="s">
        <v>247</v>
      </c>
      <c r="I162" t="s">
        <v>78</v>
      </c>
      <c r="J162" t="s">
        <v>42</v>
      </c>
      <c r="K162" t="s">
        <v>87</v>
      </c>
      <c r="L162" s="25">
        <v>44030</v>
      </c>
      <c r="M162">
        <v>7</v>
      </c>
      <c r="N162">
        <v>2020</v>
      </c>
      <c r="O162" t="s">
        <v>110</v>
      </c>
      <c r="P162">
        <v>170</v>
      </c>
      <c r="Q162" s="17">
        <v>44030.485269675926</v>
      </c>
      <c r="R162" t="s">
        <v>111</v>
      </c>
    </row>
    <row r="163" spans="1:18" x14ac:dyDescent="0.3">
      <c r="A163">
        <v>9688583</v>
      </c>
      <c r="B163" t="s">
        <v>79</v>
      </c>
      <c r="C163">
        <v>1330729</v>
      </c>
      <c r="D163" t="s">
        <v>116</v>
      </c>
      <c r="E163" t="s">
        <v>58</v>
      </c>
      <c r="F163" t="s">
        <v>58</v>
      </c>
      <c r="G163" t="s">
        <v>114</v>
      </c>
      <c r="H163" t="s">
        <v>233</v>
      </c>
      <c r="I163" t="s">
        <v>82</v>
      </c>
      <c r="J163" t="s">
        <v>42</v>
      </c>
      <c r="K163" t="s">
        <v>87</v>
      </c>
      <c r="L163" s="25">
        <v>44030</v>
      </c>
      <c r="M163">
        <v>7</v>
      </c>
      <c r="N163">
        <v>2020</v>
      </c>
      <c r="O163" t="s">
        <v>110</v>
      </c>
      <c r="P163">
        <v>170</v>
      </c>
      <c r="Q163" s="17">
        <v>44030.492842708336</v>
      </c>
      <c r="R163" t="s">
        <v>111</v>
      </c>
    </row>
    <row r="164" spans="1:18" x14ac:dyDescent="0.3">
      <c r="A164">
        <v>9688046</v>
      </c>
      <c r="B164" t="s">
        <v>72</v>
      </c>
      <c r="C164">
        <v>1330929</v>
      </c>
      <c r="D164" t="s">
        <v>108</v>
      </c>
      <c r="E164" t="s">
        <v>58</v>
      </c>
      <c r="F164" t="s">
        <v>58</v>
      </c>
      <c r="G164" t="s">
        <v>114</v>
      </c>
      <c r="H164" t="s">
        <v>229</v>
      </c>
      <c r="I164" t="s">
        <v>84</v>
      </c>
      <c r="J164" t="s">
        <v>85</v>
      </c>
      <c r="K164" t="s">
        <v>87</v>
      </c>
      <c r="L164" s="25">
        <v>44030</v>
      </c>
      <c r="M164">
        <v>7</v>
      </c>
      <c r="N164">
        <v>2020</v>
      </c>
      <c r="O164" t="s">
        <v>110</v>
      </c>
      <c r="P164">
        <v>170</v>
      </c>
      <c r="Q164" s="17">
        <v>44030.492180787034</v>
      </c>
      <c r="R164" t="s">
        <v>111</v>
      </c>
    </row>
    <row r="165" spans="1:18" x14ac:dyDescent="0.3">
      <c r="A165">
        <v>9688596</v>
      </c>
      <c r="B165" t="s">
        <v>72</v>
      </c>
      <c r="C165">
        <v>1330946</v>
      </c>
      <c r="D165" t="s">
        <v>108</v>
      </c>
      <c r="E165" t="s">
        <v>58</v>
      </c>
      <c r="F165" t="s">
        <v>58</v>
      </c>
      <c r="G165" t="s">
        <v>114</v>
      </c>
      <c r="H165" t="s">
        <v>248</v>
      </c>
      <c r="I165" t="s">
        <v>84</v>
      </c>
      <c r="J165" t="s">
        <v>85</v>
      </c>
      <c r="K165" t="s">
        <v>87</v>
      </c>
      <c r="L165" s="25">
        <v>44030</v>
      </c>
      <c r="M165">
        <v>7</v>
      </c>
      <c r="N165">
        <v>2020</v>
      </c>
      <c r="O165" t="s">
        <v>110</v>
      </c>
      <c r="P165">
        <v>170</v>
      </c>
      <c r="Q165" s="17">
        <v>44030.495568634258</v>
      </c>
      <c r="R165" t="s">
        <v>115</v>
      </c>
    </row>
    <row r="166" spans="1:18" x14ac:dyDescent="0.3">
      <c r="A166">
        <v>21530640</v>
      </c>
      <c r="B166" t="s">
        <v>80</v>
      </c>
      <c r="C166">
        <v>1331380</v>
      </c>
      <c r="D166" t="s">
        <v>122</v>
      </c>
      <c r="E166" t="s">
        <v>58</v>
      </c>
      <c r="F166" t="s">
        <v>58</v>
      </c>
      <c r="G166" t="s">
        <v>114</v>
      </c>
      <c r="H166" t="s">
        <v>228</v>
      </c>
      <c r="I166" t="s">
        <v>84</v>
      </c>
      <c r="J166" t="s">
        <v>85</v>
      </c>
      <c r="K166" t="s">
        <v>87</v>
      </c>
      <c r="L166" s="25">
        <v>44030</v>
      </c>
      <c r="M166">
        <v>7</v>
      </c>
      <c r="N166">
        <v>2020</v>
      </c>
      <c r="O166" t="s">
        <v>110</v>
      </c>
      <c r="P166">
        <v>170</v>
      </c>
      <c r="Q166" s="17">
        <v>44030.278279282407</v>
      </c>
      <c r="R166" t="s">
        <v>195</v>
      </c>
    </row>
    <row r="167" spans="1:18" x14ac:dyDescent="0.3">
      <c r="A167">
        <v>9685966</v>
      </c>
      <c r="B167" t="s">
        <v>78</v>
      </c>
      <c r="C167">
        <v>1328925</v>
      </c>
      <c r="D167" t="s">
        <v>78</v>
      </c>
      <c r="E167">
        <v>820</v>
      </c>
      <c r="F167">
        <v>820</v>
      </c>
      <c r="G167" t="s">
        <v>136</v>
      </c>
      <c r="H167" t="s">
        <v>249</v>
      </c>
      <c r="I167" t="s">
        <v>78</v>
      </c>
      <c r="J167" t="s">
        <v>42</v>
      </c>
      <c r="K167" t="s">
        <v>83</v>
      </c>
      <c r="L167" s="25">
        <v>44030</v>
      </c>
      <c r="M167">
        <v>7</v>
      </c>
      <c r="N167">
        <v>2020</v>
      </c>
      <c r="O167" t="s">
        <v>110</v>
      </c>
      <c r="P167">
        <v>170</v>
      </c>
      <c r="Q167" s="17">
        <v>44030.441812731478</v>
      </c>
      <c r="R167" t="s">
        <v>126</v>
      </c>
    </row>
    <row r="168" spans="1:18" x14ac:dyDescent="0.3">
      <c r="A168">
        <v>9685797</v>
      </c>
      <c r="B168" t="s">
        <v>78</v>
      </c>
      <c r="C168">
        <v>1329844</v>
      </c>
      <c r="D168" t="s">
        <v>78</v>
      </c>
      <c r="E168">
        <v>820</v>
      </c>
      <c r="F168">
        <v>820</v>
      </c>
      <c r="G168" t="s">
        <v>136</v>
      </c>
      <c r="H168" t="s">
        <v>250</v>
      </c>
      <c r="I168" t="s">
        <v>78</v>
      </c>
      <c r="J168" t="s">
        <v>42</v>
      </c>
      <c r="K168" t="s">
        <v>83</v>
      </c>
      <c r="L168" s="25">
        <v>44030</v>
      </c>
      <c r="M168">
        <v>7</v>
      </c>
      <c r="N168">
        <v>2020</v>
      </c>
      <c r="O168" t="s">
        <v>110</v>
      </c>
      <c r="P168">
        <v>170</v>
      </c>
      <c r="Q168" s="17">
        <v>44030.481937152777</v>
      </c>
      <c r="R168" t="s">
        <v>126</v>
      </c>
    </row>
    <row r="169" spans="1:18" x14ac:dyDescent="0.3">
      <c r="A169">
        <v>244616</v>
      </c>
      <c r="B169" t="s">
        <v>72</v>
      </c>
      <c r="C169">
        <v>1329368</v>
      </c>
      <c r="D169" t="s">
        <v>108</v>
      </c>
      <c r="E169" t="s">
        <v>58</v>
      </c>
      <c r="F169" t="s">
        <v>58</v>
      </c>
      <c r="G169" t="s">
        <v>114</v>
      </c>
      <c r="H169" t="s">
        <v>229</v>
      </c>
      <c r="I169" t="s">
        <v>84</v>
      </c>
      <c r="J169" t="s">
        <v>85</v>
      </c>
      <c r="K169" t="s">
        <v>87</v>
      </c>
      <c r="L169" s="25">
        <v>44030</v>
      </c>
      <c r="M169">
        <v>7</v>
      </c>
      <c r="N169">
        <v>2020</v>
      </c>
      <c r="O169" t="s">
        <v>110</v>
      </c>
      <c r="P169">
        <v>170</v>
      </c>
      <c r="Q169" s="17">
        <v>44030.461902662035</v>
      </c>
      <c r="R169" t="s">
        <v>111</v>
      </c>
    </row>
    <row r="170" spans="1:18" x14ac:dyDescent="0.3">
      <c r="A170">
        <v>9686370</v>
      </c>
      <c r="B170" t="s">
        <v>78</v>
      </c>
      <c r="C170">
        <v>1329886</v>
      </c>
      <c r="D170" t="s">
        <v>78</v>
      </c>
      <c r="E170" t="s">
        <v>58</v>
      </c>
      <c r="F170" t="s">
        <v>58</v>
      </c>
      <c r="G170" t="s">
        <v>114</v>
      </c>
      <c r="H170" t="s">
        <v>105</v>
      </c>
      <c r="I170" t="s">
        <v>78</v>
      </c>
      <c r="J170" t="s">
        <v>42</v>
      </c>
      <c r="K170" t="s">
        <v>87</v>
      </c>
      <c r="L170" s="25">
        <v>44030</v>
      </c>
      <c r="M170">
        <v>7</v>
      </c>
      <c r="N170">
        <v>2020</v>
      </c>
      <c r="O170" t="s">
        <v>110</v>
      </c>
      <c r="P170">
        <v>170</v>
      </c>
      <c r="Q170" s="17">
        <v>44030.466985416664</v>
      </c>
      <c r="R170" t="s">
        <v>111</v>
      </c>
    </row>
    <row r="171" spans="1:18" x14ac:dyDescent="0.3">
      <c r="A171">
        <v>244646</v>
      </c>
      <c r="B171" t="s">
        <v>72</v>
      </c>
      <c r="C171">
        <v>1329899</v>
      </c>
      <c r="D171" t="s">
        <v>108</v>
      </c>
      <c r="E171" t="s">
        <v>58</v>
      </c>
      <c r="F171" t="s">
        <v>58</v>
      </c>
      <c r="G171" t="s">
        <v>114</v>
      </c>
      <c r="H171" t="s">
        <v>229</v>
      </c>
      <c r="I171" t="s">
        <v>84</v>
      </c>
      <c r="J171" t="s">
        <v>85</v>
      </c>
      <c r="K171" t="s">
        <v>87</v>
      </c>
      <c r="L171" s="25">
        <v>44030</v>
      </c>
      <c r="M171">
        <v>7</v>
      </c>
      <c r="N171">
        <v>2020</v>
      </c>
      <c r="O171" t="s">
        <v>110</v>
      </c>
      <c r="P171">
        <v>170</v>
      </c>
      <c r="Q171" s="17">
        <v>44030.467000925928</v>
      </c>
      <c r="R171" t="s">
        <v>115</v>
      </c>
    </row>
    <row r="172" spans="1:18" x14ac:dyDescent="0.3">
      <c r="A172">
        <v>245029</v>
      </c>
      <c r="B172" t="s">
        <v>72</v>
      </c>
      <c r="C172">
        <v>1330100</v>
      </c>
      <c r="D172" t="s">
        <v>108</v>
      </c>
      <c r="E172" t="s">
        <v>58</v>
      </c>
      <c r="F172" t="s">
        <v>58</v>
      </c>
      <c r="G172" t="s">
        <v>114</v>
      </c>
      <c r="H172" t="s">
        <v>229</v>
      </c>
      <c r="I172" t="s">
        <v>84</v>
      </c>
      <c r="J172" t="s">
        <v>85</v>
      </c>
      <c r="K172" t="s">
        <v>87</v>
      </c>
      <c r="L172" s="25">
        <v>44030</v>
      </c>
      <c r="M172">
        <v>7</v>
      </c>
      <c r="N172">
        <v>2020</v>
      </c>
      <c r="O172" t="s">
        <v>110</v>
      </c>
      <c r="P172">
        <v>170</v>
      </c>
      <c r="Q172" s="17">
        <v>44030.478093287034</v>
      </c>
      <c r="R172" t="s">
        <v>111</v>
      </c>
    </row>
    <row r="173" spans="1:18" x14ac:dyDescent="0.3">
      <c r="A173">
        <v>244726</v>
      </c>
      <c r="B173" t="s">
        <v>72</v>
      </c>
      <c r="C173">
        <v>1330117</v>
      </c>
      <c r="D173" t="s">
        <v>108</v>
      </c>
      <c r="E173" t="s">
        <v>58</v>
      </c>
      <c r="F173" t="s">
        <v>58</v>
      </c>
      <c r="G173" t="s">
        <v>114</v>
      </c>
      <c r="H173" t="s">
        <v>229</v>
      </c>
      <c r="I173" t="s">
        <v>84</v>
      </c>
      <c r="J173" t="s">
        <v>85</v>
      </c>
      <c r="K173" t="s">
        <v>87</v>
      </c>
      <c r="L173" s="25">
        <v>44030</v>
      </c>
      <c r="M173">
        <v>7</v>
      </c>
      <c r="N173">
        <v>2020</v>
      </c>
      <c r="O173" t="s">
        <v>110</v>
      </c>
      <c r="P173">
        <v>170</v>
      </c>
      <c r="Q173" s="17">
        <v>44030.478330787038</v>
      </c>
      <c r="R173" t="s">
        <v>111</v>
      </c>
    </row>
    <row r="174" spans="1:18" x14ac:dyDescent="0.3">
      <c r="A174">
        <v>9687940</v>
      </c>
      <c r="B174" t="s">
        <v>78</v>
      </c>
      <c r="C174">
        <v>1330721</v>
      </c>
      <c r="D174" t="s">
        <v>78</v>
      </c>
      <c r="E174" t="s">
        <v>57</v>
      </c>
      <c r="F174" t="s">
        <v>57</v>
      </c>
      <c r="G174" t="s">
        <v>109</v>
      </c>
      <c r="H174" t="s">
        <v>105</v>
      </c>
      <c r="I174" t="s">
        <v>78</v>
      </c>
      <c r="J174" t="s">
        <v>42</v>
      </c>
      <c r="K174" t="s">
        <v>87</v>
      </c>
      <c r="L174" s="25">
        <v>44030</v>
      </c>
      <c r="M174">
        <v>7</v>
      </c>
      <c r="N174">
        <v>2020</v>
      </c>
      <c r="O174" t="s">
        <v>110</v>
      </c>
      <c r="P174">
        <v>170</v>
      </c>
      <c r="Q174" s="17">
        <v>44030.489259027781</v>
      </c>
      <c r="R174" t="s">
        <v>111</v>
      </c>
    </row>
    <row r="175" spans="1:18" x14ac:dyDescent="0.3">
      <c r="A175">
        <v>9686171</v>
      </c>
      <c r="B175" t="s">
        <v>80</v>
      </c>
      <c r="C175">
        <v>1329635</v>
      </c>
      <c r="D175" t="s">
        <v>113</v>
      </c>
      <c r="E175" t="s">
        <v>146</v>
      </c>
      <c r="F175" t="s">
        <v>17</v>
      </c>
      <c r="G175" t="s">
        <v>153</v>
      </c>
      <c r="H175" t="s">
        <v>232</v>
      </c>
      <c r="I175" t="s">
        <v>84</v>
      </c>
      <c r="J175" t="s">
        <v>85</v>
      </c>
      <c r="K175" t="s">
        <v>87</v>
      </c>
      <c r="L175" s="25">
        <v>44030</v>
      </c>
      <c r="M175">
        <v>7</v>
      </c>
      <c r="N175">
        <v>2020</v>
      </c>
      <c r="O175" t="s">
        <v>110</v>
      </c>
      <c r="P175">
        <v>170</v>
      </c>
      <c r="Q175" s="17">
        <v>44030.440903240742</v>
      </c>
      <c r="R175" t="s">
        <v>126</v>
      </c>
    </row>
    <row r="176" spans="1:18" x14ac:dyDescent="0.3">
      <c r="A176">
        <v>9686307</v>
      </c>
      <c r="B176" t="s">
        <v>79</v>
      </c>
      <c r="C176">
        <v>1329967</v>
      </c>
      <c r="D176" t="s">
        <v>116</v>
      </c>
      <c r="E176" t="s">
        <v>12</v>
      </c>
      <c r="F176" t="s">
        <v>12</v>
      </c>
      <c r="G176" t="s">
        <v>135</v>
      </c>
      <c r="H176" t="s">
        <v>251</v>
      </c>
      <c r="I176" t="s">
        <v>82</v>
      </c>
      <c r="J176" t="s">
        <v>42</v>
      </c>
      <c r="K176" t="s">
        <v>83</v>
      </c>
      <c r="L176" s="25">
        <v>44030</v>
      </c>
      <c r="M176">
        <v>7</v>
      </c>
      <c r="N176">
        <v>2020</v>
      </c>
      <c r="O176" t="s">
        <v>110</v>
      </c>
      <c r="P176">
        <v>170</v>
      </c>
      <c r="Q176" s="17">
        <v>44030.446610763887</v>
      </c>
      <c r="R176" t="s">
        <v>126</v>
      </c>
    </row>
    <row r="177" spans="1:18" x14ac:dyDescent="0.3">
      <c r="A177">
        <v>21523992</v>
      </c>
      <c r="B177" t="s">
        <v>72</v>
      </c>
      <c r="C177">
        <v>1320458</v>
      </c>
      <c r="D177" t="s">
        <v>108</v>
      </c>
      <c r="E177">
        <v>966</v>
      </c>
      <c r="F177">
        <v>966</v>
      </c>
      <c r="G177" t="s">
        <v>139</v>
      </c>
      <c r="H177" t="s">
        <v>252</v>
      </c>
      <c r="I177" t="s">
        <v>84</v>
      </c>
      <c r="J177" t="s">
        <v>85</v>
      </c>
      <c r="K177" t="s">
        <v>87</v>
      </c>
      <c r="L177" s="25">
        <v>44030</v>
      </c>
      <c r="M177">
        <v>7</v>
      </c>
      <c r="N177">
        <v>2020</v>
      </c>
      <c r="O177" t="s">
        <v>110</v>
      </c>
      <c r="P177">
        <v>170</v>
      </c>
      <c r="Q177" s="17">
        <v>44030.440437500001</v>
      </c>
      <c r="R177" t="s">
        <v>126</v>
      </c>
    </row>
    <row r="178" spans="1:18" x14ac:dyDescent="0.3">
      <c r="A178">
        <v>9685737</v>
      </c>
      <c r="B178" t="s">
        <v>78</v>
      </c>
      <c r="C178">
        <v>1329418</v>
      </c>
      <c r="D178" t="s">
        <v>78</v>
      </c>
      <c r="E178">
        <v>820</v>
      </c>
      <c r="F178">
        <v>820</v>
      </c>
      <c r="G178" t="s">
        <v>136</v>
      </c>
      <c r="H178" t="s">
        <v>249</v>
      </c>
      <c r="I178" t="s">
        <v>78</v>
      </c>
      <c r="J178" t="s">
        <v>42</v>
      </c>
      <c r="K178" t="s">
        <v>83</v>
      </c>
      <c r="L178" s="25">
        <v>44030</v>
      </c>
      <c r="M178">
        <v>7</v>
      </c>
      <c r="N178">
        <v>2020</v>
      </c>
      <c r="O178" t="s">
        <v>110</v>
      </c>
      <c r="P178">
        <v>170</v>
      </c>
      <c r="Q178" s="17">
        <v>44030.469519444443</v>
      </c>
      <c r="R178" t="s">
        <v>126</v>
      </c>
    </row>
    <row r="179" spans="1:18" x14ac:dyDescent="0.3">
      <c r="A179">
        <v>9681327</v>
      </c>
      <c r="B179" t="s">
        <v>72</v>
      </c>
      <c r="C179">
        <v>1325087</v>
      </c>
      <c r="D179" t="s">
        <v>108</v>
      </c>
      <c r="E179">
        <v>966</v>
      </c>
      <c r="F179">
        <v>966</v>
      </c>
      <c r="G179" t="s">
        <v>139</v>
      </c>
      <c r="H179" t="s">
        <v>229</v>
      </c>
      <c r="I179" t="s">
        <v>84</v>
      </c>
      <c r="J179" t="s">
        <v>85</v>
      </c>
      <c r="K179" t="s">
        <v>87</v>
      </c>
      <c r="L179" s="25">
        <v>44030</v>
      </c>
      <c r="M179">
        <v>7</v>
      </c>
      <c r="N179">
        <v>2020</v>
      </c>
      <c r="O179" t="s">
        <v>110</v>
      </c>
      <c r="P179">
        <v>170</v>
      </c>
      <c r="Q179" s="17">
        <v>44030.477232175923</v>
      </c>
      <c r="R179" t="s">
        <v>126</v>
      </c>
    </row>
    <row r="180" spans="1:18" x14ac:dyDescent="0.3">
      <c r="A180">
        <v>9686327</v>
      </c>
      <c r="B180" t="s">
        <v>78</v>
      </c>
      <c r="C180">
        <v>1329950</v>
      </c>
      <c r="D180" t="s">
        <v>78</v>
      </c>
      <c r="E180" t="s">
        <v>124</v>
      </c>
      <c r="F180" t="s">
        <v>17</v>
      </c>
      <c r="G180" t="s">
        <v>125</v>
      </c>
      <c r="H180" t="s">
        <v>134</v>
      </c>
      <c r="I180" t="s">
        <v>78</v>
      </c>
      <c r="J180" t="s">
        <v>42</v>
      </c>
      <c r="K180" t="s">
        <v>87</v>
      </c>
      <c r="L180" s="25">
        <v>44030</v>
      </c>
      <c r="M180">
        <v>7</v>
      </c>
      <c r="N180">
        <v>2020</v>
      </c>
      <c r="O180" t="s">
        <v>110</v>
      </c>
      <c r="P180">
        <v>170</v>
      </c>
      <c r="Q180" s="17">
        <v>44030.482496180557</v>
      </c>
      <c r="R180" t="s">
        <v>126</v>
      </c>
    </row>
    <row r="181" spans="1:18" x14ac:dyDescent="0.3">
      <c r="A181">
        <v>9687021</v>
      </c>
      <c r="B181" t="s">
        <v>80</v>
      </c>
      <c r="C181">
        <v>1330236</v>
      </c>
      <c r="D181" t="s">
        <v>122</v>
      </c>
      <c r="E181" t="s">
        <v>146</v>
      </c>
      <c r="F181" t="s">
        <v>17</v>
      </c>
      <c r="G181" t="s">
        <v>153</v>
      </c>
      <c r="H181" t="s">
        <v>228</v>
      </c>
      <c r="I181" t="s">
        <v>84</v>
      </c>
      <c r="J181" t="s">
        <v>85</v>
      </c>
      <c r="K181" t="s">
        <v>87</v>
      </c>
      <c r="L181" s="25">
        <v>44030</v>
      </c>
      <c r="M181">
        <v>7</v>
      </c>
      <c r="N181">
        <v>2020</v>
      </c>
      <c r="O181" t="s">
        <v>110</v>
      </c>
      <c r="P181">
        <v>170</v>
      </c>
      <c r="Q181" s="17">
        <v>44030.1364875</v>
      </c>
      <c r="R181" t="s">
        <v>126</v>
      </c>
    </row>
    <row r="182" spans="1:18" x14ac:dyDescent="0.3">
      <c r="A182">
        <v>9686717</v>
      </c>
      <c r="B182" t="s">
        <v>80</v>
      </c>
      <c r="C182">
        <v>1329750</v>
      </c>
      <c r="D182" t="s">
        <v>113</v>
      </c>
      <c r="E182" t="s">
        <v>146</v>
      </c>
      <c r="F182" t="s">
        <v>17</v>
      </c>
      <c r="G182" t="s">
        <v>153</v>
      </c>
      <c r="H182" t="s">
        <v>232</v>
      </c>
      <c r="I182" t="s">
        <v>84</v>
      </c>
      <c r="J182" t="s">
        <v>85</v>
      </c>
      <c r="K182" t="s">
        <v>87</v>
      </c>
      <c r="L182" s="25">
        <v>44030</v>
      </c>
      <c r="M182">
        <v>7</v>
      </c>
      <c r="N182">
        <v>2020</v>
      </c>
      <c r="O182" t="s">
        <v>110</v>
      </c>
      <c r="P182">
        <v>170</v>
      </c>
      <c r="Q182" s="17">
        <v>44030.465401967595</v>
      </c>
      <c r="R182" t="s">
        <v>126</v>
      </c>
    </row>
    <row r="183" spans="1:18" x14ac:dyDescent="0.3">
      <c r="A183">
        <v>9687720</v>
      </c>
      <c r="B183" t="s">
        <v>78</v>
      </c>
      <c r="C183">
        <v>1330571</v>
      </c>
      <c r="D183" t="s">
        <v>78</v>
      </c>
      <c r="E183">
        <v>820</v>
      </c>
      <c r="F183">
        <v>820</v>
      </c>
      <c r="G183" t="s">
        <v>136</v>
      </c>
      <c r="H183" t="s">
        <v>250</v>
      </c>
      <c r="I183" t="s">
        <v>78</v>
      </c>
      <c r="J183" t="s">
        <v>42</v>
      </c>
      <c r="K183" t="s">
        <v>83</v>
      </c>
      <c r="L183" s="25">
        <v>44030</v>
      </c>
      <c r="M183">
        <v>7</v>
      </c>
      <c r="N183">
        <v>2020</v>
      </c>
      <c r="O183" t="s">
        <v>110</v>
      </c>
      <c r="P183">
        <v>170</v>
      </c>
      <c r="Q183" s="17">
        <v>44030.489219328701</v>
      </c>
      <c r="R183" t="s">
        <v>126</v>
      </c>
    </row>
    <row r="184" spans="1:18" x14ac:dyDescent="0.3">
      <c r="A184">
        <v>9686727</v>
      </c>
      <c r="B184" t="s">
        <v>80</v>
      </c>
      <c r="C184">
        <v>1329767</v>
      </c>
      <c r="D184" t="s">
        <v>113</v>
      </c>
      <c r="E184" t="s">
        <v>146</v>
      </c>
      <c r="F184" t="s">
        <v>17</v>
      </c>
      <c r="G184" t="s">
        <v>153</v>
      </c>
      <c r="H184" t="s">
        <v>232</v>
      </c>
      <c r="I184" t="s">
        <v>84</v>
      </c>
      <c r="J184" t="s">
        <v>85</v>
      </c>
      <c r="K184" t="s">
        <v>87</v>
      </c>
      <c r="L184" s="25">
        <v>44030</v>
      </c>
      <c r="M184">
        <v>7</v>
      </c>
      <c r="N184">
        <v>2020</v>
      </c>
      <c r="O184" t="s">
        <v>110</v>
      </c>
      <c r="P184">
        <v>170</v>
      </c>
      <c r="Q184" s="17">
        <v>44030.471390393519</v>
      </c>
      <c r="R184" t="s">
        <v>126</v>
      </c>
    </row>
    <row r="185" spans="1:18" x14ac:dyDescent="0.3">
      <c r="A185">
        <v>9685697</v>
      </c>
      <c r="B185" t="s">
        <v>78</v>
      </c>
      <c r="C185">
        <v>1328699</v>
      </c>
      <c r="D185" t="s">
        <v>78</v>
      </c>
      <c r="E185">
        <v>820</v>
      </c>
      <c r="F185">
        <v>820</v>
      </c>
      <c r="G185" t="s">
        <v>136</v>
      </c>
      <c r="H185" t="s">
        <v>249</v>
      </c>
      <c r="I185" t="s">
        <v>78</v>
      </c>
      <c r="J185" t="s">
        <v>42</v>
      </c>
      <c r="K185" t="s">
        <v>83</v>
      </c>
      <c r="L185" s="25">
        <v>44030</v>
      </c>
      <c r="M185">
        <v>7</v>
      </c>
      <c r="N185">
        <v>2020</v>
      </c>
      <c r="O185" t="s">
        <v>110</v>
      </c>
      <c r="P185">
        <v>170</v>
      </c>
      <c r="Q185" s="17">
        <v>44030.430500578703</v>
      </c>
      <c r="R185" t="s">
        <v>126</v>
      </c>
    </row>
    <row r="186" spans="1:18" x14ac:dyDescent="0.3">
      <c r="A186">
        <v>242294</v>
      </c>
      <c r="B186" t="s">
        <v>80</v>
      </c>
      <c r="C186">
        <v>1323816</v>
      </c>
      <c r="D186" t="s">
        <v>122</v>
      </c>
      <c r="E186">
        <v>966</v>
      </c>
      <c r="F186">
        <v>966</v>
      </c>
      <c r="G186" t="s">
        <v>139</v>
      </c>
      <c r="H186" t="s">
        <v>228</v>
      </c>
      <c r="I186" t="s">
        <v>84</v>
      </c>
      <c r="J186" t="s">
        <v>85</v>
      </c>
      <c r="K186" t="s">
        <v>87</v>
      </c>
      <c r="L186" s="25">
        <v>44030</v>
      </c>
      <c r="M186">
        <v>7</v>
      </c>
      <c r="N186">
        <v>2020</v>
      </c>
      <c r="O186" t="s">
        <v>110</v>
      </c>
      <c r="P186">
        <v>170</v>
      </c>
      <c r="Q186" s="17">
        <v>44029.834610416663</v>
      </c>
      <c r="R186" t="s">
        <v>126</v>
      </c>
    </row>
    <row r="187" spans="1:18" x14ac:dyDescent="0.3">
      <c r="A187">
        <v>240749</v>
      </c>
      <c r="B187" t="s">
        <v>72</v>
      </c>
      <c r="C187">
        <v>1319041</v>
      </c>
      <c r="D187" t="s">
        <v>108</v>
      </c>
      <c r="E187" t="s">
        <v>57</v>
      </c>
      <c r="F187" t="s">
        <v>57</v>
      </c>
      <c r="G187" t="s">
        <v>109</v>
      </c>
      <c r="H187" t="s">
        <v>229</v>
      </c>
      <c r="I187" t="s">
        <v>84</v>
      </c>
      <c r="J187" t="s">
        <v>85</v>
      </c>
      <c r="K187" t="s">
        <v>87</v>
      </c>
      <c r="L187" s="25">
        <v>44030</v>
      </c>
      <c r="M187">
        <v>7</v>
      </c>
      <c r="N187">
        <v>2020</v>
      </c>
      <c r="O187" t="s">
        <v>110</v>
      </c>
      <c r="P187">
        <v>170</v>
      </c>
      <c r="Q187" s="17">
        <v>44030.431261111109</v>
      </c>
      <c r="R187" t="s">
        <v>111</v>
      </c>
    </row>
    <row r="188" spans="1:18" x14ac:dyDescent="0.3">
      <c r="A188">
        <v>21527761</v>
      </c>
      <c r="B188" t="s">
        <v>78</v>
      </c>
      <c r="C188">
        <v>1323235</v>
      </c>
      <c r="D188" t="s">
        <v>78</v>
      </c>
      <c r="E188" t="s">
        <v>58</v>
      </c>
      <c r="F188" t="s">
        <v>58</v>
      </c>
      <c r="G188" t="s">
        <v>114</v>
      </c>
      <c r="H188" t="s">
        <v>105</v>
      </c>
      <c r="I188" t="s">
        <v>78</v>
      </c>
      <c r="J188" t="s">
        <v>42</v>
      </c>
      <c r="K188" t="s">
        <v>87</v>
      </c>
      <c r="L188" s="25">
        <v>44030</v>
      </c>
      <c r="M188">
        <v>7</v>
      </c>
      <c r="N188">
        <v>2020</v>
      </c>
      <c r="O188" t="s">
        <v>110</v>
      </c>
      <c r="P188">
        <v>170</v>
      </c>
      <c r="Q188" s="17">
        <v>44030.483509722224</v>
      </c>
      <c r="R188" t="s">
        <v>111</v>
      </c>
    </row>
    <row r="189" spans="1:18" x14ac:dyDescent="0.3">
      <c r="A189">
        <v>21529327</v>
      </c>
      <c r="B189" t="s">
        <v>78</v>
      </c>
      <c r="C189">
        <v>1326386</v>
      </c>
      <c r="D189" t="s">
        <v>78</v>
      </c>
      <c r="E189" t="s">
        <v>117</v>
      </c>
      <c r="F189" t="s">
        <v>117</v>
      </c>
      <c r="G189" t="s">
        <v>59</v>
      </c>
      <c r="H189" t="s">
        <v>230</v>
      </c>
      <c r="I189" t="s">
        <v>78</v>
      </c>
      <c r="J189" t="s">
        <v>42</v>
      </c>
      <c r="K189" t="s">
        <v>91</v>
      </c>
      <c r="L189" s="25">
        <v>44030</v>
      </c>
      <c r="M189">
        <v>7</v>
      </c>
      <c r="N189">
        <v>2020</v>
      </c>
      <c r="O189" t="s">
        <v>110</v>
      </c>
      <c r="P189">
        <v>170</v>
      </c>
      <c r="Q189" s="17">
        <v>44030.425356597225</v>
      </c>
      <c r="R189" t="s">
        <v>118</v>
      </c>
    </row>
    <row r="190" spans="1:18" x14ac:dyDescent="0.3">
      <c r="A190">
        <v>21526963</v>
      </c>
      <c r="B190" t="s">
        <v>78</v>
      </c>
      <c r="C190">
        <v>1326529</v>
      </c>
      <c r="D190" t="s">
        <v>78</v>
      </c>
      <c r="E190" t="s">
        <v>117</v>
      </c>
      <c r="F190" t="s">
        <v>117</v>
      </c>
      <c r="G190" t="s">
        <v>59</v>
      </c>
      <c r="H190" t="s">
        <v>231</v>
      </c>
      <c r="I190" t="s">
        <v>78</v>
      </c>
      <c r="J190" t="s">
        <v>42</v>
      </c>
      <c r="K190" t="s">
        <v>91</v>
      </c>
      <c r="L190" s="25">
        <v>44030</v>
      </c>
      <c r="M190">
        <v>7</v>
      </c>
      <c r="N190">
        <v>2020</v>
      </c>
      <c r="O190" t="s">
        <v>110</v>
      </c>
      <c r="P190">
        <v>170</v>
      </c>
      <c r="Q190" s="17">
        <v>44030.427153935183</v>
      </c>
      <c r="R190" t="s">
        <v>119</v>
      </c>
    </row>
    <row r="191" spans="1:18" x14ac:dyDescent="0.3">
      <c r="A191">
        <v>21527935</v>
      </c>
      <c r="B191" t="s">
        <v>78</v>
      </c>
      <c r="C191">
        <v>1326579</v>
      </c>
      <c r="D191" t="s">
        <v>78</v>
      </c>
      <c r="E191" t="s">
        <v>117</v>
      </c>
      <c r="F191" t="s">
        <v>117</v>
      </c>
      <c r="G191" t="s">
        <v>59</v>
      </c>
      <c r="H191" t="s">
        <v>230</v>
      </c>
      <c r="I191" t="s">
        <v>78</v>
      </c>
      <c r="J191" t="s">
        <v>42</v>
      </c>
      <c r="K191" t="s">
        <v>91</v>
      </c>
      <c r="L191" s="25">
        <v>44030</v>
      </c>
      <c r="M191">
        <v>7</v>
      </c>
      <c r="N191">
        <v>2020</v>
      </c>
      <c r="O191" t="s">
        <v>110</v>
      </c>
      <c r="P191">
        <v>170</v>
      </c>
      <c r="Q191" s="17">
        <v>44030.426843634261</v>
      </c>
      <c r="R191" t="s">
        <v>118</v>
      </c>
    </row>
    <row r="192" spans="1:18" x14ac:dyDescent="0.3">
      <c r="A192">
        <v>21527662</v>
      </c>
      <c r="B192" t="s">
        <v>78</v>
      </c>
      <c r="C192">
        <v>1326586</v>
      </c>
      <c r="D192" t="s">
        <v>78</v>
      </c>
      <c r="E192" t="s">
        <v>117</v>
      </c>
      <c r="F192" t="s">
        <v>117</v>
      </c>
      <c r="G192" t="s">
        <v>59</v>
      </c>
      <c r="H192" t="s">
        <v>230</v>
      </c>
      <c r="I192" t="s">
        <v>78</v>
      </c>
      <c r="J192" t="s">
        <v>42</v>
      </c>
      <c r="K192" t="s">
        <v>91</v>
      </c>
      <c r="L192" s="25">
        <v>44030</v>
      </c>
      <c r="M192">
        <v>7</v>
      </c>
      <c r="N192">
        <v>2020</v>
      </c>
      <c r="O192" t="s">
        <v>110</v>
      </c>
      <c r="P192">
        <v>170</v>
      </c>
      <c r="Q192" s="17">
        <v>44030.428712615743</v>
      </c>
      <c r="R192" t="s">
        <v>118</v>
      </c>
    </row>
    <row r="193" spans="1:18" x14ac:dyDescent="0.3">
      <c r="A193">
        <v>21529370</v>
      </c>
      <c r="B193" t="s">
        <v>72</v>
      </c>
      <c r="C193">
        <v>1326715</v>
      </c>
      <c r="D193" t="s">
        <v>108</v>
      </c>
      <c r="E193" t="s">
        <v>117</v>
      </c>
      <c r="F193" t="s">
        <v>117</v>
      </c>
      <c r="G193" t="s">
        <v>59</v>
      </c>
      <c r="H193" t="s">
        <v>229</v>
      </c>
      <c r="I193" t="s">
        <v>84</v>
      </c>
      <c r="J193" t="s">
        <v>85</v>
      </c>
      <c r="K193" t="s">
        <v>91</v>
      </c>
      <c r="L193" s="25">
        <v>44030</v>
      </c>
      <c r="M193">
        <v>7</v>
      </c>
      <c r="N193">
        <v>2020</v>
      </c>
      <c r="O193" t="s">
        <v>110</v>
      </c>
      <c r="P193">
        <v>170</v>
      </c>
      <c r="Q193" s="17">
        <v>44030.43027164352</v>
      </c>
      <c r="R193" t="s">
        <v>119</v>
      </c>
    </row>
    <row r="194" spans="1:18" x14ac:dyDescent="0.3">
      <c r="A194">
        <v>21529197</v>
      </c>
      <c r="B194" t="s">
        <v>78</v>
      </c>
      <c r="C194">
        <v>1326729</v>
      </c>
      <c r="D194" t="s">
        <v>78</v>
      </c>
      <c r="E194" t="s">
        <v>117</v>
      </c>
      <c r="F194" t="s">
        <v>117</v>
      </c>
      <c r="G194" t="s">
        <v>59</v>
      </c>
      <c r="H194" t="s">
        <v>231</v>
      </c>
      <c r="I194" t="s">
        <v>78</v>
      </c>
      <c r="J194" t="s">
        <v>42</v>
      </c>
      <c r="K194" t="s">
        <v>91</v>
      </c>
      <c r="L194" s="25">
        <v>44030</v>
      </c>
      <c r="M194">
        <v>7</v>
      </c>
      <c r="N194">
        <v>2020</v>
      </c>
      <c r="O194" t="s">
        <v>110</v>
      </c>
      <c r="P194">
        <v>170</v>
      </c>
      <c r="Q194" s="17">
        <v>44030.432116666663</v>
      </c>
      <c r="R194" t="s">
        <v>119</v>
      </c>
    </row>
    <row r="195" spans="1:18" x14ac:dyDescent="0.3">
      <c r="A195">
        <v>21529364</v>
      </c>
      <c r="B195" t="s">
        <v>72</v>
      </c>
      <c r="C195">
        <v>1326865</v>
      </c>
      <c r="D195" t="s">
        <v>108</v>
      </c>
      <c r="E195" t="s">
        <v>117</v>
      </c>
      <c r="F195" t="s">
        <v>117</v>
      </c>
      <c r="G195" t="s">
        <v>59</v>
      </c>
      <c r="H195" t="s">
        <v>229</v>
      </c>
      <c r="I195" t="s">
        <v>84</v>
      </c>
      <c r="J195" t="s">
        <v>85</v>
      </c>
      <c r="K195" t="s">
        <v>91</v>
      </c>
      <c r="L195" s="25">
        <v>44030</v>
      </c>
      <c r="M195">
        <v>7</v>
      </c>
      <c r="N195">
        <v>2020</v>
      </c>
      <c r="O195" t="s">
        <v>110</v>
      </c>
      <c r="P195">
        <v>170</v>
      </c>
      <c r="Q195" s="17">
        <v>44030.432279050925</v>
      </c>
      <c r="R195" t="s">
        <v>119</v>
      </c>
    </row>
    <row r="196" spans="1:18" x14ac:dyDescent="0.3">
      <c r="A196">
        <v>21528396</v>
      </c>
      <c r="B196" t="s">
        <v>72</v>
      </c>
      <c r="C196">
        <v>1327015</v>
      </c>
      <c r="D196" t="s">
        <v>108</v>
      </c>
      <c r="E196" t="s">
        <v>117</v>
      </c>
      <c r="F196" t="s">
        <v>117</v>
      </c>
      <c r="G196" t="s">
        <v>59</v>
      </c>
      <c r="H196" t="s">
        <v>229</v>
      </c>
      <c r="I196" t="s">
        <v>84</v>
      </c>
      <c r="J196" t="s">
        <v>85</v>
      </c>
      <c r="K196" t="s">
        <v>91</v>
      </c>
      <c r="L196" s="25">
        <v>44030</v>
      </c>
      <c r="M196">
        <v>7</v>
      </c>
      <c r="N196">
        <v>2020</v>
      </c>
      <c r="O196" t="s">
        <v>110</v>
      </c>
      <c r="P196">
        <v>170</v>
      </c>
      <c r="Q196" s="17">
        <v>44030.433753124998</v>
      </c>
      <c r="R196" t="s">
        <v>119</v>
      </c>
    </row>
    <row r="197" spans="1:18" x14ac:dyDescent="0.3">
      <c r="A197">
        <v>21529243</v>
      </c>
      <c r="B197" t="s">
        <v>78</v>
      </c>
      <c r="C197">
        <v>1327229</v>
      </c>
      <c r="D197" t="s">
        <v>78</v>
      </c>
      <c r="E197" t="s">
        <v>117</v>
      </c>
      <c r="F197" t="s">
        <v>117</v>
      </c>
      <c r="G197" t="s">
        <v>59</v>
      </c>
      <c r="H197" t="s">
        <v>230</v>
      </c>
      <c r="I197" t="s">
        <v>78</v>
      </c>
      <c r="J197" t="s">
        <v>42</v>
      </c>
      <c r="K197" t="s">
        <v>91</v>
      </c>
      <c r="L197" s="25">
        <v>44030</v>
      </c>
      <c r="M197">
        <v>7</v>
      </c>
      <c r="N197">
        <v>2020</v>
      </c>
      <c r="O197" t="s">
        <v>110</v>
      </c>
      <c r="P197">
        <v>170</v>
      </c>
      <c r="Q197" s="17">
        <v>44030.436383796296</v>
      </c>
      <c r="R197" t="s">
        <v>118</v>
      </c>
    </row>
    <row r="198" spans="1:18" x14ac:dyDescent="0.3">
      <c r="A198">
        <v>21528168</v>
      </c>
      <c r="B198" t="s">
        <v>72</v>
      </c>
      <c r="C198">
        <v>1327265</v>
      </c>
      <c r="D198" t="s">
        <v>108</v>
      </c>
      <c r="E198" t="s">
        <v>58</v>
      </c>
      <c r="F198" t="s">
        <v>58</v>
      </c>
      <c r="G198" t="s">
        <v>114</v>
      </c>
      <c r="H198" t="s">
        <v>253</v>
      </c>
      <c r="I198" t="s">
        <v>84</v>
      </c>
      <c r="J198" t="s">
        <v>85</v>
      </c>
      <c r="K198" t="s">
        <v>87</v>
      </c>
      <c r="L198" s="25">
        <v>44030</v>
      </c>
      <c r="M198">
        <v>7</v>
      </c>
      <c r="N198">
        <v>2020</v>
      </c>
      <c r="O198" t="s">
        <v>110</v>
      </c>
      <c r="P198">
        <v>170</v>
      </c>
      <c r="Q198" s="17">
        <v>44030.422603935185</v>
      </c>
      <c r="R198" t="s">
        <v>111</v>
      </c>
    </row>
    <row r="199" spans="1:18" x14ac:dyDescent="0.3">
      <c r="A199">
        <v>21527923</v>
      </c>
      <c r="B199" t="s">
        <v>72</v>
      </c>
      <c r="C199">
        <v>1327372</v>
      </c>
      <c r="D199" t="s">
        <v>108</v>
      </c>
      <c r="E199" t="s">
        <v>58</v>
      </c>
      <c r="F199" t="s">
        <v>58</v>
      </c>
      <c r="G199" t="s">
        <v>114</v>
      </c>
      <c r="H199" t="s">
        <v>229</v>
      </c>
      <c r="I199" t="s">
        <v>84</v>
      </c>
      <c r="J199" t="s">
        <v>85</v>
      </c>
      <c r="K199" t="s">
        <v>87</v>
      </c>
      <c r="L199" s="25">
        <v>44030</v>
      </c>
      <c r="M199">
        <v>7</v>
      </c>
      <c r="N199">
        <v>2020</v>
      </c>
      <c r="O199" t="s">
        <v>110</v>
      </c>
      <c r="P199">
        <v>170</v>
      </c>
      <c r="Q199" s="17">
        <v>44030.424397800925</v>
      </c>
      <c r="R199" t="s">
        <v>111</v>
      </c>
    </row>
    <row r="200" spans="1:18" x14ac:dyDescent="0.3">
      <c r="A200">
        <v>9682588</v>
      </c>
      <c r="B200" t="s">
        <v>72</v>
      </c>
      <c r="C200">
        <v>1327522</v>
      </c>
      <c r="D200" t="s">
        <v>108</v>
      </c>
      <c r="E200" t="s">
        <v>58</v>
      </c>
      <c r="F200" t="s">
        <v>58</v>
      </c>
      <c r="G200" t="s">
        <v>114</v>
      </c>
      <c r="H200" t="s">
        <v>229</v>
      </c>
      <c r="I200" t="s">
        <v>84</v>
      </c>
      <c r="J200" t="s">
        <v>85</v>
      </c>
      <c r="K200" t="s">
        <v>87</v>
      </c>
      <c r="L200" s="25">
        <v>44030</v>
      </c>
      <c r="M200">
        <v>7</v>
      </c>
      <c r="N200">
        <v>2020</v>
      </c>
      <c r="O200" t="s">
        <v>110</v>
      </c>
      <c r="P200">
        <v>170</v>
      </c>
      <c r="Q200" s="17">
        <v>44030.428643171297</v>
      </c>
      <c r="R200" t="s">
        <v>111</v>
      </c>
    </row>
    <row r="201" spans="1:18" x14ac:dyDescent="0.3">
      <c r="A201">
        <v>9682478</v>
      </c>
      <c r="B201" t="s">
        <v>78</v>
      </c>
      <c r="C201">
        <v>1327672</v>
      </c>
      <c r="D201" t="s">
        <v>78</v>
      </c>
      <c r="E201" t="s">
        <v>57</v>
      </c>
      <c r="F201" t="s">
        <v>57</v>
      </c>
      <c r="G201" t="s">
        <v>109</v>
      </c>
      <c r="H201" t="s">
        <v>105</v>
      </c>
      <c r="I201" t="s">
        <v>78</v>
      </c>
      <c r="J201" t="s">
        <v>42</v>
      </c>
      <c r="K201" t="s">
        <v>87</v>
      </c>
      <c r="L201" s="25">
        <v>44030</v>
      </c>
      <c r="M201">
        <v>7</v>
      </c>
      <c r="N201">
        <v>2020</v>
      </c>
      <c r="O201" t="s">
        <v>110</v>
      </c>
      <c r="P201">
        <v>170</v>
      </c>
      <c r="Q201" s="17">
        <v>44030.430184953701</v>
      </c>
      <c r="R201" t="s">
        <v>111</v>
      </c>
    </row>
    <row r="202" spans="1:18" x14ac:dyDescent="0.3">
      <c r="A202">
        <v>9684511</v>
      </c>
      <c r="B202" t="s">
        <v>79</v>
      </c>
      <c r="C202">
        <v>1327951</v>
      </c>
      <c r="D202" t="s">
        <v>116</v>
      </c>
      <c r="E202" t="s">
        <v>58</v>
      </c>
      <c r="F202" t="s">
        <v>58</v>
      </c>
      <c r="G202" t="s">
        <v>114</v>
      </c>
      <c r="H202" t="s">
        <v>233</v>
      </c>
      <c r="I202" t="s">
        <v>82</v>
      </c>
      <c r="J202" t="s">
        <v>42</v>
      </c>
      <c r="K202" t="s">
        <v>87</v>
      </c>
      <c r="L202" s="25">
        <v>44030</v>
      </c>
      <c r="M202">
        <v>7</v>
      </c>
      <c r="N202">
        <v>2020</v>
      </c>
      <c r="O202" t="s">
        <v>110</v>
      </c>
      <c r="P202">
        <v>170</v>
      </c>
      <c r="Q202" s="17">
        <v>44030.436516666668</v>
      </c>
      <c r="R202" t="s">
        <v>111</v>
      </c>
    </row>
    <row r="203" spans="1:18" x14ac:dyDescent="0.3">
      <c r="A203">
        <v>9684156</v>
      </c>
      <c r="B203" t="s">
        <v>72</v>
      </c>
      <c r="C203">
        <v>1328015</v>
      </c>
      <c r="D203" t="s">
        <v>108</v>
      </c>
      <c r="E203" t="s">
        <v>58</v>
      </c>
      <c r="F203" t="s">
        <v>58</v>
      </c>
      <c r="G203" t="s">
        <v>114</v>
      </c>
      <c r="H203" t="s">
        <v>229</v>
      </c>
      <c r="I203" t="s">
        <v>84</v>
      </c>
      <c r="J203" t="s">
        <v>85</v>
      </c>
      <c r="K203" t="s">
        <v>87</v>
      </c>
      <c r="L203" s="25">
        <v>44030</v>
      </c>
      <c r="M203">
        <v>7</v>
      </c>
      <c r="N203">
        <v>2020</v>
      </c>
      <c r="O203" t="s">
        <v>110</v>
      </c>
      <c r="P203">
        <v>170</v>
      </c>
      <c r="Q203" s="17">
        <v>44030.436857638888</v>
      </c>
      <c r="R203" t="s">
        <v>111</v>
      </c>
    </row>
    <row r="204" spans="1:18" x14ac:dyDescent="0.3">
      <c r="A204">
        <v>9683432</v>
      </c>
      <c r="B204" t="s">
        <v>78</v>
      </c>
      <c r="C204">
        <v>1328008</v>
      </c>
      <c r="D204" t="s">
        <v>78</v>
      </c>
      <c r="E204" t="s">
        <v>57</v>
      </c>
      <c r="F204" t="s">
        <v>57</v>
      </c>
      <c r="G204" t="s">
        <v>109</v>
      </c>
      <c r="H204" t="s">
        <v>228</v>
      </c>
      <c r="I204" t="s">
        <v>78</v>
      </c>
      <c r="J204" t="s">
        <v>42</v>
      </c>
      <c r="K204" t="s">
        <v>87</v>
      </c>
      <c r="L204" s="25">
        <v>44030</v>
      </c>
      <c r="M204">
        <v>7</v>
      </c>
      <c r="N204">
        <v>2020</v>
      </c>
      <c r="O204" t="s">
        <v>110</v>
      </c>
      <c r="P204">
        <v>170</v>
      </c>
      <c r="Q204" s="17">
        <v>44030.439007638888</v>
      </c>
      <c r="R204" t="s">
        <v>115</v>
      </c>
    </row>
    <row r="205" spans="1:18" x14ac:dyDescent="0.3">
      <c r="A205">
        <v>9684396</v>
      </c>
      <c r="B205" t="s">
        <v>78</v>
      </c>
      <c r="C205">
        <v>1328751</v>
      </c>
      <c r="D205" t="s">
        <v>78</v>
      </c>
      <c r="E205" t="s">
        <v>57</v>
      </c>
      <c r="F205" t="s">
        <v>57</v>
      </c>
      <c r="G205" t="s">
        <v>109</v>
      </c>
      <c r="H205" t="s">
        <v>254</v>
      </c>
      <c r="I205" t="s">
        <v>78</v>
      </c>
      <c r="J205" t="s">
        <v>42</v>
      </c>
      <c r="K205" t="s">
        <v>87</v>
      </c>
      <c r="L205" s="25">
        <v>44030</v>
      </c>
      <c r="M205">
        <v>7</v>
      </c>
      <c r="N205">
        <v>2020</v>
      </c>
      <c r="O205" t="s">
        <v>110</v>
      </c>
      <c r="P205">
        <v>170</v>
      </c>
      <c r="Q205" s="17">
        <v>44030.450169444448</v>
      </c>
      <c r="R205" t="s">
        <v>111</v>
      </c>
    </row>
    <row r="206" spans="1:18" x14ac:dyDescent="0.3">
      <c r="A206">
        <v>9685065</v>
      </c>
      <c r="B206" t="s">
        <v>79</v>
      </c>
      <c r="C206">
        <v>1328801</v>
      </c>
      <c r="D206" t="s">
        <v>116</v>
      </c>
      <c r="E206" t="s">
        <v>58</v>
      </c>
      <c r="F206" t="s">
        <v>58</v>
      </c>
      <c r="G206" t="s">
        <v>114</v>
      </c>
      <c r="H206" t="s">
        <v>233</v>
      </c>
      <c r="I206" t="s">
        <v>82</v>
      </c>
      <c r="J206" t="s">
        <v>42</v>
      </c>
      <c r="K206" t="s">
        <v>87</v>
      </c>
      <c r="L206" s="25">
        <v>44030</v>
      </c>
      <c r="M206">
        <v>7</v>
      </c>
      <c r="N206">
        <v>2020</v>
      </c>
      <c r="O206" t="s">
        <v>110</v>
      </c>
      <c r="P206">
        <v>170</v>
      </c>
      <c r="Q206" s="17">
        <v>44030.450107523146</v>
      </c>
      <c r="R206" t="s">
        <v>111</v>
      </c>
    </row>
    <row r="207" spans="1:18" x14ac:dyDescent="0.3">
      <c r="A207">
        <v>9684382</v>
      </c>
      <c r="B207" t="s">
        <v>78</v>
      </c>
      <c r="C207">
        <v>1328837</v>
      </c>
      <c r="D207" t="s">
        <v>78</v>
      </c>
      <c r="E207" t="s">
        <v>57</v>
      </c>
      <c r="F207" t="s">
        <v>57</v>
      </c>
      <c r="G207" t="s">
        <v>109</v>
      </c>
      <c r="H207" t="s">
        <v>105</v>
      </c>
      <c r="I207" t="s">
        <v>78</v>
      </c>
      <c r="J207" t="s">
        <v>42</v>
      </c>
      <c r="K207" t="s">
        <v>87</v>
      </c>
      <c r="L207" s="25">
        <v>44030</v>
      </c>
      <c r="M207">
        <v>7</v>
      </c>
      <c r="N207">
        <v>2020</v>
      </c>
      <c r="O207" t="s">
        <v>110</v>
      </c>
      <c r="P207">
        <v>170</v>
      </c>
      <c r="Q207" s="17">
        <v>44030.450525925924</v>
      </c>
      <c r="R207" t="s">
        <v>111</v>
      </c>
    </row>
    <row r="208" spans="1:18" x14ac:dyDescent="0.3">
      <c r="A208">
        <v>9685275</v>
      </c>
      <c r="B208" t="s">
        <v>78</v>
      </c>
      <c r="C208">
        <v>1329051</v>
      </c>
      <c r="D208" t="s">
        <v>78</v>
      </c>
      <c r="E208" t="s">
        <v>57</v>
      </c>
      <c r="F208" t="s">
        <v>57</v>
      </c>
      <c r="G208" t="s">
        <v>109</v>
      </c>
      <c r="H208" t="s">
        <v>105</v>
      </c>
      <c r="I208" t="s">
        <v>78</v>
      </c>
      <c r="J208" t="s">
        <v>42</v>
      </c>
      <c r="K208" t="s">
        <v>87</v>
      </c>
      <c r="L208" s="25">
        <v>44030</v>
      </c>
      <c r="M208">
        <v>7</v>
      </c>
      <c r="N208">
        <v>2020</v>
      </c>
      <c r="O208" t="s">
        <v>110</v>
      </c>
      <c r="P208">
        <v>170</v>
      </c>
      <c r="Q208" s="17">
        <v>44030.45557071759</v>
      </c>
      <c r="R208" t="s">
        <v>111</v>
      </c>
    </row>
    <row r="209" spans="1:18" x14ac:dyDescent="0.3">
      <c r="A209">
        <v>21529000</v>
      </c>
      <c r="B209" t="s">
        <v>72</v>
      </c>
      <c r="C209">
        <v>1327866</v>
      </c>
      <c r="D209" t="s">
        <v>108</v>
      </c>
      <c r="E209" t="s">
        <v>58</v>
      </c>
      <c r="F209" t="s">
        <v>58</v>
      </c>
      <c r="G209" t="s">
        <v>114</v>
      </c>
      <c r="H209" t="s">
        <v>229</v>
      </c>
      <c r="I209" t="s">
        <v>84</v>
      </c>
      <c r="J209" t="s">
        <v>85</v>
      </c>
      <c r="K209" t="s">
        <v>87</v>
      </c>
      <c r="L209" s="25">
        <v>44030</v>
      </c>
      <c r="M209">
        <v>7</v>
      </c>
      <c r="N209">
        <v>2020</v>
      </c>
      <c r="O209" t="s">
        <v>110</v>
      </c>
      <c r="P209">
        <v>170</v>
      </c>
      <c r="Q209" s="17">
        <v>44030.432929629627</v>
      </c>
      <c r="R209" t="s">
        <v>111</v>
      </c>
    </row>
    <row r="210" spans="1:18" x14ac:dyDescent="0.3">
      <c r="A210">
        <v>21529608</v>
      </c>
      <c r="B210" t="s">
        <v>80</v>
      </c>
      <c r="C210">
        <v>1327789</v>
      </c>
      <c r="D210" t="s">
        <v>113</v>
      </c>
      <c r="E210" t="s">
        <v>58</v>
      </c>
      <c r="F210" t="s">
        <v>58</v>
      </c>
      <c r="G210" t="s">
        <v>114</v>
      </c>
      <c r="H210" t="s">
        <v>232</v>
      </c>
      <c r="I210" t="s">
        <v>84</v>
      </c>
      <c r="J210" t="s">
        <v>85</v>
      </c>
      <c r="K210" t="s">
        <v>87</v>
      </c>
      <c r="L210" s="25">
        <v>44030</v>
      </c>
      <c r="M210">
        <v>7</v>
      </c>
      <c r="N210">
        <v>2020</v>
      </c>
      <c r="O210" t="s">
        <v>110</v>
      </c>
      <c r="P210">
        <v>170</v>
      </c>
      <c r="Q210" s="17">
        <v>44030.447074305557</v>
      </c>
      <c r="R210" t="s">
        <v>111</v>
      </c>
    </row>
    <row r="211" spans="1:18" x14ac:dyDescent="0.3">
      <c r="A211">
        <v>9684281</v>
      </c>
      <c r="B211" t="s">
        <v>72</v>
      </c>
      <c r="C211">
        <v>1328636</v>
      </c>
      <c r="D211" t="s">
        <v>108</v>
      </c>
      <c r="E211" t="s">
        <v>58</v>
      </c>
      <c r="F211" t="s">
        <v>58</v>
      </c>
      <c r="G211" t="s">
        <v>114</v>
      </c>
      <c r="H211" t="s">
        <v>241</v>
      </c>
      <c r="I211" t="s">
        <v>84</v>
      </c>
      <c r="J211" t="s">
        <v>85</v>
      </c>
      <c r="K211" t="s">
        <v>87</v>
      </c>
      <c r="L211" s="25">
        <v>44030</v>
      </c>
      <c r="M211">
        <v>7</v>
      </c>
      <c r="N211">
        <v>2020</v>
      </c>
      <c r="O211" t="s">
        <v>110</v>
      </c>
      <c r="P211">
        <v>170</v>
      </c>
      <c r="Q211" s="17">
        <v>44030.448405555559</v>
      </c>
      <c r="R211" t="s">
        <v>111</v>
      </c>
    </row>
    <row r="212" spans="1:18" x14ac:dyDescent="0.3">
      <c r="A212">
        <v>9685461</v>
      </c>
      <c r="B212" t="s">
        <v>72</v>
      </c>
      <c r="C212">
        <v>1328670</v>
      </c>
      <c r="D212" t="s">
        <v>108</v>
      </c>
      <c r="E212" t="s">
        <v>57</v>
      </c>
      <c r="F212" t="s">
        <v>57</v>
      </c>
      <c r="G212" t="s">
        <v>109</v>
      </c>
      <c r="H212" t="s">
        <v>229</v>
      </c>
      <c r="I212" t="s">
        <v>84</v>
      </c>
      <c r="J212" t="s">
        <v>85</v>
      </c>
      <c r="K212" t="s">
        <v>87</v>
      </c>
      <c r="L212" s="25">
        <v>44030</v>
      </c>
      <c r="M212">
        <v>7</v>
      </c>
      <c r="N212">
        <v>2020</v>
      </c>
      <c r="O212" t="s">
        <v>110</v>
      </c>
      <c r="P212">
        <v>170</v>
      </c>
      <c r="Q212" s="17">
        <v>44030.447218981484</v>
      </c>
      <c r="R212" t="s">
        <v>111</v>
      </c>
    </row>
    <row r="213" spans="1:18" x14ac:dyDescent="0.3">
      <c r="A213">
        <v>9684376</v>
      </c>
      <c r="B213" t="s">
        <v>78</v>
      </c>
      <c r="C213">
        <v>1328836</v>
      </c>
      <c r="D213" t="s">
        <v>78</v>
      </c>
      <c r="E213" t="s">
        <v>57</v>
      </c>
      <c r="F213" t="s">
        <v>57</v>
      </c>
      <c r="G213" t="s">
        <v>109</v>
      </c>
      <c r="H213" t="s">
        <v>105</v>
      </c>
      <c r="I213" t="s">
        <v>78</v>
      </c>
      <c r="J213" t="s">
        <v>42</v>
      </c>
      <c r="K213" t="s">
        <v>87</v>
      </c>
      <c r="L213" s="25">
        <v>44030</v>
      </c>
      <c r="M213">
        <v>7</v>
      </c>
      <c r="N213">
        <v>2020</v>
      </c>
      <c r="O213" t="s">
        <v>110</v>
      </c>
      <c r="P213">
        <v>170</v>
      </c>
      <c r="Q213" s="17">
        <v>44030.450975462962</v>
      </c>
      <c r="R213" t="s">
        <v>115</v>
      </c>
    </row>
    <row r="214" spans="1:18" x14ac:dyDescent="0.3">
      <c r="A214">
        <v>9684973</v>
      </c>
      <c r="B214" t="s">
        <v>78</v>
      </c>
      <c r="C214">
        <v>1328861</v>
      </c>
      <c r="D214" t="s">
        <v>78</v>
      </c>
      <c r="E214" t="s">
        <v>58</v>
      </c>
      <c r="F214" t="s">
        <v>58</v>
      </c>
      <c r="G214" t="s">
        <v>114</v>
      </c>
      <c r="H214" t="s">
        <v>228</v>
      </c>
      <c r="I214" t="s">
        <v>78</v>
      </c>
      <c r="J214" t="s">
        <v>42</v>
      </c>
      <c r="K214" t="s">
        <v>87</v>
      </c>
      <c r="L214" s="25">
        <v>44030</v>
      </c>
      <c r="M214">
        <v>7</v>
      </c>
      <c r="N214">
        <v>2020</v>
      </c>
      <c r="O214" t="s">
        <v>110</v>
      </c>
      <c r="P214">
        <v>170</v>
      </c>
      <c r="Q214" s="17">
        <v>44030.454370370368</v>
      </c>
      <c r="R214" t="s">
        <v>111</v>
      </c>
    </row>
    <row r="215" spans="1:18" x14ac:dyDescent="0.3">
      <c r="A215">
        <v>9684998</v>
      </c>
      <c r="B215" t="s">
        <v>72</v>
      </c>
      <c r="C215">
        <v>1328993</v>
      </c>
      <c r="D215" t="s">
        <v>108</v>
      </c>
      <c r="E215" t="s">
        <v>58</v>
      </c>
      <c r="F215" t="s">
        <v>58</v>
      </c>
      <c r="G215" t="s">
        <v>114</v>
      </c>
      <c r="H215" t="s">
        <v>229</v>
      </c>
      <c r="I215" t="s">
        <v>84</v>
      </c>
      <c r="J215" t="s">
        <v>85</v>
      </c>
      <c r="K215" t="s">
        <v>87</v>
      </c>
      <c r="L215" s="25">
        <v>44030</v>
      </c>
      <c r="M215">
        <v>7</v>
      </c>
      <c r="N215">
        <v>2020</v>
      </c>
      <c r="O215" t="s">
        <v>110</v>
      </c>
      <c r="P215">
        <v>170</v>
      </c>
      <c r="Q215" s="17">
        <v>44030.452354976849</v>
      </c>
      <c r="R215" t="s">
        <v>111</v>
      </c>
    </row>
    <row r="216" spans="1:18" x14ac:dyDescent="0.3">
      <c r="A216">
        <v>9685534</v>
      </c>
      <c r="B216" t="s">
        <v>72</v>
      </c>
      <c r="C216">
        <v>1329036</v>
      </c>
      <c r="D216" t="s">
        <v>108</v>
      </c>
      <c r="E216" t="s">
        <v>58</v>
      </c>
      <c r="F216" t="s">
        <v>58</v>
      </c>
      <c r="G216" t="s">
        <v>114</v>
      </c>
      <c r="H216" t="s">
        <v>255</v>
      </c>
      <c r="I216" t="s">
        <v>84</v>
      </c>
      <c r="J216" t="s">
        <v>85</v>
      </c>
      <c r="K216" t="s">
        <v>87</v>
      </c>
      <c r="L216" s="25">
        <v>44030</v>
      </c>
      <c r="M216">
        <v>7</v>
      </c>
      <c r="N216">
        <v>2020</v>
      </c>
      <c r="O216" t="s">
        <v>110</v>
      </c>
      <c r="P216">
        <v>170</v>
      </c>
      <c r="Q216" s="17">
        <v>44030.453711805552</v>
      </c>
      <c r="R216" t="s">
        <v>115</v>
      </c>
    </row>
    <row r="217" spans="1:18" x14ac:dyDescent="0.3">
      <c r="A217">
        <v>9686205</v>
      </c>
      <c r="B217" t="s">
        <v>72</v>
      </c>
      <c r="C217">
        <v>1329304</v>
      </c>
      <c r="D217" t="s">
        <v>108</v>
      </c>
      <c r="E217" t="s">
        <v>58</v>
      </c>
      <c r="F217" t="s">
        <v>58</v>
      </c>
      <c r="G217" t="s">
        <v>114</v>
      </c>
      <c r="H217" t="s">
        <v>229</v>
      </c>
      <c r="I217" t="s">
        <v>84</v>
      </c>
      <c r="J217" t="s">
        <v>85</v>
      </c>
      <c r="K217" t="s">
        <v>87</v>
      </c>
      <c r="L217" s="25">
        <v>44030</v>
      </c>
      <c r="M217">
        <v>7</v>
      </c>
      <c r="N217">
        <v>2020</v>
      </c>
      <c r="O217" t="s">
        <v>110</v>
      </c>
      <c r="P217">
        <v>170</v>
      </c>
      <c r="Q217" s="17">
        <v>44030.460474884261</v>
      </c>
      <c r="R217" t="s">
        <v>111</v>
      </c>
    </row>
    <row r="218" spans="1:18" x14ac:dyDescent="0.3">
      <c r="A218">
        <v>244432</v>
      </c>
      <c r="B218" t="s">
        <v>72</v>
      </c>
      <c r="C218">
        <v>1329329</v>
      </c>
      <c r="D218" t="s">
        <v>108</v>
      </c>
      <c r="E218" t="s">
        <v>58</v>
      </c>
      <c r="F218" t="s">
        <v>58</v>
      </c>
      <c r="G218" t="s">
        <v>114</v>
      </c>
      <c r="H218" t="s">
        <v>229</v>
      </c>
      <c r="I218" t="s">
        <v>84</v>
      </c>
      <c r="J218" t="s">
        <v>85</v>
      </c>
      <c r="K218" t="s">
        <v>87</v>
      </c>
      <c r="L218" s="25">
        <v>44030</v>
      </c>
      <c r="M218">
        <v>7</v>
      </c>
      <c r="N218">
        <v>2020</v>
      </c>
      <c r="O218" t="s">
        <v>110</v>
      </c>
      <c r="P218">
        <v>170</v>
      </c>
      <c r="Q218" s="17">
        <v>44030.460568865739</v>
      </c>
      <c r="R218" t="s">
        <v>121</v>
      </c>
    </row>
    <row r="219" spans="1:18" x14ac:dyDescent="0.3">
      <c r="A219">
        <v>9686943</v>
      </c>
      <c r="B219" t="s">
        <v>72</v>
      </c>
      <c r="C219">
        <v>1329972</v>
      </c>
      <c r="D219" t="s">
        <v>108</v>
      </c>
      <c r="E219" t="s">
        <v>57</v>
      </c>
      <c r="F219" t="s">
        <v>57</v>
      </c>
      <c r="G219" t="s">
        <v>109</v>
      </c>
      <c r="H219" t="s">
        <v>229</v>
      </c>
      <c r="I219" t="s">
        <v>84</v>
      </c>
      <c r="J219" t="s">
        <v>85</v>
      </c>
      <c r="K219" t="s">
        <v>87</v>
      </c>
      <c r="L219" s="25">
        <v>44030</v>
      </c>
      <c r="M219">
        <v>7</v>
      </c>
      <c r="N219">
        <v>2020</v>
      </c>
      <c r="O219" t="s">
        <v>110</v>
      </c>
      <c r="P219">
        <v>170</v>
      </c>
      <c r="Q219" s="17">
        <v>44030.46880451389</v>
      </c>
      <c r="R219" t="s">
        <v>111</v>
      </c>
    </row>
    <row r="220" spans="1:18" x14ac:dyDescent="0.3">
      <c r="A220">
        <v>9686928</v>
      </c>
      <c r="B220" t="s">
        <v>72</v>
      </c>
      <c r="C220">
        <v>1330006</v>
      </c>
      <c r="D220" t="s">
        <v>108</v>
      </c>
      <c r="E220" t="s">
        <v>57</v>
      </c>
      <c r="F220" t="s">
        <v>57</v>
      </c>
      <c r="G220" t="s">
        <v>109</v>
      </c>
      <c r="H220" t="s">
        <v>229</v>
      </c>
      <c r="I220" t="s">
        <v>84</v>
      </c>
      <c r="J220" t="s">
        <v>85</v>
      </c>
      <c r="K220" t="s">
        <v>87</v>
      </c>
      <c r="L220" s="25">
        <v>44030</v>
      </c>
      <c r="M220">
        <v>7</v>
      </c>
      <c r="N220">
        <v>2020</v>
      </c>
      <c r="O220" t="s">
        <v>110</v>
      </c>
      <c r="P220">
        <v>170</v>
      </c>
      <c r="Q220" s="17">
        <v>44030.475822916669</v>
      </c>
      <c r="R220" t="s">
        <v>111</v>
      </c>
    </row>
    <row r="221" spans="1:18" x14ac:dyDescent="0.3">
      <c r="A221">
        <v>244983</v>
      </c>
      <c r="B221" t="s">
        <v>80</v>
      </c>
      <c r="C221">
        <v>1330129</v>
      </c>
      <c r="D221" t="s">
        <v>122</v>
      </c>
      <c r="E221" t="s">
        <v>58</v>
      </c>
      <c r="F221" t="s">
        <v>58</v>
      </c>
      <c r="G221" t="s">
        <v>114</v>
      </c>
      <c r="H221" t="s">
        <v>228</v>
      </c>
      <c r="I221" t="s">
        <v>84</v>
      </c>
      <c r="J221" t="s">
        <v>85</v>
      </c>
      <c r="K221" t="s">
        <v>87</v>
      </c>
      <c r="L221" s="25">
        <v>44030</v>
      </c>
      <c r="M221">
        <v>7</v>
      </c>
      <c r="N221">
        <v>2020</v>
      </c>
      <c r="O221" t="s">
        <v>110</v>
      </c>
      <c r="P221">
        <v>170</v>
      </c>
      <c r="Q221" s="17">
        <v>44030.12141226852</v>
      </c>
      <c r="R221" t="s">
        <v>123</v>
      </c>
    </row>
    <row r="222" spans="1:18" x14ac:dyDescent="0.3">
      <c r="A222">
        <v>244977</v>
      </c>
      <c r="B222" t="s">
        <v>80</v>
      </c>
      <c r="C222">
        <v>1330572</v>
      </c>
      <c r="D222" t="s">
        <v>113</v>
      </c>
      <c r="E222" t="s">
        <v>58</v>
      </c>
      <c r="F222" t="s">
        <v>58</v>
      </c>
      <c r="G222" t="s">
        <v>114</v>
      </c>
      <c r="H222" t="s">
        <v>232</v>
      </c>
      <c r="I222" t="s">
        <v>84</v>
      </c>
      <c r="J222" t="s">
        <v>85</v>
      </c>
      <c r="K222" t="s">
        <v>87</v>
      </c>
      <c r="L222" s="25">
        <v>44030</v>
      </c>
      <c r="M222">
        <v>7</v>
      </c>
      <c r="N222">
        <v>2020</v>
      </c>
      <c r="O222" t="s">
        <v>110</v>
      </c>
      <c r="P222">
        <v>170</v>
      </c>
      <c r="Q222" s="17">
        <v>44030.490527662034</v>
      </c>
      <c r="R222" t="s">
        <v>111</v>
      </c>
    </row>
    <row r="223" spans="1:18" x14ac:dyDescent="0.3">
      <c r="A223">
        <v>9687309</v>
      </c>
      <c r="B223" t="s">
        <v>80</v>
      </c>
      <c r="C223">
        <v>1330640</v>
      </c>
      <c r="D223" t="s">
        <v>113</v>
      </c>
      <c r="E223" t="s">
        <v>57</v>
      </c>
      <c r="F223" t="s">
        <v>57</v>
      </c>
      <c r="G223" t="s">
        <v>109</v>
      </c>
      <c r="H223" t="s">
        <v>232</v>
      </c>
      <c r="I223" t="s">
        <v>84</v>
      </c>
      <c r="J223" t="s">
        <v>85</v>
      </c>
      <c r="K223" t="s">
        <v>87</v>
      </c>
      <c r="L223" s="25">
        <v>44030</v>
      </c>
      <c r="M223">
        <v>7</v>
      </c>
      <c r="N223">
        <v>2020</v>
      </c>
      <c r="O223" t="s">
        <v>110</v>
      </c>
      <c r="P223">
        <v>170</v>
      </c>
      <c r="Q223" s="17">
        <v>44030.49029050926</v>
      </c>
      <c r="R223" t="s">
        <v>121</v>
      </c>
    </row>
    <row r="224" spans="1:18" x14ac:dyDescent="0.3">
      <c r="A224">
        <v>9688898</v>
      </c>
      <c r="B224" t="s">
        <v>80</v>
      </c>
      <c r="C224">
        <v>1330708</v>
      </c>
      <c r="D224" t="s">
        <v>113</v>
      </c>
      <c r="E224" t="s">
        <v>58</v>
      </c>
      <c r="F224" t="s">
        <v>58</v>
      </c>
      <c r="G224" t="s">
        <v>114</v>
      </c>
      <c r="H224" t="s">
        <v>232</v>
      </c>
      <c r="I224" t="s">
        <v>84</v>
      </c>
      <c r="J224" t="s">
        <v>85</v>
      </c>
      <c r="K224" t="s">
        <v>87</v>
      </c>
      <c r="L224" s="25">
        <v>44030</v>
      </c>
      <c r="M224">
        <v>7</v>
      </c>
      <c r="N224">
        <v>2020</v>
      </c>
      <c r="O224" t="s">
        <v>110</v>
      </c>
      <c r="P224">
        <v>170</v>
      </c>
      <c r="Q224" s="17">
        <v>44030.490848148147</v>
      </c>
      <c r="R224" t="s">
        <v>111</v>
      </c>
    </row>
    <row r="225" spans="1:18" x14ac:dyDescent="0.3">
      <c r="A225">
        <v>240623</v>
      </c>
      <c r="B225" t="s">
        <v>78</v>
      </c>
      <c r="C225">
        <v>1318529</v>
      </c>
      <c r="D225" t="s">
        <v>78</v>
      </c>
      <c r="E225" t="s">
        <v>57</v>
      </c>
      <c r="F225" t="s">
        <v>57</v>
      </c>
      <c r="G225" t="s">
        <v>109</v>
      </c>
      <c r="H225" t="s">
        <v>105</v>
      </c>
      <c r="I225" t="s">
        <v>78</v>
      </c>
      <c r="J225" t="s">
        <v>42</v>
      </c>
      <c r="K225" t="s">
        <v>87</v>
      </c>
      <c r="L225" s="25">
        <v>44030</v>
      </c>
      <c r="M225">
        <v>7</v>
      </c>
      <c r="N225">
        <v>2020</v>
      </c>
      <c r="O225" t="s">
        <v>110</v>
      </c>
      <c r="P225">
        <v>170</v>
      </c>
      <c r="Q225" s="17">
        <v>44030.482070949074</v>
      </c>
      <c r="R225" t="s">
        <v>111</v>
      </c>
    </row>
    <row r="226" spans="1:18" x14ac:dyDescent="0.3">
      <c r="A226">
        <v>21529503</v>
      </c>
      <c r="B226" t="s">
        <v>78</v>
      </c>
      <c r="C226">
        <v>1326383</v>
      </c>
      <c r="D226" t="s">
        <v>78</v>
      </c>
      <c r="E226" t="s">
        <v>117</v>
      </c>
      <c r="F226" t="s">
        <v>117</v>
      </c>
      <c r="G226" t="s">
        <v>59</v>
      </c>
      <c r="H226" t="s">
        <v>230</v>
      </c>
      <c r="I226" t="s">
        <v>78</v>
      </c>
      <c r="J226" t="s">
        <v>42</v>
      </c>
      <c r="K226" t="s">
        <v>91</v>
      </c>
      <c r="L226" s="25">
        <v>44030</v>
      </c>
      <c r="M226">
        <v>7</v>
      </c>
      <c r="N226">
        <v>2020</v>
      </c>
      <c r="O226" t="s">
        <v>110</v>
      </c>
      <c r="P226">
        <v>170</v>
      </c>
      <c r="Q226" s="17">
        <v>44030.424184837961</v>
      </c>
      <c r="R226" t="s">
        <v>118</v>
      </c>
    </row>
    <row r="227" spans="1:18" x14ac:dyDescent="0.3">
      <c r="A227">
        <v>21529325</v>
      </c>
      <c r="B227" t="s">
        <v>78</v>
      </c>
      <c r="C227">
        <v>1326400</v>
      </c>
      <c r="D227" t="s">
        <v>78</v>
      </c>
      <c r="E227" t="s">
        <v>117</v>
      </c>
      <c r="F227" t="s">
        <v>117</v>
      </c>
      <c r="G227" t="s">
        <v>59</v>
      </c>
      <c r="H227" t="s">
        <v>230</v>
      </c>
      <c r="I227" t="s">
        <v>78</v>
      </c>
      <c r="J227" t="s">
        <v>42</v>
      </c>
      <c r="K227" t="s">
        <v>91</v>
      </c>
      <c r="L227" s="25">
        <v>44030</v>
      </c>
      <c r="M227">
        <v>7</v>
      </c>
      <c r="N227">
        <v>2020</v>
      </c>
      <c r="O227" t="s">
        <v>110</v>
      </c>
      <c r="P227">
        <v>170</v>
      </c>
      <c r="Q227" s="17">
        <v>44030.423630902776</v>
      </c>
      <c r="R227" t="s">
        <v>118</v>
      </c>
    </row>
    <row r="228" spans="1:18" x14ac:dyDescent="0.3">
      <c r="A228">
        <v>21526992</v>
      </c>
      <c r="B228" t="s">
        <v>72</v>
      </c>
      <c r="C228">
        <v>1326532</v>
      </c>
      <c r="D228" t="s">
        <v>108</v>
      </c>
      <c r="E228" t="s">
        <v>117</v>
      </c>
      <c r="F228" t="s">
        <v>117</v>
      </c>
      <c r="G228" t="s">
        <v>59</v>
      </c>
      <c r="H228" t="s">
        <v>229</v>
      </c>
      <c r="I228" t="s">
        <v>84</v>
      </c>
      <c r="J228" t="s">
        <v>85</v>
      </c>
      <c r="K228" t="s">
        <v>91</v>
      </c>
      <c r="L228" s="25">
        <v>44030</v>
      </c>
      <c r="M228">
        <v>7</v>
      </c>
      <c r="N228">
        <v>2020</v>
      </c>
      <c r="O228" t="s">
        <v>110</v>
      </c>
      <c r="P228">
        <v>170</v>
      </c>
      <c r="Q228" s="17">
        <v>44030.426935069445</v>
      </c>
      <c r="R228" t="s">
        <v>119</v>
      </c>
    </row>
    <row r="229" spans="1:18" x14ac:dyDescent="0.3">
      <c r="A229">
        <v>21528404</v>
      </c>
      <c r="B229" t="s">
        <v>78</v>
      </c>
      <c r="C229">
        <v>1326651</v>
      </c>
      <c r="D229" t="s">
        <v>78</v>
      </c>
      <c r="E229" t="s">
        <v>117</v>
      </c>
      <c r="F229" t="s">
        <v>117</v>
      </c>
      <c r="G229" t="s">
        <v>59</v>
      </c>
      <c r="H229" t="s">
        <v>231</v>
      </c>
      <c r="I229" t="s">
        <v>78</v>
      </c>
      <c r="J229" t="s">
        <v>42</v>
      </c>
      <c r="K229" t="s">
        <v>91</v>
      </c>
      <c r="L229" s="25">
        <v>44030</v>
      </c>
      <c r="M229">
        <v>7</v>
      </c>
      <c r="N229">
        <v>2020</v>
      </c>
      <c r="O229" t="s">
        <v>110</v>
      </c>
      <c r="P229">
        <v>170</v>
      </c>
      <c r="Q229" s="17">
        <v>44030.430523842595</v>
      </c>
      <c r="R229" t="s">
        <v>119</v>
      </c>
    </row>
    <row r="230" spans="1:18" x14ac:dyDescent="0.3">
      <c r="A230">
        <v>21529198</v>
      </c>
      <c r="B230" t="s">
        <v>72</v>
      </c>
      <c r="C230">
        <v>1326749</v>
      </c>
      <c r="D230" t="s">
        <v>108</v>
      </c>
      <c r="E230" t="s">
        <v>117</v>
      </c>
      <c r="F230" t="s">
        <v>117</v>
      </c>
      <c r="G230" t="s">
        <v>59</v>
      </c>
      <c r="H230" t="s">
        <v>229</v>
      </c>
      <c r="I230" t="s">
        <v>84</v>
      </c>
      <c r="J230" t="s">
        <v>85</v>
      </c>
      <c r="K230" t="s">
        <v>91</v>
      </c>
      <c r="L230" s="25">
        <v>44030</v>
      </c>
      <c r="M230">
        <v>7</v>
      </c>
      <c r="N230">
        <v>2020</v>
      </c>
      <c r="O230" t="s">
        <v>110</v>
      </c>
      <c r="P230">
        <v>170</v>
      </c>
      <c r="Q230" s="17">
        <v>44030.43059340278</v>
      </c>
      <c r="R230" t="s">
        <v>119</v>
      </c>
    </row>
    <row r="231" spans="1:18" x14ac:dyDescent="0.3">
      <c r="A231">
        <v>21529346</v>
      </c>
      <c r="B231" t="s">
        <v>78</v>
      </c>
      <c r="C231">
        <v>1326885</v>
      </c>
      <c r="D231" t="s">
        <v>78</v>
      </c>
      <c r="E231" t="s">
        <v>117</v>
      </c>
      <c r="F231" t="s">
        <v>117</v>
      </c>
      <c r="G231" t="s">
        <v>59</v>
      </c>
      <c r="H231" t="s">
        <v>230</v>
      </c>
      <c r="I231" t="s">
        <v>78</v>
      </c>
      <c r="J231" t="s">
        <v>42</v>
      </c>
      <c r="K231" t="s">
        <v>91</v>
      </c>
      <c r="L231" s="25">
        <v>44030</v>
      </c>
      <c r="M231">
        <v>7</v>
      </c>
      <c r="N231">
        <v>2020</v>
      </c>
      <c r="O231" t="s">
        <v>110</v>
      </c>
      <c r="P231">
        <v>170</v>
      </c>
      <c r="Q231" s="17">
        <v>44030.432870370372</v>
      </c>
      <c r="R231" t="s">
        <v>118</v>
      </c>
    </row>
    <row r="232" spans="1:18" x14ac:dyDescent="0.3">
      <c r="A232">
        <v>21528299</v>
      </c>
      <c r="B232" t="s">
        <v>72</v>
      </c>
      <c r="C232">
        <v>1326983</v>
      </c>
      <c r="D232" t="s">
        <v>108</v>
      </c>
      <c r="E232" t="s">
        <v>117</v>
      </c>
      <c r="F232" t="s">
        <v>117</v>
      </c>
      <c r="G232" t="s">
        <v>59</v>
      </c>
      <c r="H232" t="s">
        <v>229</v>
      </c>
      <c r="I232" t="s">
        <v>84</v>
      </c>
      <c r="J232" t="s">
        <v>85</v>
      </c>
      <c r="K232" t="s">
        <v>91</v>
      </c>
      <c r="L232" s="25">
        <v>44030</v>
      </c>
      <c r="M232">
        <v>7</v>
      </c>
      <c r="N232">
        <v>2020</v>
      </c>
      <c r="O232" t="s">
        <v>110</v>
      </c>
      <c r="P232">
        <v>170</v>
      </c>
      <c r="Q232" s="17">
        <v>44030.433590509259</v>
      </c>
      <c r="R232" t="s">
        <v>119</v>
      </c>
    </row>
    <row r="233" spans="1:18" x14ac:dyDescent="0.3">
      <c r="A233">
        <v>21529141</v>
      </c>
      <c r="B233" t="s">
        <v>78</v>
      </c>
      <c r="C233">
        <v>1327068</v>
      </c>
      <c r="D233" t="s">
        <v>78</v>
      </c>
      <c r="E233" t="s">
        <v>117</v>
      </c>
      <c r="F233" t="s">
        <v>117</v>
      </c>
      <c r="G233" t="s">
        <v>59</v>
      </c>
      <c r="H233" t="s">
        <v>230</v>
      </c>
      <c r="I233" t="s">
        <v>78</v>
      </c>
      <c r="J233" t="s">
        <v>42</v>
      </c>
      <c r="K233" t="s">
        <v>91</v>
      </c>
      <c r="L233" s="25">
        <v>44030</v>
      </c>
      <c r="M233">
        <v>7</v>
      </c>
      <c r="N233">
        <v>2020</v>
      </c>
      <c r="O233" t="s">
        <v>110</v>
      </c>
      <c r="P233">
        <v>170</v>
      </c>
      <c r="Q233" s="17">
        <v>44030.434572106482</v>
      </c>
      <c r="R233" t="s">
        <v>118</v>
      </c>
    </row>
    <row r="234" spans="1:18" x14ac:dyDescent="0.3">
      <c r="A234">
        <v>21529147</v>
      </c>
      <c r="B234" t="s">
        <v>78</v>
      </c>
      <c r="C234">
        <v>1327102</v>
      </c>
      <c r="D234" t="s">
        <v>78</v>
      </c>
      <c r="E234" t="s">
        <v>117</v>
      </c>
      <c r="F234" t="s">
        <v>117</v>
      </c>
      <c r="G234" t="s">
        <v>59</v>
      </c>
      <c r="H234" t="s">
        <v>231</v>
      </c>
      <c r="I234" t="s">
        <v>78</v>
      </c>
      <c r="J234" t="s">
        <v>42</v>
      </c>
      <c r="K234" t="s">
        <v>91</v>
      </c>
      <c r="L234" s="25">
        <v>44030</v>
      </c>
      <c r="M234">
        <v>7</v>
      </c>
      <c r="N234">
        <v>2020</v>
      </c>
      <c r="O234" t="s">
        <v>110</v>
      </c>
      <c r="P234">
        <v>170</v>
      </c>
      <c r="Q234" s="17">
        <v>44030.434591435187</v>
      </c>
      <c r="R234" t="s">
        <v>119</v>
      </c>
    </row>
    <row r="235" spans="1:18" x14ac:dyDescent="0.3">
      <c r="A235">
        <v>21528296</v>
      </c>
      <c r="B235" t="s">
        <v>72</v>
      </c>
      <c r="C235">
        <v>1327319</v>
      </c>
      <c r="D235" t="s">
        <v>108</v>
      </c>
      <c r="E235" t="s">
        <v>117</v>
      </c>
      <c r="F235" t="s">
        <v>117</v>
      </c>
      <c r="G235" t="s">
        <v>59</v>
      </c>
      <c r="H235" t="s">
        <v>229</v>
      </c>
      <c r="I235" t="s">
        <v>84</v>
      </c>
      <c r="J235" t="s">
        <v>85</v>
      </c>
      <c r="K235" t="s">
        <v>91</v>
      </c>
      <c r="L235" s="25">
        <v>44030</v>
      </c>
      <c r="M235">
        <v>7</v>
      </c>
      <c r="N235">
        <v>2020</v>
      </c>
      <c r="O235" t="s">
        <v>110</v>
      </c>
      <c r="P235">
        <v>170</v>
      </c>
      <c r="Q235" s="17">
        <v>44030.437176041669</v>
      </c>
      <c r="R235" t="s">
        <v>119</v>
      </c>
    </row>
    <row r="236" spans="1:18" x14ac:dyDescent="0.3">
      <c r="A236">
        <v>242879</v>
      </c>
      <c r="B236" t="s">
        <v>79</v>
      </c>
      <c r="C236">
        <v>1327234</v>
      </c>
      <c r="D236" t="s">
        <v>116</v>
      </c>
      <c r="E236" t="s">
        <v>58</v>
      </c>
      <c r="F236" t="s">
        <v>58</v>
      </c>
      <c r="G236" t="s">
        <v>114</v>
      </c>
      <c r="H236" t="s">
        <v>233</v>
      </c>
      <c r="I236" t="s">
        <v>82</v>
      </c>
      <c r="J236" t="s">
        <v>42</v>
      </c>
      <c r="K236" t="s">
        <v>87</v>
      </c>
      <c r="L236" s="25">
        <v>44030</v>
      </c>
      <c r="M236">
        <v>7</v>
      </c>
      <c r="N236">
        <v>2020</v>
      </c>
      <c r="O236" t="s">
        <v>110</v>
      </c>
      <c r="P236">
        <v>170</v>
      </c>
      <c r="Q236" s="17">
        <v>44030.424839467596</v>
      </c>
      <c r="R236" t="s">
        <v>111</v>
      </c>
    </row>
    <row r="237" spans="1:18" x14ac:dyDescent="0.3">
      <c r="A237">
        <v>21529342</v>
      </c>
      <c r="B237" t="s">
        <v>78</v>
      </c>
      <c r="C237">
        <v>1327370</v>
      </c>
      <c r="D237" t="s">
        <v>78</v>
      </c>
      <c r="E237" t="s">
        <v>117</v>
      </c>
      <c r="F237" t="s">
        <v>117</v>
      </c>
      <c r="G237" t="s">
        <v>59</v>
      </c>
      <c r="H237" t="s">
        <v>230</v>
      </c>
      <c r="I237" t="s">
        <v>78</v>
      </c>
      <c r="J237" t="s">
        <v>42</v>
      </c>
      <c r="K237" t="s">
        <v>91</v>
      </c>
      <c r="L237" s="25">
        <v>44030</v>
      </c>
      <c r="M237">
        <v>7</v>
      </c>
      <c r="N237">
        <v>2020</v>
      </c>
      <c r="O237" t="s">
        <v>110</v>
      </c>
      <c r="P237">
        <v>170</v>
      </c>
      <c r="Q237" s="17">
        <v>44030.439569907408</v>
      </c>
      <c r="R237" t="s">
        <v>118</v>
      </c>
    </row>
    <row r="238" spans="1:18" x14ac:dyDescent="0.3">
      <c r="A238">
        <v>21529504</v>
      </c>
      <c r="B238" t="s">
        <v>78</v>
      </c>
      <c r="C238">
        <v>1327387</v>
      </c>
      <c r="D238" t="s">
        <v>78</v>
      </c>
      <c r="E238" t="s">
        <v>117</v>
      </c>
      <c r="F238" t="s">
        <v>117</v>
      </c>
      <c r="G238" t="s">
        <v>59</v>
      </c>
      <c r="H238" t="s">
        <v>231</v>
      </c>
      <c r="I238" t="s">
        <v>78</v>
      </c>
      <c r="J238" t="s">
        <v>42</v>
      </c>
      <c r="K238" t="s">
        <v>91</v>
      </c>
      <c r="L238" s="25">
        <v>44030</v>
      </c>
      <c r="M238">
        <v>7</v>
      </c>
      <c r="N238">
        <v>2020</v>
      </c>
      <c r="O238" t="s">
        <v>110</v>
      </c>
      <c r="P238">
        <v>170</v>
      </c>
      <c r="Q238" s="17">
        <v>44030.439105324076</v>
      </c>
      <c r="R238" t="s">
        <v>119</v>
      </c>
    </row>
    <row r="239" spans="1:18" x14ac:dyDescent="0.3">
      <c r="A239">
        <v>21529504</v>
      </c>
      <c r="B239" t="s">
        <v>78</v>
      </c>
      <c r="C239">
        <v>1327387</v>
      </c>
      <c r="D239" t="s">
        <v>78</v>
      </c>
      <c r="E239" t="s">
        <v>117</v>
      </c>
      <c r="F239" t="s">
        <v>117</v>
      </c>
      <c r="G239" t="s">
        <v>59</v>
      </c>
      <c r="H239" t="s">
        <v>231</v>
      </c>
      <c r="I239" t="s">
        <v>78</v>
      </c>
      <c r="J239" t="s">
        <v>42</v>
      </c>
      <c r="K239" t="s">
        <v>91</v>
      </c>
      <c r="L239" s="25">
        <v>44030</v>
      </c>
      <c r="M239">
        <v>7</v>
      </c>
      <c r="N239">
        <v>2020</v>
      </c>
      <c r="O239" t="s">
        <v>110</v>
      </c>
      <c r="P239">
        <v>170</v>
      </c>
      <c r="Q239" s="17">
        <v>44030.439105324076</v>
      </c>
      <c r="R239" t="s">
        <v>119</v>
      </c>
    </row>
    <row r="240" spans="1:18" x14ac:dyDescent="0.3">
      <c r="A240">
        <v>21529345</v>
      </c>
      <c r="B240" t="s">
        <v>78</v>
      </c>
      <c r="C240">
        <v>1327421</v>
      </c>
      <c r="D240" t="s">
        <v>78</v>
      </c>
      <c r="E240" t="s">
        <v>117</v>
      </c>
      <c r="F240" t="s">
        <v>117</v>
      </c>
      <c r="G240" t="s">
        <v>59</v>
      </c>
      <c r="H240" t="s">
        <v>231</v>
      </c>
      <c r="I240" t="s">
        <v>78</v>
      </c>
      <c r="J240" t="s">
        <v>42</v>
      </c>
      <c r="K240" t="s">
        <v>91</v>
      </c>
      <c r="L240" s="25">
        <v>44030</v>
      </c>
      <c r="M240">
        <v>7</v>
      </c>
      <c r="N240">
        <v>2020</v>
      </c>
      <c r="O240" t="s">
        <v>110</v>
      </c>
      <c r="P240">
        <v>170</v>
      </c>
      <c r="Q240" s="17">
        <v>44030.440910532408</v>
      </c>
      <c r="R240" t="s">
        <v>119</v>
      </c>
    </row>
    <row r="241" spans="1:18" x14ac:dyDescent="0.3">
      <c r="A241">
        <v>9682510</v>
      </c>
      <c r="B241" t="s">
        <v>72</v>
      </c>
      <c r="C241">
        <v>1327434</v>
      </c>
      <c r="D241" t="s">
        <v>108</v>
      </c>
      <c r="E241" t="s">
        <v>58</v>
      </c>
      <c r="F241" t="s">
        <v>58</v>
      </c>
      <c r="G241" t="s">
        <v>114</v>
      </c>
      <c r="H241" t="s">
        <v>229</v>
      </c>
      <c r="I241" t="s">
        <v>84</v>
      </c>
      <c r="J241" t="s">
        <v>85</v>
      </c>
      <c r="K241" t="s">
        <v>87</v>
      </c>
      <c r="L241" s="25">
        <v>44030</v>
      </c>
      <c r="M241">
        <v>7</v>
      </c>
      <c r="N241">
        <v>2020</v>
      </c>
      <c r="O241" t="s">
        <v>110</v>
      </c>
      <c r="P241">
        <v>170</v>
      </c>
      <c r="Q241" s="17">
        <v>44030.425518055556</v>
      </c>
      <c r="R241" t="s">
        <v>111</v>
      </c>
    </row>
    <row r="242" spans="1:18" x14ac:dyDescent="0.3">
      <c r="A242">
        <v>9682851</v>
      </c>
      <c r="B242" t="s">
        <v>78</v>
      </c>
      <c r="C242">
        <v>1327621</v>
      </c>
      <c r="D242" t="s">
        <v>78</v>
      </c>
      <c r="E242" t="s">
        <v>58</v>
      </c>
      <c r="F242" t="s">
        <v>58</v>
      </c>
      <c r="G242" t="s">
        <v>114</v>
      </c>
      <c r="H242" t="s">
        <v>105</v>
      </c>
      <c r="I242" t="s">
        <v>78</v>
      </c>
      <c r="J242" t="s">
        <v>42</v>
      </c>
      <c r="K242" t="s">
        <v>87</v>
      </c>
      <c r="L242" s="25">
        <v>44030</v>
      </c>
      <c r="M242">
        <v>7</v>
      </c>
      <c r="N242">
        <v>2020</v>
      </c>
      <c r="O242" t="s">
        <v>110</v>
      </c>
      <c r="P242">
        <v>170</v>
      </c>
      <c r="Q242" s="17">
        <v>44030.430210648148</v>
      </c>
      <c r="R242" t="s">
        <v>111</v>
      </c>
    </row>
    <row r="243" spans="1:18" x14ac:dyDescent="0.3">
      <c r="A243">
        <v>21529352</v>
      </c>
      <c r="B243" t="s">
        <v>78</v>
      </c>
      <c r="C243">
        <v>1327702</v>
      </c>
      <c r="D243" t="s">
        <v>78</v>
      </c>
      <c r="E243" t="s">
        <v>117</v>
      </c>
      <c r="F243" t="s">
        <v>117</v>
      </c>
      <c r="G243" t="s">
        <v>59</v>
      </c>
      <c r="H243" t="s">
        <v>231</v>
      </c>
      <c r="I243" t="s">
        <v>78</v>
      </c>
      <c r="J243" t="s">
        <v>42</v>
      </c>
      <c r="K243" t="s">
        <v>91</v>
      </c>
      <c r="L243" s="25">
        <v>44030</v>
      </c>
      <c r="M243">
        <v>7</v>
      </c>
      <c r="N243">
        <v>2020</v>
      </c>
      <c r="O243" t="s">
        <v>110</v>
      </c>
      <c r="P243">
        <v>170</v>
      </c>
      <c r="Q243" s="17">
        <v>44030.441421064817</v>
      </c>
      <c r="R243" t="s">
        <v>119</v>
      </c>
    </row>
    <row r="244" spans="1:18" x14ac:dyDescent="0.3">
      <c r="A244">
        <v>9646272</v>
      </c>
      <c r="B244" t="s">
        <v>78</v>
      </c>
      <c r="C244">
        <v>1327804</v>
      </c>
      <c r="D244" t="s">
        <v>78</v>
      </c>
      <c r="E244" t="s">
        <v>58</v>
      </c>
      <c r="F244" t="s">
        <v>58</v>
      </c>
      <c r="G244" t="s">
        <v>114</v>
      </c>
      <c r="H244" t="s">
        <v>105</v>
      </c>
      <c r="I244" t="s">
        <v>78</v>
      </c>
      <c r="J244" t="s">
        <v>42</v>
      </c>
      <c r="K244" t="s">
        <v>87</v>
      </c>
      <c r="L244" s="25">
        <v>44030</v>
      </c>
      <c r="M244">
        <v>7</v>
      </c>
      <c r="N244">
        <v>2020</v>
      </c>
      <c r="O244" t="s">
        <v>110</v>
      </c>
      <c r="P244">
        <v>170</v>
      </c>
      <c r="Q244" s="17">
        <v>44030.43172025463</v>
      </c>
      <c r="R244" t="s">
        <v>111</v>
      </c>
    </row>
    <row r="245" spans="1:18" x14ac:dyDescent="0.3">
      <c r="A245">
        <v>9683024</v>
      </c>
      <c r="B245" t="s">
        <v>79</v>
      </c>
      <c r="C245">
        <v>1327919</v>
      </c>
      <c r="D245" t="s">
        <v>116</v>
      </c>
      <c r="E245" t="s">
        <v>58</v>
      </c>
      <c r="F245" t="s">
        <v>58</v>
      </c>
      <c r="G245" t="s">
        <v>114</v>
      </c>
      <c r="H245" t="s">
        <v>233</v>
      </c>
      <c r="I245" t="s">
        <v>82</v>
      </c>
      <c r="J245" t="s">
        <v>42</v>
      </c>
      <c r="K245" t="s">
        <v>87</v>
      </c>
      <c r="L245" s="25">
        <v>44030</v>
      </c>
      <c r="M245">
        <v>7</v>
      </c>
      <c r="N245">
        <v>2020</v>
      </c>
      <c r="O245" t="s">
        <v>110</v>
      </c>
      <c r="P245">
        <v>170</v>
      </c>
      <c r="Q245" s="17">
        <v>44030.435682060182</v>
      </c>
      <c r="R245" t="s">
        <v>111</v>
      </c>
    </row>
    <row r="246" spans="1:18" x14ac:dyDescent="0.3">
      <c r="A246">
        <v>9684511</v>
      </c>
      <c r="B246" t="s">
        <v>79</v>
      </c>
      <c r="C246">
        <v>1327953</v>
      </c>
      <c r="D246" t="s">
        <v>116</v>
      </c>
      <c r="E246" t="s">
        <v>58</v>
      </c>
      <c r="F246" t="s">
        <v>58</v>
      </c>
      <c r="G246" t="s">
        <v>114</v>
      </c>
      <c r="H246" t="s">
        <v>233</v>
      </c>
      <c r="I246" t="s">
        <v>82</v>
      </c>
      <c r="J246" t="s">
        <v>42</v>
      </c>
      <c r="K246" t="s">
        <v>87</v>
      </c>
      <c r="L246" s="25">
        <v>44030</v>
      </c>
      <c r="M246">
        <v>7</v>
      </c>
      <c r="N246">
        <v>2020</v>
      </c>
      <c r="O246" t="s">
        <v>110</v>
      </c>
      <c r="P246">
        <v>170</v>
      </c>
      <c r="Q246" s="17">
        <v>44030.436151388887</v>
      </c>
      <c r="R246" t="s">
        <v>111</v>
      </c>
    </row>
    <row r="247" spans="1:18" x14ac:dyDescent="0.3">
      <c r="A247">
        <v>9684845</v>
      </c>
      <c r="B247" t="s">
        <v>72</v>
      </c>
      <c r="C247">
        <v>1328038</v>
      </c>
      <c r="D247" t="s">
        <v>108</v>
      </c>
      <c r="E247" t="s">
        <v>57</v>
      </c>
      <c r="F247" t="s">
        <v>57</v>
      </c>
      <c r="G247" t="s">
        <v>109</v>
      </c>
      <c r="H247" t="s">
        <v>240</v>
      </c>
      <c r="I247" t="s">
        <v>84</v>
      </c>
      <c r="J247" t="s">
        <v>85</v>
      </c>
      <c r="K247" t="s">
        <v>87</v>
      </c>
      <c r="L247" s="25">
        <v>44030</v>
      </c>
      <c r="M247">
        <v>7</v>
      </c>
      <c r="N247">
        <v>2020</v>
      </c>
      <c r="O247" t="s">
        <v>110</v>
      </c>
      <c r="P247">
        <v>170</v>
      </c>
      <c r="Q247" s="17">
        <v>44030.442502314814</v>
      </c>
      <c r="R247" t="s">
        <v>115</v>
      </c>
    </row>
    <row r="248" spans="1:18" x14ac:dyDescent="0.3">
      <c r="A248">
        <v>241122</v>
      </c>
      <c r="B248" t="s">
        <v>78</v>
      </c>
      <c r="C248">
        <v>1318703</v>
      </c>
      <c r="D248" t="s">
        <v>116</v>
      </c>
      <c r="E248" t="s">
        <v>58</v>
      </c>
      <c r="F248" t="s">
        <v>58</v>
      </c>
      <c r="G248" t="s">
        <v>114</v>
      </c>
      <c r="H248" t="s">
        <v>256</v>
      </c>
      <c r="I248" t="s">
        <v>84</v>
      </c>
      <c r="J248" t="s">
        <v>85</v>
      </c>
      <c r="K248" t="s">
        <v>87</v>
      </c>
      <c r="L248" s="25">
        <v>44030</v>
      </c>
      <c r="M248">
        <v>7</v>
      </c>
      <c r="N248">
        <v>2020</v>
      </c>
      <c r="O248" t="s">
        <v>110</v>
      </c>
      <c r="P248">
        <v>170</v>
      </c>
      <c r="Q248" s="17">
        <v>44030.483065046297</v>
      </c>
      <c r="R248" t="s">
        <v>111</v>
      </c>
    </row>
    <row r="249" spans="1:18" x14ac:dyDescent="0.3">
      <c r="A249">
        <v>241122</v>
      </c>
      <c r="B249" t="s">
        <v>78</v>
      </c>
      <c r="C249">
        <v>1318704</v>
      </c>
      <c r="D249" t="s">
        <v>78</v>
      </c>
      <c r="E249" t="s">
        <v>57</v>
      </c>
      <c r="F249" t="s">
        <v>57</v>
      </c>
      <c r="G249" t="s">
        <v>109</v>
      </c>
      <c r="H249" t="s">
        <v>256</v>
      </c>
      <c r="I249" t="s">
        <v>78</v>
      </c>
      <c r="J249" t="s">
        <v>42</v>
      </c>
      <c r="K249" t="s">
        <v>87</v>
      </c>
      <c r="L249" s="25">
        <v>44030</v>
      </c>
      <c r="M249">
        <v>7</v>
      </c>
      <c r="N249">
        <v>2020</v>
      </c>
      <c r="O249" t="s">
        <v>110</v>
      </c>
      <c r="P249">
        <v>170</v>
      </c>
      <c r="Q249" s="17">
        <v>44030.483592592595</v>
      </c>
      <c r="R249" t="s">
        <v>112</v>
      </c>
    </row>
    <row r="250" spans="1:18" x14ac:dyDescent="0.3">
      <c r="A250">
        <v>241922</v>
      </c>
      <c r="B250" t="s">
        <v>72</v>
      </c>
      <c r="C250">
        <v>1323383</v>
      </c>
      <c r="D250" t="s">
        <v>108</v>
      </c>
      <c r="E250" t="s">
        <v>57</v>
      </c>
      <c r="F250" t="s">
        <v>57</v>
      </c>
      <c r="G250" t="s">
        <v>109</v>
      </c>
      <c r="H250" t="s">
        <v>229</v>
      </c>
      <c r="I250" t="s">
        <v>84</v>
      </c>
      <c r="J250" t="s">
        <v>85</v>
      </c>
      <c r="K250" t="s">
        <v>87</v>
      </c>
      <c r="L250" s="25">
        <v>44030</v>
      </c>
      <c r="M250">
        <v>7</v>
      </c>
      <c r="N250">
        <v>2020</v>
      </c>
      <c r="O250" t="s">
        <v>110</v>
      </c>
      <c r="P250">
        <v>170</v>
      </c>
      <c r="Q250" s="17">
        <v>44030.483178587965</v>
      </c>
      <c r="R250" t="s">
        <v>111</v>
      </c>
    </row>
    <row r="251" spans="1:18" x14ac:dyDescent="0.3">
      <c r="A251">
        <v>21529322</v>
      </c>
      <c r="B251" t="s">
        <v>78</v>
      </c>
      <c r="C251">
        <v>1326391</v>
      </c>
      <c r="D251" t="s">
        <v>78</v>
      </c>
      <c r="E251" t="s">
        <v>117</v>
      </c>
      <c r="F251" t="s">
        <v>117</v>
      </c>
      <c r="G251" t="s">
        <v>59</v>
      </c>
      <c r="H251" t="s">
        <v>230</v>
      </c>
      <c r="I251" t="s">
        <v>78</v>
      </c>
      <c r="J251" t="s">
        <v>42</v>
      </c>
      <c r="K251" t="s">
        <v>91</v>
      </c>
      <c r="L251" s="25">
        <v>44030</v>
      </c>
      <c r="M251">
        <v>7</v>
      </c>
      <c r="N251">
        <v>2020</v>
      </c>
      <c r="O251" t="s">
        <v>110</v>
      </c>
      <c r="P251">
        <v>170</v>
      </c>
      <c r="Q251" s="17">
        <v>44030.429037037036</v>
      </c>
      <c r="R251" t="s">
        <v>118</v>
      </c>
    </row>
    <row r="252" spans="1:18" x14ac:dyDescent="0.3">
      <c r="A252">
        <v>21529215</v>
      </c>
      <c r="B252" t="s">
        <v>72</v>
      </c>
      <c r="C252">
        <v>1326374</v>
      </c>
      <c r="D252" t="s">
        <v>108</v>
      </c>
      <c r="E252" t="s">
        <v>117</v>
      </c>
      <c r="F252" t="s">
        <v>117</v>
      </c>
      <c r="G252" t="s">
        <v>59</v>
      </c>
      <c r="H252" t="s">
        <v>229</v>
      </c>
      <c r="I252" t="s">
        <v>84</v>
      </c>
      <c r="J252" t="s">
        <v>85</v>
      </c>
      <c r="K252" t="s">
        <v>91</v>
      </c>
      <c r="L252" s="25">
        <v>44030</v>
      </c>
      <c r="M252">
        <v>7</v>
      </c>
      <c r="N252">
        <v>2020</v>
      </c>
      <c r="O252" t="s">
        <v>110</v>
      </c>
      <c r="P252">
        <v>170</v>
      </c>
      <c r="Q252" s="17">
        <v>44030.423632986109</v>
      </c>
      <c r="R252" t="s">
        <v>119</v>
      </c>
    </row>
    <row r="253" spans="1:18" x14ac:dyDescent="0.3">
      <c r="A253">
        <v>21529215</v>
      </c>
      <c r="B253" t="s">
        <v>72</v>
      </c>
      <c r="C253">
        <v>1326374</v>
      </c>
      <c r="D253" t="s">
        <v>108</v>
      </c>
      <c r="E253" t="s">
        <v>117</v>
      </c>
      <c r="F253" t="s">
        <v>117</v>
      </c>
      <c r="G253" t="s">
        <v>59</v>
      </c>
      <c r="H253" t="s">
        <v>229</v>
      </c>
      <c r="I253" t="s">
        <v>84</v>
      </c>
      <c r="J253" t="s">
        <v>85</v>
      </c>
      <c r="K253" t="s">
        <v>91</v>
      </c>
      <c r="L253" s="25">
        <v>44030</v>
      </c>
      <c r="M253">
        <v>7</v>
      </c>
      <c r="N253">
        <v>2020</v>
      </c>
      <c r="O253" t="s">
        <v>110</v>
      </c>
      <c r="P253">
        <v>170</v>
      </c>
      <c r="Q253" s="17">
        <v>44030.423632986109</v>
      </c>
      <c r="R253" t="s">
        <v>119</v>
      </c>
    </row>
    <row r="254" spans="1:18" x14ac:dyDescent="0.3">
      <c r="A254">
        <v>21527001</v>
      </c>
      <c r="B254" t="s">
        <v>72</v>
      </c>
      <c r="C254">
        <v>1326541</v>
      </c>
      <c r="D254" t="s">
        <v>108</v>
      </c>
      <c r="E254" t="s">
        <v>117</v>
      </c>
      <c r="F254" t="s">
        <v>117</v>
      </c>
      <c r="G254" t="s">
        <v>59</v>
      </c>
      <c r="H254" t="s">
        <v>229</v>
      </c>
      <c r="I254" t="s">
        <v>84</v>
      </c>
      <c r="J254" t="s">
        <v>85</v>
      </c>
      <c r="K254" t="s">
        <v>91</v>
      </c>
      <c r="L254" s="25">
        <v>44030</v>
      </c>
      <c r="M254">
        <v>7</v>
      </c>
      <c r="N254">
        <v>2020</v>
      </c>
      <c r="O254" t="s">
        <v>110</v>
      </c>
      <c r="P254">
        <v>170</v>
      </c>
      <c r="Q254" s="17">
        <v>44030.424509375</v>
      </c>
      <c r="R254" t="s">
        <v>119</v>
      </c>
    </row>
    <row r="255" spans="1:18" x14ac:dyDescent="0.3">
      <c r="A255">
        <v>21527795</v>
      </c>
      <c r="B255" t="s">
        <v>78</v>
      </c>
      <c r="C255">
        <v>1326574</v>
      </c>
      <c r="D255" t="s">
        <v>78</v>
      </c>
      <c r="E255" t="s">
        <v>117</v>
      </c>
      <c r="F255" t="s">
        <v>117</v>
      </c>
      <c r="G255" t="s">
        <v>59</v>
      </c>
      <c r="H255" t="s">
        <v>230</v>
      </c>
      <c r="I255" t="s">
        <v>78</v>
      </c>
      <c r="J255" t="s">
        <v>42</v>
      </c>
      <c r="K255" t="s">
        <v>91</v>
      </c>
      <c r="L255" s="25">
        <v>44030</v>
      </c>
      <c r="M255">
        <v>7</v>
      </c>
      <c r="N255">
        <v>2020</v>
      </c>
      <c r="O255" t="s">
        <v>110</v>
      </c>
      <c r="P255">
        <v>170</v>
      </c>
      <c r="Q255" s="17">
        <v>44030.425949074073</v>
      </c>
      <c r="R255" t="s">
        <v>118</v>
      </c>
    </row>
    <row r="256" spans="1:18" x14ac:dyDescent="0.3">
      <c r="A256">
        <v>21529455</v>
      </c>
      <c r="B256" t="s">
        <v>78</v>
      </c>
      <c r="C256">
        <v>1326710</v>
      </c>
      <c r="D256" t="s">
        <v>78</v>
      </c>
      <c r="E256" t="s">
        <v>117</v>
      </c>
      <c r="F256" t="s">
        <v>117</v>
      </c>
      <c r="G256" t="s">
        <v>59</v>
      </c>
      <c r="H256" t="s">
        <v>231</v>
      </c>
      <c r="I256" t="s">
        <v>78</v>
      </c>
      <c r="J256" t="s">
        <v>42</v>
      </c>
      <c r="K256" t="s">
        <v>91</v>
      </c>
      <c r="L256" s="25">
        <v>44030</v>
      </c>
      <c r="M256">
        <v>7</v>
      </c>
      <c r="N256">
        <v>2020</v>
      </c>
      <c r="O256" t="s">
        <v>110</v>
      </c>
      <c r="P256">
        <v>170</v>
      </c>
      <c r="Q256" s="17">
        <v>44030.428686921296</v>
      </c>
      <c r="R256" t="s">
        <v>119</v>
      </c>
    </row>
    <row r="257" spans="1:18" x14ac:dyDescent="0.3">
      <c r="A257">
        <v>21529241</v>
      </c>
      <c r="B257" t="s">
        <v>78</v>
      </c>
      <c r="C257">
        <v>1326724</v>
      </c>
      <c r="D257" t="s">
        <v>78</v>
      </c>
      <c r="E257" t="s">
        <v>117</v>
      </c>
      <c r="F257" t="s">
        <v>117</v>
      </c>
      <c r="G257" t="s">
        <v>59</v>
      </c>
      <c r="H257" t="s">
        <v>231</v>
      </c>
      <c r="I257" t="s">
        <v>78</v>
      </c>
      <c r="J257" t="s">
        <v>42</v>
      </c>
      <c r="K257" t="s">
        <v>91</v>
      </c>
      <c r="L257" s="25">
        <v>44030</v>
      </c>
      <c r="M257">
        <v>7</v>
      </c>
      <c r="N257">
        <v>2020</v>
      </c>
      <c r="O257" t="s">
        <v>110</v>
      </c>
      <c r="P257">
        <v>170</v>
      </c>
      <c r="Q257" s="17">
        <v>44030.432886574075</v>
      </c>
      <c r="R257" t="s">
        <v>119</v>
      </c>
    </row>
    <row r="258" spans="1:18" x14ac:dyDescent="0.3">
      <c r="A258">
        <v>21529484</v>
      </c>
      <c r="B258" t="s">
        <v>78</v>
      </c>
      <c r="C258">
        <v>1326877</v>
      </c>
      <c r="D258" t="s">
        <v>78</v>
      </c>
      <c r="E258" t="s">
        <v>117</v>
      </c>
      <c r="F258" t="s">
        <v>117</v>
      </c>
      <c r="G258" t="s">
        <v>59</v>
      </c>
      <c r="H258" t="s">
        <v>230</v>
      </c>
      <c r="I258" t="s">
        <v>78</v>
      </c>
      <c r="J258" t="s">
        <v>42</v>
      </c>
      <c r="K258" t="s">
        <v>91</v>
      </c>
      <c r="L258" s="25">
        <v>44030</v>
      </c>
      <c r="M258">
        <v>7</v>
      </c>
      <c r="N258">
        <v>2020</v>
      </c>
      <c r="O258" t="s">
        <v>110</v>
      </c>
      <c r="P258">
        <v>170</v>
      </c>
      <c r="Q258" s="17">
        <v>44030.432899884261</v>
      </c>
      <c r="R258" t="s">
        <v>118</v>
      </c>
    </row>
    <row r="259" spans="1:18" x14ac:dyDescent="0.3">
      <c r="A259">
        <v>21529181</v>
      </c>
      <c r="B259" t="s">
        <v>80</v>
      </c>
      <c r="C259">
        <v>1327260</v>
      </c>
      <c r="D259" t="s">
        <v>113</v>
      </c>
      <c r="E259" t="s">
        <v>117</v>
      </c>
      <c r="F259" t="s">
        <v>117</v>
      </c>
      <c r="G259" t="s">
        <v>59</v>
      </c>
      <c r="H259" t="s">
        <v>232</v>
      </c>
      <c r="I259" t="s">
        <v>84</v>
      </c>
      <c r="J259" t="s">
        <v>85</v>
      </c>
      <c r="K259" t="s">
        <v>91</v>
      </c>
      <c r="L259" s="25">
        <v>44030</v>
      </c>
      <c r="M259">
        <v>7</v>
      </c>
      <c r="N259">
        <v>2020</v>
      </c>
      <c r="O259" t="s">
        <v>110</v>
      </c>
      <c r="P259">
        <v>170</v>
      </c>
      <c r="Q259" s="17">
        <v>44030.438443865743</v>
      </c>
      <c r="R259" t="s">
        <v>119</v>
      </c>
    </row>
    <row r="260" spans="1:18" x14ac:dyDescent="0.3">
      <c r="A260">
        <v>21529413</v>
      </c>
      <c r="B260" t="s">
        <v>78</v>
      </c>
      <c r="C260">
        <v>1327328</v>
      </c>
      <c r="D260" t="s">
        <v>78</v>
      </c>
      <c r="E260" t="s">
        <v>117</v>
      </c>
      <c r="F260" t="s">
        <v>117</v>
      </c>
      <c r="G260" t="s">
        <v>59</v>
      </c>
      <c r="H260" t="s">
        <v>231</v>
      </c>
      <c r="I260" t="s">
        <v>78</v>
      </c>
      <c r="J260" t="s">
        <v>42</v>
      </c>
      <c r="K260" t="s">
        <v>91</v>
      </c>
      <c r="L260" s="25">
        <v>44030</v>
      </c>
      <c r="M260">
        <v>7</v>
      </c>
      <c r="N260">
        <v>2020</v>
      </c>
      <c r="O260" t="s">
        <v>110</v>
      </c>
      <c r="P260">
        <v>170</v>
      </c>
      <c r="Q260" s="17">
        <v>44030.438391435186</v>
      </c>
      <c r="R260" t="s">
        <v>119</v>
      </c>
    </row>
    <row r="261" spans="1:18" x14ac:dyDescent="0.3">
      <c r="A261">
        <v>21528276</v>
      </c>
      <c r="B261" t="s">
        <v>78</v>
      </c>
      <c r="C261">
        <v>1327392</v>
      </c>
      <c r="D261" t="s">
        <v>78</v>
      </c>
      <c r="E261" t="s">
        <v>58</v>
      </c>
      <c r="F261" t="s">
        <v>58</v>
      </c>
      <c r="G261" t="s">
        <v>114</v>
      </c>
      <c r="H261" t="s">
        <v>105</v>
      </c>
      <c r="I261" t="s">
        <v>78</v>
      </c>
      <c r="J261" t="s">
        <v>42</v>
      </c>
      <c r="K261" t="s">
        <v>87</v>
      </c>
      <c r="L261" s="25">
        <v>44030</v>
      </c>
      <c r="M261">
        <v>7</v>
      </c>
      <c r="N261">
        <v>2020</v>
      </c>
      <c r="O261" t="s">
        <v>110</v>
      </c>
      <c r="P261">
        <v>170</v>
      </c>
      <c r="Q261" s="17">
        <v>44030.424439351853</v>
      </c>
      <c r="R261" t="s">
        <v>111</v>
      </c>
    </row>
    <row r="262" spans="1:18" x14ac:dyDescent="0.3">
      <c r="A262">
        <v>21529585</v>
      </c>
      <c r="B262" t="s">
        <v>80</v>
      </c>
      <c r="C262">
        <v>1327528</v>
      </c>
      <c r="D262" t="s">
        <v>113</v>
      </c>
      <c r="E262" t="s">
        <v>117</v>
      </c>
      <c r="F262" t="s">
        <v>117</v>
      </c>
      <c r="G262" t="s">
        <v>59</v>
      </c>
      <c r="H262" t="s">
        <v>257</v>
      </c>
      <c r="I262" t="s">
        <v>82</v>
      </c>
      <c r="J262" t="s">
        <v>42</v>
      </c>
      <c r="K262" t="s">
        <v>91</v>
      </c>
      <c r="L262" s="25">
        <v>44030</v>
      </c>
      <c r="M262">
        <v>7</v>
      </c>
      <c r="N262">
        <v>2020</v>
      </c>
      <c r="O262" t="s">
        <v>110</v>
      </c>
      <c r="P262">
        <v>170</v>
      </c>
      <c r="Q262" s="17">
        <v>44030.439037731485</v>
      </c>
      <c r="R262" t="s">
        <v>118</v>
      </c>
    </row>
    <row r="263" spans="1:18" x14ac:dyDescent="0.3">
      <c r="A263">
        <v>9684500</v>
      </c>
      <c r="B263" t="s">
        <v>72</v>
      </c>
      <c r="C263">
        <v>1327928</v>
      </c>
      <c r="D263" t="s">
        <v>108</v>
      </c>
      <c r="E263" t="s">
        <v>57</v>
      </c>
      <c r="F263" t="s">
        <v>57</v>
      </c>
      <c r="G263" t="s">
        <v>109</v>
      </c>
      <c r="H263" t="s">
        <v>229</v>
      </c>
      <c r="I263" t="s">
        <v>84</v>
      </c>
      <c r="J263" t="s">
        <v>85</v>
      </c>
      <c r="K263" t="s">
        <v>87</v>
      </c>
      <c r="L263" s="25">
        <v>44030</v>
      </c>
      <c r="M263">
        <v>7</v>
      </c>
      <c r="N263">
        <v>2020</v>
      </c>
      <c r="O263" t="s">
        <v>110</v>
      </c>
      <c r="P263">
        <v>170</v>
      </c>
      <c r="Q263" s="17">
        <v>44030.432947337962</v>
      </c>
      <c r="R263" t="s">
        <v>111</v>
      </c>
    </row>
    <row r="264" spans="1:18" x14ac:dyDescent="0.3">
      <c r="A264">
        <v>9683524</v>
      </c>
      <c r="B264" t="s">
        <v>72</v>
      </c>
      <c r="C264">
        <v>1327978</v>
      </c>
      <c r="D264" t="s">
        <v>108</v>
      </c>
      <c r="E264" t="s">
        <v>57</v>
      </c>
      <c r="F264" t="s">
        <v>57</v>
      </c>
      <c r="G264" t="s">
        <v>109</v>
      </c>
      <c r="H264" t="s">
        <v>229</v>
      </c>
      <c r="I264" t="s">
        <v>84</v>
      </c>
      <c r="J264" t="s">
        <v>85</v>
      </c>
      <c r="K264" t="s">
        <v>87</v>
      </c>
      <c r="L264" s="25">
        <v>44030</v>
      </c>
      <c r="M264">
        <v>7</v>
      </c>
      <c r="N264">
        <v>2020</v>
      </c>
      <c r="O264" t="s">
        <v>110</v>
      </c>
      <c r="P264">
        <v>170</v>
      </c>
      <c r="Q264" s="17">
        <v>44030.435987731478</v>
      </c>
      <c r="R264" t="s">
        <v>115</v>
      </c>
    </row>
    <row r="265" spans="1:18" x14ac:dyDescent="0.3">
      <c r="A265">
        <v>9684511</v>
      </c>
      <c r="B265" t="s">
        <v>79</v>
      </c>
      <c r="C265">
        <v>1327945</v>
      </c>
      <c r="D265" t="s">
        <v>116</v>
      </c>
      <c r="E265" t="s">
        <v>58</v>
      </c>
      <c r="F265" t="s">
        <v>58</v>
      </c>
      <c r="G265" t="s">
        <v>114</v>
      </c>
      <c r="H265" t="s">
        <v>233</v>
      </c>
      <c r="I265" t="s">
        <v>82</v>
      </c>
      <c r="J265" t="s">
        <v>42</v>
      </c>
      <c r="K265" t="s">
        <v>87</v>
      </c>
      <c r="L265" s="25">
        <v>44030</v>
      </c>
      <c r="M265">
        <v>7</v>
      </c>
      <c r="N265">
        <v>2020</v>
      </c>
      <c r="O265" t="s">
        <v>110</v>
      </c>
      <c r="P265">
        <v>170</v>
      </c>
      <c r="Q265" s="17">
        <v>44030.434908680552</v>
      </c>
      <c r="R265" t="s">
        <v>111</v>
      </c>
    </row>
    <row r="266" spans="1:18" x14ac:dyDescent="0.3">
      <c r="A266">
        <v>9683894</v>
      </c>
      <c r="B266" t="s">
        <v>72</v>
      </c>
      <c r="C266">
        <v>1327927</v>
      </c>
      <c r="D266" t="s">
        <v>108</v>
      </c>
      <c r="E266" t="s">
        <v>58</v>
      </c>
      <c r="F266" t="s">
        <v>58</v>
      </c>
      <c r="G266" t="s">
        <v>114</v>
      </c>
      <c r="H266" t="s">
        <v>258</v>
      </c>
      <c r="I266" t="s">
        <v>84</v>
      </c>
      <c r="J266" t="s">
        <v>85</v>
      </c>
      <c r="K266" t="s">
        <v>87</v>
      </c>
      <c r="L266" s="25">
        <v>44030</v>
      </c>
      <c r="M266">
        <v>7</v>
      </c>
      <c r="N266">
        <v>2020</v>
      </c>
      <c r="O266" t="s">
        <v>110</v>
      </c>
      <c r="P266">
        <v>170</v>
      </c>
      <c r="Q266" s="17">
        <v>44030.436929398151</v>
      </c>
      <c r="R266" t="s">
        <v>111</v>
      </c>
    </row>
    <row r="267" spans="1:18" x14ac:dyDescent="0.3">
      <c r="A267">
        <v>9684059</v>
      </c>
      <c r="B267" t="s">
        <v>72</v>
      </c>
      <c r="C267">
        <v>1327995</v>
      </c>
      <c r="D267" t="s">
        <v>108</v>
      </c>
      <c r="E267" t="s">
        <v>57</v>
      </c>
      <c r="F267" t="s">
        <v>57</v>
      </c>
      <c r="G267" t="s">
        <v>109</v>
      </c>
      <c r="H267" t="s">
        <v>229</v>
      </c>
      <c r="I267" t="s">
        <v>84</v>
      </c>
      <c r="J267" t="s">
        <v>85</v>
      </c>
      <c r="K267" t="s">
        <v>87</v>
      </c>
      <c r="L267" s="25">
        <v>44030</v>
      </c>
      <c r="M267">
        <v>7</v>
      </c>
      <c r="N267">
        <v>2020</v>
      </c>
      <c r="O267" t="s">
        <v>110</v>
      </c>
      <c r="P267">
        <v>170</v>
      </c>
      <c r="Q267" s="17">
        <v>44030.438588888886</v>
      </c>
      <c r="R267" t="s">
        <v>112</v>
      </c>
    </row>
    <row r="268" spans="1:18" x14ac:dyDescent="0.3">
      <c r="A268">
        <v>240784</v>
      </c>
      <c r="B268" t="s">
        <v>78</v>
      </c>
      <c r="C268">
        <v>1320035</v>
      </c>
      <c r="D268" t="s">
        <v>78</v>
      </c>
      <c r="E268" t="s">
        <v>57</v>
      </c>
      <c r="F268" t="s">
        <v>57</v>
      </c>
      <c r="G268" t="s">
        <v>109</v>
      </c>
      <c r="H268" t="s">
        <v>105</v>
      </c>
      <c r="I268" t="s">
        <v>78</v>
      </c>
      <c r="J268" t="s">
        <v>42</v>
      </c>
      <c r="K268" t="s">
        <v>87</v>
      </c>
      <c r="L268" s="25">
        <v>44030</v>
      </c>
      <c r="M268">
        <v>7</v>
      </c>
      <c r="N268">
        <v>2020</v>
      </c>
      <c r="O268" t="s">
        <v>110</v>
      </c>
      <c r="P268">
        <v>170</v>
      </c>
      <c r="Q268" s="17">
        <v>44030.462404861108</v>
      </c>
      <c r="R268" t="s">
        <v>111</v>
      </c>
    </row>
    <row r="269" spans="1:18" x14ac:dyDescent="0.3">
      <c r="A269">
        <v>21527665</v>
      </c>
      <c r="B269" t="s">
        <v>78</v>
      </c>
      <c r="C269">
        <v>1326553</v>
      </c>
      <c r="D269" t="s">
        <v>78</v>
      </c>
      <c r="E269" t="s">
        <v>117</v>
      </c>
      <c r="F269" t="s">
        <v>117</v>
      </c>
      <c r="G269" t="s">
        <v>59</v>
      </c>
      <c r="H269" t="s">
        <v>230</v>
      </c>
      <c r="I269" t="s">
        <v>78</v>
      </c>
      <c r="J269" t="s">
        <v>42</v>
      </c>
      <c r="K269" t="s">
        <v>91</v>
      </c>
      <c r="L269" s="25">
        <v>44030</v>
      </c>
      <c r="M269">
        <v>7</v>
      </c>
      <c r="N269">
        <v>2020</v>
      </c>
      <c r="O269" t="s">
        <v>110</v>
      </c>
      <c r="P269">
        <v>170</v>
      </c>
      <c r="Q269" s="17">
        <v>44030.425048263889</v>
      </c>
      <c r="R269" t="s">
        <v>118</v>
      </c>
    </row>
    <row r="270" spans="1:18" x14ac:dyDescent="0.3">
      <c r="A270">
        <v>21529448</v>
      </c>
      <c r="B270" t="s">
        <v>78</v>
      </c>
      <c r="C270">
        <v>1326728</v>
      </c>
      <c r="D270" t="s">
        <v>78</v>
      </c>
      <c r="E270" t="s">
        <v>117</v>
      </c>
      <c r="F270" t="s">
        <v>117</v>
      </c>
      <c r="G270" t="s">
        <v>59</v>
      </c>
      <c r="H270" t="s">
        <v>230</v>
      </c>
      <c r="I270" t="s">
        <v>78</v>
      </c>
      <c r="J270" t="s">
        <v>42</v>
      </c>
      <c r="K270" t="s">
        <v>91</v>
      </c>
      <c r="L270" s="25">
        <v>44030</v>
      </c>
      <c r="M270">
        <v>7</v>
      </c>
      <c r="N270">
        <v>2020</v>
      </c>
      <c r="O270" t="s">
        <v>110</v>
      </c>
      <c r="P270">
        <v>170</v>
      </c>
      <c r="Q270" s="17">
        <v>44030.431114236111</v>
      </c>
      <c r="R270" t="s">
        <v>118</v>
      </c>
    </row>
    <row r="271" spans="1:18" x14ac:dyDescent="0.3">
      <c r="A271">
        <v>21529328</v>
      </c>
      <c r="B271" t="s">
        <v>78</v>
      </c>
      <c r="C271">
        <v>1327132</v>
      </c>
      <c r="D271" t="s">
        <v>78</v>
      </c>
      <c r="E271" t="s">
        <v>117</v>
      </c>
      <c r="F271" t="s">
        <v>117</v>
      </c>
      <c r="G271" t="s">
        <v>59</v>
      </c>
      <c r="H271" t="s">
        <v>230</v>
      </c>
      <c r="I271" t="s">
        <v>78</v>
      </c>
      <c r="J271" t="s">
        <v>42</v>
      </c>
      <c r="K271" t="s">
        <v>91</v>
      </c>
      <c r="L271" s="25">
        <v>44030</v>
      </c>
      <c r="M271">
        <v>7</v>
      </c>
      <c r="N271">
        <v>2020</v>
      </c>
      <c r="O271" t="s">
        <v>110</v>
      </c>
      <c r="P271">
        <v>170</v>
      </c>
      <c r="Q271" s="17">
        <v>44030.435360532407</v>
      </c>
      <c r="R271" t="s">
        <v>118</v>
      </c>
    </row>
    <row r="272" spans="1:18" x14ac:dyDescent="0.3">
      <c r="A272">
        <v>9682660</v>
      </c>
      <c r="B272" t="s">
        <v>79</v>
      </c>
      <c r="C272">
        <v>1327400</v>
      </c>
      <c r="D272" t="s">
        <v>116</v>
      </c>
      <c r="E272" t="s">
        <v>58</v>
      </c>
      <c r="F272" t="s">
        <v>58</v>
      </c>
      <c r="G272" t="s">
        <v>114</v>
      </c>
      <c r="H272" t="s">
        <v>233</v>
      </c>
      <c r="I272" t="s">
        <v>82</v>
      </c>
      <c r="J272" t="s">
        <v>42</v>
      </c>
      <c r="K272" t="s">
        <v>87</v>
      </c>
      <c r="L272" s="25">
        <v>44030</v>
      </c>
      <c r="M272">
        <v>7</v>
      </c>
      <c r="N272">
        <v>2020</v>
      </c>
      <c r="O272" t="s">
        <v>110</v>
      </c>
      <c r="P272">
        <v>170</v>
      </c>
      <c r="Q272" s="17">
        <v>44030.426044907406</v>
      </c>
      <c r="R272" t="s">
        <v>111</v>
      </c>
    </row>
    <row r="273" spans="1:18" x14ac:dyDescent="0.3">
      <c r="A273">
        <v>9682315</v>
      </c>
      <c r="B273" t="s">
        <v>79</v>
      </c>
      <c r="C273">
        <v>1327566</v>
      </c>
      <c r="D273" t="s">
        <v>116</v>
      </c>
      <c r="E273" t="s">
        <v>58</v>
      </c>
      <c r="F273" t="s">
        <v>58</v>
      </c>
      <c r="G273" t="s">
        <v>114</v>
      </c>
      <c r="H273" t="s">
        <v>233</v>
      </c>
      <c r="I273" t="s">
        <v>82</v>
      </c>
      <c r="J273" t="s">
        <v>42</v>
      </c>
      <c r="K273" t="s">
        <v>87</v>
      </c>
      <c r="L273" s="25">
        <v>44030</v>
      </c>
      <c r="M273">
        <v>7</v>
      </c>
      <c r="N273">
        <v>2020</v>
      </c>
      <c r="O273" t="s">
        <v>110</v>
      </c>
      <c r="P273">
        <v>170</v>
      </c>
      <c r="Q273" s="17">
        <v>44030.428666782405</v>
      </c>
      <c r="R273" t="s">
        <v>111</v>
      </c>
    </row>
    <row r="274" spans="1:18" x14ac:dyDescent="0.3">
      <c r="A274">
        <v>9684258</v>
      </c>
      <c r="B274" t="s">
        <v>78</v>
      </c>
      <c r="C274">
        <v>1327923</v>
      </c>
      <c r="D274" t="s">
        <v>78</v>
      </c>
      <c r="E274" t="s">
        <v>57</v>
      </c>
      <c r="F274" t="s">
        <v>57</v>
      </c>
      <c r="G274" t="s">
        <v>109</v>
      </c>
      <c r="H274" t="s">
        <v>105</v>
      </c>
      <c r="I274" t="s">
        <v>78</v>
      </c>
      <c r="J274" t="s">
        <v>42</v>
      </c>
      <c r="K274" t="s">
        <v>87</v>
      </c>
      <c r="L274" s="25">
        <v>44030</v>
      </c>
      <c r="M274">
        <v>7</v>
      </c>
      <c r="N274">
        <v>2020</v>
      </c>
      <c r="O274" t="s">
        <v>110</v>
      </c>
      <c r="P274">
        <v>170</v>
      </c>
      <c r="Q274" s="17">
        <v>44030.433445601855</v>
      </c>
      <c r="R274" t="s">
        <v>111</v>
      </c>
    </row>
    <row r="275" spans="1:18" x14ac:dyDescent="0.3">
      <c r="A275">
        <v>9682938</v>
      </c>
      <c r="B275" t="s">
        <v>72</v>
      </c>
      <c r="C275">
        <v>1327898</v>
      </c>
      <c r="D275" t="s">
        <v>108</v>
      </c>
      <c r="E275" t="s">
        <v>57</v>
      </c>
      <c r="F275" t="s">
        <v>57</v>
      </c>
      <c r="G275" t="s">
        <v>109</v>
      </c>
      <c r="H275" t="s">
        <v>229</v>
      </c>
      <c r="I275" t="s">
        <v>84</v>
      </c>
      <c r="J275" t="s">
        <v>85</v>
      </c>
      <c r="K275" t="s">
        <v>87</v>
      </c>
      <c r="L275" s="25">
        <v>44030</v>
      </c>
      <c r="M275">
        <v>7</v>
      </c>
      <c r="N275">
        <v>2020</v>
      </c>
      <c r="O275" t="s">
        <v>110</v>
      </c>
      <c r="P275">
        <v>170</v>
      </c>
      <c r="Q275" s="17">
        <v>44030.433769097224</v>
      </c>
      <c r="R275" t="s">
        <v>115</v>
      </c>
    </row>
    <row r="276" spans="1:18" x14ac:dyDescent="0.3">
      <c r="A276">
        <v>9684148</v>
      </c>
      <c r="B276" t="s">
        <v>78</v>
      </c>
      <c r="C276">
        <v>1328000</v>
      </c>
      <c r="D276" t="s">
        <v>78</v>
      </c>
      <c r="E276" t="s">
        <v>57</v>
      </c>
      <c r="F276" t="s">
        <v>57</v>
      </c>
      <c r="G276" t="s">
        <v>109</v>
      </c>
      <c r="H276" t="s">
        <v>238</v>
      </c>
      <c r="I276" t="s">
        <v>78</v>
      </c>
      <c r="J276" t="s">
        <v>42</v>
      </c>
      <c r="K276" t="s">
        <v>87</v>
      </c>
      <c r="L276" s="25">
        <v>44030</v>
      </c>
      <c r="M276">
        <v>7</v>
      </c>
      <c r="N276">
        <v>2020</v>
      </c>
      <c r="O276" t="s">
        <v>110</v>
      </c>
      <c r="P276">
        <v>170</v>
      </c>
      <c r="Q276" s="17">
        <v>44030.441815393518</v>
      </c>
      <c r="R276" t="s">
        <v>120</v>
      </c>
    </row>
    <row r="277" spans="1:18" x14ac:dyDescent="0.3">
      <c r="A277">
        <v>9685353</v>
      </c>
      <c r="B277" t="s">
        <v>78</v>
      </c>
      <c r="C277">
        <v>1328034</v>
      </c>
      <c r="D277" t="s">
        <v>78</v>
      </c>
      <c r="E277" t="s">
        <v>57</v>
      </c>
      <c r="F277" t="s">
        <v>57</v>
      </c>
      <c r="G277" t="s">
        <v>109</v>
      </c>
      <c r="H277" t="s">
        <v>238</v>
      </c>
      <c r="I277" t="s">
        <v>78</v>
      </c>
      <c r="J277" t="s">
        <v>42</v>
      </c>
      <c r="K277" t="s">
        <v>87</v>
      </c>
      <c r="L277" s="25">
        <v>44030</v>
      </c>
      <c r="M277">
        <v>7</v>
      </c>
      <c r="N277">
        <v>2020</v>
      </c>
      <c r="O277" t="s">
        <v>110</v>
      </c>
      <c r="P277">
        <v>170</v>
      </c>
      <c r="Q277" s="17">
        <v>44030.447137037037</v>
      </c>
      <c r="R277" t="s">
        <v>115</v>
      </c>
    </row>
    <row r="278" spans="1:18" x14ac:dyDescent="0.3">
      <c r="A278">
        <v>9684291</v>
      </c>
      <c r="B278" t="s">
        <v>78</v>
      </c>
      <c r="C278">
        <v>1328166</v>
      </c>
      <c r="D278" t="s">
        <v>78</v>
      </c>
      <c r="E278" t="s">
        <v>57</v>
      </c>
      <c r="F278" t="s">
        <v>57</v>
      </c>
      <c r="G278" t="s">
        <v>109</v>
      </c>
      <c r="H278" t="s">
        <v>105</v>
      </c>
      <c r="I278" t="s">
        <v>78</v>
      </c>
      <c r="J278" t="s">
        <v>42</v>
      </c>
      <c r="K278" t="s">
        <v>87</v>
      </c>
      <c r="L278" s="25">
        <v>44030</v>
      </c>
      <c r="M278">
        <v>7</v>
      </c>
      <c r="N278">
        <v>2020</v>
      </c>
      <c r="O278" t="s">
        <v>110</v>
      </c>
      <c r="P278">
        <v>170</v>
      </c>
      <c r="Q278" s="17">
        <v>44030.445776388886</v>
      </c>
      <c r="R278" t="s">
        <v>111</v>
      </c>
    </row>
    <row r="279" spans="1:18" x14ac:dyDescent="0.3">
      <c r="A279">
        <v>9683691</v>
      </c>
      <c r="B279" t="s">
        <v>78</v>
      </c>
      <c r="C279">
        <v>1328600</v>
      </c>
      <c r="D279" t="s">
        <v>78</v>
      </c>
      <c r="E279" t="s">
        <v>58</v>
      </c>
      <c r="F279" t="s">
        <v>58</v>
      </c>
      <c r="G279" t="s">
        <v>114</v>
      </c>
      <c r="H279" t="s">
        <v>105</v>
      </c>
      <c r="I279" t="s">
        <v>78</v>
      </c>
      <c r="J279" t="s">
        <v>42</v>
      </c>
      <c r="K279" t="s">
        <v>87</v>
      </c>
      <c r="L279" s="25">
        <v>44030</v>
      </c>
      <c r="M279">
        <v>7</v>
      </c>
      <c r="N279">
        <v>2020</v>
      </c>
      <c r="O279" t="s">
        <v>110</v>
      </c>
      <c r="P279">
        <v>170</v>
      </c>
      <c r="Q279" s="17">
        <v>44030.447099652774</v>
      </c>
      <c r="R279" t="s">
        <v>111</v>
      </c>
    </row>
    <row r="280" spans="1:18" x14ac:dyDescent="0.3">
      <c r="A280">
        <v>9684931</v>
      </c>
      <c r="B280" t="s">
        <v>79</v>
      </c>
      <c r="C280">
        <v>1328595</v>
      </c>
      <c r="D280" t="s">
        <v>116</v>
      </c>
      <c r="E280" t="s">
        <v>58</v>
      </c>
      <c r="F280" t="s">
        <v>58</v>
      </c>
      <c r="G280" t="s">
        <v>114</v>
      </c>
      <c r="H280" t="s">
        <v>233</v>
      </c>
      <c r="I280" t="s">
        <v>82</v>
      </c>
      <c r="J280" t="s">
        <v>42</v>
      </c>
      <c r="K280" t="s">
        <v>87</v>
      </c>
      <c r="L280" s="25">
        <v>44030</v>
      </c>
      <c r="M280">
        <v>7</v>
      </c>
      <c r="N280">
        <v>2020</v>
      </c>
      <c r="O280" t="s">
        <v>110</v>
      </c>
      <c r="P280">
        <v>170</v>
      </c>
      <c r="Q280" s="17">
        <v>44030.445832870369</v>
      </c>
      <c r="R280" t="s">
        <v>111</v>
      </c>
    </row>
    <row r="281" spans="1:18" x14ac:dyDescent="0.3">
      <c r="A281">
        <v>9684260</v>
      </c>
      <c r="B281" t="s">
        <v>72</v>
      </c>
      <c r="C281">
        <v>1328829</v>
      </c>
      <c r="D281" t="s">
        <v>108</v>
      </c>
      <c r="E281" t="s">
        <v>57</v>
      </c>
      <c r="F281" t="s">
        <v>57</v>
      </c>
      <c r="G281" t="s">
        <v>109</v>
      </c>
      <c r="H281" t="s">
        <v>229</v>
      </c>
      <c r="I281" t="s">
        <v>84</v>
      </c>
      <c r="J281" t="s">
        <v>85</v>
      </c>
      <c r="K281" t="s">
        <v>87</v>
      </c>
      <c r="L281" s="25">
        <v>44030</v>
      </c>
      <c r="M281">
        <v>7</v>
      </c>
      <c r="N281">
        <v>2020</v>
      </c>
      <c r="O281" t="s">
        <v>110</v>
      </c>
      <c r="P281">
        <v>170</v>
      </c>
      <c r="Q281" s="17">
        <v>44030.450509374998</v>
      </c>
      <c r="R281" t="s">
        <v>111</v>
      </c>
    </row>
    <row r="282" spans="1:18" x14ac:dyDescent="0.3">
      <c r="A282">
        <v>9685534</v>
      </c>
      <c r="B282" t="s">
        <v>72</v>
      </c>
      <c r="C282">
        <v>1329038</v>
      </c>
      <c r="D282" t="s">
        <v>108</v>
      </c>
      <c r="E282" t="s">
        <v>58</v>
      </c>
      <c r="F282" t="s">
        <v>58</v>
      </c>
      <c r="G282" t="s">
        <v>114</v>
      </c>
      <c r="H282" t="s">
        <v>255</v>
      </c>
      <c r="I282" t="s">
        <v>84</v>
      </c>
      <c r="J282" t="s">
        <v>85</v>
      </c>
      <c r="K282" t="s">
        <v>87</v>
      </c>
      <c r="L282" s="25">
        <v>44030</v>
      </c>
      <c r="M282">
        <v>7</v>
      </c>
      <c r="N282">
        <v>2020</v>
      </c>
      <c r="O282" t="s">
        <v>110</v>
      </c>
      <c r="P282">
        <v>170</v>
      </c>
      <c r="Q282" s="17">
        <v>44030.454217013888</v>
      </c>
      <c r="R282" t="s">
        <v>111</v>
      </c>
    </row>
    <row r="283" spans="1:18" x14ac:dyDescent="0.3">
      <c r="A283">
        <v>9686414</v>
      </c>
      <c r="B283" t="s">
        <v>72</v>
      </c>
      <c r="C283">
        <v>1329970</v>
      </c>
      <c r="D283" t="s">
        <v>108</v>
      </c>
      <c r="E283" t="s">
        <v>58</v>
      </c>
      <c r="F283" t="s">
        <v>58</v>
      </c>
      <c r="G283" t="s">
        <v>114</v>
      </c>
      <c r="H283" t="s">
        <v>229</v>
      </c>
      <c r="I283" t="s">
        <v>84</v>
      </c>
      <c r="J283" t="s">
        <v>85</v>
      </c>
      <c r="K283" t="s">
        <v>87</v>
      </c>
      <c r="L283" s="25">
        <v>44030</v>
      </c>
      <c r="M283">
        <v>7</v>
      </c>
      <c r="N283">
        <v>2020</v>
      </c>
      <c r="O283" t="s">
        <v>110</v>
      </c>
      <c r="P283">
        <v>170</v>
      </c>
      <c r="Q283" s="17">
        <v>44030.469953587963</v>
      </c>
      <c r="R283" t="s">
        <v>111</v>
      </c>
    </row>
    <row r="284" spans="1:18" x14ac:dyDescent="0.3">
      <c r="A284">
        <v>9686480</v>
      </c>
      <c r="B284" t="s">
        <v>72</v>
      </c>
      <c r="C284">
        <v>1330029</v>
      </c>
      <c r="D284" t="s">
        <v>108</v>
      </c>
      <c r="E284" t="s">
        <v>58</v>
      </c>
      <c r="F284" t="s">
        <v>58</v>
      </c>
      <c r="G284" t="s">
        <v>114</v>
      </c>
      <c r="H284" t="s">
        <v>229</v>
      </c>
      <c r="I284" t="s">
        <v>84</v>
      </c>
      <c r="J284" t="s">
        <v>85</v>
      </c>
      <c r="K284" t="s">
        <v>87</v>
      </c>
      <c r="L284" s="25">
        <v>44030</v>
      </c>
      <c r="M284">
        <v>7</v>
      </c>
      <c r="N284">
        <v>2020</v>
      </c>
      <c r="O284" t="s">
        <v>110</v>
      </c>
      <c r="P284">
        <v>170</v>
      </c>
      <c r="Q284" s="17">
        <v>44030.474643171299</v>
      </c>
      <c r="R284" t="s">
        <v>121</v>
      </c>
    </row>
    <row r="285" spans="1:18" x14ac:dyDescent="0.3">
      <c r="A285">
        <v>9686640</v>
      </c>
      <c r="B285" t="s">
        <v>72</v>
      </c>
      <c r="C285">
        <v>1330072</v>
      </c>
      <c r="D285" t="s">
        <v>108</v>
      </c>
      <c r="E285" t="s">
        <v>58</v>
      </c>
      <c r="F285" t="s">
        <v>58</v>
      </c>
      <c r="G285" t="s">
        <v>114</v>
      </c>
      <c r="H285" t="s">
        <v>229</v>
      </c>
      <c r="I285" t="s">
        <v>84</v>
      </c>
      <c r="J285" t="s">
        <v>85</v>
      </c>
      <c r="K285" t="s">
        <v>87</v>
      </c>
      <c r="L285" s="25">
        <v>44030</v>
      </c>
      <c r="M285">
        <v>7</v>
      </c>
      <c r="N285">
        <v>2020</v>
      </c>
      <c r="O285" t="s">
        <v>110</v>
      </c>
      <c r="P285">
        <v>170</v>
      </c>
      <c r="Q285" s="17">
        <v>44030.476227430554</v>
      </c>
      <c r="R285" t="s">
        <v>111</v>
      </c>
    </row>
    <row r="286" spans="1:18" x14ac:dyDescent="0.3">
      <c r="A286">
        <v>244722</v>
      </c>
      <c r="B286" t="s">
        <v>72</v>
      </c>
      <c r="C286">
        <v>1330097</v>
      </c>
      <c r="D286" t="s">
        <v>108</v>
      </c>
      <c r="E286" t="s">
        <v>58</v>
      </c>
      <c r="F286" t="s">
        <v>58</v>
      </c>
      <c r="G286" t="s">
        <v>114</v>
      </c>
      <c r="H286" t="s">
        <v>229</v>
      </c>
      <c r="I286" t="s">
        <v>84</v>
      </c>
      <c r="J286" t="s">
        <v>85</v>
      </c>
      <c r="K286" t="s">
        <v>87</v>
      </c>
      <c r="L286" s="25">
        <v>44030</v>
      </c>
      <c r="M286">
        <v>7</v>
      </c>
      <c r="N286">
        <v>2020</v>
      </c>
      <c r="O286" t="s">
        <v>110</v>
      </c>
      <c r="P286">
        <v>170</v>
      </c>
      <c r="Q286" s="17">
        <v>44030.476914120372</v>
      </c>
      <c r="R286" t="s">
        <v>111</v>
      </c>
    </row>
    <row r="287" spans="1:18" x14ac:dyDescent="0.3">
      <c r="A287">
        <v>245032</v>
      </c>
      <c r="B287" t="s">
        <v>72</v>
      </c>
      <c r="C287">
        <v>1330106</v>
      </c>
      <c r="D287" t="s">
        <v>108</v>
      </c>
      <c r="E287" t="s">
        <v>58</v>
      </c>
      <c r="F287" t="s">
        <v>58</v>
      </c>
      <c r="G287" t="s">
        <v>114</v>
      </c>
      <c r="H287" t="s">
        <v>229</v>
      </c>
      <c r="I287" t="s">
        <v>84</v>
      </c>
      <c r="J287" t="s">
        <v>85</v>
      </c>
      <c r="K287" t="s">
        <v>87</v>
      </c>
      <c r="L287" s="25">
        <v>44030</v>
      </c>
      <c r="M287">
        <v>7</v>
      </c>
      <c r="N287">
        <v>2020</v>
      </c>
      <c r="O287" t="s">
        <v>110</v>
      </c>
      <c r="P287">
        <v>170</v>
      </c>
      <c r="Q287" s="17">
        <v>44030.477910995367</v>
      </c>
      <c r="R287" t="s">
        <v>111</v>
      </c>
    </row>
    <row r="288" spans="1:18" x14ac:dyDescent="0.3">
      <c r="A288">
        <v>9686811</v>
      </c>
      <c r="B288" t="s">
        <v>79</v>
      </c>
      <c r="C288">
        <v>1330199</v>
      </c>
      <c r="D288" t="s">
        <v>116</v>
      </c>
      <c r="E288" t="s">
        <v>58</v>
      </c>
      <c r="F288" t="s">
        <v>58</v>
      </c>
      <c r="G288" t="s">
        <v>114</v>
      </c>
      <c r="H288" t="s">
        <v>233</v>
      </c>
      <c r="I288" t="s">
        <v>82</v>
      </c>
      <c r="J288" t="s">
        <v>42</v>
      </c>
      <c r="K288" t="s">
        <v>87</v>
      </c>
      <c r="L288" s="25">
        <v>44030</v>
      </c>
      <c r="M288">
        <v>7</v>
      </c>
      <c r="N288">
        <v>2020</v>
      </c>
      <c r="O288" t="s">
        <v>110</v>
      </c>
      <c r="P288">
        <v>170</v>
      </c>
      <c r="Q288" s="17">
        <v>44030.480643171293</v>
      </c>
      <c r="R288" t="s">
        <v>111</v>
      </c>
    </row>
    <row r="289" spans="1:18" x14ac:dyDescent="0.3">
      <c r="A289">
        <v>241730</v>
      </c>
      <c r="B289" t="s">
        <v>72</v>
      </c>
      <c r="C289">
        <v>1322401</v>
      </c>
      <c r="D289" t="s">
        <v>108</v>
      </c>
      <c r="E289" t="s">
        <v>57</v>
      </c>
      <c r="F289" t="s">
        <v>57</v>
      </c>
      <c r="G289" t="s">
        <v>109</v>
      </c>
      <c r="H289" t="s">
        <v>229</v>
      </c>
      <c r="I289" t="s">
        <v>84</v>
      </c>
      <c r="J289" t="s">
        <v>85</v>
      </c>
      <c r="K289" t="s">
        <v>87</v>
      </c>
      <c r="L289" s="25">
        <v>44030</v>
      </c>
      <c r="M289">
        <v>7</v>
      </c>
      <c r="N289">
        <v>2020</v>
      </c>
      <c r="O289" t="s">
        <v>110</v>
      </c>
      <c r="P289">
        <v>170</v>
      </c>
      <c r="Q289" s="17">
        <v>44030.482389004632</v>
      </c>
      <c r="R289" t="s">
        <v>111</v>
      </c>
    </row>
    <row r="290" spans="1:18" x14ac:dyDescent="0.3">
      <c r="A290">
        <v>21529333</v>
      </c>
      <c r="B290" t="s">
        <v>78</v>
      </c>
      <c r="C290">
        <v>1326388</v>
      </c>
      <c r="D290" t="s">
        <v>78</v>
      </c>
      <c r="E290" t="s">
        <v>117</v>
      </c>
      <c r="F290" t="s">
        <v>117</v>
      </c>
      <c r="G290" t="s">
        <v>59</v>
      </c>
      <c r="H290" t="s">
        <v>230</v>
      </c>
      <c r="I290" t="s">
        <v>78</v>
      </c>
      <c r="J290" t="s">
        <v>42</v>
      </c>
      <c r="K290" t="s">
        <v>91</v>
      </c>
      <c r="L290" s="25">
        <v>44030</v>
      </c>
      <c r="M290">
        <v>7</v>
      </c>
      <c r="N290">
        <v>2020</v>
      </c>
      <c r="O290" t="s">
        <v>110</v>
      </c>
      <c r="P290">
        <v>170</v>
      </c>
      <c r="Q290" s="17">
        <v>44030.424931944443</v>
      </c>
      <c r="R290" t="s">
        <v>118</v>
      </c>
    </row>
    <row r="291" spans="1:18" x14ac:dyDescent="0.3">
      <c r="A291">
        <v>21527389</v>
      </c>
      <c r="B291" t="s">
        <v>72</v>
      </c>
      <c r="C291">
        <v>1326263</v>
      </c>
      <c r="D291" t="s">
        <v>108</v>
      </c>
      <c r="E291" t="s">
        <v>117</v>
      </c>
      <c r="F291" t="s">
        <v>117</v>
      </c>
      <c r="G291" t="s">
        <v>59</v>
      </c>
      <c r="H291" t="s">
        <v>229</v>
      </c>
      <c r="I291" t="s">
        <v>84</v>
      </c>
      <c r="J291" t="s">
        <v>85</v>
      </c>
      <c r="K291" t="s">
        <v>91</v>
      </c>
      <c r="L291" s="25">
        <v>44030</v>
      </c>
      <c r="M291">
        <v>7</v>
      </c>
      <c r="N291">
        <v>2020</v>
      </c>
      <c r="O291" t="s">
        <v>110</v>
      </c>
      <c r="P291">
        <v>170</v>
      </c>
      <c r="Q291" s="17">
        <v>44030.423900925925</v>
      </c>
      <c r="R291" t="s">
        <v>119</v>
      </c>
    </row>
    <row r="292" spans="1:18" x14ac:dyDescent="0.3">
      <c r="A292">
        <v>21528273</v>
      </c>
      <c r="B292" t="s">
        <v>78</v>
      </c>
      <c r="C292">
        <v>1326638</v>
      </c>
      <c r="D292" t="s">
        <v>78</v>
      </c>
      <c r="E292" t="s">
        <v>117</v>
      </c>
      <c r="F292" t="s">
        <v>117</v>
      </c>
      <c r="G292" t="s">
        <v>59</v>
      </c>
      <c r="H292" t="s">
        <v>230</v>
      </c>
      <c r="I292" t="s">
        <v>78</v>
      </c>
      <c r="J292" t="s">
        <v>42</v>
      </c>
      <c r="K292" t="s">
        <v>91</v>
      </c>
      <c r="L292" s="25">
        <v>44030</v>
      </c>
      <c r="M292">
        <v>7</v>
      </c>
      <c r="N292">
        <v>2020</v>
      </c>
      <c r="O292" t="s">
        <v>110</v>
      </c>
      <c r="P292">
        <v>170</v>
      </c>
      <c r="Q292" s="17">
        <v>44030.427610648148</v>
      </c>
      <c r="R292" t="s">
        <v>118</v>
      </c>
    </row>
    <row r="293" spans="1:18" x14ac:dyDescent="0.3">
      <c r="A293">
        <v>21528562</v>
      </c>
      <c r="B293" t="s">
        <v>78</v>
      </c>
      <c r="C293">
        <v>1326706</v>
      </c>
      <c r="D293" t="s">
        <v>78</v>
      </c>
      <c r="E293" t="s">
        <v>117</v>
      </c>
      <c r="F293" t="s">
        <v>117</v>
      </c>
      <c r="G293" t="s">
        <v>59</v>
      </c>
      <c r="H293" t="s">
        <v>230</v>
      </c>
      <c r="I293" t="s">
        <v>78</v>
      </c>
      <c r="J293" t="s">
        <v>42</v>
      </c>
      <c r="K293" t="s">
        <v>91</v>
      </c>
      <c r="L293" s="25">
        <v>44030</v>
      </c>
      <c r="M293">
        <v>7</v>
      </c>
      <c r="N293">
        <v>2020</v>
      </c>
      <c r="O293" t="s">
        <v>110</v>
      </c>
      <c r="P293">
        <v>170</v>
      </c>
      <c r="Q293" s="17">
        <v>44030.429158101855</v>
      </c>
      <c r="R293" t="s">
        <v>118</v>
      </c>
    </row>
    <row r="294" spans="1:18" x14ac:dyDescent="0.3">
      <c r="A294">
        <v>21529236</v>
      </c>
      <c r="B294" t="s">
        <v>78</v>
      </c>
      <c r="C294">
        <v>1327331</v>
      </c>
      <c r="D294" t="s">
        <v>78</v>
      </c>
      <c r="E294" t="s">
        <v>117</v>
      </c>
      <c r="F294" t="s">
        <v>117</v>
      </c>
      <c r="G294" t="s">
        <v>59</v>
      </c>
      <c r="H294" t="s">
        <v>230</v>
      </c>
      <c r="I294" t="s">
        <v>78</v>
      </c>
      <c r="J294" t="s">
        <v>42</v>
      </c>
      <c r="K294" t="s">
        <v>91</v>
      </c>
      <c r="L294" s="25">
        <v>44030</v>
      </c>
      <c r="M294">
        <v>7</v>
      </c>
      <c r="N294">
        <v>2020</v>
      </c>
      <c r="O294" t="s">
        <v>110</v>
      </c>
      <c r="P294">
        <v>170</v>
      </c>
      <c r="Q294" s="17">
        <v>44030.438371180557</v>
      </c>
      <c r="R294" t="s">
        <v>118</v>
      </c>
    </row>
    <row r="295" spans="1:18" x14ac:dyDescent="0.3">
      <c r="A295">
        <v>21529235</v>
      </c>
      <c r="B295" t="s">
        <v>78</v>
      </c>
      <c r="C295">
        <v>1327324</v>
      </c>
      <c r="D295" t="s">
        <v>78</v>
      </c>
      <c r="E295" t="s">
        <v>117</v>
      </c>
      <c r="F295" t="s">
        <v>117</v>
      </c>
      <c r="G295" t="s">
        <v>59</v>
      </c>
      <c r="H295" t="s">
        <v>230</v>
      </c>
      <c r="I295" t="s">
        <v>78</v>
      </c>
      <c r="J295" t="s">
        <v>42</v>
      </c>
      <c r="K295" t="s">
        <v>91</v>
      </c>
      <c r="L295" s="25">
        <v>44030</v>
      </c>
      <c r="M295">
        <v>7</v>
      </c>
      <c r="N295">
        <v>2020</v>
      </c>
      <c r="O295" t="s">
        <v>110</v>
      </c>
      <c r="P295">
        <v>170</v>
      </c>
      <c r="Q295" s="17">
        <v>44030.439294444448</v>
      </c>
      <c r="R295" t="s">
        <v>118</v>
      </c>
    </row>
    <row r="296" spans="1:18" x14ac:dyDescent="0.3">
      <c r="A296">
        <v>21529360</v>
      </c>
      <c r="B296" t="s">
        <v>78</v>
      </c>
      <c r="C296">
        <v>1327306</v>
      </c>
      <c r="D296" t="s">
        <v>78</v>
      </c>
      <c r="E296" t="s">
        <v>58</v>
      </c>
      <c r="F296" t="s">
        <v>58</v>
      </c>
      <c r="G296" t="s">
        <v>114</v>
      </c>
      <c r="H296" t="s">
        <v>105</v>
      </c>
      <c r="I296" t="s">
        <v>78</v>
      </c>
      <c r="J296" t="s">
        <v>42</v>
      </c>
      <c r="K296" t="s">
        <v>87</v>
      </c>
      <c r="L296" s="25">
        <v>44030</v>
      </c>
      <c r="M296">
        <v>7</v>
      </c>
      <c r="N296">
        <v>2020</v>
      </c>
      <c r="O296" t="s">
        <v>110</v>
      </c>
      <c r="P296">
        <v>170</v>
      </c>
      <c r="Q296" s="17">
        <v>44030.425251620371</v>
      </c>
      <c r="R296" t="s">
        <v>111</v>
      </c>
    </row>
    <row r="297" spans="1:18" x14ac:dyDescent="0.3">
      <c r="A297">
        <v>241846</v>
      </c>
      <c r="B297" t="s">
        <v>78</v>
      </c>
      <c r="C297">
        <v>1327388</v>
      </c>
      <c r="D297" t="s">
        <v>78</v>
      </c>
      <c r="E297" t="s">
        <v>117</v>
      </c>
      <c r="F297" t="s">
        <v>117</v>
      </c>
      <c r="G297" t="s">
        <v>59</v>
      </c>
      <c r="H297" t="s">
        <v>230</v>
      </c>
      <c r="I297" t="s">
        <v>78</v>
      </c>
      <c r="J297" t="s">
        <v>42</v>
      </c>
      <c r="K297" t="s">
        <v>91</v>
      </c>
      <c r="L297" s="25">
        <v>44030</v>
      </c>
      <c r="M297">
        <v>7</v>
      </c>
      <c r="N297">
        <v>2020</v>
      </c>
      <c r="O297" t="s">
        <v>110</v>
      </c>
      <c r="P297">
        <v>170</v>
      </c>
      <c r="Q297" s="17">
        <v>44030.439556365738</v>
      </c>
      <c r="R297" t="s">
        <v>118</v>
      </c>
    </row>
    <row r="298" spans="1:18" x14ac:dyDescent="0.3">
      <c r="A298">
        <v>21528770</v>
      </c>
      <c r="B298" t="s">
        <v>72</v>
      </c>
      <c r="C298">
        <v>1327481</v>
      </c>
      <c r="D298" t="s">
        <v>108</v>
      </c>
      <c r="E298" t="s">
        <v>58</v>
      </c>
      <c r="F298" t="s">
        <v>58</v>
      </c>
      <c r="G298" t="s">
        <v>114</v>
      </c>
      <c r="H298" t="s">
        <v>229</v>
      </c>
      <c r="I298" t="s">
        <v>84</v>
      </c>
      <c r="J298" t="s">
        <v>85</v>
      </c>
      <c r="K298" t="s">
        <v>87</v>
      </c>
      <c r="L298" s="25">
        <v>44030</v>
      </c>
      <c r="M298">
        <v>7</v>
      </c>
      <c r="N298">
        <v>2020</v>
      </c>
      <c r="O298" t="s">
        <v>110</v>
      </c>
      <c r="P298">
        <v>170</v>
      </c>
      <c r="Q298" s="17">
        <v>44030.424287615744</v>
      </c>
      <c r="R298" t="s">
        <v>111</v>
      </c>
    </row>
    <row r="299" spans="1:18" x14ac:dyDescent="0.3">
      <c r="A299">
        <v>21528006</v>
      </c>
      <c r="B299" t="s">
        <v>72</v>
      </c>
      <c r="C299">
        <v>1327599</v>
      </c>
      <c r="D299" t="s">
        <v>108</v>
      </c>
      <c r="E299" t="s">
        <v>58</v>
      </c>
      <c r="F299" t="s">
        <v>58</v>
      </c>
      <c r="G299" t="s">
        <v>114</v>
      </c>
      <c r="H299" t="s">
        <v>229</v>
      </c>
      <c r="I299" t="s">
        <v>84</v>
      </c>
      <c r="J299" t="s">
        <v>85</v>
      </c>
      <c r="K299" t="s">
        <v>87</v>
      </c>
      <c r="L299" s="25">
        <v>44030</v>
      </c>
      <c r="M299">
        <v>7</v>
      </c>
      <c r="N299">
        <v>2020</v>
      </c>
      <c r="O299" t="s">
        <v>110</v>
      </c>
      <c r="P299">
        <v>170</v>
      </c>
      <c r="Q299" s="17">
        <v>44030.427895833331</v>
      </c>
      <c r="R299" t="s">
        <v>111</v>
      </c>
    </row>
    <row r="300" spans="1:18" x14ac:dyDescent="0.3">
      <c r="A300">
        <v>21529143</v>
      </c>
      <c r="B300" t="s">
        <v>78</v>
      </c>
      <c r="C300">
        <v>1327617</v>
      </c>
      <c r="D300" t="s">
        <v>78</v>
      </c>
      <c r="E300" t="s">
        <v>117</v>
      </c>
      <c r="F300" t="s">
        <v>117</v>
      </c>
      <c r="G300" t="s">
        <v>59</v>
      </c>
      <c r="H300" t="s">
        <v>230</v>
      </c>
      <c r="I300" t="s">
        <v>78</v>
      </c>
      <c r="J300" t="s">
        <v>42</v>
      </c>
      <c r="K300" t="s">
        <v>91</v>
      </c>
      <c r="L300" s="25">
        <v>44030</v>
      </c>
      <c r="M300">
        <v>7</v>
      </c>
      <c r="N300">
        <v>2020</v>
      </c>
      <c r="O300" t="s">
        <v>110</v>
      </c>
      <c r="P300">
        <v>170</v>
      </c>
      <c r="Q300" s="17">
        <v>44030.441447337966</v>
      </c>
      <c r="R300" t="s">
        <v>118</v>
      </c>
    </row>
    <row r="301" spans="1:18" x14ac:dyDescent="0.3">
      <c r="A301">
        <v>9682900</v>
      </c>
      <c r="B301" t="s">
        <v>72</v>
      </c>
      <c r="C301">
        <v>1327642</v>
      </c>
      <c r="D301" t="s">
        <v>108</v>
      </c>
      <c r="E301" t="s">
        <v>57</v>
      </c>
      <c r="F301" t="s">
        <v>57</v>
      </c>
      <c r="G301" t="s">
        <v>109</v>
      </c>
      <c r="H301" t="s">
        <v>229</v>
      </c>
      <c r="I301" t="s">
        <v>84</v>
      </c>
      <c r="J301" t="s">
        <v>85</v>
      </c>
      <c r="K301" t="s">
        <v>87</v>
      </c>
      <c r="L301" s="25">
        <v>44030</v>
      </c>
      <c r="M301">
        <v>7</v>
      </c>
      <c r="N301">
        <v>2020</v>
      </c>
      <c r="O301" t="s">
        <v>110</v>
      </c>
      <c r="P301">
        <v>170</v>
      </c>
      <c r="Q301" s="17">
        <v>44030.428697569441</v>
      </c>
      <c r="R301" t="s">
        <v>112</v>
      </c>
    </row>
    <row r="302" spans="1:18" x14ac:dyDescent="0.3">
      <c r="A302">
        <v>9684198</v>
      </c>
      <c r="B302" t="s">
        <v>80</v>
      </c>
      <c r="C302">
        <v>1327842</v>
      </c>
      <c r="D302" t="s">
        <v>113</v>
      </c>
      <c r="E302" t="s">
        <v>58</v>
      </c>
      <c r="F302" t="s">
        <v>58</v>
      </c>
      <c r="G302" t="s">
        <v>114</v>
      </c>
      <c r="H302" t="s">
        <v>232</v>
      </c>
      <c r="I302" t="s">
        <v>84</v>
      </c>
      <c r="J302" t="s">
        <v>85</v>
      </c>
      <c r="K302" t="s">
        <v>87</v>
      </c>
      <c r="L302" s="25">
        <v>44030</v>
      </c>
      <c r="M302">
        <v>7</v>
      </c>
      <c r="N302">
        <v>2020</v>
      </c>
      <c r="O302" t="s">
        <v>110</v>
      </c>
      <c r="P302">
        <v>170</v>
      </c>
      <c r="Q302" s="17">
        <v>44030.443833912039</v>
      </c>
      <c r="R302" t="s">
        <v>115</v>
      </c>
    </row>
    <row r="303" spans="1:18" x14ac:dyDescent="0.3">
      <c r="A303">
        <v>21529055</v>
      </c>
      <c r="B303" t="s">
        <v>72</v>
      </c>
      <c r="C303">
        <v>1327667</v>
      </c>
      <c r="D303" t="s">
        <v>108</v>
      </c>
      <c r="E303" t="s">
        <v>58</v>
      </c>
      <c r="F303" t="s">
        <v>58</v>
      </c>
      <c r="G303" t="s">
        <v>114</v>
      </c>
      <c r="H303" t="s">
        <v>229</v>
      </c>
      <c r="I303" t="s">
        <v>84</v>
      </c>
      <c r="J303" t="s">
        <v>85</v>
      </c>
      <c r="K303" t="s">
        <v>87</v>
      </c>
      <c r="L303" s="25">
        <v>44030</v>
      </c>
      <c r="M303">
        <v>7</v>
      </c>
      <c r="N303">
        <v>2020</v>
      </c>
      <c r="O303" t="s">
        <v>110</v>
      </c>
      <c r="P303">
        <v>170</v>
      </c>
      <c r="Q303" s="17">
        <v>44030.432994560186</v>
      </c>
      <c r="R303" t="s">
        <v>111</v>
      </c>
    </row>
    <row r="304" spans="1:18" x14ac:dyDescent="0.3">
      <c r="A304">
        <v>9683894</v>
      </c>
      <c r="B304" t="s">
        <v>72</v>
      </c>
      <c r="C304">
        <v>1327931</v>
      </c>
      <c r="D304" t="s">
        <v>108</v>
      </c>
      <c r="E304" t="s">
        <v>58</v>
      </c>
      <c r="F304" t="s">
        <v>58</v>
      </c>
      <c r="G304" t="s">
        <v>114</v>
      </c>
      <c r="H304" t="s">
        <v>258</v>
      </c>
      <c r="I304" t="s">
        <v>84</v>
      </c>
      <c r="J304" t="s">
        <v>85</v>
      </c>
      <c r="K304" t="s">
        <v>87</v>
      </c>
      <c r="L304" s="25">
        <v>44030</v>
      </c>
      <c r="M304">
        <v>7</v>
      </c>
      <c r="N304">
        <v>2020</v>
      </c>
      <c r="O304" t="s">
        <v>110</v>
      </c>
      <c r="P304">
        <v>170</v>
      </c>
      <c r="Q304" s="17">
        <v>44030.438928009258</v>
      </c>
      <c r="R304" t="s">
        <v>111</v>
      </c>
    </row>
    <row r="305" spans="1:18" x14ac:dyDescent="0.3">
      <c r="A305">
        <v>9683461</v>
      </c>
      <c r="B305" t="s">
        <v>78</v>
      </c>
      <c r="C305">
        <v>1327992</v>
      </c>
      <c r="D305" t="s">
        <v>78</v>
      </c>
      <c r="E305" t="s">
        <v>57</v>
      </c>
      <c r="F305" t="s">
        <v>57</v>
      </c>
      <c r="G305" t="s">
        <v>109</v>
      </c>
      <c r="H305" t="s">
        <v>228</v>
      </c>
      <c r="I305" t="s">
        <v>78</v>
      </c>
      <c r="J305" t="s">
        <v>42</v>
      </c>
      <c r="K305" t="s">
        <v>87</v>
      </c>
      <c r="L305" s="25">
        <v>44030</v>
      </c>
      <c r="M305">
        <v>7</v>
      </c>
      <c r="N305">
        <v>2020</v>
      </c>
      <c r="O305" t="s">
        <v>110</v>
      </c>
      <c r="P305">
        <v>170</v>
      </c>
      <c r="Q305" s="17">
        <v>44030.442748263886</v>
      </c>
      <c r="R305" t="s">
        <v>112</v>
      </c>
    </row>
    <row r="306" spans="1:18" x14ac:dyDescent="0.3">
      <c r="A306">
        <v>9683038</v>
      </c>
      <c r="B306" t="s">
        <v>72</v>
      </c>
      <c r="C306">
        <v>1327999</v>
      </c>
      <c r="D306" t="s">
        <v>108</v>
      </c>
      <c r="E306" t="s">
        <v>57</v>
      </c>
      <c r="F306" t="s">
        <v>57</v>
      </c>
      <c r="G306" t="s">
        <v>109</v>
      </c>
      <c r="H306" t="s">
        <v>229</v>
      </c>
      <c r="I306" t="s">
        <v>84</v>
      </c>
      <c r="J306" t="s">
        <v>85</v>
      </c>
      <c r="K306" t="s">
        <v>87</v>
      </c>
      <c r="L306" s="25">
        <v>44030</v>
      </c>
      <c r="M306">
        <v>7</v>
      </c>
      <c r="N306">
        <v>2020</v>
      </c>
      <c r="O306" t="s">
        <v>110</v>
      </c>
      <c r="P306">
        <v>170</v>
      </c>
      <c r="Q306" s="17">
        <v>44030.440582175928</v>
      </c>
      <c r="R306" t="s">
        <v>111</v>
      </c>
    </row>
    <row r="307" spans="1:18" x14ac:dyDescent="0.3">
      <c r="A307">
        <v>9684388</v>
      </c>
      <c r="B307" t="s">
        <v>72</v>
      </c>
      <c r="C307">
        <v>1328067</v>
      </c>
      <c r="D307" t="s">
        <v>108</v>
      </c>
      <c r="E307" t="s">
        <v>58</v>
      </c>
      <c r="F307" t="s">
        <v>58</v>
      </c>
      <c r="G307" t="s">
        <v>114</v>
      </c>
      <c r="H307" t="s">
        <v>237</v>
      </c>
      <c r="I307" t="s">
        <v>84</v>
      </c>
      <c r="J307" t="s">
        <v>85</v>
      </c>
      <c r="K307" t="s">
        <v>87</v>
      </c>
      <c r="L307" s="25">
        <v>44030</v>
      </c>
      <c r="M307">
        <v>7</v>
      </c>
      <c r="N307">
        <v>2020</v>
      </c>
      <c r="O307" t="s">
        <v>110</v>
      </c>
      <c r="P307">
        <v>170</v>
      </c>
      <c r="Q307" s="17">
        <v>44030.441878472222</v>
      </c>
      <c r="R307" t="s">
        <v>111</v>
      </c>
    </row>
    <row r="308" spans="1:18" x14ac:dyDescent="0.3">
      <c r="A308">
        <v>9685541</v>
      </c>
      <c r="B308" t="s">
        <v>78</v>
      </c>
      <c r="C308">
        <v>1328578</v>
      </c>
      <c r="D308" t="s">
        <v>78</v>
      </c>
      <c r="E308" t="s">
        <v>57</v>
      </c>
      <c r="F308" t="s">
        <v>57</v>
      </c>
      <c r="G308" t="s">
        <v>109</v>
      </c>
      <c r="H308" t="s">
        <v>105</v>
      </c>
      <c r="I308" t="s">
        <v>78</v>
      </c>
      <c r="J308" t="s">
        <v>42</v>
      </c>
      <c r="K308" t="s">
        <v>87</v>
      </c>
      <c r="L308" s="25">
        <v>44030</v>
      </c>
      <c r="M308">
        <v>7</v>
      </c>
      <c r="N308">
        <v>2020</v>
      </c>
      <c r="O308" t="s">
        <v>110</v>
      </c>
      <c r="P308">
        <v>170</v>
      </c>
      <c r="Q308" s="17">
        <v>44030.446126273149</v>
      </c>
      <c r="R308" t="s">
        <v>111</v>
      </c>
    </row>
    <row r="309" spans="1:18" x14ac:dyDescent="0.3">
      <c r="A309">
        <v>9684897</v>
      </c>
      <c r="B309" t="s">
        <v>78</v>
      </c>
      <c r="C309">
        <v>1328660</v>
      </c>
      <c r="D309" t="s">
        <v>78</v>
      </c>
      <c r="E309" t="s">
        <v>58</v>
      </c>
      <c r="F309" t="s">
        <v>58</v>
      </c>
      <c r="G309" t="s">
        <v>114</v>
      </c>
      <c r="H309" t="s">
        <v>105</v>
      </c>
      <c r="I309" t="s">
        <v>78</v>
      </c>
      <c r="J309" t="s">
        <v>42</v>
      </c>
      <c r="K309" t="s">
        <v>87</v>
      </c>
      <c r="L309" s="25">
        <v>44030</v>
      </c>
      <c r="M309">
        <v>7</v>
      </c>
      <c r="N309">
        <v>2020</v>
      </c>
      <c r="O309" t="s">
        <v>110</v>
      </c>
      <c r="P309">
        <v>170</v>
      </c>
      <c r="Q309" s="17">
        <v>44030.449702777776</v>
      </c>
      <c r="R309" t="s">
        <v>112</v>
      </c>
    </row>
    <row r="310" spans="1:18" x14ac:dyDescent="0.3">
      <c r="A310">
        <v>9683008</v>
      </c>
      <c r="B310" t="s">
        <v>72</v>
      </c>
      <c r="C310">
        <v>1327980</v>
      </c>
      <c r="D310" t="s">
        <v>108</v>
      </c>
      <c r="E310" t="s">
        <v>57</v>
      </c>
      <c r="F310" t="s">
        <v>57</v>
      </c>
      <c r="G310" t="s">
        <v>109</v>
      </c>
      <c r="H310" t="s">
        <v>229</v>
      </c>
      <c r="I310" t="s">
        <v>84</v>
      </c>
      <c r="J310" t="s">
        <v>85</v>
      </c>
      <c r="K310" t="s">
        <v>87</v>
      </c>
      <c r="L310" s="25">
        <v>44030</v>
      </c>
      <c r="M310">
        <v>7</v>
      </c>
      <c r="N310">
        <v>2020</v>
      </c>
      <c r="O310" t="s">
        <v>110</v>
      </c>
      <c r="P310">
        <v>170</v>
      </c>
      <c r="Q310" s="17">
        <v>44030.443693865738</v>
      </c>
      <c r="R310" t="s">
        <v>112</v>
      </c>
    </row>
    <row r="311" spans="1:18" x14ac:dyDescent="0.3">
      <c r="A311">
        <v>9684386</v>
      </c>
      <c r="B311" t="s">
        <v>72</v>
      </c>
      <c r="C311">
        <v>1328616</v>
      </c>
      <c r="D311" t="s">
        <v>108</v>
      </c>
      <c r="E311" t="s">
        <v>57</v>
      </c>
      <c r="F311" t="s">
        <v>57</v>
      </c>
      <c r="G311" t="s">
        <v>109</v>
      </c>
      <c r="H311" t="s">
        <v>229</v>
      </c>
      <c r="I311" t="s">
        <v>84</v>
      </c>
      <c r="J311" t="s">
        <v>85</v>
      </c>
      <c r="K311" t="s">
        <v>87</v>
      </c>
      <c r="L311" s="25">
        <v>44030</v>
      </c>
      <c r="M311">
        <v>7</v>
      </c>
      <c r="N311">
        <v>2020</v>
      </c>
      <c r="O311" t="s">
        <v>110</v>
      </c>
      <c r="P311">
        <v>170</v>
      </c>
      <c r="Q311" s="17">
        <v>44030.447000462962</v>
      </c>
      <c r="R311" t="s">
        <v>115</v>
      </c>
    </row>
    <row r="312" spans="1:18" x14ac:dyDescent="0.3">
      <c r="A312">
        <v>9685514</v>
      </c>
      <c r="B312" t="s">
        <v>72</v>
      </c>
      <c r="C312">
        <v>1328629</v>
      </c>
      <c r="D312" t="s">
        <v>108</v>
      </c>
      <c r="E312" t="s">
        <v>57</v>
      </c>
      <c r="F312" t="s">
        <v>57</v>
      </c>
      <c r="G312" t="s">
        <v>109</v>
      </c>
      <c r="H312" t="s">
        <v>229</v>
      </c>
      <c r="I312" t="s">
        <v>84</v>
      </c>
      <c r="J312" t="s">
        <v>85</v>
      </c>
      <c r="K312" t="s">
        <v>87</v>
      </c>
      <c r="L312" s="25">
        <v>44030</v>
      </c>
      <c r="M312">
        <v>7</v>
      </c>
      <c r="N312">
        <v>2020</v>
      </c>
      <c r="O312" t="s">
        <v>110</v>
      </c>
      <c r="P312">
        <v>170</v>
      </c>
      <c r="Q312" s="17">
        <v>44030.446790393522</v>
      </c>
      <c r="R312" t="s">
        <v>112</v>
      </c>
    </row>
    <row r="313" spans="1:18" x14ac:dyDescent="0.3">
      <c r="A313">
        <v>9684888</v>
      </c>
      <c r="B313" t="s">
        <v>78</v>
      </c>
      <c r="C313">
        <v>1328880</v>
      </c>
      <c r="D313" t="s">
        <v>78</v>
      </c>
      <c r="E313" t="s">
        <v>58</v>
      </c>
      <c r="F313" t="s">
        <v>58</v>
      </c>
      <c r="G313" t="s">
        <v>114</v>
      </c>
      <c r="H313" t="s">
        <v>105</v>
      </c>
      <c r="I313" t="s">
        <v>78</v>
      </c>
      <c r="J313" t="s">
        <v>42</v>
      </c>
      <c r="K313" t="s">
        <v>87</v>
      </c>
      <c r="L313" s="25">
        <v>44030</v>
      </c>
      <c r="M313">
        <v>7</v>
      </c>
      <c r="N313">
        <v>2020</v>
      </c>
      <c r="O313" t="s">
        <v>110</v>
      </c>
      <c r="P313">
        <v>170</v>
      </c>
      <c r="Q313" s="17">
        <v>44030.452911574073</v>
      </c>
      <c r="R313" t="s">
        <v>111</v>
      </c>
    </row>
    <row r="314" spans="1:18" x14ac:dyDescent="0.3">
      <c r="A314">
        <v>9685069</v>
      </c>
      <c r="B314" t="s">
        <v>78</v>
      </c>
      <c r="C314">
        <v>1329066</v>
      </c>
      <c r="D314" t="s">
        <v>116</v>
      </c>
      <c r="E314" t="s">
        <v>58</v>
      </c>
      <c r="F314" t="s">
        <v>58</v>
      </c>
      <c r="G314" t="s">
        <v>114</v>
      </c>
      <c r="H314" t="s">
        <v>259</v>
      </c>
      <c r="I314" t="s">
        <v>84</v>
      </c>
      <c r="J314" t="s">
        <v>85</v>
      </c>
      <c r="K314" t="s">
        <v>87</v>
      </c>
      <c r="L314" s="25">
        <v>44030</v>
      </c>
      <c r="M314">
        <v>7</v>
      </c>
      <c r="N314">
        <v>2020</v>
      </c>
      <c r="O314" t="s">
        <v>110</v>
      </c>
      <c r="P314">
        <v>170</v>
      </c>
      <c r="Q314" s="17">
        <v>44030.457416898149</v>
      </c>
      <c r="R314" t="s">
        <v>111</v>
      </c>
    </row>
    <row r="315" spans="1:18" x14ac:dyDescent="0.3">
      <c r="A315">
        <v>244429</v>
      </c>
      <c r="B315" t="s">
        <v>79</v>
      </c>
      <c r="C315">
        <v>1329265</v>
      </c>
      <c r="D315" t="s">
        <v>116</v>
      </c>
      <c r="E315" t="s">
        <v>58</v>
      </c>
      <c r="F315" t="s">
        <v>58</v>
      </c>
      <c r="G315" t="s">
        <v>114</v>
      </c>
      <c r="H315" t="s">
        <v>233</v>
      </c>
      <c r="I315" t="s">
        <v>82</v>
      </c>
      <c r="J315" t="s">
        <v>42</v>
      </c>
      <c r="K315" t="s">
        <v>87</v>
      </c>
      <c r="L315" s="25">
        <v>44030</v>
      </c>
      <c r="M315">
        <v>7</v>
      </c>
      <c r="N315">
        <v>2020</v>
      </c>
      <c r="O315" t="s">
        <v>110</v>
      </c>
      <c r="P315">
        <v>170</v>
      </c>
      <c r="Q315" s="17">
        <v>44030.461016550929</v>
      </c>
      <c r="R315" t="s">
        <v>115</v>
      </c>
    </row>
    <row r="316" spans="1:18" x14ac:dyDescent="0.3">
      <c r="A316">
        <v>9686168</v>
      </c>
      <c r="B316" t="s">
        <v>78</v>
      </c>
      <c r="C316">
        <v>1329902</v>
      </c>
      <c r="D316" t="s">
        <v>78</v>
      </c>
      <c r="E316" t="s">
        <v>57</v>
      </c>
      <c r="F316" t="s">
        <v>57</v>
      </c>
      <c r="G316" t="s">
        <v>109</v>
      </c>
      <c r="H316" t="s">
        <v>105</v>
      </c>
      <c r="I316" t="s">
        <v>78</v>
      </c>
      <c r="J316" t="s">
        <v>42</v>
      </c>
      <c r="K316" t="s">
        <v>87</v>
      </c>
      <c r="L316" s="25">
        <v>44030</v>
      </c>
      <c r="M316">
        <v>7</v>
      </c>
      <c r="N316">
        <v>2020</v>
      </c>
      <c r="O316" t="s">
        <v>110</v>
      </c>
      <c r="P316">
        <v>170</v>
      </c>
      <c r="Q316" s="17">
        <v>44030.467151504628</v>
      </c>
      <c r="R316" t="s">
        <v>111</v>
      </c>
    </row>
    <row r="317" spans="1:18" x14ac:dyDescent="0.3">
      <c r="A317">
        <v>9686969</v>
      </c>
      <c r="B317" t="s">
        <v>78</v>
      </c>
      <c r="C317">
        <v>1329916</v>
      </c>
      <c r="D317" t="s">
        <v>78</v>
      </c>
      <c r="E317" t="s">
        <v>57</v>
      </c>
      <c r="F317" t="s">
        <v>57</v>
      </c>
      <c r="G317" t="s">
        <v>109</v>
      </c>
      <c r="H317" t="s">
        <v>105</v>
      </c>
      <c r="I317" t="s">
        <v>78</v>
      </c>
      <c r="J317" t="s">
        <v>42</v>
      </c>
      <c r="K317" t="s">
        <v>87</v>
      </c>
      <c r="L317" s="25">
        <v>44030</v>
      </c>
      <c r="M317">
        <v>7</v>
      </c>
      <c r="N317">
        <v>2020</v>
      </c>
      <c r="O317" t="s">
        <v>110</v>
      </c>
      <c r="P317">
        <v>170</v>
      </c>
      <c r="Q317" s="17">
        <v>44030.46745960648</v>
      </c>
      <c r="R317" t="s">
        <v>111</v>
      </c>
    </row>
    <row r="318" spans="1:18" x14ac:dyDescent="0.3">
      <c r="A318">
        <v>244409</v>
      </c>
      <c r="B318" t="s">
        <v>72</v>
      </c>
      <c r="C318">
        <v>1329901</v>
      </c>
      <c r="D318" t="s">
        <v>108</v>
      </c>
      <c r="E318" t="s">
        <v>58</v>
      </c>
      <c r="F318" t="s">
        <v>58</v>
      </c>
      <c r="G318" t="s">
        <v>114</v>
      </c>
      <c r="H318" t="s">
        <v>229</v>
      </c>
      <c r="I318" t="s">
        <v>84</v>
      </c>
      <c r="J318" t="s">
        <v>85</v>
      </c>
      <c r="K318" t="s">
        <v>87</v>
      </c>
      <c r="L318" s="25">
        <v>44030</v>
      </c>
      <c r="M318">
        <v>7</v>
      </c>
      <c r="N318">
        <v>2020</v>
      </c>
      <c r="O318" t="s">
        <v>110</v>
      </c>
      <c r="P318">
        <v>170</v>
      </c>
      <c r="Q318" s="17">
        <v>44030.467748148149</v>
      </c>
      <c r="R318" t="s">
        <v>121</v>
      </c>
    </row>
    <row r="319" spans="1:18" x14ac:dyDescent="0.3">
      <c r="A319">
        <v>9686337</v>
      </c>
      <c r="B319" t="s">
        <v>80</v>
      </c>
      <c r="C319">
        <v>1329866</v>
      </c>
      <c r="D319" t="s">
        <v>113</v>
      </c>
      <c r="E319" t="s">
        <v>58</v>
      </c>
      <c r="F319" t="s">
        <v>58</v>
      </c>
      <c r="G319" t="s">
        <v>114</v>
      </c>
      <c r="H319" t="s">
        <v>232</v>
      </c>
      <c r="I319" t="s">
        <v>84</v>
      </c>
      <c r="J319" t="s">
        <v>85</v>
      </c>
      <c r="K319" t="s">
        <v>87</v>
      </c>
      <c r="L319" s="25">
        <v>44030</v>
      </c>
      <c r="M319">
        <v>7</v>
      </c>
      <c r="N319">
        <v>2020</v>
      </c>
      <c r="O319" t="s">
        <v>110</v>
      </c>
      <c r="P319">
        <v>170</v>
      </c>
      <c r="Q319" s="17">
        <v>44030.469312615744</v>
      </c>
      <c r="R319" t="s">
        <v>115</v>
      </c>
    </row>
    <row r="320" spans="1:18" x14ac:dyDescent="0.3">
      <c r="A320">
        <v>244640</v>
      </c>
      <c r="B320" t="s">
        <v>72</v>
      </c>
      <c r="C320">
        <v>1330001</v>
      </c>
      <c r="D320" t="s">
        <v>108</v>
      </c>
      <c r="E320" t="s">
        <v>58</v>
      </c>
      <c r="F320" t="s">
        <v>58</v>
      </c>
      <c r="G320" t="s">
        <v>114</v>
      </c>
      <c r="H320" t="s">
        <v>229</v>
      </c>
      <c r="I320" t="s">
        <v>84</v>
      </c>
      <c r="J320" t="s">
        <v>85</v>
      </c>
      <c r="K320" t="s">
        <v>87</v>
      </c>
      <c r="L320" s="25">
        <v>44030</v>
      </c>
      <c r="M320">
        <v>7</v>
      </c>
      <c r="N320">
        <v>2020</v>
      </c>
      <c r="O320" t="s">
        <v>110</v>
      </c>
      <c r="P320">
        <v>170</v>
      </c>
      <c r="Q320" s="17">
        <v>44030.471714699073</v>
      </c>
      <c r="R320" t="s">
        <v>111</v>
      </c>
    </row>
    <row r="321" spans="1:18" x14ac:dyDescent="0.3">
      <c r="A321">
        <v>9686558</v>
      </c>
      <c r="B321" t="s">
        <v>78</v>
      </c>
      <c r="C321">
        <v>1330002</v>
      </c>
      <c r="D321" t="s">
        <v>78</v>
      </c>
      <c r="E321" t="s">
        <v>57</v>
      </c>
      <c r="F321" t="s">
        <v>57</v>
      </c>
      <c r="G321" t="s">
        <v>109</v>
      </c>
      <c r="H321" t="s">
        <v>228</v>
      </c>
      <c r="I321" t="s">
        <v>78</v>
      </c>
      <c r="J321" t="s">
        <v>42</v>
      </c>
      <c r="K321" t="s">
        <v>87</v>
      </c>
      <c r="L321" s="25">
        <v>44030</v>
      </c>
      <c r="M321">
        <v>7</v>
      </c>
      <c r="N321">
        <v>2020</v>
      </c>
      <c r="O321" t="s">
        <v>110</v>
      </c>
      <c r="P321">
        <v>170</v>
      </c>
      <c r="Q321" s="17">
        <v>44030.475027199071</v>
      </c>
      <c r="R321" t="s">
        <v>112</v>
      </c>
    </row>
    <row r="322" spans="1:18" x14ac:dyDescent="0.3">
      <c r="A322">
        <v>9686451</v>
      </c>
      <c r="B322" t="s">
        <v>79</v>
      </c>
      <c r="C322">
        <v>1330016</v>
      </c>
      <c r="D322" t="s">
        <v>116</v>
      </c>
      <c r="E322" t="s">
        <v>58</v>
      </c>
      <c r="F322" t="s">
        <v>58</v>
      </c>
      <c r="G322" t="s">
        <v>114</v>
      </c>
      <c r="H322" t="s">
        <v>233</v>
      </c>
      <c r="I322" t="s">
        <v>82</v>
      </c>
      <c r="J322" t="s">
        <v>42</v>
      </c>
      <c r="K322" t="s">
        <v>87</v>
      </c>
      <c r="L322" s="25">
        <v>44030</v>
      </c>
      <c r="M322">
        <v>7</v>
      </c>
      <c r="N322">
        <v>2020</v>
      </c>
      <c r="O322" t="s">
        <v>110</v>
      </c>
      <c r="P322">
        <v>170</v>
      </c>
      <c r="Q322" s="17">
        <v>44030.478067245371</v>
      </c>
      <c r="R322" t="s">
        <v>115</v>
      </c>
    </row>
    <row r="323" spans="1:18" x14ac:dyDescent="0.3">
      <c r="A323">
        <v>9686478</v>
      </c>
      <c r="B323" t="s">
        <v>79</v>
      </c>
      <c r="C323">
        <v>1330052</v>
      </c>
      <c r="D323" t="s">
        <v>116</v>
      </c>
      <c r="E323" t="s">
        <v>58</v>
      </c>
      <c r="F323" t="s">
        <v>58</v>
      </c>
      <c r="G323" t="s">
        <v>114</v>
      </c>
      <c r="H323" t="s">
        <v>233</v>
      </c>
      <c r="I323" t="s">
        <v>82</v>
      </c>
      <c r="J323" t="s">
        <v>42</v>
      </c>
      <c r="K323" t="s">
        <v>87</v>
      </c>
      <c r="L323" s="25">
        <v>44030</v>
      </c>
      <c r="M323">
        <v>7</v>
      </c>
      <c r="N323">
        <v>2020</v>
      </c>
      <c r="O323" t="s">
        <v>110</v>
      </c>
      <c r="P323">
        <v>170</v>
      </c>
      <c r="Q323" s="17">
        <v>44030.477187615739</v>
      </c>
      <c r="R323" t="s">
        <v>111</v>
      </c>
    </row>
    <row r="324" spans="1:18" x14ac:dyDescent="0.3">
      <c r="A324">
        <v>244792</v>
      </c>
      <c r="B324" t="s">
        <v>72</v>
      </c>
      <c r="C324">
        <v>1330101</v>
      </c>
      <c r="D324" t="s">
        <v>108</v>
      </c>
      <c r="E324" t="s">
        <v>58</v>
      </c>
      <c r="F324" t="s">
        <v>58</v>
      </c>
      <c r="G324" t="s">
        <v>114</v>
      </c>
      <c r="H324" t="s">
        <v>229</v>
      </c>
      <c r="I324" t="s">
        <v>84</v>
      </c>
      <c r="J324" t="s">
        <v>85</v>
      </c>
      <c r="K324" t="s">
        <v>87</v>
      </c>
      <c r="L324" s="25">
        <v>44030</v>
      </c>
      <c r="M324">
        <v>7</v>
      </c>
      <c r="N324">
        <v>2020</v>
      </c>
      <c r="O324" t="s">
        <v>110</v>
      </c>
      <c r="P324">
        <v>170</v>
      </c>
      <c r="Q324" s="17">
        <v>44030.477172569445</v>
      </c>
      <c r="R324" t="s">
        <v>111</v>
      </c>
    </row>
    <row r="325" spans="1:18" x14ac:dyDescent="0.3">
      <c r="A325">
        <v>244720</v>
      </c>
      <c r="B325" t="s">
        <v>72</v>
      </c>
      <c r="C325">
        <v>1330116</v>
      </c>
      <c r="D325" t="s">
        <v>108</v>
      </c>
      <c r="E325" t="s">
        <v>117</v>
      </c>
      <c r="F325" t="s">
        <v>117</v>
      </c>
      <c r="G325" t="s">
        <v>59</v>
      </c>
      <c r="H325" t="s">
        <v>229</v>
      </c>
      <c r="I325" t="s">
        <v>84</v>
      </c>
      <c r="J325" t="s">
        <v>85</v>
      </c>
      <c r="K325" t="s">
        <v>91</v>
      </c>
      <c r="L325" s="25">
        <v>44030</v>
      </c>
      <c r="M325">
        <v>7</v>
      </c>
      <c r="N325">
        <v>2020</v>
      </c>
      <c r="O325" t="s">
        <v>110</v>
      </c>
      <c r="P325">
        <v>170</v>
      </c>
      <c r="Q325" s="17">
        <v>44030.442440624996</v>
      </c>
      <c r="R325" t="s">
        <v>119</v>
      </c>
    </row>
    <row r="326" spans="1:18" x14ac:dyDescent="0.3">
      <c r="A326">
        <v>9687309</v>
      </c>
      <c r="B326" t="s">
        <v>80</v>
      </c>
      <c r="C326">
        <v>1330638</v>
      </c>
      <c r="D326" t="s">
        <v>113</v>
      </c>
      <c r="E326" t="s">
        <v>58</v>
      </c>
      <c r="F326" t="s">
        <v>58</v>
      </c>
      <c r="G326" t="s">
        <v>114</v>
      </c>
      <c r="H326" t="s">
        <v>232</v>
      </c>
      <c r="I326" t="s">
        <v>84</v>
      </c>
      <c r="J326" t="s">
        <v>85</v>
      </c>
      <c r="K326" t="s">
        <v>87</v>
      </c>
      <c r="L326" s="25">
        <v>44030</v>
      </c>
      <c r="M326">
        <v>7</v>
      </c>
      <c r="N326">
        <v>2020</v>
      </c>
      <c r="O326" t="s">
        <v>110</v>
      </c>
      <c r="P326">
        <v>170</v>
      </c>
      <c r="Q326" s="17">
        <v>44030.494577893522</v>
      </c>
      <c r="R326" t="s">
        <v>111</v>
      </c>
    </row>
    <row r="327" spans="1:18" x14ac:dyDescent="0.3">
      <c r="A327">
        <v>9688922</v>
      </c>
      <c r="B327" t="s">
        <v>72</v>
      </c>
      <c r="C327">
        <v>1330738</v>
      </c>
      <c r="D327" t="s">
        <v>108</v>
      </c>
      <c r="E327" t="s">
        <v>58</v>
      </c>
      <c r="F327" t="s">
        <v>58</v>
      </c>
      <c r="G327" t="s">
        <v>114</v>
      </c>
      <c r="H327" t="s">
        <v>229</v>
      </c>
      <c r="I327" t="s">
        <v>84</v>
      </c>
      <c r="J327" t="s">
        <v>85</v>
      </c>
      <c r="K327" t="s">
        <v>87</v>
      </c>
      <c r="L327" s="25">
        <v>44030</v>
      </c>
      <c r="M327">
        <v>7</v>
      </c>
      <c r="N327">
        <v>2020</v>
      </c>
      <c r="O327" t="s">
        <v>110</v>
      </c>
      <c r="P327">
        <v>170</v>
      </c>
      <c r="Q327" s="17">
        <v>44030.491130671297</v>
      </c>
      <c r="R327" t="s">
        <v>111</v>
      </c>
    </row>
    <row r="328" spans="1:18" x14ac:dyDescent="0.3">
      <c r="A328">
        <v>21529256</v>
      </c>
      <c r="B328" t="s">
        <v>78</v>
      </c>
      <c r="C328">
        <v>1326367</v>
      </c>
      <c r="D328" t="s">
        <v>78</v>
      </c>
      <c r="E328" t="s">
        <v>117</v>
      </c>
      <c r="F328" t="s">
        <v>117</v>
      </c>
      <c r="G328" t="s">
        <v>59</v>
      </c>
      <c r="H328" t="s">
        <v>230</v>
      </c>
      <c r="I328" t="s">
        <v>78</v>
      </c>
      <c r="J328" t="s">
        <v>42</v>
      </c>
      <c r="K328" t="s">
        <v>91</v>
      </c>
      <c r="L328" s="25">
        <v>44030</v>
      </c>
      <c r="M328">
        <v>7</v>
      </c>
      <c r="N328">
        <v>2020</v>
      </c>
      <c r="O328" t="s">
        <v>110</v>
      </c>
      <c r="P328">
        <v>170</v>
      </c>
      <c r="Q328" s="17">
        <v>44030.423686574075</v>
      </c>
      <c r="R328" t="s">
        <v>118</v>
      </c>
    </row>
    <row r="329" spans="1:18" x14ac:dyDescent="0.3">
      <c r="A329">
        <v>21529356</v>
      </c>
      <c r="B329" t="s">
        <v>78</v>
      </c>
      <c r="C329">
        <v>1326384</v>
      </c>
      <c r="D329" t="s">
        <v>78</v>
      </c>
      <c r="E329" t="s">
        <v>117</v>
      </c>
      <c r="F329" t="s">
        <v>117</v>
      </c>
      <c r="G329" t="s">
        <v>59</v>
      </c>
      <c r="H329" t="s">
        <v>230</v>
      </c>
      <c r="I329" t="s">
        <v>78</v>
      </c>
      <c r="J329" t="s">
        <v>42</v>
      </c>
      <c r="K329" t="s">
        <v>91</v>
      </c>
      <c r="L329" s="25">
        <v>44030</v>
      </c>
      <c r="M329">
        <v>7</v>
      </c>
      <c r="N329">
        <v>2020</v>
      </c>
      <c r="O329" t="s">
        <v>110</v>
      </c>
      <c r="P329">
        <v>170</v>
      </c>
      <c r="Q329" s="17">
        <v>44030.424106597224</v>
      </c>
      <c r="R329" t="s">
        <v>118</v>
      </c>
    </row>
    <row r="330" spans="1:18" x14ac:dyDescent="0.3">
      <c r="A330">
        <v>21528140</v>
      </c>
      <c r="B330" t="s">
        <v>78</v>
      </c>
      <c r="C330">
        <v>1326667</v>
      </c>
      <c r="D330" t="s">
        <v>78</v>
      </c>
      <c r="E330" t="s">
        <v>117</v>
      </c>
      <c r="F330" t="s">
        <v>117</v>
      </c>
      <c r="G330" t="s">
        <v>59</v>
      </c>
      <c r="H330" t="s">
        <v>230</v>
      </c>
      <c r="I330" t="s">
        <v>78</v>
      </c>
      <c r="J330" t="s">
        <v>42</v>
      </c>
      <c r="K330" t="s">
        <v>91</v>
      </c>
      <c r="L330" s="25">
        <v>44030</v>
      </c>
      <c r="M330">
        <v>7</v>
      </c>
      <c r="N330">
        <v>2020</v>
      </c>
      <c r="O330" t="s">
        <v>110</v>
      </c>
      <c r="P330">
        <v>170</v>
      </c>
      <c r="Q330" s="17">
        <v>44030.431113773149</v>
      </c>
      <c r="R330" t="s">
        <v>118</v>
      </c>
    </row>
    <row r="331" spans="1:18" x14ac:dyDescent="0.3">
      <c r="A331">
        <v>21527960</v>
      </c>
      <c r="B331" t="s">
        <v>78</v>
      </c>
      <c r="C331">
        <v>1326682</v>
      </c>
      <c r="D331" t="s">
        <v>78</v>
      </c>
      <c r="E331" t="s">
        <v>117</v>
      </c>
      <c r="F331" t="s">
        <v>117</v>
      </c>
      <c r="G331" t="s">
        <v>59</v>
      </c>
      <c r="H331" t="s">
        <v>230</v>
      </c>
      <c r="I331" t="s">
        <v>78</v>
      </c>
      <c r="J331" t="s">
        <v>42</v>
      </c>
      <c r="K331" t="s">
        <v>91</v>
      </c>
      <c r="L331" s="25">
        <v>44030</v>
      </c>
      <c r="M331">
        <v>7</v>
      </c>
      <c r="N331">
        <v>2020</v>
      </c>
      <c r="O331" t="s">
        <v>110</v>
      </c>
      <c r="P331">
        <v>170</v>
      </c>
      <c r="Q331" s="17">
        <v>44030.428103124999</v>
      </c>
      <c r="R331" t="s">
        <v>118</v>
      </c>
    </row>
    <row r="332" spans="1:18" x14ac:dyDescent="0.3">
      <c r="A332">
        <v>21529449</v>
      </c>
      <c r="B332" t="s">
        <v>78</v>
      </c>
      <c r="C332">
        <v>1326718</v>
      </c>
      <c r="D332" t="s">
        <v>78</v>
      </c>
      <c r="E332" t="s">
        <v>117</v>
      </c>
      <c r="F332" t="s">
        <v>117</v>
      </c>
      <c r="G332" t="s">
        <v>59</v>
      </c>
      <c r="H332" t="s">
        <v>230</v>
      </c>
      <c r="I332" t="s">
        <v>78</v>
      </c>
      <c r="J332" t="s">
        <v>42</v>
      </c>
      <c r="K332" t="s">
        <v>91</v>
      </c>
      <c r="L332" s="25">
        <v>44030</v>
      </c>
      <c r="M332">
        <v>7</v>
      </c>
      <c r="N332">
        <v>2020</v>
      </c>
      <c r="O332" t="s">
        <v>110</v>
      </c>
      <c r="P332">
        <v>170</v>
      </c>
      <c r="Q332" s="17">
        <v>44030.431114699073</v>
      </c>
      <c r="R332" t="s">
        <v>118</v>
      </c>
    </row>
    <row r="333" spans="1:18" x14ac:dyDescent="0.3">
      <c r="A333">
        <v>21529145</v>
      </c>
      <c r="B333" t="s">
        <v>80</v>
      </c>
      <c r="C333">
        <v>1327069</v>
      </c>
      <c r="D333" t="s">
        <v>113</v>
      </c>
      <c r="E333" t="s">
        <v>117</v>
      </c>
      <c r="F333" t="s">
        <v>117</v>
      </c>
      <c r="G333" t="s">
        <v>59</v>
      </c>
      <c r="H333" t="s">
        <v>232</v>
      </c>
      <c r="I333" t="s">
        <v>84</v>
      </c>
      <c r="J333" t="s">
        <v>85</v>
      </c>
      <c r="K333" t="s">
        <v>91</v>
      </c>
      <c r="L333" s="25">
        <v>44030</v>
      </c>
      <c r="M333">
        <v>7</v>
      </c>
      <c r="N333">
        <v>2020</v>
      </c>
      <c r="O333" t="s">
        <v>110</v>
      </c>
      <c r="P333">
        <v>170</v>
      </c>
      <c r="Q333" s="17">
        <v>44030.436727314816</v>
      </c>
      <c r="R333" t="s">
        <v>118</v>
      </c>
    </row>
    <row r="334" spans="1:18" x14ac:dyDescent="0.3">
      <c r="A334">
        <v>21529252</v>
      </c>
      <c r="B334" t="s">
        <v>78</v>
      </c>
      <c r="C334">
        <v>1327184</v>
      </c>
      <c r="D334" t="s">
        <v>78</v>
      </c>
      <c r="E334" t="s">
        <v>117</v>
      </c>
      <c r="F334" t="s">
        <v>117</v>
      </c>
      <c r="G334" t="s">
        <v>59</v>
      </c>
      <c r="H334" t="s">
        <v>230</v>
      </c>
      <c r="I334" t="s">
        <v>78</v>
      </c>
      <c r="J334" t="s">
        <v>42</v>
      </c>
      <c r="K334" t="s">
        <v>91</v>
      </c>
      <c r="L334" s="25">
        <v>44030</v>
      </c>
      <c r="M334">
        <v>7</v>
      </c>
      <c r="N334">
        <v>2020</v>
      </c>
      <c r="O334" t="s">
        <v>110</v>
      </c>
      <c r="P334">
        <v>170</v>
      </c>
      <c r="Q334" s="17">
        <v>44030.434998495373</v>
      </c>
      <c r="R334" t="s">
        <v>118</v>
      </c>
    </row>
    <row r="335" spans="1:18" x14ac:dyDescent="0.3">
      <c r="A335">
        <v>21528557</v>
      </c>
      <c r="B335" t="s">
        <v>72</v>
      </c>
      <c r="C335">
        <v>1327303</v>
      </c>
      <c r="D335" t="s">
        <v>108</v>
      </c>
      <c r="E335" t="s">
        <v>57</v>
      </c>
      <c r="F335" t="s">
        <v>57</v>
      </c>
      <c r="G335" t="s">
        <v>109</v>
      </c>
      <c r="H335" t="s">
        <v>229</v>
      </c>
      <c r="I335" t="s">
        <v>84</v>
      </c>
      <c r="J335" t="s">
        <v>85</v>
      </c>
      <c r="K335" t="s">
        <v>87</v>
      </c>
      <c r="L335" s="25">
        <v>44030</v>
      </c>
      <c r="M335">
        <v>7</v>
      </c>
      <c r="N335">
        <v>2020</v>
      </c>
      <c r="O335" t="s">
        <v>110</v>
      </c>
      <c r="P335">
        <v>170</v>
      </c>
      <c r="Q335" s="17">
        <v>44030.422973379631</v>
      </c>
      <c r="R335" t="s">
        <v>111</v>
      </c>
    </row>
    <row r="336" spans="1:18" x14ac:dyDescent="0.3">
      <c r="A336">
        <v>21529063</v>
      </c>
      <c r="B336" t="s">
        <v>72</v>
      </c>
      <c r="C336">
        <v>1327367</v>
      </c>
      <c r="D336" t="s">
        <v>108</v>
      </c>
      <c r="E336" t="s">
        <v>117</v>
      </c>
      <c r="F336" t="s">
        <v>117</v>
      </c>
      <c r="G336" t="s">
        <v>59</v>
      </c>
      <c r="H336" t="s">
        <v>229</v>
      </c>
      <c r="I336" t="s">
        <v>84</v>
      </c>
      <c r="J336" t="s">
        <v>85</v>
      </c>
      <c r="K336" t="s">
        <v>91</v>
      </c>
      <c r="L336" s="25">
        <v>44030</v>
      </c>
      <c r="M336">
        <v>7</v>
      </c>
      <c r="N336">
        <v>2020</v>
      </c>
      <c r="O336" t="s">
        <v>110</v>
      </c>
      <c r="P336">
        <v>170</v>
      </c>
      <c r="Q336" s="17">
        <v>44030.436804166668</v>
      </c>
      <c r="R336" t="s">
        <v>119</v>
      </c>
    </row>
    <row r="337" spans="1:18" x14ac:dyDescent="0.3">
      <c r="A337">
        <v>242114</v>
      </c>
      <c r="B337" t="s">
        <v>78</v>
      </c>
      <c r="C337">
        <v>1327318</v>
      </c>
      <c r="D337" t="s">
        <v>78</v>
      </c>
      <c r="E337" t="s">
        <v>117</v>
      </c>
      <c r="F337" t="s">
        <v>117</v>
      </c>
      <c r="G337" t="s">
        <v>59</v>
      </c>
      <c r="H337" t="s">
        <v>230</v>
      </c>
      <c r="I337" t="s">
        <v>78</v>
      </c>
      <c r="J337" t="s">
        <v>42</v>
      </c>
      <c r="K337" t="s">
        <v>91</v>
      </c>
      <c r="L337" s="25">
        <v>44030</v>
      </c>
      <c r="M337">
        <v>7</v>
      </c>
      <c r="N337">
        <v>2020</v>
      </c>
      <c r="O337" t="s">
        <v>110</v>
      </c>
      <c r="P337">
        <v>170</v>
      </c>
      <c r="Q337" s="17">
        <v>44030.437845486114</v>
      </c>
      <c r="R337" t="s">
        <v>118</v>
      </c>
    </row>
    <row r="338" spans="1:18" x14ac:dyDescent="0.3">
      <c r="A338">
        <v>21527932</v>
      </c>
      <c r="B338" t="s">
        <v>78</v>
      </c>
      <c r="C338">
        <v>1327384</v>
      </c>
      <c r="D338" t="s">
        <v>78</v>
      </c>
      <c r="E338" t="s">
        <v>117</v>
      </c>
      <c r="F338" t="s">
        <v>117</v>
      </c>
      <c r="G338" t="s">
        <v>59</v>
      </c>
      <c r="H338" t="s">
        <v>231</v>
      </c>
      <c r="I338" t="s">
        <v>78</v>
      </c>
      <c r="J338" t="s">
        <v>42</v>
      </c>
      <c r="K338" t="s">
        <v>91</v>
      </c>
      <c r="L338" s="25">
        <v>44030</v>
      </c>
      <c r="M338">
        <v>7</v>
      </c>
      <c r="N338">
        <v>2020</v>
      </c>
      <c r="O338" t="s">
        <v>110</v>
      </c>
      <c r="P338">
        <v>170</v>
      </c>
      <c r="Q338" s="17">
        <v>44030.439019444442</v>
      </c>
      <c r="R338" t="s">
        <v>119</v>
      </c>
    </row>
    <row r="339" spans="1:18" x14ac:dyDescent="0.3">
      <c r="A339">
        <v>21528782</v>
      </c>
      <c r="B339" t="s">
        <v>72</v>
      </c>
      <c r="C339">
        <v>1327484</v>
      </c>
      <c r="D339" t="s">
        <v>108</v>
      </c>
      <c r="E339" t="s">
        <v>58</v>
      </c>
      <c r="F339" t="s">
        <v>58</v>
      </c>
      <c r="G339" t="s">
        <v>114</v>
      </c>
      <c r="H339" t="s">
        <v>229</v>
      </c>
      <c r="I339" t="s">
        <v>84</v>
      </c>
      <c r="J339" t="s">
        <v>85</v>
      </c>
      <c r="K339" t="s">
        <v>87</v>
      </c>
      <c r="L339" s="25">
        <v>44030</v>
      </c>
      <c r="M339">
        <v>7</v>
      </c>
      <c r="N339">
        <v>2020</v>
      </c>
      <c r="O339" t="s">
        <v>110</v>
      </c>
      <c r="P339">
        <v>170</v>
      </c>
      <c r="Q339" s="17">
        <v>44030.427642129631</v>
      </c>
      <c r="R339" t="s">
        <v>111</v>
      </c>
    </row>
    <row r="340" spans="1:18" x14ac:dyDescent="0.3">
      <c r="A340">
        <v>21528745</v>
      </c>
      <c r="B340" t="s">
        <v>80</v>
      </c>
      <c r="C340">
        <v>1327503</v>
      </c>
      <c r="D340" t="s">
        <v>113</v>
      </c>
      <c r="E340" t="s">
        <v>117</v>
      </c>
      <c r="F340" t="s">
        <v>117</v>
      </c>
      <c r="G340" t="s">
        <v>59</v>
      </c>
      <c r="H340" t="s">
        <v>257</v>
      </c>
      <c r="I340" t="s">
        <v>82</v>
      </c>
      <c r="J340" t="s">
        <v>42</v>
      </c>
      <c r="K340" t="s">
        <v>91</v>
      </c>
      <c r="L340" s="25">
        <v>44030</v>
      </c>
      <c r="M340">
        <v>7</v>
      </c>
      <c r="N340">
        <v>2020</v>
      </c>
      <c r="O340" t="s">
        <v>110</v>
      </c>
      <c r="P340">
        <v>170</v>
      </c>
      <c r="Q340" s="17">
        <v>44030.438744791667</v>
      </c>
      <c r="R340" t="s">
        <v>118</v>
      </c>
    </row>
    <row r="341" spans="1:18" x14ac:dyDescent="0.3">
      <c r="A341">
        <v>9683645</v>
      </c>
      <c r="B341" t="s">
        <v>78</v>
      </c>
      <c r="C341">
        <v>1327454</v>
      </c>
      <c r="D341" t="s">
        <v>78</v>
      </c>
      <c r="E341" t="s">
        <v>57</v>
      </c>
      <c r="F341" t="s">
        <v>57</v>
      </c>
      <c r="G341" t="s">
        <v>109</v>
      </c>
      <c r="H341" t="s">
        <v>105</v>
      </c>
      <c r="I341" t="s">
        <v>78</v>
      </c>
      <c r="J341" t="s">
        <v>42</v>
      </c>
      <c r="K341" t="s">
        <v>87</v>
      </c>
      <c r="L341" s="25">
        <v>44030</v>
      </c>
      <c r="M341">
        <v>7</v>
      </c>
      <c r="N341">
        <v>2020</v>
      </c>
      <c r="O341" t="s">
        <v>110</v>
      </c>
      <c r="P341">
        <v>170</v>
      </c>
      <c r="Q341" s="17">
        <v>44030.426960416669</v>
      </c>
      <c r="R341" t="s">
        <v>112</v>
      </c>
    </row>
    <row r="342" spans="1:18" x14ac:dyDescent="0.3">
      <c r="A342">
        <v>9684347</v>
      </c>
      <c r="B342" t="s">
        <v>78</v>
      </c>
      <c r="C342">
        <v>1327854</v>
      </c>
      <c r="D342" t="s">
        <v>78</v>
      </c>
      <c r="E342" t="s">
        <v>58</v>
      </c>
      <c r="F342" t="s">
        <v>58</v>
      </c>
      <c r="G342" t="s">
        <v>114</v>
      </c>
      <c r="H342" t="s">
        <v>105</v>
      </c>
      <c r="I342" t="s">
        <v>78</v>
      </c>
      <c r="J342" t="s">
        <v>42</v>
      </c>
      <c r="K342" t="s">
        <v>87</v>
      </c>
      <c r="L342" s="25">
        <v>44030</v>
      </c>
      <c r="M342">
        <v>7</v>
      </c>
      <c r="N342">
        <v>2020</v>
      </c>
      <c r="O342" t="s">
        <v>110</v>
      </c>
      <c r="P342">
        <v>170</v>
      </c>
      <c r="Q342" s="17">
        <v>44030.431172106481</v>
      </c>
      <c r="R342" t="s">
        <v>111</v>
      </c>
    </row>
    <row r="343" spans="1:18" x14ac:dyDescent="0.3">
      <c r="A343">
        <v>9684511</v>
      </c>
      <c r="B343" t="s">
        <v>79</v>
      </c>
      <c r="C343">
        <v>1327954</v>
      </c>
      <c r="D343" t="s">
        <v>116</v>
      </c>
      <c r="E343" t="s">
        <v>58</v>
      </c>
      <c r="F343" t="s">
        <v>58</v>
      </c>
      <c r="G343" t="s">
        <v>114</v>
      </c>
      <c r="H343" t="s">
        <v>233</v>
      </c>
      <c r="I343" t="s">
        <v>82</v>
      </c>
      <c r="J343" t="s">
        <v>42</v>
      </c>
      <c r="K343" t="s">
        <v>87</v>
      </c>
      <c r="L343" s="25">
        <v>44030</v>
      </c>
      <c r="M343">
        <v>7</v>
      </c>
      <c r="N343">
        <v>2020</v>
      </c>
      <c r="O343" t="s">
        <v>110</v>
      </c>
      <c r="P343">
        <v>170</v>
      </c>
      <c r="Q343" s="17">
        <v>44030.43609398148</v>
      </c>
      <c r="R343" t="s">
        <v>111</v>
      </c>
    </row>
    <row r="344" spans="1:18" x14ac:dyDescent="0.3">
      <c r="A344">
        <v>9684287</v>
      </c>
      <c r="B344" t="s">
        <v>78</v>
      </c>
      <c r="C344">
        <v>1328003</v>
      </c>
      <c r="D344" t="s">
        <v>78</v>
      </c>
      <c r="E344" t="s">
        <v>57</v>
      </c>
      <c r="F344" t="s">
        <v>57</v>
      </c>
      <c r="G344" t="s">
        <v>109</v>
      </c>
      <c r="H344" t="s">
        <v>238</v>
      </c>
      <c r="I344" t="s">
        <v>78</v>
      </c>
      <c r="J344" t="s">
        <v>42</v>
      </c>
      <c r="K344" t="s">
        <v>87</v>
      </c>
      <c r="L344" s="25">
        <v>44030</v>
      </c>
      <c r="M344">
        <v>7</v>
      </c>
      <c r="N344">
        <v>2020</v>
      </c>
      <c r="O344" t="s">
        <v>110</v>
      </c>
      <c r="P344">
        <v>170</v>
      </c>
      <c r="Q344" s="17">
        <v>44030.441813541664</v>
      </c>
      <c r="R344" t="s">
        <v>123</v>
      </c>
    </row>
    <row r="345" spans="1:18" x14ac:dyDescent="0.3">
      <c r="A345">
        <v>9684945</v>
      </c>
      <c r="B345" t="s">
        <v>72</v>
      </c>
      <c r="C345">
        <v>1328054</v>
      </c>
      <c r="D345" t="s">
        <v>108</v>
      </c>
      <c r="E345" t="s">
        <v>57</v>
      </c>
      <c r="F345" t="s">
        <v>57</v>
      </c>
      <c r="G345" t="s">
        <v>109</v>
      </c>
      <c r="H345" t="s">
        <v>229</v>
      </c>
      <c r="I345" t="s">
        <v>84</v>
      </c>
      <c r="J345" t="s">
        <v>85</v>
      </c>
      <c r="K345" t="s">
        <v>87</v>
      </c>
      <c r="L345" s="25">
        <v>44030</v>
      </c>
      <c r="M345">
        <v>7</v>
      </c>
      <c r="N345">
        <v>2020</v>
      </c>
      <c r="O345" t="s">
        <v>110</v>
      </c>
      <c r="P345">
        <v>170</v>
      </c>
      <c r="Q345" s="17">
        <v>44030.44266990741</v>
      </c>
      <c r="R345" t="s">
        <v>111</v>
      </c>
    </row>
    <row r="346" spans="1:18" x14ac:dyDescent="0.3">
      <c r="A346">
        <v>9684296</v>
      </c>
      <c r="B346" t="s">
        <v>72</v>
      </c>
      <c r="C346">
        <v>1328590</v>
      </c>
      <c r="D346" t="s">
        <v>108</v>
      </c>
      <c r="E346" t="s">
        <v>57</v>
      </c>
      <c r="F346" t="s">
        <v>57</v>
      </c>
      <c r="G346" t="s">
        <v>109</v>
      </c>
      <c r="H346" t="s">
        <v>234</v>
      </c>
      <c r="I346" t="s">
        <v>84</v>
      </c>
      <c r="J346" t="s">
        <v>85</v>
      </c>
      <c r="K346" t="s">
        <v>87</v>
      </c>
      <c r="L346" s="25">
        <v>44030</v>
      </c>
      <c r="M346">
        <v>7</v>
      </c>
      <c r="N346">
        <v>2020</v>
      </c>
      <c r="O346" t="s">
        <v>110</v>
      </c>
      <c r="P346">
        <v>170</v>
      </c>
      <c r="Q346" s="17">
        <v>44030.448048379629</v>
      </c>
      <c r="R346" t="s">
        <v>121</v>
      </c>
    </row>
    <row r="347" spans="1:18" x14ac:dyDescent="0.3">
      <c r="A347">
        <v>9683449</v>
      </c>
      <c r="B347" t="s">
        <v>72</v>
      </c>
      <c r="C347">
        <v>1328654</v>
      </c>
      <c r="D347" t="s">
        <v>108</v>
      </c>
      <c r="E347" t="s">
        <v>57</v>
      </c>
      <c r="F347" t="s">
        <v>57</v>
      </c>
      <c r="G347" t="s">
        <v>109</v>
      </c>
      <c r="H347" t="s">
        <v>229</v>
      </c>
      <c r="I347" t="s">
        <v>84</v>
      </c>
      <c r="J347" t="s">
        <v>85</v>
      </c>
      <c r="K347" t="s">
        <v>87</v>
      </c>
      <c r="L347" s="25">
        <v>44030</v>
      </c>
      <c r="M347">
        <v>7</v>
      </c>
      <c r="N347">
        <v>2020</v>
      </c>
      <c r="O347" t="s">
        <v>110</v>
      </c>
      <c r="P347">
        <v>170</v>
      </c>
      <c r="Q347" s="17">
        <v>44030.447756365742</v>
      </c>
      <c r="R347" t="s">
        <v>111</v>
      </c>
    </row>
    <row r="348" spans="1:18" x14ac:dyDescent="0.3">
      <c r="A348">
        <v>9684406</v>
      </c>
      <c r="B348" t="s">
        <v>72</v>
      </c>
      <c r="C348">
        <v>1328841</v>
      </c>
      <c r="D348" t="s">
        <v>108</v>
      </c>
      <c r="E348" t="s">
        <v>57</v>
      </c>
      <c r="F348" t="s">
        <v>57</v>
      </c>
      <c r="G348" t="s">
        <v>109</v>
      </c>
      <c r="H348" t="s">
        <v>233</v>
      </c>
      <c r="I348" t="s">
        <v>82</v>
      </c>
      <c r="J348" t="s">
        <v>42</v>
      </c>
      <c r="K348" t="s">
        <v>87</v>
      </c>
      <c r="L348" s="25">
        <v>44030</v>
      </c>
      <c r="M348">
        <v>7</v>
      </c>
      <c r="N348">
        <v>2020</v>
      </c>
      <c r="O348" t="s">
        <v>110</v>
      </c>
      <c r="P348">
        <v>170</v>
      </c>
      <c r="Q348" s="17">
        <v>44030.450952314815</v>
      </c>
      <c r="R348" t="s">
        <v>115</v>
      </c>
    </row>
    <row r="349" spans="1:18" x14ac:dyDescent="0.3">
      <c r="A349">
        <v>9685167</v>
      </c>
      <c r="B349" t="s">
        <v>78</v>
      </c>
      <c r="C349">
        <v>1329309</v>
      </c>
      <c r="D349" t="s">
        <v>78</v>
      </c>
      <c r="E349">
        <v>820</v>
      </c>
      <c r="F349">
        <v>820</v>
      </c>
      <c r="G349" t="s">
        <v>136</v>
      </c>
      <c r="H349" t="s">
        <v>249</v>
      </c>
      <c r="I349" t="s">
        <v>78</v>
      </c>
      <c r="J349" t="s">
        <v>42</v>
      </c>
      <c r="K349" t="s">
        <v>83</v>
      </c>
      <c r="L349" s="25">
        <v>44030</v>
      </c>
      <c r="M349">
        <v>7</v>
      </c>
      <c r="N349">
        <v>2020</v>
      </c>
      <c r="O349" t="s">
        <v>110</v>
      </c>
      <c r="P349">
        <v>170</v>
      </c>
      <c r="Q349" s="17">
        <v>44030.464764930555</v>
      </c>
      <c r="R349" t="s">
        <v>126</v>
      </c>
    </row>
    <row r="350" spans="1:18" x14ac:dyDescent="0.3">
      <c r="A350">
        <v>9685948</v>
      </c>
      <c r="B350" t="s">
        <v>78</v>
      </c>
      <c r="C350">
        <v>1329558</v>
      </c>
      <c r="D350" t="s">
        <v>78</v>
      </c>
      <c r="E350">
        <v>820</v>
      </c>
      <c r="F350">
        <v>820</v>
      </c>
      <c r="G350" t="s">
        <v>136</v>
      </c>
      <c r="H350" t="s">
        <v>250</v>
      </c>
      <c r="I350" t="s">
        <v>78</v>
      </c>
      <c r="J350" t="s">
        <v>42</v>
      </c>
      <c r="K350" t="s">
        <v>83</v>
      </c>
      <c r="L350" s="25">
        <v>44030</v>
      </c>
      <c r="M350">
        <v>7</v>
      </c>
      <c r="N350">
        <v>2020</v>
      </c>
      <c r="O350" t="s">
        <v>110</v>
      </c>
      <c r="P350">
        <v>170</v>
      </c>
      <c r="Q350" s="17">
        <v>44030.478065625</v>
      </c>
      <c r="R350" t="s">
        <v>126</v>
      </c>
    </row>
    <row r="351" spans="1:18" x14ac:dyDescent="0.3">
      <c r="A351">
        <v>9686723</v>
      </c>
      <c r="B351" t="s">
        <v>80</v>
      </c>
      <c r="C351">
        <v>1329758</v>
      </c>
      <c r="D351" t="s">
        <v>113</v>
      </c>
      <c r="E351" t="s">
        <v>146</v>
      </c>
      <c r="F351" t="s">
        <v>17</v>
      </c>
      <c r="G351" t="s">
        <v>153</v>
      </c>
      <c r="H351" t="s">
        <v>232</v>
      </c>
      <c r="I351" t="s">
        <v>84</v>
      </c>
      <c r="J351" t="s">
        <v>85</v>
      </c>
      <c r="K351" t="s">
        <v>87</v>
      </c>
      <c r="L351" s="25">
        <v>44030</v>
      </c>
      <c r="M351">
        <v>7</v>
      </c>
      <c r="N351">
        <v>2020</v>
      </c>
      <c r="O351" t="s">
        <v>110</v>
      </c>
      <c r="P351">
        <v>170</v>
      </c>
      <c r="Q351" s="17">
        <v>44030.468233101848</v>
      </c>
      <c r="R351" t="s">
        <v>126</v>
      </c>
    </row>
    <row r="352" spans="1:18" x14ac:dyDescent="0.3">
      <c r="A352">
        <v>241420</v>
      </c>
      <c r="B352" t="s">
        <v>78</v>
      </c>
      <c r="C352">
        <v>1320398</v>
      </c>
      <c r="D352" t="s">
        <v>78</v>
      </c>
      <c r="E352" t="s">
        <v>26</v>
      </c>
      <c r="F352" t="s">
        <v>26</v>
      </c>
      <c r="G352" t="s">
        <v>137</v>
      </c>
      <c r="H352" t="s">
        <v>260</v>
      </c>
      <c r="I352" t="s">
        <v>78</v>
      </c>
      <c r="J352" t="s">
        <v>42</v>
      </c>
      <c r="K352" t="s">
        <v>83</v>
      </c>
      <c r="L352" s="25">
        <v>44030</v>
      </c>
      <c r="M352">
        <v>7</v>
      </c>
      <c r="N352">
        <v>2020</v>
      </c>
      <c r="O352" t="s">
        <v>110</v>
      </c>
      <c r="P352">
        <v>170</v>
      </c>
      <c r="Q352" s="17">
        <v>44030.430444791666</v>
      </c>
      <c r="R352" t="s">
        <v>126</v>
      </c>
    </row>
    <row r="353" spans="1:18" x14ac:dyDescent="0.3">
      <c r="A353">
        <v>9685894</v>
      </c>
      <c r="B353" t="s">
        <v>78</v>
      </c>
      <c r="C353">
        <v>1328722</v>
      </c>
      <c r="D353" t="s">
        <v>78</v>
      </c>
      <c r="E353">
        <v>820</v>
      </c>
      <c r="F353">
        <v>820</v>
      </c>
      <c r="G353" t="s">
        <v>136</v>
      </c>
      <c r="H353" t="s">
        <v>250</v>
      </c>
      <c r="I353" t="s">
        <v>78</v>
      </c>
      <c r="J353" t="s">
        <v>42</v>
      </c>
      <c r="K353" t="s">
        <v>83</v>
      </c>
      <c r="L353" s="25">
        <v>44030</v>
      </c>
      <c r="M353">
        <v>7</v>
      </c>
      <c r="N353">
        <v>2020</v>
      </c>
      <c r="O353" t="s">
        <v>110</v>
      </c>
      <c r="P353">
        <v>170</v>
      </c>
      <c r="Q353" s="17">
        <v>44030.42971585648</v>
      </c>
      <c r="R353" t="s">
        <v>126</v>
      </c>
    </row>
    <row r="354" spans="1:18" x14ac:dyDescent="0.3">
      <c r="A354">
        <v>9686038</v>
      </c>
      <c r="B354" t="s">
        <v>80</v>
      </c>
      <c r="C354">
        <v>1329624</v>
      </c>
      <c r="D354" t="s">
        <v>113</v>
      </c>
      <c r="E354" t="s">
        <v>146</v>
      </c>
      <c r="F354" t="s">
        <v>17</v>
      </c>
      <c r="G354" t="s">
        <v>153</v>
      </c>
      <c r="H354" t="s">
        <v>232</v>
      </c>
      <c r="I354" t="s">
        <v>84</v>
      </c>
      <c r="J354" t="s">
        <v>85</v>
      </c>
      <c r="K354" t="s">
        <v>87</v>
      </c>
      <c r="L354" s="25">
        <v>44030</v>
      </c>
      <c r="M354">
        <v>7</v>
      </c>
      <c r="N354">
        <v>2020</v>
      </c>
      <c r="O354" t="s">
        <v>110</v>
      </c>
      <c r="P354">
        <v>170</v>
      </c>
      <c r="Q354" s="17">
        <v>44030.438916666666</v>
      </c>
      <c r="R354" t="s">
        <v>126</v>
      </c>
    </row>
    <row r="355" spans="1:18" x14ac:dyDescent="0.3">
      <c r="A355">
        <v>9687719</v>
      </c>
      <c r="B355" t="s">
        <v>78</v>
      </c>
      <c r="C355">
        <v>1330594</v>
      </c>
      <c r="D355" t="s">
        <v>78</v>
      </c>
      <c r="E355">
        <v>820</v>
      </c>
      <c r="F355">
        <v>820</v>
      </c>
      <c r="G355" t="s">
        <v>136</v>
      </c>
      <c r="H355" t="s">
        <v>250</v>
      </c>
      <c r="I355" t="s">
        <v>78</v>
      </c>
      <c r="J355" t="s">
        <v>42</v>
      </c>
      <c r="K355" t="s">
        <v>83</v>
      </c>
      <c r="L355" s="25">
        <v>44030</v>
      </c>
      <c r="M355">
        <v>7</v>
      </c>
      <c r="N355">
        <v>2020</v>
      </c>
      <c r="O355" t="s">
        <v>110</v>
      </c>
      <c r="P355">
        <v>170</v>
      </c>
      <c r="Q355" s="17">
        <v>44030.488713541665</v>
      </c>
      <c r="R355" t="s">
        <v>126</v>
      </c>
    </row>
    <row r="356" spans="1:18" x14ac:dyDescent="0.3">
      <c r="A356">
        <v>9686701</v>
      </c>
      <c r="B356" t="s">
        <v>80</v>
      </c>
      <c r="C356">
        <v>1329724</v>
      </c>
      <c r="D356" t="s">
        <v>113</v>
      </c>
      <c r="E356" t="s">
        <v>146</v>
      </c>
      <c r="F356" t="s">
        <v>17</v>
      </c>
      <c r="G356" t="s">
        <v>153</v>
      </c>
      <c r="H356" t="s">
        <v>232</v>
      </c>
      <c r="I356" t="s">
        <v>84</v>
      </c>
      <c r="J356" t="s">
        <v>85</v>
      </c>
      <c r="K356" t="s">
        <v>87</v>
      </c>
      <c r="L356" s="25">
        <v>44030</v>
      </c>
      <c r="M356">
        <v>7</v>
      </c>
      <c r="N356">
        <v>2020</v>
      </c>
      <c r="O356" t="s">
        <v>110</v>
      </c>
      <c r="P356">
        <v>170</v>
      </c>
      <c r="Q356" s="17">
        <v>44030.458178009256</v>
      </c>
      <c r="R356" t="s">
        <v>126</v>
      </c>
    </row>
    <row r="357" spans="1:18" x14ac:dyDescent="0.3">
      <c r="A357">
        <v>9686958</v>
      </c>
      <c r="B357" t="s">
        <v>78</v>
      </c>
      <c r="C357">
        <v>1329924</v>
      </c>
      <c r="D357" t="s">
        <v>78</v>
      </c>
      <c r="E357" t="s">
        <v>164</v>
      </c>
      <c r="F357" t="s">
        <v>17</v>
      </c>
      <c r="G357" t="s">
        <v>165</v>
      </c>
      <c r="H357" t="s">
        <v>134</v>
      </c>
      <c r="I357" t="s">
        <v>78</v>
      </c>
      <c r="J357" t="s">
        <v>42</v>
      </c>
      <c r="K357" t="s">
        <v>87</v>
      </c>
      <c r="L357" s="25">
        <v>44030</v>
      </c>
      <c r="M357">
        <v>7</v>
      </c>
      <c r="N357">
        <v>2020</v>
      </c>
      <c r="O357" t="s">
        <v>110</v>
      </c>
      <c r="P357">
        <v>170</v>
      </c>
      <c r="Q357" s="17">
        <v>44030.483690624998</v>
      </c>
      <c r="R357" t="s">
        <v>126</v>
      </c>
    </row>
    <row r="358" spans="1:18" x14ac:dyDescent="0.3">
      <c r="A358">
        <v>9686934</v>
      </c>
      <c r="B358" t="s">
        <v>80</v>
      </c>
      <c r="C358">
        <v>1329824</v>
      </c>
      <c r="D358" t="s">
        <v>113</v>
      </c>
      <c r="E358" t="s">
        <v>146</v>
      </c>
      <c r="F358" t="s">
        <v>17</v>
      </c>
      <c r="G358" t="s">
        <v>153</v>
      </c>
      <c r="H358" t="s">
        <v>232</v>
      </c>
      <c r="I358" t="s">
        <v>84</v>
      </c>
      <c r="J358" t="s">
        <v>85</v>
      </c>
      <c r="K358" t="s">
        <v>87</v>
      </c>
      <c r="L358" s="25">
        <v>44030</v>
      </c>
      <c r="M358">
        <v>7</v>
      </c>
      <c r="N358">
        <v>2020</v>
      </c>
      <c r="O358" t="s">
        <v>110</v>
      </c>
      <c r="P358">
        <v>170</v>
      </c>
      <c r="Q358" s="17">
        <v>44030.483086458335</v>
      </c>
      <c r="R358" t="s">
        <v>126</v>
      </c>
    </row>
    <row r="359" spans="1:18" x14ac:dyDescent="0.3">
      <c r="A359">
        <v>9685704</v>
      </c>
      <c r="B359" t="s">
        <v>78</v>
      </c>
      <c r="C359">
        <v>1328688</v>
      </c>
      <c r="D359" t="s">
        <v>78</v>
      </c>
      <c r="E359">
        <v>820</v>
      </c>
      <c r="F359">
        <v>820</v>
      </c>
      <c r="G359" t="s">
        <v>136</v>
      </c>
      <c r="H359" t="s">
        <v>249</v>
      </c>
      <c r="I359" t="s">
        <v>78</v>
      </c>
      <c r="J359" t="s">
        <v>42</v>
      </c>
      <c r="K359" t="s">
        <v>83</v>
      </c>
      <c r="L359" s="25">
        <v>44030</v>
      </c>
      <c r="M359">
        <v>7</v>
      </c>
      <c r="N359">
        <v>2020</v>
      </c>
      <c r="O359" t="s">
        <v>110</v>
      </c>
      <c r="P359">
        <v>170</v>
      </c>
      <c r="Q359" s="17">
        <v>44030.428426851853</v>
      </c>
      <c r="R359" t="s">
        <v>126</v>
      </c>
    </row>
    <row r="360" spans="1:18" x14ac:dyDescent="0.3">
      <c r="A360">
        <v>9686909</v>
      </c>
      <c r="B360" t="s">
        <v>80</v>
      </c>
      <c r="C360">
        <v>1329807</v>
      </c>
      <c r="D360" t="s">
        <v>113</v>
      </c>
      <c r="E360" t="s">
        <v>146</v>
      </c>
      <c r="F360" t="s">
        <v>17</v>
      </c>
      <c r="G360" t="s">
        <v>153</v>
      </c>
      <c r="H360" t="s">
        <v>232</v>
      </c>
      <c r="I360" t="s">
        <v>84</v>
      </c>
      <c r="J360" t="s">
        <v>85</v>
      </c>
      <c r="K360" t="s">
        <v>87</v>
      </c>
      <c r="L360" s="25">
        <v>44030</v>
      </c>
      <c r="M360">
        <v>7</v>
      </c>
      <c r="N360">
        <v>2020</v>
      </c>
      <c r="O360" t="s">
        <v>110</v>
      </c>
      <c r="P360">
        <v>170</v>
      </c>
      <c r="Q360" s="17">
        <v>44030.478279050927</v>
      </c>
      <c r="R360" t="s">
        <v>126</v>
      </c>
    </row>
    <row r="361" spans="1:18" x14ac:dyDescent="0.3">
      <c r="A361">
        <v>9684342</v>
      </c>
      <c r="B361" t="s">
        <v>72</v>
      </c>
      <c r="C361">
        <v>1328822</v>
      </c>
      <c r="D361" t="s">
        <v>108</v>
      </c>
      <c r="E361" t="s">
        <v>12</v>
      </c>
      <c r="F361" t="s">
        <v>12</v>
      </c>
      <c r="G361" t="s">
        <v>135</v>
      </c>
      <c r="H361" t="s">
        <v>261</v>
      </c>
      <c r="I361" t="s">
        <v>84</v>
      </c>
      <c r="J361" t="s">
        <v>85</v>
      </c>
      <c r="K361" t="s">
        <v>83</v>
      </c>
      <c r="L361" s="25">
        <v>44030</v>
      </c>
      <c r="M361">
        <v>7</v>
      </c>
      <c r="N361">
        <v>2020</v>
      </c>
      <c r="O361" t="s">
        <v>110</v>
      </c>
      <c r="P361">
        <v>170</v>
      </c>
      <c r="Q361" s="17">
        <v>44030.428068055553</v>
      </c>
      <c r="R361" t="s">
        <v>126</v>
      </c>
    </row>
    <row r="362" spans="1:18" x14ac:dyDescent="0.3">
      <c r="A362">
        <v>21528654</v>
      </c>
      <c r="B362" t="s">
        <v>78</v>
      </c>
      <c r="C362">
        <v>1324829</v>
      </c>
      <c r="D362" t="s">
        <v>78</v>
      </c>
      <c r="E362" t="s">
        <v>146</v>
      </c>
      <c r="F362" t="s">
        <v>17</v>
      </c>
      <c r="G362" t="s">
        <v>147</v>
      </c>
      <c r="H362" t="s">
        <v>134</v>
      </c>
      <c r="I362" t="s">
        <v>78</v>
      </c>
      <c r="J362" t="s">
        <v>42</v>
      </c>
      <c r="K362" t="s">
        <v>87</v>
      </c>
      <c r="L362" s="25">
        <v>44030</v>
      </c>
      <c r="M362">
        <v>7</v>
      </c>
      <c r="N362">
        <v>2020</v>
      </c>
      <c r="O362" t="s">
        <v>110</v>
      </c>
      <c r="P362">
        <v>170</v>
      </c>
      <c r="Q362" s="17">
        <v>44030.490347685183</v>
      </c>
      <c r="R362" t="s">
        <v>126</v>
      </c>
    </row>
    <row r="363" spans="1:18" x14ac:dyDescent="0.3">
      <c r="A363">
        <v>9685670</v>
      </c>
      <c r="B363" t="s">
        <v>78</v>
      </c>
      <c r="C363">
        <v>1329409</v>
      </c>
      <c r="D363" t="s">
        <v>78</v>
      </c>
      <c r="E363">
        <v>820</v>
      </c>
      <c r="F363">
        <v>820</v>
      </c>
      <c r="G363" t="s">
        <v>136</v>
      </c>
      <c r="H363" t="s">
        <v>250</v>
      </c>
      <c r="I363" t="s">
        <v>78</v>
      </c>
      <c r="J363" t="s">
        <v>42</v>
      </c>
      <c r="K363" t="s">
        <v>83</v>
      </c>
      <c r="L363" s="25">
        <v>44030</v>
      </c>
      <c r="M363">
        <v>7</v>
      </c>
      <c r="N363">
        <v>2020</v>
      </c>
      <c r="O363" t="s">
        <v>110</v>
      </c>
      <c r="P363">
        <v>170</v>
      </c>
      <c r="Q363" s="17">
        <v>44030.465931597224</v>
      </c>
      <c r="R363" t="s">
        <v>126</v>
      </c>
    </row>
    <row r="364" spans="1:18" x14ac:dyDescent="0.3">
      <c r="A364">
        <v>9685800</v>
      </c>
      <c r="B364" t="s">
        <v>78</v>
      </c>
      <c r="C364">
        <v>1329458</v>
      </c>
      <c r="D364" t="s">
        <v>78</v>
      </c>
      <c r="E364">
        <v>820</v>
      </c>
      <c r="F364">
        <v>820</v>
      </c>
      <c r="G364" t="s">
        <v>136</v>
      </c>
      <c r="H364" t="s">
        <v>250</v>
      </c>
      <c r="I364" t="s">
        <v>78</v>
      </c>
      <c r="J364" t="s">
        <v>42</v>
      </c>
      <c r="K364" t="s">
        <v>83</v>
      </c>
      <c r="L364" s="25">
        <v>44030</v>
      </c>
      <c r="M364">
        <v>7</v>
      </c>
      <c r="N364">
        <v>2020</v>
      </c>
      <c r="O364" t="s">
        <v>110</v>
      </c>
      <c r="P364">
        <v>170</v>
      </c>
      <c r="Q364" s="17">
        <v>44030.469723726848</v>
      </c>
      <c r="R364" t="s">
        <v>126</v>
      </c>
    </row>
    <row r="365" spans="1:18" x14ac:dyDescent="0.3">
      <c r="A365">
        <v>9664906</v>
      </c>
      <c r="B365" t="s">
        <v>72</v>
      </c>
      <c r="C365">
        <v>1326449</v>
      </c>
      <c r="D365" t="s">
        <v>108</v>
      </c>
      <c r="E365" t="s">
        <v>26</v>
      </c>
      <c r="F365" t="s">
        <v>26</v>
      </c>
      <c r="G365" t="s">
        <v>137</v>
      </c>
      <c r="H365" t="s">
        <v>229</v>
      </c>
      <c r="I365" t="s">
        <v>84</v>
      </c>
      <c r="J365" t="s">
        <v>85</v>
      </c>
      <c r="K365" t="s">
        <v>83</v>
      </c>
      <c r="L365" s="25">
        <v>44030</v>
      </c>
      <c r="M365">
        <v>7</v>
      </c>
      <c r="N365">
        <v>2020</v>
      </c>
      <c r="O365" t="s">
        <v>110</v>
      </c>
      <c r="P365">
        <v>170</v>
      </c>
      <c r="Q365" s="17">
        <v>44030.275379861108</v>
      </c>
      <c r="R365" t="s">
        <v>126</v>
      </c>
    </row>
    <row r="366" spans="1:18" x14ac:dyDescent="0.3">
      <c r="A366">
        <v>9685777</v>
      </c>
      <c r="B366" t="s">
        <v>72</v>
      </c>
      <c r="C366">
        <v>1328908</v>
      </c>
      <c r="D366" t="s">
        <v>108</v>
      </c>
      <c r="E366">
        <v>820</v>
      </c>
      <c r="F366">
        <v>820</v>
      </c>
      <c r="G366" t="s">
        <v>136</v>
      </c>
      <c r="H366" t="s">
        <v>262</v>
      </c>
      <c r="I366" t="s">
        <v>82</v>
      </c>
      <c r="J366" t="s">
        <v>42</v>
      </c>
      <c r="K366" t="s">
        <v>83</v>
      </c>
      <c r="L366" s="25">
        <v>44030</v>
      </c>
      <c r="M366">
        <v>7</v>
      </c>
      <c r="N366">
        <v>2020</v>
      </c>
      <c r="O366" t="s">
        <v>110</v>
      </c>
      <c r="P366">
        <v>170</v>
      </c>
      <c r="Q366" s="17">
        <v>44030.440703703702</v>
      </c>
      <c r="R366" t="s">
        <v>126</v>
      </c>
    </row>
    <row r="367" spans="1:18" x14ac:dyDescent="0.3">
      <c r="A367">
        <v>9686918</v>
      </c>
      <c r="B367" t="s">
        <v>80</v>
      </c>
      <c r="C367">
        <v>1329810</v>
      </c>
      <c r="D367" t="s">
        <v>113</v>
      </c>
      <c r="E367" t="s">
        <v>146</v>
      </c>
      <c r="F367" t="s">
        <v>17</v>
      </c>
      <c r="G367" t="s">
        <v>153</v>
      </c>
      <c r="H367" t="s">
        <v>232</v>
      </c>
      <c r="I367" t="s">
        <v>84</v>
      </c>
      <c r="J367" t="s">
        <v>85</v>
      </c>
      <c r="K367" t="s">
        <v>87</v>
      </c>
      <c r="L367" s="25">
        <v>44030</v>
      </c>
      <c r="M367">
        <v>7</v>
      </c>
      <c r="N367">
        <v>2020</v>
      </c>
      <c r="O367" t="s">
        <v>110</v>
      </c>
      <c r="P367">
        <v>170</v>
      </c>
      <c r="Q367" s="17">
        <v>44030.477199421293</v>
      </c>
      <c r="R367" t="s">
        <v>126</v>
      </c>
    </row>
    <row r="368" spans="1:18" x14ac:dyDescent="0.3">
      <c r="A368">
        <v>9686027</v>
      </c>
      <c r="B368" t="s">
        <v>72</v>
      </c>
      <c r="C368">
        <v>1329959</v>
      </c>
      <c r="D368" t="s">
        <v>108</v>
      </c>
      <c r="E368">
        <v>4138</v>
      </c>
      <c r="F368" t="s">
        <v>17</v>
      </c>
      <c r="G368" t="s">
        <v>129</v>
      </c>
      <c r="H368" t="s">
        <v>263</v>
      </c>
      <c r="I368" t="s">
        <v>82</v>
      </c>
      <c r="J368" t="s">
        <v>42</v>
      </c>
      <c r="K368" t="s">
        <v>87</v>
      </c>
      <c r="L368" s="25">
        <v>44030</v>
      </c>
      <c r="M368">
        <v>7</v>
      </c>
      <c r="N368">
        <v>2020</v>
      </c>
      <c r="O368" t="s">
        <v>110</v>
      </c>
      <c r="P368">
        <v>170</v>
      </c>
      <c r="Q368" s="17">
        <v>44030.485737152776</v>
      </c>
      <c r="R368" t="s">
        <v>126</v>
      </c>
    </row>
    <row r="369" spans="1:18" x14ac:dyDescent="0.3">
      <c r="A369">
        <v>9685941</v>
      </c>
      <c r="B369" t="s">
        <v>78</v>
      </c>
      <c r="C369">
        <v>1329240</v>
      </c>
      <c r="D369" t="s">
        <v>78</v>
      </c>
      <c r="E369">
        <v>820</v>
      </c>
      <c r="F369">
        <v>820</v>
      </c>
      <c r="G369" t="s">
        <v>136</v>
      </c>
      <c r="H369" t="s">
        <v>249</v>
      </c>
      <c r="I369" t="s">
        <v>78</v>
      </c>
      <c r="J369" t="s">
        <v>42</v>
      </c>
      <c r="K369" t="s">
        <v>83</v>
      </c>
      <c r="L369" s="25">
        <v>44030</v>
      </c>
      <c r="M369">
        <v>7</v>
      </c>
      <c r="N369">
        <v>2020</v>
      </c>
      <c r="O369" t="s">
        <v>110</v>
      </c>
      <c r="P369">
        <v>170</v>
      </c>
      <c r="Q369" s="17">
        <v>44030.459084953705</v>
      </c>
      <c r="R369" t="s">
        <v>126</v>
      </c>
    </row>
    <row r="370" spans="1:18" x14ac:dyDescent="0.3">
      <c r="A370">
        <v>9686333</v>
      </c>
      <c r="B370" t="s">
        <v>72</v>
      </c>
      <c r="C370">
        <v>1336677</v>
      </c>
      <c r="D370" t="s">
        <v>108</v>
      </c>
      <c r="E370" t="s">
        <v>12</v>
      </c>
      <c r="F370" t="s">
        <v>12</v>
      </c>
      <c r="G370" t="s">
        <v>135</v>
      </c>
      <c r="H370" t="s">
        <v>229</v>
      </c>
      <c r="I370" t="s">
        <v>84</v>
      </c>
      <c r="J370" t="s">
        <v>85</v>
      </c>
      <c r="K370" t="s">
        <v>83</v>
      </c>
      <c r="L370" s="25">
        <v>44030</v>
      </c>
      <c r="M370">
        <v>7</v>
      </c>
      <c r="N370">
        <v>2020</v>
      </c>
      <c r="O370" t="s">
        <v>110</v>
      </c>
      <c r="P370">
        <v>170</v>
      </c>
      <c r="Q370" s="17">
        <v>44031.153696412039</v>
      </c>
      <c r="R370" t="s">
        <v>126</v>
      </c>
    </row>
    <row r="371" spans="1:18" x14ac:dyDescent="0.3">
      <c r="A371">
        <v>9678590</v>
      </c>
      <c r="B371" t="s">
        <v>72</v>
      </c>
      <c r="C371">
        <v>1320833</v>
      </c>
      <c r="D371" t="s">
        <v>108</v>
      </c>
      <c r="E371" t="s">
        <v>124</v>
      </c>
      <c r="F371" t="s">
        <v>17</v>
      </c>
      <c r="G371" t="s">
        <v>125</v>
      </c>
      <c r="H371" t="s">
        <v>263</v>
      </c>
      <c r="I371" t="s">
        <v>82</v>
      </c>
      <c r="J371" t="s">
        <v>42</v>
      </c>
      <c r="K371" t="s">
        <v>87</v>
      </c>
      <c r="L371" s="25">
        <v>44030</v>
      </c>
      <c r="M371">
        <v>7</v>
      </c>
      <c r="N371">
        <v>2020</v>
      </c>
      <c r="O371" t="s">
        <v>110</v>
      </c>
      <c r="P371">
        <v>170</v>
      </c>
      <c r="Q371" s="17">
        <v>44030.492503819441</v>
      </c>
      <c r="R371" t="s">
        <v>126</v>
      </c>
    </row>
    <row r="372" spans="1:18" x14ac:dyDescent="0.3">
      <c r="A372">
        <v>9686407</v>
      </c>
      <c r="B372" t="s">
        <v>78</v>
      </c>
      <c r="C372">
        <v>1330010</v>
      </c>
      <c r="D372" t="s">
        <v>78</v>
      </c>
      <c r="E372" t="s">
        <v>150</v>
      </c>
      <c r="F372" t="s">
        <v>17</v>
      </c>
      <c r="G372" t="s">
        <v>151</v>
      </c>
      <c r="H372" t="s">
        <v>134</v>
      </c>
      <c r="I372" t="s">
        <v>78</v>
      </c>
      <c r="J372" t="s">
        <v>42</v>
      </c>
      <c r="K372" t="s">
        <v>87</v>
      </c>
      <c r="L372" s="25">
        <v>44030</v>
      </c>
      <c r="M372">
        <v>7</v>
      </c>
      <c r="N372">
        <v>2020</v>
      </c>
      <c r="O372" t="s">
        <v>110</v>
      </c>
      <c r="P372">
        <v>170</v>
      </c>
      <c r="Q372" s="17">
        <v>44030.488569212961</v>
      </c>
      <c r="R372" t="s">
        <v>126</v>
      </c>
    </row>
    <row r="373" spans="1:18" x14ac:dyDescent="0.3">
      <c r="A373">
        <v>21528688</v>
      </c>
      <c r="B373" t="s">
        <v>72</v>
      </c>
      <c r="C373">
        <v>1325479</v>
      </c>
      <c r="D373" t="s">
        <v>108</v>
      </c>
      <c r="E373">
        <v>537</v>
      </c>
      <c r="F373">
        <v>537</v>
      </c>
      <c r="G373" t="s">
        <v>264</v>
      </c>
      <c r="H373" t="s">
        <v>229</v>
      </c>
      <c r="I373" t="s">
        <v>84</v>
      </c>
      <c r="J373" t="s">
        <v>85</v>
      </c>
      <c r="K373" t="s">
        <v>87</v>
      </c>
      <c r="L373" s="25">
        <v>44030</v>
      </c>
      <c r="M373">
        <v>7</v>
      </c>
      <c r="N373">
        <v>2020</v>
      </c>
      <c r="O373" t="s">
        <v>110</v>
      </c>
      <c r="P373">
        <v>170</v>
      </c>
      <c r="Q373" s="17">
        <v>44030.242316319447</v>
      </c>
      <c r="R373" t="s">
        <v>126</v>
      </c>
    </row>
    <row r="374" spans="1:18" x14ac:dyDescent="0.3">
      <c r="A374">
        <v>9683346</v>
      </c>
      <c r="B374" t="s">
        <v>72</v>
      </c>
      <c r="C374">
        <v>1327385</v>
      </c>
      <c r="D374" t="s">
        <v>108</v>
      </c>
      <c r="E374">
        <v>966</v>
      </c>
      <c r="F374">
        <v>966</v>
      </c>
      <c r="G374" t="s">
        <v>139</v>
      </c>
      <c r="H374" t="s">
        <v>229</v>
      </c>
      <c r="I374" t="s">
        <v>84</v>
      </c>
      <c r="J374" t="s">
        <v>85</v>
      </c>
      <c r="K374" t="s">
        <v>87</v>
      </c>
      <c r="L374" s="25">
        <v>44030</v>
      </c>
      <c r="M374">
        <v>7</v>
      </c>
      <c r="N374">
        <v>2020</v>
      </c>
      <c r="O374" t="s">
        <v>110</v>
      </c>
      <c r="P374">
        <v>170</v>
      </c>
      <c r="Q374" s="17">
        <v>44030.378673263891</v>
      </c>
      <c r="R374" t="s">
        <v>126</v>
      </c>
    </row>
    <row r="375" spans="1:18" x14ac:dyDescent="0.3">
      <c r="A375">
        <v>9678124</v>
      </c>
      <c r="B375" t="s">
        <v>72</v>
      </c>
      <c r="C375">
        <v>1320501</v>
      </c>
      <c r="D375" t="s">
        <v>108</v>
      </c>
      <c r="E375" t="s">
        <v>26</v>
      </c>
      <c r="F375" t="s">
        <v>26</v>
      </c>
      <c r="G375" t="s">
        <v>137</v>
      </c>
      <c r="H375" t="s">
        <v>265</v>
      </c>
      <c r="I375" t="s">
        <v>82</v>
      </c>
      <c r="J375" t="s">
        <v>42</v>
      </c>
      <c r="K375" t="s">
        <v>83</v>
      </c>
      <c r="L375" s="25">
        <v>44030</v>
      </c>
      <c r="M375">
        <v>7</v>
      </c>
      <c r="N375">
        <v>2020</v>
      </c>
      <c r="O375" t="s">
        <v>110</v>
      </c>
      <c r="P375">
        <v>170</v>
      </c>
      <c r="Q375" s="17">
        <v>44030.437087268518</v>
      </c>
      <c r="R375" t="s">
        <v>126</v>
      </c>
    </row>
    <row r="376" spans="1:18" x14ac:dyDescent="0.3">
      <c r="A376">
        <v>9685685</v>
      </c>
      <c r="B376" t="s">
        <v>78</v>
      </c>
      <c r="C376">
        <v>1329406</v>
      </c>
      <c r="D376" t="s">
        <v>78</v>
      </c>
      <c r="E376">
        <v>820</v>
      </c>
      <c r="F376">
        <v>820</v>
      </c>
      <c r="G376" t="s">
        <v>136</v>
      </c>
      <c r="H376" t="s">
        <v>250</v>
      </c>
      <c r="I376" t="s">
        <v>78</v>
      </c>
      <c r="J376" t="s">
        <v>42</v>
      </c>
      <c r="K376" t="s">
        <v>83</v>
      </c>
      <c r="L376" s="25">
        <v>44030</v>
      </c>
      <c r="M376">
        <v>7</v>
      </c>
      <c r="N376">
        <v>2020</v>
      </c>
      <c r="O376" t="s">
        <v>110</v>
      </c>
      <c r="P376">
        <v>170</v>
      </c>
      <c r="Q376" s="17">
        <v>44030.465227314817</v>
      </c>
      <c r="R376" t="s">
        <v>126</v>
      </c>
    </row>
    <row r="377" spans="1:18" x14ac:dyDescent="0.3">
      <c r="A377">
        <v>21526183</v>
      </c>
      <c r="B377" t="s">
        <v>78</v>
      </c>
      <c r="C377">
        <v>1322390</v>
      </c>
      <c r="D377" t="s">
        <v>78</v>
      </c>
      <c r="E377" t="s">
        <v>26</v>
      </c>
      <c r="F377" t="s">
        <v>26</v>
      </c>
      <c r="G377" t="s">
        <v>137</v>
      </c>
      <c r="H377" t="s">
        <v>260</v>
      </c>
      <c r="I377" t="s">
        <v>78</v>
      </c>
      <c r="J377" t="s">
        <v>42</v>
      </c>
      <c r="K377" t="s">
        <v>83</v>
      </c>
      <c r="L377" s="25">
        <v>44030</v>
      </c>
      <c r="M377">
        <v>7</v>
      </c>
      <c r="N377">
        <v>2020</v>
      </c>
      <c r="O377" t="s">
        <v>110</v>
      </c>
      <c r="P377">
        <v>170</v>
      </c>
      <c r="Q377" s="17">
        <v>44030.490276273151</v>
      </c>
      <c r="R377" t="s">
        <v>126</v>
      </c>
    </row>
    <row r="378" spans="1:18" x14ac:dyDescent="0.3">
      <c r="A378">
        <v>9678788</v>
      </c>
      <c r="B378" t="s">
        <v>72</v>
      </c>
      <c r="C378">
        <v>1318429</v>
      </c>
      <c r="D378" t="s">
        <v>108</v>
      </c>
      <c r="E378">
        <v>966</v>
      </c>
      <c r="F378">
        <v>966</v>
      </c>
      <c r="G378" t="s">
        <v>139</v>
      </c>
      <c r="H378" t="s">
        <v>229</v>
      </c>
      <c r="I378" t="s">
        <v>84</v>
      </c>
      <c r="J378" t="s">
        <v>85</v>
      </c>
      <c r="K378" t="s">
        <v>87</v>
      </c>
      <c r="L378" s="25">
        <v>44030</v>
      </c>
      <c r="M378">
        <v>7</v>
      </c>
      <c r="N378">
        <v>2020</v>
      </c>
      <c r="O378" t="s">
        <v>110</v>
      </c>
      <c r="P378">
        <v>170</v>
      </c>
      <c r="Q378" s="17">
        <v>44030.429205208333</v>
      </c>
      <c r="R378" t="s">
        <v>126</v>
      </c>
    </row>
    <row r="379" spans="1:18" x14ac:dyDescent="0.3">
      <c r="A379">
        <v>241455</v>
      </c>
      <c r="B379" t="s">
        <v>78</v>
      </c>
      <c r="C379">
        <v>1325330</v>
      </c>
      <c r="D379" t="s">
        <v>78</v>
      </c>
      <c r="E379">
        <v>966</v>
      </c>
      <c r="F379">
        <v>966</v>
      </c>
      <c r="G379" t="s">
        <v>139</v>
      </c>
      <c r="H379" t="s">
        <v>105</v>
      </c>
      <c r="I379" t="s">
        <v>78</v>
      </c>
      <c r="J379" t="s">
        <v>42</v>
      </c>
      <c r="K379" t="s">
        <v>87</v>
      </c>
      <c r="L379" s="25">
        <v>44030</v>
      </c>
      <c r="M379">
        <v>7</v>
      </c>
      <c r="N379">
        <v>2020</v>
      </c>
      <c r="O379" t="s">
        <v>110</v>
      </c>
      <c r="P379">
        <v>170</v>
      </c>
      <c r="Q379" s="17">
        <v>44030.483332060183</v>
      </c>
      <c r="R379" t="s">
        <v>126</v>
      </c>
    </row>
    <row r="380" spans="1:18" x14ac:dyDescent="0.3">
      <c r="A380">
        <v>9685841</v>
      </c>
      <c r="B380" t="s">
        <v>78</v>
      </c>
      <c r="C380">
        <v>1329223</v>
      </c>
      <c r="D380" t="s">
        <v>78</v>
      </c>
      <c r="E380">
        <v>820</v>
      </c>
      <c r="F380">
        <v>820</v>
      </c>
      <c r="G380" t="s">
        <v>136</v>
      </c>
      <c r="H380" t="s">
        <v>228</v>
      </c>
      <c r="I380" t="s">
        <v>78</v>
      </c>
      <c r="J380" t="s">
        <v>42</v>
      </c>
      <c r="K380" t="s">
        <v>83</v>
      </c>
      <c r="L380" s="25">
        <v>44030</v>
      </c>
      <c r="M380">
        <v>7</v>
      </c>
      <c r="N380">
        <v>2020</v>
      </c>
      <c r="O380" t="s">
        <v>110</v>
      </c>
      <c r="P380">
        <v>170</v>
      </c>
      <c r="Q380" s="17">
        <v>44030.456991087965</v>
      </c>
      <c r="R380" t="s">
        <v>126</v>
      </c>
    </row>
    <row r="381" spans="1:18" x14ac:dyDescent="0.3">
      <c r="A381">
        <v>21525770</v>
      </c>
      <c r="B381" t="s">
        <v>78</v>
      </c>
      <c r="C381">
        <v>1322339</v>
      </c>
      <c r="D381" t="s">
        <v>78</v>
      </c>
      <c r="E381" t="s">
        <v>26</v>
      </c>
      <c r="F381" t="s">
        <v>26</v>
      </c>
      <c r="G381" t="s">
        <v>137</v>
      </c>
      <c r="H381" t="s">
        <v>245</v>
      </c>
      <c r="I381" t="s">
        <v>78</v>
      </c>
      <c r="J381" t="s">
        <v>42</v>
      </c>
      <c r="K381" t="s">
        <v>83</v>
      </c>
      <c r="L381" s="25">
        <v>44030</v>
      </c>
      <c r="M381">
        <v>7</v>
      </c>
      <c r="N381">
        <v>2020</v>
      </c>
      <c r="O381" t="s">
        <v>110</v>
      </c>
      <c r="P381">
        <v>170</v>
      </c>
      <c r="Q381" s="17">
        <v>44031.033135532409</v>
      </c>
      <c r="R381" t="s">
        <v>126</v>
      </c>
    </row>
    <row r="382" spans="1:18" x14ac:dyDescent="0.3">
      <c r="A382">
        <v>9686937</v>
      </c>
      <c r="B382" t="s">
        <v>80</v>
      </c>
      <c r="C382">
        <v>1329827</v>
      </c>
      <c r="D382" t="s">
        <v>113</v>
      </c>
      <c r="E382" t="s">
        <v>146</v>
      </c>
      <c r="F382" t="s">
        <v>17</v>
      </c>
      <c r="G382" t="s">
        <v>153</v>
      </c>
      <c r="H382" t="s">
        <v>232</v>
      </c>
      <c r="I382" t="s">
        <v>84</v>
      </c>
      <c r="J382" t="s">
        <v>85</v>
      </c>
      <c r="K382" t="s">
        <v>87</v>
      </c>
      <c r="L382" s="25">
        <v>44030</v>
      </c>
      <c r="M382">
        <v>7</v>
      </c>
      <c r="N382">
        <v>2020</v>
      </c>
      <c r="O382" t="s">
        <v>110</v>
      </c>
      <c r="P382">
        <v>170</v>
      </c>
      <c r="Q382" s="17">
        <v>44030.483113194445</v>
      </c>
      <c r="R382" t="s">
        <v>126</v>
      </c>
    </row>
    <row r="383" spans="1:18" x14ac:dyDescent="0.3">
      <c r="A383">
        <v>9684396</v>
      </c>
      <c r="B383" t="s">
        <v>78</v>
      </c>
      <c r="C383">
        <v>1328745</v>
      </c>
      <c r="D383" t="s">
        <v>116</v>
      </c>
      <c r="E383" t="s">
        <v>58</v>
      </c>
      <c r="F383" t="s">
        <v>58</v>
      </c>
      <c r="G383" t="s">
        <v>114</v>
      </c>
      <c r="H383" t="s">
        <v>254</v>
      </c>
      <c r="I383" t="s">
        <v>84</v>
      </c>
      <c r="J383" t="s">
        <v>85</v>
      </c>
      <c r="K383" t="s">
        <v>87</v>
      </c>
      <c r="L383" s="25">
        <v>44030</v>
      </c>
      <c r="M383">
        <v>7</v>
      </c>
      <c r="N383">
        <v>2020</v>
      </c>
      <c r="O383" t="s">
        <v>110</v>
      </c>
      <c r="P383">
        <v>170</v>
      </c>
      <c r="Q383" s="17">
        <v>44030.449232870371</v>
      </c>
      <c r="R383" t="s">
        <v>111</v>
      </c>
    </row>
    <row r="384" spans="1:18" x14ac:dyDescent="0.3">
      <c r="A384">
        <v>9685457</v>
      </c>
      <c r="B384" t="s">
        <v>72</v>
      </c>
      <c r="C384">
        <v>1328879</v>
      </c>
      <c r="D384" t="s">
        <v>108</v>
      </c>
      <c r="E384" t="s">
        <v>58</v>
      </c>
      <c r="F384" t="s">
        <v>58</v>
      </c>
      <c r="G384" t="s">
        <v>114</v>
      </c>
      <c r="H384" t="s">
        <v>229</v>
      </c>
      <c r="I384" t="s">
        <v>84</v>
      </c>
      <c r="J384" t="s">
        <v>85</v>
      </c>
      <c r="K384" t="s">
        <v>87</v>
      </c>
      <c r="L384" s="25">
        <v>44030</v>
      </c>
      <c r="M384">
        <v>7</v>
      </c>
      <c r="N384">
        <v>2020</v>
      </c>
      <c r="O384" t="s">
        <v>110</v>
      </c>
      <c r="P384">
        <v>170</v>
      </c>
      <c r="Q384" s="17">
        <v>44030.45120520833</v>
      </c>
      <c r="R384" t="s">
        <v>111</v>
      </c>
    </row>
    <row r="385" spans="1:18" x14ac:dyDescent="0.3">
      <c r="A385">
        <v>9674311</v>
      </c>
      <c r="B385" t="s">
        <v>72</v>
      </c>
      <c r="C385">
        <v>1328943</v>
      </c>
      <c r="D385" t="s">
        <v>108</v>
      </c>
      <c r="E385" t="s">
        <v>58</v>
      </c>
      <c r="F385" t="s">
        <v>58</v>
      </c>
      <c r="G385" t="s">
        <v>114</v>
      </c>
      <c r="H385" t="s">
        <v>229</v>
      </c>
      <c r="I385" t="s">
        <v>84</v>
      </c>
      <c r="J385" t="s">
        <v>85</v>
      </c>
      <c r="K385" t="s">
        <v>87</v>
      </c>
      <c r="L385" s="25">
        <v>44030</v>
      </c>
      <c r="M385">
        <v>7</v>
      </c>
      <c r="N385">
        <v>2020</v>
      </c>
      <c r="O385" t="s">
        <v>110</v>
      </c>
      <c r="P385">
        <v>170</v>
      </c>
      <c r="Q385" s="17">
        <v>44030.454927430554</v>
      </c>
      <c r="R385" t="s">
        <v>121</v>
      </c>
    </row>
    <row r="386" spans="1:18" x14ac:dyDescent="0.3">
      <c r="A386">
        <v>9685071</v>
      </c>
      <c r="B386" t="s">
        <v>72</v>
      </c>
      <c r="C386">
        <v>1329043</v>
      </c>
      <c r="D386" t="s">
        <v>108</v>
      </c>
      <c r="E386" t="s">
        <v>58</v>
      </c>
      <c r="F386" t="s">
        <v>58</v>
      </c>
      <c r="G386" t="s">
        <v>114</v>
      </c>
      <c r="H386" t="s">
        <v>266</v>
      </c>
      <c r="I386" t="s">
        <v>84</v>
      </c>
      <c r="J386" t="s">
        <v>85</v>
      </c>
      <c r="K386" t="s">
        <v>87</v>
      </c>
      <c r="L386" s="25">
        <v>44030</v>
      </c>
      <c r="M386">
        <v>7</v>
      </c>
      <c r="N386">
        <v>2020</v>
      </c>
      <c r="O386" t="s">
        <v>110</v>
      </c>
      <c r="P386">
        <v>170</v>
      </c>
      <c r="Q386" s="17">
        <v>44030.454055902781</v>
      </c>
      <c r="R386" t="s">
        <v>111</v>
      </c>
    </row>
    <row r="387" spans="1:18" x14ac:dyDescent="0.3">
      <c r="A387">
        <v>9685347</v>
      </c>
      <c r="B387" t="s">
        <v>78</v>
      </c>
      <c r="C387">
        <v>1329145</v>
      </c>
      <c r="D387" t="s">
        <v>78</v>
      </c>
      <c r="E387" t="s">
        <v>57</v>
      </c>
      <c r="F387" t="s">
        <v>57</v>
      </c>
      <c r="G387" t="s">
        <v>109</v>
      </c>
      <c r="H387" t="s">
        <v>105</v>
      </c>
      <c r="I387" t="s">
        <v>78</v>
      </c>
      <c r="J387" t="s">
        <v>42</v>
      </c>
      <c r="K387" t="s">
        <v>87</v>
      </c>
      <c r="L387" s="25">
        <v>44030</v>
      </c>
      <c r="M387">
        <v>7</v>
      </c>
      <c r="N387">
        <v>2020</v>
      </c>
      <c r="O387" t="s">
        <v>110</v>
      </c>
      <c r="P387">
        <v>170</v>
      </c>
      <c r="Q387" s="17">
        <v>44030.456465972224</v>
      </c>
      <c r="R387" t="s">
        <v>111</v>
      </c>
    </row>
    <row r="388" spans="1:18" x14ac:dyDescent="0.3">
      <c r="A388">
        <v>9685101</v>
      </c>
      <c r="B388" t="s">
        <v>78</v>
      </c>
      <c r="C388">
        <v>1329186</v>
      </c>
      <c r="D388" t="s">
        <v>78</v>
      </c>
      <c r="E388" t="s">
        <v>57</v>
      </c>
      <c r="F388" t="s">
        <v>57</v>
      </c>
      <c r="G388" t="s">
        <v>109</v>
      </c>
      <c r="H388" t="s">
        <v>105</v>
      </c>
      <c r="I388" t="s">
        <v>78</v>
      </c>
      <c r="J388" t="s">
        <v>42</v>
      </c>
      <c r="K388" t="s">
        <v>87</v>
      </c>
      <c r="L388" s="25">
        <v>44030</v>
      </c>
      <c r="M388">
        <v>7</v>
      </c>
      <c r="N388">
        <v>2020</v>
      </c>
      <c r="O388" t="s">
        <v>110</v>
      </c>
      <c r="P388">
        <v>170</v>
      </c>
      <c r="Q388" s="17">
        <v>44030.457253587963</v>
      </c>
      <c r="R388" t="s">
        <v>111</v>
      </c>
    </row>
    <row r="389" spans="1:18" x14ac:dyDescent="0.3">
      <c r="A389">
        <v>9685579</v>
      </c>
      <c r="B389" t="s">
        <v>72</v>
      </c>
      <c r="C389">
        <v>1329286</v>
      </c>
      <c r="D389" t="s">
        <v>108</v>
      </c>
      <c r="E389" t="s">
        <v>58</v>
      </c>
      <c r="F389" t="s">
        <v>58</v>
      </c>
      <c r="G389" t="s">
        <v>114</v>
      </c>
      <c r="H389" t="s">
        <v>267</v>
      </c>
      <c r="I389" t="s">
        <v>84</v>
      </c>
      <c r="J389" t="s">
        <v>85</v>
      </c>
      <c r="K389" t="s">
        <v>87</v>
      </c>
      <c r="L389" s="25">
        <v>44030</v>
      </c>
      <c r="M389">
        <v>7</v>
      </c>
      <c r="N389">
        <v>2020</v>
      </c>
      <c r="O389" t="s">
        <v>110</v>
      </c>
      <c r="P389">
        <v>170</v>
      </c>
      <c r="Q389" s="17">
        <v>44030.459206944448</v>
      </c>
      <c r="R389" t="s">
        <v>111</v>
      </c>
    </row>
    <row r="390" spans="1:18" x14ac:dyDescent="0.3">
      <c r="A390">
        <v>9686219</v>
      </c>
      <c r="B390" t="s">
        <v>78</v>
      </c>
      <c r="C390">
        <v>1329422</v>
      </c>
      <c r="D390" t="s">
        <v>78</v>
      </c>
      <c r="E390" t="s">
        <v>57</v>
      </c>
      <c r="F390" t="s">
        <v>57</v>
      </c>
      <c r="G390" t="s">
        <v>109</v>
      </c>
      <c r="H390" t="s">
        <v>105</v>
      </c>
      <c r="I390" t="s">
        <v>78</v>
      </c>
      <c r="J390" t="s">
        <v>42</v>
      </c>
      <c r="K390" t="s">
        <v>87</v>
      </c>
      <c r="L390" s="25">
        <v>44030</v>
      </c>
      <c r="M390">
        <v>7</v>
      </c>
      <c r="N390">
        <v>2020</v>
      </c>
      <c r="O390" t="s">
        <v>110</v>
      </c>
      <c r="P390">
        <v>170</v>
      </c>
      <c r="Q390" s="17">
        <v>44030.463285648148</v>
      </c>
      <c r="R390" t="s">
        <v>112</v>
      </c>
    </row>
    <row r="391" spans="1:18" x14ac:dyDescent="0.3">
      <c r="A391">
        <v>9686018</v>
      </c>
      <c r="B391" t="s">
        <v>72</v>
      </c>
      <c r="C391">
        <v>1329588</v>
      </c>
      <c r="D391" t="s">
        <v>108</v>
      </c>
      <c r="E391" t="s">
        <v>58</v>
      </c>
      <c r="F391" t="s">
        <v>58</v>
      </c>
      <c r="G391" t="s">
        <v>114</v>
      </c>
      <c r="H391" t="s">
        <v>229</v>
      </c>
      <c r="I391" t="s">
        <v>84</v>
      </c>
      <c r="J391" t="s">
        <v>85</v>
      </c>
      <c r="K391" t="s">
        <v>87</v>
      </c>
      <c r="L391" s="25">
        <v>44030</v>
      </c>
      <c r="M391">
        <v>7</v>
      </c>
      <c r="N391">
        <v>2020</v>
      </c>
      <c r="O391" t="s">
        <v>110</v>
      </c>
      <c r="P391">
        <v>170</v>
      </c>
      <c r="Q391" s="17">
        <v>44030.463673842591</v>
      </c>
      <c r="R391" t="s">
        <v>111</v>
      </c>
    </row>
    <row r="392" spans="1:18" x14ac:dyDescent="0.3">
      <c r="A392">
        <v>9686964</v>
      </c>
      <c r="B392" t="s">
        <v>78</v>
      </c>
      <c r="C392">
        <v>1329881</v>
      </c>
      <c r="D392" t="s">
        <v>78</v>
      </c>
      <c r="E392" t="s">
        <v>57</v>
      </c>
      <c r="F392" t="s">
        <v>57</v>
      </c>
      <c r="G392" t="s">
        <v>109</v>
      </c>
      <c r="H392" t="s">
        <v>268</v>
      </c>
      <c r="I392" t="s">
        <v>78</v>
      </c>
      <c r="J392" t="s">
        <v>42</v>
      </c>
      <c r="K392" t="s">
        <v>87</v>
      </c>
      <c r="L392" s="25">
        <v>44030</v>
      </c>
      <c r="M392">
        <v>7</v>
      </c>
      <c r="N392">
        <v>2020</v>
      </c>
      <c r="O392" t="s">
        <v>110</v>
      </c>
      <c r="P392">
        <v>170</v>
      </c>
      <c r="Q392" s="17">
        <v>44030.466710995373</v>
      </c>
      <c r="R392" t="s">
        <v>111</v>
      </c>
    </row>
    <row r="393" spans="1:18" x14ac:dyDescent="0.3">
      <c r="A393">
        <v>9686964</v>
      </c>
      <c r="B393" t="s">
        <v>78</v>
      </c>
      <c r="C393">
        <v>1329879</v>
      </c>
      <c r="D393" t="s">
        <v>78</v>
      </c>
      <c r="E393" t="s">
        <v>57</v>
      </c>
      <c r="F393" t="s">
        <v>57</v>
      </c>
      <c r="G393" t="s">
        <v>109</v>
      </c>
      <c r="H393" t="s">
        <v>268</v>
      </c>
      <c r="I393" t="s">
        <v>78</v>
      </c>
      <c r="J393" t="s">
        <v>42</v>
      </c>
      <c r="K393" t="s">
        <v>87</v>
      </c>
      <c r="L393" s="25">
        <v>44030</v>
      </c>
      <c r="M393">
        <v>7</v>
      </c>
      <c r="N393">
        <v>2020</v>
      </c>
      <c r="O393" t="s">
        <v>110</v>
      </c>
      <c r="P393">
        <v>170</v>
      </c>
      <c r="Q393" s="17">
        <v>44030.468475231479</v>
      </c>
      <c r="R393" t="s">
        <v>111</v>
      </c>
    </row>
    <row r="394" spans="1:18" x14ac:dyDescent="0.3">
      <c r="A394">
        <v>9686284</v>
      </c>
      <c r="B394" t="s">
        <v>72</v>
      </c>
      <c r="C394">
        <v>1329888</v>
      </c>
      <c r="D394" t="s">
        <v>108</v>
      </c>
      <c r="E394" t="s">
        <v>57</v>
      </c>
      <c r="F394" t="s">
        <v>57</v>
      </c>
      <c r="G394" t="s">
        <v>109</v>
      </c>
      <c r="H394" t="s">
        <v>229</v>
      </c>
      <c r="I394" t="s">
        <v>84</v>
      </c>
      <c r="J394" t="s">
        <v>85</v>
      </c>
      <c r="K394" t="s">
        <v>87</v>
      </c>
      <c r="L394" s="25">
        <v>44030</v>
      </c>
      <c r="M394">
        <v>7</v>
      </c>
      <c r="N394">
        <v>2020</v>
      </c>
      <c r="O394" t="s">
        <v>110</v>
      </c>
      <c r="P394">
        <v>170</v>
      </c>
      <c r="Q394" s="17">
        <v>44030.463672106482</v>
      </c>
      <c r="R394" t="s">
        <v>111</v>
      </c>
    </row>
    <row r="395" spans="1:18" x14ac:dyDescent="0.3">
      <c r="A395">
        <v>9686539</v>
      </c>
      <c r="B395" t="s">
        <v>79</v>
      </c>
      <c r="C395">
        <v>1329988</v>
      </c>
      <c r="D395" t="s">
        <v>116</v>
      </c>
      <c r="E395" t="s">
        <v>58</v>
      </c>
      <c r="F395" t="s">
        <v>58</v>
      </c>
      <c r="G395" t="s">
        <v>114</v>
      </c>
      <c r="H395" t="s">
        <v>233</v>
      </c>
      <c r="I395" t="s">
        <v>82</v>
      </c>
      <c r="J395" t="s">
        <v>42</v>
      </c>
      <c r="K395" t="s">
        <v>87</v>
      </c>
      <c r="L395" s="25">
        <v>44030</v>
      </c>
      <c r="M395">
        <v>7</v>
      </c>
      <c r="N395">
        <v>2020</v>
      </c>
      <c r="O395" t="s">
        <v>110</v>
      </c>
      <c r="P395">
        <v>170</v>
      </c>
      <c r="Q395" s="17">
        <v>44030.470650694442</v>
      </c>
      <c r="R395" t="s">
        <v>111</v>
      </c>
    </row>
    <row r="396" spans="1:18" x14ac:dyDescent="0.3">
      <c r="A396">
        <v>244711</v>
      </c>
      <c r="B396" t="s">
        <v>72</v>
      </c>
      <c r="C396">
        <v>1330115</v>
      </c>
      <c r="D396" t="s">
        <v>108</v>
      </c>
      <c r="E396" t="s">
        <v>58</v>
      </c>
      <c r="F396" t="s">
        <v>58</v>
      </c>
      <c r="G396" t="s">
        <v>114</v>
      </c>
      <c r="H396" t="s">
        <v>229</v>
      </c>
      <c r="I396" t="s">
        <v>84</v>
      </c>
      <c r="J396" t="s">
        <v>85</v>
      </c>
      <c r="K396" t="s">
        <v>87</v>
      </c>
      <c r="L396" s="25">
        <v>44030</v>
      </c>
      <c r="M396">
        <v>7</v>
      </c>
      <c r="N396">
        <v>2020</v>
      </c>
      <c r="O396" t="s">
        <v>110</v>
      </c>
      <c r="P396">
        <v>170</v>
      </c>
      <c r="Q396" s="17">
        <v>44030.477240856482</v>
      </c>
      <c r="R396" t="s">
        <v>121</v>
      </c>
    </row>
    <row r="397" spans="1:18" x14ac:dyDescent="0.3">
      <c r="A397">
        <v>244879</v>
      </c>
      <c r="B397" t="s">
        <v>72</v>
      </c>
      <c r="C397">
        <v>1330124</v>
      </c>
      <c r="D397" t="s">
        <v>108</v>
      </c>
      <c r="E397" t="s">
        <v>58</v>
      </c>
      <c r="F397" t="s">
        <v>58</v>
      </c>
      <c r="G397" t="s">
        <v>114</v>
      </c>
      <c r="H397" t="s">
        <v>269</v>
      </c>
      <c r="I397" t="s">
        <v>84</v>
      </c>
      <c r="J397" t="s">
        <v>85</v>
      </c>
      <c r="K397" t="s">
        <v>87</v>
      </c>
      <c r="L397" s="25">
        <v>44030</v>
      </c>
      <c r="M397">
        <v>7</v>
      </c>
      <c r="N397">
        <v>2020</v>
      </c>
      <c r="O397" t="s">
        <v>110</v>
      </c>
      <c r="P397">
        <v>170</v>
      </c>
      <c r="Q397" s="17">
        <v>44030.479279861109</v>
      </c>
      <c r="R397" t="s">
        <v>115</v>
      </c>
    </row>
    <row r="398" spans="1:18" x14ac:dyDescent="0.3">
      <c r="A398">
        <v>9686662</v>
      </c>
      <c r="B398" t="s">
        <v>78</v>
      </c>
      <c r="C398">
        <v>1330181</v>
      </c>
      <c r="D398" t="s">
        <v>78</v>
      </c>
      <c r="E398" t="s">
        <v>57</v>
      </c>
      <c r="F398" t="s">
        <v>57</v>
      </c>
      <c r="G398" t="s">
        <v>109</v>
      </c>
      <c r="H398" t="s">
        <v>105</v>
      </c>
      <c r="I398" t="s">
        <v>78</v>
      </c>
      <c r="J398" t="s">
        <v>42</v>
      </c>
      <c r="K398" t="s">
        <v>87</v>
      </c>
      <c r="L398" s="25">
        <v>44030</v>
      </c>
      <c r="M398">
        <v>7</v>
      </c>
      <c r="N398">
        <v>2020</v>
      </c>
      <c r="O398" t="s">
        <v>110</v>
      </c>
      <c r="P398">
        <v>170</v>
      </c>
      <c r="Q398" s="17">
        <v>44030.480725694448</v>
      </c>
      <c r="R398" t="s">
        <v>115</v>
      </c>
    </row>
    <row r="399" spans="1:18" x14ac:dyDescent="0.3">
      <c r="A399">
        <v>9687242</v>
      </c>
      <c r="B399" t="s">
        <v>72</v>
      </c>
      <c r="C399">
        <v>1330215</v>
      </c>
      <c r="D399" t="s">
        <v>108</v>
      </c>
      <c r="E399" t="s">
        <v>57</v>
      </c>
      <c r="F399" t="s">
        <v>57</v>
      </c>
      <c r="G399" t="s">
        <v>109</v>
      </c>
      <c r="H399" t="s">
        <v>229</v>
      </c>
      <c r="I399" t="s">
        <v>84</v>
      </c>
      <c r="J399" t="s">
        <v>85</v>
      </c>
      <c r="K399" t="s">
        <v>87</v>
      </c>
      <c r="L399" s="25">
        <v>44030</v>
      </c>
      <c r="M399">
        <v>7</v>
      </c>
      <c r="N399">
        <v>2020</v>
      </c>
      <c r="O399" t="s">
        <v>110</v>
      </c>
      <c r="P399">
        <v>170</v>
      </c>
      <c r="Q399" s="17">
        <v>44030.48151273148</v>
      </c>
      <c r="R399" t="s">
        <v>112</v>
      </c>
    </row>
    <row r="400" spans="1:18" x14ac:dyDescent="0.3">
      <c r="A400">
        <v>9686955</v>
      </c>
      <c r="B400" t="s">
        <v>78</v>
      </c>
      <c r="C400">
        <v>1330222</v>
      </c>
      <c r="D400" t="s">
        <v>78</v>
      </c>
      <c r="E400" t="s">
        <v>57</v>
      </c>
      <c r="F400" t="s">
        <v>57</v>
      </c>
      <c r="G400" t="s">
        <v>109</v>
      </c>
      <c r="H400" t="s">
        <v>105</v>
      </c>
      <c r="I400" t="s">
        <v>78</v>
      </c>
      <c r="J400" t="s">
        <v>42</v>
      </c>
      <c r="K400" t="s">
        <v>87</v>
      </c>
      <c r="L400" s="25">
        <v>44030</v>
      </c>
      <c r="M400">
        <v>7</v>
      </c>
      <c r="N400">
        <v>2020</v>
      </c>
      <c r="O400" t="s">
        <v>110</v>
      </c>
      <c r="P400">
        <v>170</v>
      </c>
      <c r="Q400" s="17">
        <v>44030.481472916668</v>
      </c>
      <c r="R400" t="s">
        <v>111</v>
      </c>
    </row>
    <row r="401" spans="1:18" x14ac:dyDescent="0.3">
      <c r="A401">
        <v>9687654</v>
      </c>
      <c r="B401" t="s">
        <v>72</v>
      </c>
      <c r="C401">
        <v>1330615</v>
      </c>
      <c r="D401" t="s">
        <v>108</v>
      </c>
      <c r="E401" t="s">
        <v>58</v>
      </c>
      <c r="F401" t="s">
        <v>58</v>
      </c>
      <c r="G401" t="s">
        <v>114</v>
      </c>
      <c r="H401" t="s">
        <v>229</v>
      </c>
      <c r="I401" t="s">
        <v>84</v>
      </c>
      <c r="J401" t="s">
        <v>85</v>
      </c>
      <c r="K401" t="s">
        <v>87</v>
      </c>
      <c r="L401" s="25">
        <v>44030</v>
      </c>
      <c r="M401">
        <v>7</v>
      </c>
      <c r="N401">
        <v>2020</v>
      </c>
      <c r="O401" t="s">
        <v>110</v>
      </c>
      <c r="P401">
        <v>170</v>
      </c>
      <c r="Q401" s="17">
        <v>44030.484345254627</v>
      </c>
      <c r="R401" t="s">
        <v>111</v>
      </c>
    </row>
    <row r="402" spans="1:18" x14ac:dyDescent="0.3">
      <c r="A402">
        <v>9688039</v>
      </c>
      <c r="B402" t="s">
        <v>72</v>
      </c>
      <c r="C402">
        <v>1330724</v>
      </c>
      <c r="D402" t="s">
        <v>108</v>
      </c>
      <c r="E402" t="s">
        <v>57</v>
      </c>
      <c r="F402" t="s">
        <v>57</v>
      </c>
      <c r="G402" t="s">
        <v>109</v>
      </c>
      <c r="H402" t="s">
        <v>229</v>
      </c>
      <c r="I402" t="s">
        <v>84</v>
      </c>
      <c r="J402" t="s">
        <v>85</v>
      </c>
      <c r="K402" t="s">
        <v>87</v>
      </c>
      <c r="L402" s="25">
        <v>44030</v>
      </c>
      <c r="M402">
        <v>7</v>
      </c>
      <c r="N402">
        <v>2020</v>
      </c>
      <c r="O402" t="s">
        <v>110</v>
      </c>
      <c r="P402">
        <v>170</v>
      </c>
      <c r="Q402" s="17">
        <v>44030.488311805559</v>
      </c>
      <c r="R402" t="s">
        <v>112</v>
      </c>
    </row>
    <row r="403" spans="1:18" x14ac:dyDescent="0.3">
      <c r="A403">
        <v>241122</v>
      </c>
      <c r="B403" t="s">
        <v>78</v>
      </c>
      <c r="C403">
        <v>1318702</v>
      </c>
      <c r="D403" t="s">
        <v>116</v>
      </c>
      <c r="E403" t="s">
        <v>58</v>
      </c>
      <c r="F403" t="s">
        <v>58</v>
      </c>
      <c r="G403" t="s">
        <v>114</v>
      </c>
      <c r="H403" t="s">
        <v>256</v>
      </c>
      <c r="I403" t="s">
        <v>84</v>
      </c>
      <c r="J403" t="s">
        <v>85</v>
      </c>
      <c r="K403" t="s">
        <v>87</v>
      </c>
      <c r="L403" s="25">
        <v>44030</v>
      </c>
      <c r="M403">
        <v>7</v>
      </c>
      <c r="N403">
        <v>2020</v>
      </c>
      <c r="O403" t="s">
        <v>110</v>
      </c>
      <c r="P403">
        <v>170</v>
      </c>
      <c r="Q403" s="17">
        <v>44030.483256018517</v>
      </c>
      <c r="R403" t="s">
        <v>111</v>
      </c>
    </row>
    <row r="404" spans="1:18" x14ac:dyDescent="0.3">
      <c r="A404">
        <v>9678101</v>
      </c>
      <c r="B404" t="s">
        <v>78</v>
      </c>
      <c r="C404">
        <v>1319623</v>
      </c>
      <c r="D404" t="s">
        <v>78</v>
      </c>
      <c r="E404" t="s">
        <v>57</v>
      </c>
      <c r="F404" t="s">
        <v>57</v>
      </c>
      <c r="G404" t="s">
        <v>109</v>
      </c>
      <c r="H404" t="s">
        <v>238</v>
      </c>
      <c r="I404" t="s">
        <v>78</v>
      </c>
      <c r="J404" t="s">
        <v>42</v>
      </c>
      <c r="K404" t="s">
        <v>87</v>
      </c>
      <c r="L404" s="25">
        <v>44030</v>
      </c>
      <c r="M404">
        <v>7</v>
      </c>
      <c r="N404">
        <v>2020</v>
      </c>
      <c r="O404" t="s">
        <v>110</v>
      </c>
      <c r="P404">
        <v>170</v>
      </c>
      <c r="Q404" s="17">
        <v>44030.496929745372</v>
      </c>
      <c r="R404" t="s">
        <v>115</v>
      </c>
    </row>
    <row r="405" spans="1:18" x14ac:dyDescent="0.3">
      <c r="A405">
        <v>21529157</v>
      </c>
      <c r="B405" t="s">
        <v>78</v>
      </c>
      <c r="C405">
        <v>1326376</v>
      </c>
      <c r="D405" t="s">
        <v>78</v>
      </c>
      <c r="E405" t="s">
        <v>117</v>
      </c>
      <c r="F405" t="s">
        <v>117</v>
      </c>
      <c r="G405" t="s">
        <v>59</v>
      </c>
      <c r="H405" t="s">
        <v>231</v>
      </c>
      <c r="I405" t="s">
        <v>78</v>
      </c>
      <c r="J405" t="s">
        <v>42</v>
      </c>
      <c r="K405" t="s">
        <v>91</v>
      </c>
      <c r="L405" s="25">
        <v>44030</v>
      </c>
      <c r="M405">
        <v>7</v>
      </c>
      <c r="N405">
        <v>2020</v>
      </c>
      <c r="O405" t="s">
        <v>110</v>
      </c>
      <c r="P405">
        <v>170</v>
      </c>
      <c r="Q405" s="17">
        <v>44030.424589699076</v>
      </c>
      <c r="R405" t="s">
        <v>119</v>
      </c>
    </row>
    <row r="406" spans="1:18" x14ac:dyDescent="0.3">
      <c r="A406">
        <v>21526974</v>
      </c>
      <c r="B406" t="s">
        <v>80</v>
      </c>
      <c r="C406">
        <v>1326526</v>
      </c>
      <c r="D406" t="s">
        <v>113</v>
      </c>
      <c r="E406" t="s">
        <v>117</v>
      </c>
      <c r="F406" t="s">
        <v>117</v>
      </c>
      <c r="G406" t="s">
        <v>59</v>
      </c>
      <c r="H406" t="s">
        <v>232</v>
      </c>
      <c r="I406" t="s">
        <v>84</v>
      </c>
      <c r="J406" t="s">
        <v>85</v>
      </c>
      <c r="K406" t="s">
        <v>91</v>
      </c>
      <c r="L406" s="25">
        <v>44030</v>
      </c>
      <c r="M406">
        <v>7</v>
      </c>
      <c r="N406">
        <v>2020</v>
      </c>
      <c r="O406" t="s">
        <v>110</v>
      </c>
      <c r="P406">
        <v>170</v>
      </c>
      <c r="Q406" s="17">
        <v>44030.426960879631</v>
      </c>
      <c r="R406" t="s">
        <v>119</v>
      </c>
    </row>
    <row r="407" spans="1:18" x14ac:dyDescent="0.3">
      <c r="A407">
        <v>21527669</v>
      </c>
      <c r="B407" t="s">
        <v>78</v>
      </c>
      <c r="C407">
        <v>1326575</v>
      </c>
      <c r="D407" t="s">
        <v>78</v>
      </c>
      <c r="E407" t="s">
        <v>117</v>
      </c>
      <c r="F407" t="s">
        <v>117</v>
      </c>
      <c r="G407" t="s">
        <v>59</v>
      </c>
      <c r="H407" t="s">
        <v>230</v>
      </c>
      <c r="I407" t="s">
        <v>78</v>
      </c>
      <c r="J407" t="s">
        <v>42</v>
      </c>
      <c r="K407" t="s">
        <v>91</v>
      </c>
      <c r="L407" s="25">
        <v>44030</v>
      </c>
      <c r="M407">
        <v>7</v>
      </c>
      <c r="N407">
        <v>2020</v>
      </c>
      <c r="O407" t="s">
        <v>110</v>
      </c>
      <c r="P407">
        <v>170</v>
      </c>
      <c r="Q407" s="17">
        <v>44030.427064004631</v>
      </c>
      <c r="R407" t="s">
        <v>118</v>
      </c>
    </row>
    <row r="408" spans="1:18" x14ac:dyDescent="0.3">
      <c r="A408">
        <v>21529386</v>
      </c>
      <c r="B408" t="s">
        <v>78</v>
      </c>
      <c r="C408">
        <v>1326726</v>
      </c>
      <c r="D408" t="s">
        <v>78</v>
      </c>
      <c r="E408" t="s">
        <v>117</v>
      </c>
      <c r="F408" t="s">
        <v>117</v>
      </c>
      <c r="G408" t="s">
        <v>59</v>
      </c>
      <c r="H408" t="s">
        <v>230</v>
      </c>
      <c r="I408" t="s">
        <v>78</v>
      </c>
      <c r="J408" t="s">
        <v>42</v>
      </c>
      <c r="K408" t="s">
        <v>91</v>
      </c>
      <c r="L408" s="25">
        <v>44030</v>
      </c>
      <c r="M408">
        <v>7</v>
      </c>
      <c r="N408">
        <v>2020</v>
      </c>
      <c r="O408" t="s">
        <v>110</v>
      </c>
      <c r="P408">
        <v>170</v>
      </c>
      <c r="Q408" s="17">
        <v>44030.432433912036</v>
      </c>
      <c r="R408" t="s">
        <v>118</v>
      </c>
    </row>
    <row r="409" spans="1:18" x14ac:dyDescent="0.3">
      <c r="A409">
        <v>21528048</v>
      </c>
      <c r="B409" t="s">
        <v>78</v>
      </c>
      <c r="C409">
        <v>1327262</v>
      </c>
      <c r="D409" t="s">
        <v>78</v>
      </c>
      <c r="E409" t="s">
        <v>58</v>
      </c>
      <c r="F409" t="s">
        <v>58</v>
      </c>
      <c r="G409" t="s">
        <v>114</v>
      </c>
      <c r="H409" t="s">
        <v>105</v>
      </c>
      <c r="I409" t="s">
        <v>78</v>
      </c>
      <c r="J409" t="s">
        <v>42</v>
      </c>
      <c r="K409" t="s">
        <v>87</v>
      </c>
      <c r="L409" s="25">
        <v>44030</v>
      </c>
      <c r="M409">
        <v>7</v>
      </c>
      <c r="N409">
        <v>2020</v>
      </c>
      <c r="O409" t="s">
        <v>110</v>
      </c>
      <c r="P409">
        <v>170</v>
      </c>
      <c r="Q409" s="17">
        <v>44030.423947569441</v>
      </c>
      <c r="R409" t="s">
        <v>111</v>
      </c>
    </row>
    <row r="410" spans="1:18" x14ac:dyDescent="0.3">
      <c r="A410">
        <v>21528282</v>
      </c>
      <c r="B410" t="s">
        <v>79</v>
      </c>
      <c r="C410">
        <v>1327362</v>
      </c>
      <c r="D410" t="s">
        <v>116</v>
      </c>
      <c r="E410" t="s">
        <v>58</v>
      </c>
      <c r="F410" t="s">
        <v>58</v>
      </c>
      <c r="G410" t="s">
        <v>114</v>
      </c>
      <c r="H410" t="s">
        <v>233</v>
      </c>
      <c r="I410" t="s">
        <v>82</v>
      </c>
      <c r="J410" t="s">
        <v>42</v>
      </c>
      <c r="K410" t="s">
        <v>87</v>
      </c>
      <c r="L410" s="25">
        <v>44030</v>
      </c>
      <c r="M410">
        <v>7</v>
      </c>
      <c r="N410">
        <v>2020</v>
      </c>
      <c r="O410" t="s">
        <v>110</v>
      </c>
      <c r="P410">
        <v>170</v>
      </c>
      <c r="Q410" s="17">
        <v>44030.424996759262</v>
      </c>
      <c r="R410" t="s">
        <v>111</v>
      </c>
    </row>
    <row r="411" spans="1:18" x14ac:dyDescent="0.3">
      <c r="A411">
        <v>21529522</v>
      </c>
      <c r="B411" t="s">
        <v>78</v>
      </c>
      <c r="C411">
        <v>1327511</v>
      </c>
      <c r="D411" t="s">
        <v>78</v>
      </c>
      <c r="E411" t="s">
        <v>57</v>
      </c>
      <c r="F411" t="s">
        <v>57</v>
      </c>
      <c r="G411" t="s">
        <v>109</v>
      </c>
      <c r="H411" t="s">
        <v>105</v>
      </c>
      <c r="I411" t="s">
        <v>78</v>
      </c>
      <c r="J411" t="s">
        <v>42</v>
      </c>
      <c r="K411" t="s">
        <v>87</v>
      </c>
      <c r="L411" s="25">
        <v>44030</v>
      </c>
      <c r="M411">
        <v>7</v>
      </c>
      <c r="N411">
        <v>2020</v>
      </c>
      <c r="O411" t="s">
        <v>110</v>
      </c>
      <c r="P411">
        <v>170</v>
      </c>
      <c r="Q411" s="17">
        <v>44030.427124768517</v>
      </c>
      <c r="R411" t="s">
        <v>112</v>
      </c>
    </row>
    <row r="412" spans="1:18" x14ac:dyDescent="0.3">
      <c r="A412">
        <v>9683979</v>
      </c>
      <c r="B412" t="s">
        <v>72</v>
      </c>
      <c r="C412">
        <v>1327461</v>
      </c>
      <c r="D412" t="s">
        <v>108</v>
      </c>
      <c r="E412" t="s">
        <v>57</v>
      </c>
      <c r="F412" t="s">
        <v>57</v>
      </c>
      <c r="G412" t="s">
        <v>109</v>
      </c>
      <c r="H412" t="s">
        <v>229</v>
      </c>
      <c r="I412" t="s">
        <v>84</v>
      </c>
      <c r="J412" t="s">
        <v>85</v>
      </c>
      <c r="K412" t="s">
        <v>87</v>
      </c>
      <c r="L412" s="25">
        <v>44030</v>
      </c>
      <c r="M412">
        <v>7</v>
      </c>
      <c r="N412">
        <v>2020</v>
      </c>
      <c r="O412" t="s">
        <v>110</v>
      </c>
      <c r="P412">
        <v>170</v>
      </c>
      <c r="Q412" s="17">
        <v>44030.427455439814</v>
      </c>
      <c r="R412" t="s">
        <v>112</v>
      </c>
    </row>
    <row r="413" spans="1:18" x14ac:dyDescent="0.3">
      <c r="A413">
        <v>9683965</v>
      </c>
      <c r="B413" t="s">
        <v>79</v>
      </c>
      <c r="C413">
        <v>1327662</v>
      </c>
      <c r="D413" t="s">
        <v>116</v>
      </c>
      <c r="E413" t="s">
        <v>58</v>
      </c>
      <c r="F413" t="s">
        <v>58</v>
      </c>
      <c r="G413" t="s">
        <v>114</v>
      </c>
      <c r="H413" t="s">
        <v>233</v>
      </c>
      <c r="I413" t="s">
        <v>82</v>
      </c>
      <c r="J413" t="s">
        <v>42</v>
      </c>
      <c r="K413" t="s">
        <v>87</v>
      </c>
      <c r="L413" s="25">
        <v>44030</v>
      </c>
      <c r="M413">
        <v>7</v>
      </c>
      <c r="N413">
        <v>2020</v>
      </c>
      <c r="O413" t="s">
        <v>110</v>
      </c>
      <c r="P413">
        <v>170</v>
      </c>
      <c r="Q413" s="17">
        <v>44030.429659953705</v>
      </c>
      <c r="R413" t="s">
        <v>111</v>
      </c>
    </row>
    <row r="414" spans="1:18" x14ac:dyDescent="0.3">
      <c r="A414">
        <v>9683965</v>
      </c>
      <c r="B414" t="s">
        <v>79</v>
      </c>
      <c r="C414">
        <v>1327661</v>
      </c>
      <c r="D414" t="s">
        <v>116</v>
      </c>
      <c r="E414" t="s">
        <v>58</v>
      </c>
      <c r="F414" t="s">
        <v>58</v>
      </c>
      <c r="G414" t="s">
        <v>114</v>
      </c>
      <c r="H414" t="s">
        <v>233</v>
      </c>
      <c r="I414" t="s">
        <v>82</v>
      </c>
      <c r="J414" t="s">
        <v>42</v>
      </c>
      <c r="K414" t="s">
        <v>87</v>
      </c>
      <c r="L414" s="25">
        <v>44030</v>
      </c>
      <c r="M414">
        <v>7</v>
      </c>
      <c r="N414">
        <v>2020</v>
      </c>
      <c r="O414" t="s">
        <v>110</v>
      </c>
      <c r="P414">
        <v>170</v>
      </c>
      <c r="Q414" s="17">
        <v>44030.430749305553</v>
      </c>
      <c r="R414" t="s">
        <v>111</v>
      </c>
    </row>
    <row r="415" spans="1:18" x14ac:dyDescent="0.3">
      <c r="A415">
        <v>21529571</v>
      </c>
      <c r="B415" t="s">
        <v>78</v>
      </c>
      <c r="C415">
        <v>1327862</v>
      </c>
      <c r="D415" t="s">
        <v>78</v>
      </c>
      <c r="E415" t="s">
        <v>57</v>
      </c>
      <c r="F415" t="s">
        <v>57</v>
      </c>
      <c r="G415" t="s">
        <v>109</v>
      </c>
      <c r="H415" t="s">
        <v>239</v>
      </c>
      <c r="I415" t="s">
        <v>78</v>
      </c>
      <c r="J415" t="s">
        <v>42</v>
      </c>
      <c r="K415" t="s">
        <v>87</v>
      </c>
      <c r="L415" s="25">
        <v>44030</v>
      </c>
      <c r="M415">
        <v>7</v>
      </c>
      <c r="N415">
        <v>2020</v>
      </c>
      <c r="O415" t="s">
        <v>110</v>
      </c>
      <c r="P415">
        <v>170</v>
      </c>
      <c r="Q415" s="17">
        <v>44030.4329</v>
      </c>
      <c r="R415" t="s">
        <v>115</v>
      </c>
    </row>
    <row r="416" spans="1:18" x14ac:dyDescent="0.3">
      <c r="A416">
        <v>9683879</v>
      </c>
      <c r="B416" t="s">
        <v>80</v>
      </c>
      <c r="C416">
        <v>1327997</v>
      </c>
      <c r="D416" t="s">
        <v>113</v>
      </c>
      <c r="E416" t="s">
        <v>58</v>
      </c>
      <c r="F416" t="s">
        <v>58</v>
      </c>
      <c r="G416" t="s">
        <v>114</v>
      </c>
      <c r="H416" t="s">
        <v>232</v>
      </c>
      <c r="I416" t="s">
        <v>84</v>
      </c>
      <c r="J416" t="s">
        <v>85</v>
      </c>
      <c r="K416" t="s">
        <v>87</v>
      </c>
      <c r="L416" s="25">
        <v>44030</v>
      </c>
      <c r="M416">
        <v>7</v>
      </c>
      <c r="N416">
        <v>2020</v>
      </c>
      <c r="O416" t="s">
        <v>110</v>
      </c>
      <c r="P416">
        <v>170</v>
      </c>
      <c r="Q416" s="17">
        <v>44030.441268402777</v>
      </c>
      <c r="R416" t="s">
        <v>121</v>
      </c>
    </row>
    <row r="417" spans="1:18" x14ac:dyDescent="0.3">
      <c r="A417">
        <v>9685119</v>
      </c>
      <c r="B417" t="s">
        <v>72</v>
      </c>
      <c r="C417">
        <v>1328097</v>
      </c>
      <c r="D417" t="s">
        <v>108</v>
      </c>
      <c r="E417" t="s">
        <v>57</v>
      </c>
      <c r="F417" t="s">
        <v>57</v>
      </c>
      <c r="G417" t="s">
        <v>109</v>
      </c>
      <c r="H417" t="s">
        <v>229</v>
      </c>
      <c r="I417" t="s">
        <v>84</v>
      </c>
      <c r="J417" t="s">
        <v>85</v>
      </c>
      <c r="K417" t="s">
        <v>87</v>
      </c>
      <c r="L417" s="25">
        <v>44030</v>
      </c>
      <c r="M417">
        <v>7</v>
      </c>
      <c r="N417">
        <v>2020</v>
      </c>
      <c r="O417" t="s">
        <v>110</v>
      </c>
      <c r="P417">
        <v>170</v>
      </c>
      <c r="Q417" s="17">
        <v>44030.443178472226</v>
      </c>
      <c r="R417" t="s">
        <v>111</v>
      </c>
    </row>
    <row r="418" spans="1:18" x14ac:dyDescent="0.3">
      <c r="A418">
        <v>9684930</v>
      </c>
      <c r="B418" t="s">
        <v>80</v>
      </c>
      <c r="C418">
        <v>1328797</v>
      </c>
      <c r="D418" t="s">
        <v>113</v>
      </c>
      <c r="E418" t="s">
        <v>57</v>
      </c>
      <c r="F418" t="s">
        <v>57</v>
      </c>
      <c r="G418" t="s">
        <v>109</v>
      </c>
      <c r="H418" t="s">
        <v>257</v>
      </c>
      <c r="I418" t="s">
        <v>82</v>
      </c>
      <c r="J418" t="s">
        <v>42</v>
      </c>
      <c r="K418" t="s">
        <v>87</v>
      </c>
      <c r="L418" s="25">
        <v>44030</v>
      </c>
      <c r="M418">
        <v>7</v>
      </c>
      <c r="N418">
        <v>2020</v>
      </c>
      <c r="O418" t="s">
        <v>110</v>
      </c>
      <c r="P418">
        <v>170</v>
      </c>
      <c r="Q418" s="17">
        <v>44030.447556828702</v>
      </c>
      <c r="R418" t="s">
        <v>112</v>
      </c>
    </row>
    <row r="419" spans="1:18" x14ac:dyDescent="0.3">
      <c r="A419">
        <v>9685071</v>
      </c>
      <c r="B419" t="s">
        <v>72</v>
      </c>
      <c r="C419">
        <v>1329047</v>
      </c>
      <c r="D419" t="s">
        <v>108</v>
      </c>
      <c r="E419" t="s">
        <v>58</v>
      </c>
      <c r="F419" t="s">
        <v>58</v>
      </c>
      <c r="G419" t="s">
        <v>114</v>
      </c>
      <c r="H419" t="s">
        <v>266</v>
      </c>
      <c r="I419" t="s">
        <v>84</v>
      </c>
      <c r="J419" t="s">
        <v>85</v>
      </c>
      <c r="K419" t="s">
        <v>87</v>
      </c>
      <c r="L419" s="25">
        <v>44030</v>
      </c>
      <c r="M419">
        <v>7</v>
      </c>
      <c r="N419">
        <v>2020</v>
      </c>
      <c r="O419" t="s">
        <v>110</v>
      </c>
      <c r="P419">
        <v>170</v>
      </c>
      <c r="Q419" s="17">
        <v>44030.454540393519</v>
      </c>
      <c r="R419" t="s">
        <v>111</v>
      </c>
    </row>
    <row r="420" spans="1:18" x14ac:dyDescent="0.3">
      <c r="A420">
        <v>9685059</v>
      </c>
      <c r="B420" t="s">
        <v>78</v>
      </c>
      <c r="C420">
        <v>1329133</v>
      </c>
      <c r="D420" t="s">
        <v>78</v>
      </c>
      <c r="E420" t="s">
        <v>58</v>
      </c>
      <c r="F420" t="s">
        <v>58</v>
      </c>
      <c r="G420" t="s">
        <v>114</v>
      </c>
      <c r="H420" t="s">
        <v>105</v>
      </c>
      <c r="I420" t="s">
        <v>78</v>
      </c>
      <c r="J420" t="s">
        <v>42</v>
      </c>
      <c r="K420" t="s">
        <v>87</v>
      </c>
      <c r="L420" s="25">
        <v>44030</v>
      </c>
      <c r="M420">
        <v>7</v>
      </c>
      <c r="N420">
        <v>2020</v>
      </c>
      <c r="O420" t="s">
        <v>110</v>
      </c>
      <c r="P420">
        <v>170</v>
      </c>
      <c r="Q420" s="17">
        <v>44030.455324189817</v>
      </c>
      <c r="R420" t="s">
        <v>111</v>
      </c>
    </row>
    <row r="421" spans="1:18" x14ac:dyDescent="0.3">
      <c r="A421">
        <v>9686429</v>
      </c>
      <c r="B421" t="s">
        <v>78</v>
      </c>
      <c r="C421">
        <v>1329198</v>
      </c>
      <c r="D421" t="s">
        <v>78</v>
      </c>
      <c r="E421" t="s">
        <v>58</v>
      </c>
      <c r="F421" t="s">
        <v>58</v>
      </c>
      <c r="G421" t="s">
        <v>114</v>
      </c>
      <c r="H421" t="s">
        <v>228</v>
      </c>
      <c r="I421" t="s">
        <v>78</v>
      </c>
      <c r="J421" t="s">
        <v>42</v>
      </c>
      <c r="K421" t="s">
        <v>87</v>
      </c>
      <c r="L421" s="25">
        <v>44030</v>
      </c>
      <c r="M421">
        <v>7</v>
      </c>
      <c r="N421">
        <v>2020</v>
      </c>
      <c r="O421" t="s">
        <v>110</v>
      </c>
      <c r="P421">
        <v>170</v>
      </c>
      <c r="Q421" s="17">
        <v>44030.458820254629</v>
      </c>
      <c r="R421" t="s">
        <v>111</v>
      </c>
    </row>
    <row r="422" spans="1:18" x14ac:dyDescent="0.3">
      <c r="A422">
        <v>9685579</v>
      </c>
      <c r="B422" t="s">
        <v>72</v>
      </c>
      <c r="C422">
        <v>1329283</v>
      </c>
      <c r="D422" t="s">
        <v>108</v>
      </c>
      <c r="E422" t="s">
        <v>58</v>
      </c>
      <c r="F422" t="s">
        <v>58</v>
      </c>
      <c r="G422" t="s">
        <v>114</v>
      </c>
      <c r="H422" t="s">
        <v>267</v>
      </c>
      <c r="I422" t="s">
        <v>84</v>
      </c>
      <c r="J422" t="s">
        <v>85</v>
      </c>
      <c r="K422" t="s">
        <v>87</v>
      </c>
      <c r="L422" s="25">
        <v>44030</v>
      </c>
      <c r="M422">
        <v>7</v>
      </c>
      <c r="N422">
        <v>2020</v>
      </c>
      <c r="O422" t="s">
        <v>110</v>
      </c>
      <c r="P422">
        <v>170</v>
      </c>
      <c r="Q422" s="17">
        <v>44030.460468981481</v>
      </c>
      <c r="R422" t="s">
        <v>111</v>
      </c>
    </row>
    <row r="423" spans="1:18" x14ac:dyDescent="0.3">
      <c r="A423">
        <v>9686618</v>
      </c>
      <c r="B423" t="s">
        <v>78</v>
      </c>
      <c r="C423">
        <v>1330053</v>
      </c>
      <c r="D423" t="s">
        <v>78</v>
      </c>
      <c r="E423" t="s">
        <v>166</v>
      </c>
      <c r="F423" t="s">
        <v>17</v>
      </c>
      <c r="G423" t="s">
        <v>167</v>
      </c>
      <c r="H423" t="s">
        <v>134</v>
      </c>
      <c r="I423" t="s">
        <v>78</v>
      </c>
      <c r="J423" t="s">
        <v>42</v>
      </c>
      <c r="K423" t="s">
        <v>87</v>
      </c>
      <c r="L423" s="25">
        <v>44030</v>
      </c>
      <c r="M423">
        <v>7</v>
      </c>
      <c r="N423">
        <v>2020</v>
      </c>
      <c r="O423" t="s">
        <v>110</v>
      </c>
      <c r="P423">
        <v>170</v>
      </c>
      <c r="Q423" s="17">
        <v>44030.486609953703</v>
      </c>
      <c r="R423" t="s">
        <v>126</v>
      </c>
    </row>
    <row r="424" spans="1:18" x14ac:dyDescent="0.3">
      <c r="A424">
        <v>9686157</v>
      </c>
      <c r="B424" t="s">
        <v>80</v>
      </c>
      <c r="C424">
        <v>1329618</v>
      </c>
      <c r="D424" t="s">
        <v>113</v>
      </c>
      <c r="E424" t="s">
        <v>146</v>
      </c>
      <c r="F424" t="s">
        <v>17</v>
      </c>
      <c r="G424" t="s">
        <v>153</v>
      </c>
      <c r="H424" t="s">
        <v>232</v>
      </c>
      <c r="I424" t="s">
        <v>84</v>
      </c>
      <c r="J424" t="s">
        <v>85</v>
      </c>
      <c r="K424" t="s">
        <v>87</v>
      </c>
      <c r="L424" s="25">
        <v>44030</v>
      </c>
      <c r="M424">
        <v>7</v>
      </c>
      <c r="N424">
        <v>2020</v>
      </c>
      <c r="O424" t="s">
        <v>110</v>
      </c>
      <c r="P424">
        <v>170</v>
      </c>
      <c r="Q424" s="17">
        <v>44030.435914120368</v>
      </c>
      <c r="R424" t="s">
        <v>126</v>
      </c>
    </row>
    <row r="425" spans="1:18" x14ac:dyDescent="0.3">
      <c r="A425">
        <v>9686167</v>
      </c>
      <c r="B425" t="s">
        <v>80</v>
      </c>
      <c r="C425">
        <v>1329632</v>
      </c>
      <c r="D425" t="s">
        <v>113</v>
      </c>
      <c r="E425" t="s">
        <v>146</v>
      </c>
      <c r="F425" t="s">
        <v>17</v>
      </c>
      <c r="G425" t="s">
        <v>153</v>
      </c>
      <c r="H425" t="s">
        <v>232</v>
      </c>
      <c r="I425" t="s">
        <v>84</v>
      </c>
      <c r="J425" t="s">
        <v>85</v>
      </c>
      <c r="K425" t="s">
        <v>87</v>
      </c>
      <c r="L425" s="25">
        <v>44030</v>
      </c>
      <c r="M425">
        <v>7</v>
      </c>
      <c r="N425">
        <v>2020</v>
      </c>
      <c r="O425" t="s">
        <v>110</v>
      </c>
      <c r="P425">
        <v>170</v>
      </c>
      <c r="Q425" s="17">
        <v>44030.440189351852</v>
      </c>
      <c r="R425" t="s">
        <v>126</v>
      </c>
    </row>
    <row r="426" spans="1:18" x14ac:dyDescent="0.3">
      <c r="A426">
        <v>9685837</v>
      </c>
      <c r="B426" t="s">
        <v>78</v>
      </c>
      <c r="C426">
        <v>1329432</v>
      </c>
      <c r="D426" t="s">
        <v>78</v>
      </c>
      <c r="E426">
        <v>820</v>
      </c>
      <c r="F426">
        <v>820</v>
      </c>
      <c r="G426" t="s">
        <v>136</v>
      </c>
      <c r="H426" t="s">
        <v>249</v>
      </c>
      <c r="I426" t="s">
        <v>78</v>
      </c>
      <c r="J426" t="s">
        <v>42</v>
      </c>
      <c r="K426" t="s">
        <v>83</v>
      </c>
      <c r="L426" s="25">
        <v>44030</v>
      </c>
      <c r="M426">
        <v>7</v>
      </c>
      <c r="N426">
        <v>2020</v>
      </c>
      <c r="O426" t="s">
        <v>110</v>
      </c>
      <c r="P426">
        <v>170</v>
      </c>
      <c r="Q426" s="17">
        <v>44030.472056481478</v>
      </c>
      <c r="R426" t="s">
        <v>126</v>
      </c>
    </row>
    <row r="427" spans="1:18" x14ac:dyDescent="0.3">
      <c r="A427">
        <v>9685930</v>
      </c>
      <c r="B427" t="s">
        <v>72</v>
      </c>
      <c r="C427">
        <v>1329300</v>
      </c>
      <c r="D427" t="s">
        <v>108</v>
      </c>
      <c r="E427">
        <v>820</v>
      </c>
      <c r="F427">
        <v>820</v>
      </c>
      <c r="G427" t="s">
        <v>136</v>
      </c>
      <c r="H427" t="s">
        <v>270</v>
      </c>
      <c r="I427" t="s">
        <v>82</v>
      </c>
      <c r="J427" t="s">
        <v>42</v>
      </c>
      <c r="K427" t="s">
        <v>83</v>
      </c>
      <c r="L427" s="25">
        <v>44030</v>
      </c>
      <c r="M427">
        <v>7</v>
      </c>
      <c r="N427">
        <v>2020</v>
      </c>
      <c r="O427" t="s">
        <v>110</v>
      </c>
      <c r="P427">
        <v>170</v>
      </c>
      <c r="Q427" s="17">
        <v>44030.45729027778</v>
      </c>
      <c r="R427" t="s">
        <v>126</v>
      </c>
    </row>
    <row r="428" spans="1:18" x14ac:dyDescent="0.3">
      <c r="A428">
        <v>9680507</v>
      </c>
      <c r="B428" t="s">
        <v>72</v>
      </c>
      <c r="C428">
        <v>1322161</v>
      </c>
      <c r="D428" t="s">
        <v>108</v>
      </c>
      <c r="E428">
        <v>966</v>
      </c>
      <c r="F428">
        <v>966</v>
      </c>
      <c r="G428" t="s">
        <v>139</v>
      </c>
      <c r="H428" t="s">
        <v>229</v>
      </c>
      <c r="I428" t="s">
        <v>84</v>
      </c>
      <c r="J428" t="s">
        <v>85</v>
      </c>
      <c r="K428" t="s">
        <v>87</v>
      </c>
      <c r="L428" s="25">
        <v>44030</v>
      </c>
      <c r="M428">
        <v>7</v>
      </c>
      <c r="N428">
        <v>2020</v>
      </c>
      <c r="O428" t="s">
        <v>110</v>
      </c>
      <c r="P428">
        <v>170</v>
      </c>
      <c r="Q428" s="17">
        <v>44030.44799375</v>
      </c>
      <c r="R428" t="s">
        <v>126</v>
      </c>
    </row>
    <row r="429" spans="1:18" x14ac:dyDescent="0.3">
      <c r="A429">
        <v>21527196</v>
      </c>
      <c r="B429" t="s">
        <v>78</v>
      </c>
      <c r="C429">
        <v>1324769</v>
      </c>
      <c r="D429" t="s">
        <v>78</v>
      </c>
      <c r="E429">
        <v>4142</v>
      </c>
      <c r="F429" t="s">
        <v>17</v>
      </c>
      <c r="G429" t="s">
        <v>133</v>
      </c>
      <c r="H429" t="s">
        <v>134</v>
      </c>
      <c r="I429" t="s">
        <v>78</v>
      </c>
      <c r="J429" t="s">
        <v>42</v>
      </c>
      <c r="K429" t="s">
        <v>87</v>
      </c>
      <c r="L429" s="25">
        <v>44030</v>
      </c>
      <c r="M429">
        <v>7</v>
      </c>
      <c r="N429">
        <v>2020</v>
      </c>
      <c r="O429" t="s">
        <v>110</v>
      </c>
      <c r="P429">
        <v>170</v>
      </c>
      <c r="Q429" s="17">
        <v>44030.489278935187</v>
      </c>
      <c r="R429" t="s">
        <v>126</v>
      </c>
    </row>
    <row r="430" spans="1:18" x14ac:dyDescent="0.3">
      <c r="A430">
        <v>9685761</v>
      </c>
      <c r="B430" t="s">
        <v>78</v>
      </c>
      <c r="C430">
        <v>1328682</v>
      </c>
      <c r="D430" t="s">
        <v>78</v>
      </c>
      <c r="E430">
        <v>820</v>
      </c>
      <c r="F430">
        <v>820</v>
      </c>
      <c r="G430" t="s">
        <v>136</v>
      </c>
      <c r="H430" t="s">
        <v>250</v>
      </c>
      <c r="I430" t="s">
        <v>78</v>
      </c>
      <c r="J430" t="s">
        <v>42</v>
      </c>
      <c r="K430" t="s">
        <v>83</v>
      </c>
      <c r="L430" s="25">
        <v>44030</v>
      </c>
      <c r="M430">
        <v>7</v>
      </c>
      <c r="N430">
        <v>2020</v>
      </c>
      <c r="O430" t="s">
        <v>110</v>
      </c>
      <c r="P430">
        <v>170</v>
      </c>
      <c r="Q430" s="17">
        <v>44030.427927083336</v>
      </c>
      <c r="R430" t="s">
        <v>126</v>
      </c>
    </row>
    <row r="431" spans="1:18" x14ac:dyDescent="0.3">
      <c r="A431">
        <v>9688053</v>
      </c>
      <c r="B431" t="s">
        <v>78</v>
      </c>
      <c r="C431">
        <v>1330686</v>
      </c>
      <c r="D431" t="s">
        <v>78</v>
      </c>
      <c r="E431">
        <v>845</v>
      </c>
      <c r="F431">
        <v>845</v>
      </c>
      <c r="G431" t="s">
        <v>130</v>
      </c>
      <c r="H431" t="s">
        <v>105</v>
      </c>
      <c r="I431" t="s">
        <v>78</v>
      </c>
      <c r="J431" t="s">
        <v>42</v>
      </c>
      <c r="K431" t="s">
        <v>87</v>
      </c>
      <c r="L431" s="25">
        <v>44030</v>
      </c>
      <c r="M431">
        <v>7</v>
      </c>
      <c r="N431">
        <v>2020</v>
      </c>
      <c r="O431" t="s">
        <v>110</v>
      </c>
      <c r="P431">
        <v>170</v>
      </c>
      <c r="Q431" s="17">
        <v>44030.423385532406</v>
      </c>
      <c r="R431" t="s">
        <v>126</v>
      </c>
    </row>
    <row r="432" spans="1:18" x14ac:dyDescent="0.3">
      <c r="A432">
        <v>241100</v>
      </c>
      <c r="B432" t="s">
        <v>78</v>
      </c>
      <c r="C432">
        <v>1320089</v>
      </c>
      <c r="D432" t="s">
        <v>78</v>
      </c>
      <c r="E432" t="s">
        <v>26</v>
      </c>
      <c r="F432" t="s">
        <v>26</v>
      </c>
      <c r="G432" t="s">
        <v>137</v>
      </c>
      <c r="H432" t="s">
        <v>260</v>
      </c>
      <c r="I432" t="s">
        <v>78</v>
      </c>
      <c r="J432" t="s">
        <v>42</v>
      </c>
      <c r="K432" t="s">
        <v>83</v>
      </c>
      <c r="L432" s="25">
        <v>44030</v>
      </c>
      <c r="M432">
        <v>7</v>
      </c>
      <c r="N432">
        <v>2020</v>
      </c>
      <c r="O432" t="s">
        <v>110</v>
      </c>
      <c r="P432">
        <v>170</v>
      </c>
      <c r="Q432" s="17">
        <v>44030.42633159722</v>
      </c>
      <c r="R432" t="s">
        <v>126</v>
      </c>
    </row>
    <row r="433" spans="1:18" x14ac:dyDescent="0.3">
      <c r="A433">
        <v>9685913</v>
      </c>
      <c r="B433" t="s">
        <v>78</v>
      </c>
      <c r="C433">
        <v>1329031</v>
      </c>
      <c r="D433" t="s">
        <v>78</v>
      </c>
      <c r="E433">
        <v>820</v>
      </c>
      <c r="F433">
        <v>820</v>
      </c>
      <c r="G433" t="s">
        <v>136</v>
      </c>
      <c r="H433" t="s">
        <v>250</v>
      </c>
      <c r="I433" t="s">
        <v>78</v>
      </c>
      <c r="J433" t="s">
        <v>42</v>
      </c>
      <c r="K433" t="s">
        <v>83</v>
      </c>
      <c r="L433" s="25">
        <v>44030</v>
      </c>
      <c r="M433">
        <v>7</v>
      </c>
      <c r="N433">
        <v>2020</v>
      </c>
      <c r="O433" t="s">
        <v>110</v>
      </c>
      <c r="P433">
        <v>170</v>
      </c>
      <c r="Q433" s="17">
        <v>44030.448847916668</v>
      </c>
      <c r="R433" t="s">
        <v>126</v>
      </c>
    </row>
    <row r="434" spans="1:18" x14ac:dyDescent="0.3">
      <c r="A434">
        <v>9684349</v>
      </c>
      <c r="B434" t="s">
        <v>72</v>
      </c>
      <c r="C434">
        <v>1329100</v>
      </c>
      <c r="D434" t="s">
        <v>108</v>
      </c>
      <c r="E434" t="s">
        <v>12</v>
      </c>
      <c r="F434" t="s">
        <v>12</v>
      </c>
      <c r="G434" t="s">
        <v>135</v>
      </c>
      <c r="H434" t="s">
        <v>252</v>
      </c>
      <c r="I434" t="s">
        <v>84</v>
      </c>
      <c r="J434" t="s">
        <v>85</v>
      </c>
      <c r="K434" t="s">
        <v>83</v>
      </c>
      <c r="L434" s="25">
        <v>44030</v>
      </c>
      <c r="M434">
        <v>7</v>
      </c>
      <c r="N434">
        <v>2020</v>
      </c>
      <c r="O434" t="s">
        <v>110</v>
      </c>
      <c r="P434">
        <v>170</v>
      </c>
      <c r="Q434" s="17">
        <v>44030.433654629633</v>
      </c>
      <c r="R434" t="s">
        <v>126</v>
      </c>
    </row>
    <row r="435" spans="1:18" x14ac:dyDescent="0.3">
      <c r="A435">
        <v>240518</v>
      </c>
      <c r="B435" t="s">
        <v>80</v>
      </c>
      <c r="C435">
        <v>1318068</v>
      </c>
      <c r="D435" t="s">
        <v>113</v>
      </c>
      <c r="E435">
        <v>966</v>
      </c>
      <c r="F435">
        <v>966</v>
      </c>
      <c r="G435" t="s">
        <v>139</v>
      </c>
      <c r="H435" t="s">
        <v>232</v>
      </c>
      <c r="I435" t="s">
        <v>84</v>
      </c>
      <c r="J435" t="s">
        <v>85</v>
      </c>
      <c r="K435" t="s">
        <v>87</v>
      </c>
      <c r="L435" s="25">
        <v>44030</v>
      </c>
      <c r="M435">
        <v>7</v>
      </c>
      <c r="N435">
        <v>2020</v>
      </c>
      <c r="O435" t="s">
        <v>110</v>
      </c>
      <c r="P435">
        <v>170</v>
      </c>
      <c r="Q435" s="17">
        <v>44030.436559837966</v>
      </c>
      <c r="R435" t="s">
        <v>126</v>
      </c>
    </row>
    <row r="436" spans="1:18" x14ac:dyDescent="0.3">
      <c r="A436">
        <v>9685937</v>
      </c>
      <c r="B436" t="s">
        <v>78</v>
      </c>
      <c r="C436">
        <v>1328696</v>
      </c>
      <c r="D436" t="s">
        <v>78</v>
      </c>
      <c r="E436">
        <v>820</v>
      </c>
      <c r="F436">
        <v>820</v>
      </c>
      <c r="G436" t="s">
        <v>136</v>
      </c>
      <c r="H436" t="s">
        <v>228</v>
      </c>
      <c r="I436" t="s">
        <v>78</v>
      </c>
      <c r="J436" t="s">
        <v>42</v>
      </c>
      <c r="K436" t="s">
        <v>83</v>
      </c>
      <c r="L436" s="25">
        <v>44030</v>
      </c>
      <c r="M436">
        <v>7</v>
      </c>
      <c r="N436">
        <v>2020</v>
      </c>
      <c r="O436" t="s">
        <v>110</v>
      </c>
      <c r="P436">
        <v>170</v>
      </c>
      <c r="Q436" s="17">
        <v>44030.428006712966</v>
      </c>
      <c r="R436" t="s">
        <v>126</v>
      </c>
    </row>
    <row r="437" spans="1:18" x14ac:dyDescent="0.3">
      <c r="A437">
        <v>21524789</v>
      </c>
      <c r="B437" t="s">
        <v>80</v>
      </c>
      <c r="C437">
        <v>1321612</v>
      </c>
      <c r="D437" t="s">
        <v>113</v>
      </c>
      <c r="E437" t="s">
        <v>26</v>
      </c>
      <c r="F437" t="s">
        <v>26</v>
      </c>
      <c r="G437" t="s">
        <v>137</v>
      </c>
      <c r="H437" t="s">
        <v>232</v>
      </c>
      <c r="I437" t="s">
        <v>84</v>
      </c>
      <c r="J437" t="s">
        <v>85</v>
      </c>
      <c r="K437" t="s">
        <v>83</v>
      </c>
      <c r="L437" s="25">
        <v>44030</v>
      </c>
      <c r="M437">
        <v>7</v>
      </c>
      <c r="N437">
        <v>2020</v>
      </c>
      <c r="O437" t="s">
        <v>110</v>
      </c>
      <c r="P437">
        <v>170</v>
      </c>
      <c r="Q437" s="17">
        <v>44030.466964120373</v>
      </c>
      <c r="R437" t="s">
        <v>126</v>
      </c>
    </row>
    <row r="438" spans="1:18" x14ac:dyDescent="0.3">
      <c r="A438">
        <v>9685722</v>
      </c>
      <c r="B438" t="s">
        <v>78</v>
      </c>
      <c r="C438">
        <v>1328900</v>
      </c>
      <c r="D438" t="s">
        <v>78</v>
      </c>
      <c r="E438">
        <v>820</v>
      </c>
      <c r="F438">
        <v>820</v>
      </c>
      <c r="G438" t="s">
        <v>136</v>
      </c>
      <c r="H438" t="s">
        <v>250</v>
      </c>
      <c r="I438" t="s">
        <v>78</v>
      </c>
      <c r="J438" t="s">
        <v>42</v>
      </c>
      <c r="K438" t="s">
        <v>83</v>
      </c>
      <c r="L438" s="25">
        <v>44030</v>
      </c>
      <c r="M438">
        <v>7</v>
      </c>
      <c r="N438">
        <v>2020</v>
      </c>
      <c r="O438" t="s">
        <v>110</v>
      </c>
      <c r="P438">
        <v>170</v>
      </c>
      <c r="Q438" s="17">
        <v>44030.438052430552</v>
      </c>
      <c r="R438" t="s">
        <v>126</v>
      </c>
    </row>
    <row r="439" spans="1:18" x14ac:dyDescent="0.3">
      <c r="A439">
        <v>9685798</v>
      </c>
      <c r="B439" t="s">
        <v>78</v>
      </c>
      <c r="C439">
        <v>1329232</v>
      </c>
      <c r="D439" t="s">
        <v>78</v>
      </c>
      <c r="E439">
        <v>820</v>
      </c>
      <c r="F439">
        <v>820</v>
      </c>
      <c r="G439" t="s">
        <v>136</v>
      </c>
      <c r="H439" t="s">
        <v>250</v>
      </c>
      <c r="I439" t="s">
        <v>78</v>
      </c>
      <c r="J439" t="s">
        <v>42</v>
      </c>
      <c r="K439" t="s">
        <v>83</v>
      </c>
      <c r="L439" s="25">
        <v>44030</v>
      </c>
      <c r="M439">
        <v>7</v>
      </c>
      <c r="N439">
        <v>2020</v>
      </c>
      <c r="O439" t="s">
        <v>110</v>
      </c>
      <c r="P439">
        <v>170</v>
      </c>
      <c r="Q439" s="17">
        <v>44030.456835069446</v>
      </c>
      <c r="R439" t="s">
        <v>126</v>
      </c>
    </row>
    <row r="440" spans="1:18" x14ac:dyDescent="0.3">
      <c r="A440">
        <v>9685066</v>
      </c>
      <c r="B440" t="s">
        <v>72</v>
      </c>
      <c r="C440">
        <v>1329101</v>
      </c>
      <c r="D440" t="s">
        <v>108</v>
      </c>
      <c r="E440" t="s">
        <v>57</v>
      </c>
      <c r="F440" t="s">
        <v>57</v>
      </c>
      <c r="G440" t="s">
        <v>109</v>
      </c>
      <c r="H440" t="s">
        <v>271</v>
      </c>
      <c r="I440" t="s">
        <v>84</v>
      </c>
      <c r="J440" t="s">
        <v>85</v>
      </c>
      <c r="K440" t="s">
        <v>87</v>
      </c>
      <c r="L440" s="25">
        <v>44030</v>
      </c>
      <c r="M440">
        <v>7</v>
      </c>
      <c r="N440">
        <v>2020</v>
      </c>
      <c r="O440" t="s">
        <v>110</v>
      </c>
      <c r="P440">
        <v>170</v>
      </c>
      <c r="Q440" s="17">
        <v>44030.454601620368</v>
      </c>
      <c r="R440" t="s">
        <v>111</v>
      </c>
    </row>
    <row r="441" spans="1:18" x14ac:dyDescent="0.3">
      <c r="A441">
        <v>9686021</v>
      </c>
      <c r="B441" t="s">
        <v>72</v>
      </c>
      <c r="C441">
        <v>1329144</v>
      </c>
      <c r="D441" t="s">
        <v>108</v>
      </c>
      <c r="E441" t="s">
        <v>57</v>
      </c>
      <c r="F441" t="s">
        <v>57</v>
      </c>
      <c r="G441" t="s">
        <v>109</v>
      </c>
      <c r="H441" t="s">
        <v>229</v>
      </c>
      <c r="I441" t="s">
        <v>84</v>
      </c>
      <c r="J441" t="s">
        <v>85</v>
      </c>
      <c r="K441" t="s">
        <v>87</v>
      </c>
      <c r="L441" s="25">
        <v>44030</v>
      </c>
      <c r="M441">
        <v>7</v>
      </c>
      <c r="N441">
        <v>2020</v>
      </c>
      <c r="O441" t="s">
        <v>110</v>
      </c>
      <c r="P441">
        <v>170</v>
      </c>
      <c r="Q441" s="17">
        <v>44030.456399189818</v>
      </c>
      <c r="R441" t="s">
        <v>111</v>
      </c>
    </row>
    <row r="442" spans="1:18" x14ac:dyDescent="0.3">
      <c r="A442">
        <v>9685290</v>
      </c>
      <c r="B442" t="s">
        <v>78</v>
      </c>
      <c r="C442">
        <v>1329194</v>
      </c>
      <c r="D442" t="s">
        <v>78</v>
      </c>
      <c r="E442" t="s">
        <v>58</v>
      </c>
      <c r="F442" t="s">
        <v>58</v>
      </c>
      <c r="G442" t="s">
        <v>114</v>
      </c>
      <c r="H442" t="s">
        <v>228</v>
      </c>
      <c r="I442" t="s">
        <v>78</v>
      </c>
      <c r="J442" t="s">
        <v>42</v>
      </c>
      <c r="K442" t="s">
        <v>87</v>
      </c>
      <c r="L442" s="25">
        <v>44030</v>
      </c>
      <c r="M442">
        <v>7</v>
      </c>
      <c r="N442">
        <v>2020</v>
      </c>
      <c r="O442" t="s">
        <v>110</v>
      </c>
      <c r="P442">
        <v>170</v>
      </c>
      <c r="Q442" s="17">
        <v>44030.458691898151</v>
      </c>
      <c r="R442" t="s">
        <v>111</v>
      </c>
    </row>
    <row r="443" spans="1:18" x14ac:dyDescent="0.3">
      <c r="A443">
        <v>9686340</v>
      </c>
      <c r="B443" t="s">
        <v>72</v>
      </c>
      <c r="C443">
        <v>1329444</v>
      </c>
      <c r="D443" t="s">
        <v>108</v>
      </c>
      <c r="E443" t="s">
        <v>57</v>
      </c>
      <c r="F443" t="s">
        <v>57</v>
      </c>
      <c r="G443" t="s">
        <v>109</v>
      </c>
      <c r="H443" t="s">
        <v>229</v>
      </c>
      <c r="I443" t="s">
        <v>84</v>
      </c>
      <c r="J443" t="s">
        <v>85</v>
      </c>
      <c r="K443" t="s">
        <v>87</v>
      </c>
      <c r="L443" s="25">
        <v>44030</v>
      </c>
      <c r="M443">
        <v>7</v>
      </c>
      <c r="N443">
        <v>2020</v>
      </c>
      <c r="O443" t="s">
        <v>110</v>
      </c>
      <c r="P443">
        <v>170</v>
      </c>
      <c r="Q443" s="17">
        <v>44030.463091898149</v>
      </c>
      <c r="R443" t="s">
        <v>111</v>
      </c>
    </row>
    <row r="444" spans="1:18" x14ac:dyDescent="0.3">
      <c r="A444">
        <v>9686964</v>
      </c>
      <c r="B444" t="s">
        <v>78</v>
      </c>
      <c r="C444">
        <v>1329873</v>
      </c>
      <c r="D444" t="s">
        <v>78</v>
      </c>
      <c r="E444" t="s">
        <v>57</v>
      </c>
      <c r="F444" t="s">
        <v>57</v>
      </c>
      <c r="G444" t="s">
        <v>109</v>
      </c>
      <c r="H444" t="s">
        <v>268</v>
      </c>
      <c r="I444" t="s">
        <v>78</v>
      </c>
      <c r="J444" t="s">
        <v>42</v>
      </c>
      <c r="K444" t="s">
        <v>87</v>
      </c>
      <c r="L444" s="25">
        <v>44030</v>
      </c>
      <c r="M444">
        <v>7</v>
      </c>
      <c r="N444">
        <v>2020</v>
      </c>
      <c r="O444" t="s">
        <v>110</v>
      </c>
      <c r="P444">
        <v>170</v>
      </c>
      <c r="Q444" s="17">
        <v>44030.468822916664</v>
      </c>
      <c r="R444" t="s">
        <v>111</v>
      </c>
    </row>
    <row r="445" spans="1:18" x14ac:dyDescent="0.3">
      <c r="A445">
        <v>9686502</v>
      </c>
      <c r="B445" t="s">
        <v>72</v>
      </c>
      <c r="C445">
        <v>1329987</v>
      </c>
      <c r="D445" t="s">
        <v>108</v>
      </c>
      <c r="E445" t="s">
        <v>58</v>
      </c>
      <c r="F445" t="s">
        <v>58</v>
      </c>
      <c r="G445" t="s">
        <v>114</v>
      </c>
      <c r="H445" t="s">
        <v>229</v>
      </c>
      <c r="I445" t="s">
        <v>84</v>
      </c>
      <c r="J445" t="s">
        <v>85</v>
      </c>
      <c r="K445" t="s">
        <v>87</v>
      </c>
      <c r="L445" s="25">
        <v>44030</v>
      </c>
      <c r="M445">
        <v>7</v>
      </c>
      <c r="N445">
        <v>2020</v>
      </c>
      <c r="O445" t="s">
        <v>110</v>
      </c>
      <c r="P445">
        <v>170</v>
      </c>
      <c r="Q445" s="17">
        <v>44030.471263078703</v>
      </c>
      <c r="R445" t="s">
        <v>111</v>
      </c>
    </row>
    <row r="446" spans="1:18" x14ac:dyDescent="0.3">
      <c r="A446">
        <v>244879</v>
      </c>
      <c r="B446" t="s">
        <v>72</v>
      </c>
      <c r="C446">
        <v>1330123</v>
      </c>
      <c r="D446" t="s">
        <v>108</v>
      </c>
      <c r="E446" t="s">
        <v>58</v>
      </c>
      <c r="F446" t="s">
        <v>58</v>
      </c>
      <c r="G446" t="s">
        <v>114</v>
      </c>
      <c r="H446" t="s">
        <v>269</v>
      </c>
      <c r="I446" t="s">
        <v>84</v>
      </c>
      <c r="J446" t="s">
        <v>85</v>
      </c>
      <c r="K446" t="s">
        <v>87</v>
      </c>
      <c r="L446" s="25">
        <v>44030</v>
      </c>
      <c r="M446">
        <v>7</v>
      </c>
      <c r="N446">
        <v>2020</v>
      </c>
      <c r="O446" t="s">
        <v>110</v>
      </c>
      <c r="P446">
        <v>170</v>
      </c>
      <c r="Q446" s="17">
        <v>44030.478334375002</v>
      </c>
      <c r="R446" t="s">
        <v>111</v>
      </c>
    </row>
    <row r="447" spans="1:18" x14ac:dyDescent="0.3">
      <c r="A447">
        <v>244974</v>
      </c>
      <c r="B447" t="s">
        <v>79</v>
      </c>
      <c r="C447">
        <v>1330130</v>
      </c>
      <c r="D447" t="s">
        <v>116</v>
      </c>
      <c r="E447" t="s">
        <v>58</v>
      </c>
      <c r="F447" t="s">
        <v>58</v>
      </c>
      <c r="G447" t="s">
        <v>114</v>
      </c>
      <c r="H447" t="s">
        <v>233</v>
      </c>
      <c r="I447" t="s">
        <v>82</v>
      </c>
      <c r="J447" t="s">
        <v>42</v>
      </c>
      <c r="K447" t="s">
        <v>87</v>
      </c>
      <c r="L447" s="25">
        <v>44030</v>
      </c>
      <c r="M447">
        <v>7</v>
      </c>
      <c r="N447">
        <v>2020</v>
      </c>
      <c r="O447" t="s">
        <v>110</v>
      </c>
      <c r="P447">
        <v>170</v>
      </c>
      <c r="Q447" s="17">
        <v>44030.479455092594</v>
      </c>
      <c r="R447" t="s">
        <v>111</v>
      </c>
    </row>
    <row r="448" spans="1:18" x14ac:dyDescent="0.3">
      <c r="A448">
        <v>9688180</v>
      </c>
      <c r="B448" t="s">
        <v>78</v>
      </c>
      <c r="C448">
        <v>1330723</v>
      </c>
      <c r="D448" t="s">
        <v>78</v>
      </c>
      <c r="E448" t="s">
        <v>58</v>
      </c>
      <c r="F448" t="s">
        <v>58</v>
      </c>
      <c r="G448" t="s">
        <v>114</v>
      </c>
      <c r="H448" t="s">
        <v>105</v>
      </c>
      <c r="I448" t="s">
        <v>78</v>
      </c>
      <c r="J448" t="s">
        <v>42</v>
      </c>
      <c r="K448" t="s">
        <v>87</v>
      </c>
      <c r="L448" s="25">
        <v>44030</v>
      </c>
      <c r="M448">
        <v>7</v>
      </c>
      <c r="N448">
        <v>2020</v>
      </c>
      <c r="O448" t="s">
        <v>110</v>
      </c>
      <c r="P448">
        <v>170</v>
      </c>
      <c r="Q448" s="17">
        <v>44030.489409490743</v>
      </c>
      <c r="R448" t="s">
        <v>111</v>
      </c>
    </row>
    <row r="449" spans="1:18" x14ac:dyDescent="0.3">
      <c r="A449">
        <v>9688063</v>
      </c>
      <c r="B449" t="s">
        <v>78</v>
      </c>
      <c r="C449">
        <v>1331402</v>
      </c>
      <c r="D449" t="s">
        <v>78</v>
      </c>
      <c r="E449" t="s">
        <v>57</v>
      </c>
      <c r="F449" t="s">
        <v>57</v>
      </c>
      <c r="G449" t="s">
        <v>109</v>
      </c>
      <c r="H449" t="s">
        <v>105</v>
      </c>
      <c r="I449" t="s">
        <v>78</v>
      </c>
      <c r="J449" t="s">
        <v>42</v>
      </c>
      <c r="K449" t="s">
        <v>87</v>
      </c>
      <c r="L449" s="25">
        <v>44030</v>
      </c>
      <c r="M449">
        <v>7</v>
      </c>
      <c r="N449">
        <v>2020</v>
      </c>
      <c r="O449" t="s">
        <v>110</v>
      </c>
      <c r="P449">
        <v>170</v>
      </c>
      <c r="Q449" s="17">
        <v>44030.497165393521</v>
      </c>
      <c r="R449" t="s">
        <v>111</v>
      </c>
    </row>
    <row r="450" spans="1:18" x14ac:dyDescent="0.3">
      <c r="A450">
        <v>21526510</v>
      </c>
      <c r="B450" t="s">
        <v>72</v>
      </c>
      <c r="C450">
        <v>1321406</v>
      </c>
      <c r="D450" t="s">
        <v>108</v>
      </c>
      <c r="E450" t="s">
        <v>26</v>
      </c>
      <c r="F450" t="s">
        <v>26</v>
      </c>
      <c r="G450" t="s">
        <v>137</v>
      </c>
      <c r="H450" t="s">
        <v>245</v>
      </c>
      <c r="I450" t="s">
        <v>82</v>
      </c>
      <c r="J450" t="s">
        <v>42</v>
      </c>
      <c r="K450" t="s">
        <v>83</v>
      </c>
      <c r="L450" s="25">
        <v>44030</v>
      </c>
      <c r="M450">
        <v>7</v>
      </c>
      <c r="N450">
        <v>2020</v>
      </c>
      <c r="O450" t="s">
        <v>110</v>
      </c>
      <c r="P450">
        <v>170</v>
      </c>
      <c r="Q450" s="17">
        <v>44030.456191435187</v>
      </c>
      <c r="R450" t="s">
        <v>126</v>
      </c>
    </row>
    <row r="451" spans="1:18" x14ac:dyDescent="0.3">
      <c r="A451">
        <v>9685657</v>
      </c>
      <c r="B451" t="s">
        <v>72</v>
      </c>
      <c r="C451">
        <v>1329280</v>
      </c>
      <c r="D451" t="s">
        <v>108</v>
      </c>
      <c r="E451">
        <v>820</v>
      </c>
      <c r="F451">
        <v>820</v>
      </c>
      <c r="G451" t="s">
        <v>136</v>
      </c>
      <c r="H451" t="s">
        <v>270</v>
      </c>
      <c r="I451" t="s">
        <v>82</v>
      </c>
      <c r="J451" t="s">
        <v>42</v>
      </c>
      <c r="K451" t="s">
        <v>83</v>
      </c>
      <c r="L451" s="25">
        <v>44030</v>
      </c>
      <c r="M451">
        <v>7</v>
      </c>
      <c r="N451">
        <v>2020</v>
      </c>
      <c r="O451" t="s">
        <v>110</v>
      </c>
      <c r="P451">
        <v>170</v>
      </c>
      <c r="Q451" s="17">
        <v>44030.459884953707</v>
      </c>
      <c r="R451" t="s">
        <v>126</v>
      </c>
    </row>
    <row r="452" spans="1:18" x14ac:dyDescent="0.3">
      <c r="A452">
        <v>9686283</v>
      </c>
      <c r="B452" t="s">
        <v>80</v>
      </c>
      <c r="C452">
        <v>1329687</v>
      </c>
      <c r="D452" t="s">
        <v>113</v>
      </c>
      <c r="E452" t="s">
        <v>146</v>
      </c>
      <c r="F452" t="s">
        <v>17</v>
      </c>
      <c r="G452" t="s">
        <v>153</v>
      </c>
      <c r="H452" t="s">
        <v>232</v>
      </c>
      <c r="I452" t="s">
        <v>84</v>
      </c>
      <c r="J452" t="s">
        <v>85</v>
      </c>
      <c r="K452" t="s">
        <v>87</v>
      </c>
      <c r="L452" s="25">
        <v>44030</v>
      </c>
      <c r="M452">
        <v>7</v>
      </c>
      <c r="N452">
        <v>2020</v>
      </c>
      <c r="O452" t="s">
        <v>110</v>
      </c>
      <c r="P452">
        <v>170</v>
      </c>
      <c r="Q452" s="17">
        <v>44030.451125115738</v>
      </c>
      <c r="R452" t="s">
        <v>126</v>
      </c>
    </row>
    <row r="453" spans="1:18" x14ac:dyDescent="0.3">
      <c r="A453">
        <v>9685525</v>
      </c>
      <c r="B453" t="s">
        <v>72</v>
      </c>
      <c r="C453">
        <v>1331516</v>
      </c>
      <c r="D453" t="s">
        <v>108</v>
      </c>
      <c r="E453" t="s">
        <v>26</v>
      </c>
      <c r="F453" t="s">
        <v>26</v>
      </c>
      <c r="G453" t="s">
        <v>137</v>
      </c>
      <c r="H453" t="s">
        <v>229</v>
      </c>
      <c r="I453" t="s">
        <v>84</v>
      </c>
      <c r="J453" t="s">
        <v>85</v>
      </c>
      <c r="K453" t="s">
        <v>83</v>
      </c>
      <c r="L453" s="25">
        <v>44030</v>
      </c>
      <c r="M453">
        <v>7</v>
      </c>
      <c r="N453">
        <v>2020</v>
      </c>
      <c r="O453" t="s">
        <v>110</v>
      </c>
      <c r="P453">
        <v>170</v>
      </c>
      <c r="Q453" s="17">
        <v>44030.380950694445</v>
      </c>
      <c r="R453" t="s">
        <v>126</v>
      </c>
    </row>
    <row r="454" spans="1:18" x14ac:dyDescent="0.3">
      <c r="A454">
        <v>9686182</v>
      </c>
      <c r="B454" t="s">
        <v>80</v>
      </c>
      <c r="C454">
        <v>1329644</v>
      </c>
      <c r="D454" t="s">
        <v>113</v>
      </c>
      <c r="E454" t="s">
        <v>146</v>
      </c>
      <c r="F454" t="s">
        <v>17</v>
      </c>
      <c r="G454" t="s">
        <v>153</v>
      </c>
      <c r="H454" t="s">
        <v>232</v>
      </c>
      <c r="I454" t="s">
        <v>84</v>
      </c>
      <c r="J454" t="s">
        <v>85</v>
      </c>
      <c r="K454" t="s">
        <v>87</v>
      </c>
      <c r="L454" s="25">
        <v>44030</v>
      </c>
      <c r="M454">
        <v>7</v>
      </c>
      <c r="N454">
        <v>2020</v>
      </c>
      <c r="O454" t="s">
        <v>110</v>
      </c>
      <c r="P454">
        <v>170</v>
      </c>
      <c r="Q454" s="17">
        <v>44030.443118981479</v>
      </c>
      <c r="R454" t="s">
        <v>126</v>
      </c>
    </row>
    <row r="455" spans="1:18" x14ac:dyDescent="0.3">
      <c r="A455">
        <v>9686298</v>
      </c>
      <c r="B455" t="s">
        <v>78</v>
      </c>
      <c r="C455">
        <v>1329887</v>
      </c>
      <c r="D455" t="s">
        <v>78</v>
      </c>
      <c r="E455">
        <v>4142</v>
      </c>
      <c r="F455" t="s">
        <v>17</v>
      </c>
      <c r="G455" t="s">
        <v>133</v>
      </c>
      <c r="H455" t="s">
        <v>134</v>
      </c>
      <c r="I455" t="s">
        <v>78</v>
      </c>
      <c r="J455" t="s">
        <v>42</v>
      </c>
      <c r="K455" t="s">
        <v>87</v>
      </c>
      <c r="L455" s="25">
        <v>44030</v>
      </c>
      <c r="M455">
        <v>7</v>
      </c>
      <c r="N455">
        <v>2020</v>
      </c>
      <c r="O455" t="s">
        <v>110</v>
      </c>
      <c r="P455">
        <v>170</v>
      </c>
      <c r="Q455" s="17">
        <v>44030.479661805555</v>
      </c>
      <c r="R455" t="s">
        <v>126</v>
      </c>
    </row>
    <row r="456" spans="1:18" x14ac:dyDescent="0.3">
      <c r="A456">
        <v>9686626</v>
      </c>
      <c r="B456" t="s">
        <v>78</v>
      </c>
      <c r="C456">
        <v>1330030</v>
      </c>
      <c r="D456" t="s">
        <v>78</v>
      </c>
      <c r="E456">
        <v>820</v>
      </c>
      <c r="F456">
        <v>820</v>
      </c>
      <c r="G456" t="s">
        <v>136</v>
      </c>
      <c r="H456" t="s">
        <v>250</v>
      </c>
      <c r="I456" t="s">
        <v>78</v>
      </c>
      <c r="J456" t="s">
        <v>42</v>
      </c>
      <c r="K456" t="s">
        <v>83</v>
      </c>
      <c r="L456" s="25">
        <v>44030</v>
      </c>
      <c r="M456">
        <v>7</v>
      </c>
      <c r="N456">
        <v>2020</v>
      </c>
      <c r="O456" t="s">
        <v>110</v>
      </c>
      <c r="P456">
        <v>170</v>
      </c>
      <c r="Q456" s="17">
        <v>44030.48816064815</v>
      </c>
      <c r="R456" t="s">
        <v>126</v>
      </c>
    </row>
    <row r="457" spans="1:18" x14ac:dyDescent="0.3">
      <c r="A457">
        <v>9686890</v>
      </c>
      <c r="B457" t="s">
        <v>80</v>
      </c>
      <c r="C457">
        <v>1329787</v>
      </c>
      <c r="D457" t="s">
        <v>113</v>
      </c>
      <c r="E457" t="s">
        <v>146</v>
      </c>
      <c r="F457" t="s">
        <v>17</v>
      </c>
      <c r="G457" t="s">
        <v>153</v>
      </c>
      <c r="H457" t="s">
        <v>232</v>
      </c>
      <c r="I457" t="s">
        <v>84</v>
      </c>
      <c r="J457" t="s">
        <v>85</v>
      </c>
      <c r="K457" t="s">
        <v>87</v>
      </c>
      <c r="L457" s="25">
        <v>44030</v>
      </c>
      <c r="M457">
        <v>7</v>
      </c>
      <c r="N457">
        <v>2020</v>
      </c>
      <c r="O457" t="s">
        <v>110</v>
      </c>
      <c r="P457">
        <v>170</v>
      </c>
      <c r="Q457" s="17">
        <v>44030.473568287038</v>
      </c>
      <c r="R457" t="s">
        <v>126</v>
      </c>
    </row>
    <row r="458" spans="1:18" x14ac:dyDescent="0.3">
      <c r="A458">
        <v>9688107</v>
      </c>
      <c r="B458" t="s">
        <v>80</v>
      </c>
      <c r="C458">
        <v>1330733</v>
      </c>
      <c r="D458" t="s">
        <v>122</v>
      </c>
      <c r="E458" t="s">
        <v>57</v>
      </c>
      <c r="F458" t="s">
        <v>57</v>
      </c>
      <c r="G458" t="s">
        <v>109</v>
      </c>
      <c r="H458" t="s">
        <v>228</v>
      </c>
      <c r="I458" t="s">
        <v>84</v>
      </c>
      <c r="J458" t="s">
        <v>85</v>
      </c>
      <c r="K458" t="s">
        <v>87</v>
      </c>
      <c r="L458" s="25">
        <v>44030</v>
      </c>
      <c r="M458">
        <v>7</v>
      </c>
      <c r="N458">
        <v>2020</v>
      </c>
      <c r="O458" t="s">
        <v>110</v>
      </c>
      <c r="P458">
        <v>170</v>
      </c>
      <c r="Q458" s="17">
        <v>44030.197565509261</v>
      </c>
      <c r="R458" t="s">
        <v>115</v>
      </c>
    </row>
    <row r="459" spans="1:18" x14ac:dyDescent="0.3">
      <c r="A459">
        <v>9688944</v>
      </c>
      <c r="B459" t="s">
        <v>80</v>
      </c>
      <c r="C459">
        <v>1331308</v>
      </c>
      <c r="D459" t="s">
        <v>113</v>
      </c>
      <c r="E459" t="s">
        <v>58</v>
      </c>
      <c r="F459" t="s">
        <v>58</v>
      </c>
      <c r="G459" t="s">
        <v>114</v>
      </c>
      <c r="H459" t="s">
        <v>232</v>
      </c>
      <c r="I459" t="s">
        <v>84</v>
      </c>
      <c r="J459" t="s">
        <v>85</v>
      </c>
      <c r="K459" t="s">
        <v>87</v>
      </c>
      <c r="L459" s="25">
        <v>44030</v>
      </c>
      <c r="M459">
        <v>7</v>
      </c>
      <c r="N459">
        <v>2020</v>
      </c>
      <c r="O459" t="s">
        <v>110</v>
      </c>
      <c r="P459">
        <v>170</v>
      </c>
      <c r="Q459" s="17">
        <v>44030.499401157409</v>
      </c>
      <c r="R459" t="s">
        <v>111</v>
      </c>
    </row>
    <row r="460" spans="1:18" x14ac:dyDescent="0.3">
      <c r="A460">
        <v>9688573</v>
      </c>
      <c r="B460" t="s">
        <v>78</v>
      </c>
      <c r="C460">
        <v>1331376</v>
      </c>
      <c r="D460" t="s">
        <v>116</v>
      </c>
      <c r="E460" t="s">
        <v>58</v>
      </c>
      <c r="F460" t="s">
        <v>58</v>
      </c>
      <c r="G460" t="s">
        <v>114</v>
      </c>
      <c r="H460" t="s">
        <v>272</v>
      </c>
      <c r="I460" t="s">
        <v>84</v>
      </c>
      <c r="J460" t="s">
        <v>85</v>
      </c>
      <c r="K460" t="s">
        <v>87</v>
      </c>
      <c r="L460" s="25">
        <v>44030</v>
      </c>
      <c r="M460">
        <v>7</v>
      </c>
      <c r="N460">
        <v>2020</v>
      </c>
      <c r="O460" t="s">
        <v>110</v>
      </c>
      <c r="P460">
        <v>170</v>
      </c>
      <c r="Q460" s="17">
        <v>44030.494625115738</v>
      </c>
      <c r="R460" t="s">
        <v>111</v>
      </c>
    </row>
    <row r="461" spans="1:18" x14ac:dyDescent="0.3">
      <c r="A461">
        <v>9685732</v>
      </c>
      <c r="B461" t="s">
        <v>78</v>
      </c>
      <c r="C461">
        <v>1329372</v>
      </c>
      <c r="D461" t="s">
        <v>78</v>
      </c>
      <c r="E461">
        <v>820</v>
      </c>
      <c r="F461">
        <v>820</v>
      </c>
      <c r="G461" t="s">
        <v>136</v>
      </c>
      <c r="H461" t="s">
        <v>249</v>
      </c>
      <c r="I461" t="s">
        <v>78</v>
      </c>
      <c r="J461" t="s">
        <v>42</v>
      </c>
      <c r="K461" t="s">
        <v>83</v>
      </c>
      <c r="L461" s="25">
        <v>44030</v>
      </c>
      <c r="M461">
        <v>7</v>
      </c>
      <c r="N461">
        <v>2020</v>
      </c>
      <c r="O461" t="s">
        <v>110</v>
      </c>
      <c r="P461">
        <v>170</v>
      </c>
      <c r="Q461" s="17">
        <v>44030.466487847225</v>
      </c>
      <c r="R461" t="s">
        <v>126</v>
      </c>
    </row>
    <row r="462" spans="1:18" x14ac:dyDescent="0.3">
      <c r="A462">
        <v>9685816</v>
      </c>
      <c r="B462" t="s">
        <v>78</v>
      </c>
      <c r="C462">
        <v>1329495</v>
      </c>
      <c r="D462" t="s">
        <v>78</v>
      </c>
      <c r="E462">
        <v>820</v>
      </c>
      <c r="F462">
        <v>820</v>
      </c>
      <c r="G462" t="s">
        <v>136</v>
      </c>
      <c r="H462" t="s">
        <v>249</v>
      </c>
      <c r="I462" t="s">
        <v>78</v>
      </c>
      <c r="J462" t="s">
        <v>42</v>
      </c>
      <c r="K462" t="s">
        <v>83</v>
      </c>
      <c r="L462" s="25">
        <v>44030</v>
      </c>
      <c r="M462">
        <v>7</v>
      </c>
      <c r="N462">
        <v>2020</v>
      </c>
      <c r="O462" t="s">
        <v>110</v>
      </c>
      <c r="P462">
        <v>170</v>
      </c>
      <c r="Q462" s="17">
        <v>44030.473358101852</v>
      </c>
      <c r="R462" t="s">
        <v>126</v>
      </c>
    </row>
    <row r="463" spans="1:18" x14ac:dyDescent="0.3">
      <c r="A463">
        <v>9686293</v>
      </c>
      <c r="B463" t="s">
        <v>72</v>
      </c>
      <c r="C463">
        <v>1329904</v>
      </c>
      <c r="D463" t="s">
        <v>108</v>
      </c>
      <c r="E463" t="s">
        <v>164</v>
      </c>
      <c r="F463" t="s">
        <v>17</v>
      </c>
      <c r="G463" t="s">
        <v>165</v>
      </c>
      <c r="H463" t="s">
        <v>263</v>
      </c>
      <c r="I463" t="s">
        <v>82</v>
      </c>
      <c r="J463" t="s">
        <v>42</v>
      </c>
      <c r="K463" t="s">
        <v>87</v>
      </c>
      <c r="L463" s="25">
        <v>44030</v>
      </c>
      <c r="M463">
        <v>7</v>
      </c>
      <c r="N463">
        <v>2020</v>
      </c>
      <c r="O463" t="s">
        <v>110</v>
      </c>
      <c r="P463">
        <v>170</v>
      </c>
      <c r="Q463" s="17">
        <v>44030.484281249999</v>
      </c>
      <c r="R463" t="s">
        <v>126</v>
      </c>
    </row>
    <row r="464" spans="1:18" x14ac:dyDescent="0.3">
      <c r="A464">
        <v>9685912</v>
      </c>
      <c r="B464" t="s">
        <v>78</v>
      </c>
      <c r="C464">
        <v>1329163</v>
      </c>
      <c r="D464" t="s">
        <v>78</v>
      </c>
      <c r="E464">
        <v>820</v>
      </c>
      <c r="F464">
        <v>820</v>
      </c>
      <c r="G464" t="s">
        <v>136</v>
      </c>
      <c r="H464" t="s">
        <v>250</v>
      </c>
      <c r="I464" t="s">
        <v>78</v>
      </c>
      <c r="J464" t="s">
        <v>42</v>
      </c>
      <c r="K464" t="s">
        <v>83</v>
      </c>
      <c r="L464" s="25">
        <v>44030</v>
      </c>
      <c r="M464">
        <v>7</v>
      </c>
      <c r="N464">
        <v>2020</v>
      </c>
      <c r="O464" t="s">
        <v>110</v>
      </c>
      <c r="P464">
        <v>170</v>
      </c>
      <c r="Q464" s="17">
        <v>44030.451153125003</v>
      </c>
      <c r="R464" t="s">
        <v>126</v>
      </c>
    </row>
    <row r="465" spans="1:18" x14ac:dyDescent="0.3">
      <c r="A465">
        <v>9686288</v>
      </c>
      <c r="B465" t="s">
        <v>72</v>
      </c>
      <c r="C465">
        <v>1329704</v>
      </c>
      <c r="D465" t="s">
        <v>108</v>
      </c>
      <c r="E465" t="s">
        <v>12</v>
      </c>
      <c r="F465" t="s">
        <v>12</v>
      </c>
      <c r="G465" t="s">
        <v>135</v>
      </c>
      <c r="H465" t="s">
        <v>98</v>
      </c>
      <c r="I465" t="s">
        <v>82</v>
      </c>
      <c r="J465" t="s">
        <v>42</v>
      </c>
      <c r="K465" t="s">
        <v>83</v>
      </c>
      <c r="L465" s="25">
        <v>44030</v>
      </c>
      <c r="M465">
        <v>7</v>
      </c>
      <c r="N465">
        <v>2020</v>
      </c>
      <c r="O465" t="s">
        <v>110</v>
      </c>
      <c r="P465">
        <v>170</v>
      </c>
      <c r="Q465" s="17">
        <v>44030.442785185187</v>
      </c>
      <c r="R465" t="s">
        <v>126</v>
      </c>
    </row>
    <row r="466" spans="1:18" x14ac:dyDescent="0.3">
      <c r="A466">
        <v>9678051</v>
      </c>
      <c r="B466" t="s">
        <v>72</v>
      </c>
      <c r="C466">
        <v>1335847</v>
      </c>
      <c r="D466" t="s">
        <v>108</v>
      </c>
      <c r="E466" t="s">
        <v>12</v>
      </c>
      <c r="F466" t="s">
        <v>12</v>
      </c>
      <c r="G466" t="s">
        <v>135</v>
      </c>
      <c r="H466" t="s">
        <v>229</v>
      </c>
      <c r="I466" t="s">
        <v>84</v>
      </c>
      <c r="J466" t="s">
        <v>85</v>
      </c>
      <c r="K466" t="s">
        <v>83</v>
      </c>
      <c r="L466" s="25">
        <v>44030</v>
      </c>
      <c r="M466">
        <v>7</v>
      </c>
      <c r="N466">
        <v>2020</v>
      </c>
      <c r="O466" t="s">
        <v>110</v>
      </c>
      <c r="P466">
        <v>170</v>
      </c>
      <c r="Q466" s="17">
        <v>44031.132304166669</v>
      </c>
      <c r="R466" t="s">
        <v>126</v>
      </c>
    </row>
    <row r="467" spans="1:18" x14ac:dyDescent="0.3">
      <c r="A467">
        <v>9664845</v>
      </c>
      <c r="B467" t="s">
        <v>72</v>
      </c>
      <c r="C467">
        <v>1327062</v>
      </c>
      <c r="D467" t="s">
        <v>108</v>
      </c>
      <c r="E467" t="s">
        <v>26</v>
      </c>
      <c r="F467" t="s">
        <v>26</v>
      </c>
      <c r="G467" t="s">
        <v>137</v>
      </c>
      <c r="H467" t="s">
        <v>229</v>
      </c>
      <c r="I467" t="s">
        <v>84</v>
      </c>
      <c r="J467" t="s">
        <v>85</v>
      </c>
      <c r="K467" t="s">
        <v>83</v>
      </c>
      <c r="L467" s="25">
        <v>44030</v>
      </c>
      <c r="M467">
        <v>7</v>
      </c>
      <c r="N467">
        <v>2020</v>
      </c>
      <c r="O467" t="s">
        <v>110</v>
      </c>
      <c r="P467">
        <v>170</v>
      </c>
      <c r="Q467" s="17">
        <v>44030.29767511574</v>
      </c>
      <c r="R467" t="s">
        <v>126</v>
      </c>
    </row>
    <row r="468" spans="1:18" x14ac:dyDescent="0.3">
      <c r="A468">
        <v>9685864</v>
      </c>
      <c r="B468" t="s">
        <v>78</v>
      </c>
      <c r="C468">
        <v>1329363</v>
      </c>
      <c r="D468" t="s">
        <v>78</v>
      </c>
      <c r="E468">
        <v>820</v>
      </c>
      <c r="F468">
        <v>820</v>
      </c>
      <c r="G468" t="s">
        <v>136</v>
      </c>
      <c r="H468" t="s">
        <v>250</v>
      </c>
      <c r="I468" t="s">
        <v>78</v>
      </c>
      <c r="J468" t="s">
        <v>42</v>
      </c>
      <c r="K468" t="s">
        <v>83</v>
      </c>
      <c r="L468" s="25">
        <v>44030</v>
      </c>
      <c r="M468">
        <v>7</v>
      </c>
      <c r="N468">
        <v>2020</v>
      </c>
      <c r="O468" t="s">
        <v>110</v>
      </c>
      <c r="P468">
        <v>170</v>
      </c>
      <c r="Q468" s="17">
        <v>44030.462675347226</v>
      </c>
      <c r="R468" t="s">
        <v>126</v>
      </c>
    </row>
    <row r="469" spans="1:18" x14ac:dyDescent="0.3">
      <c r="A469">
        <v>9686857</v>
      </c>
      <c r="B469" t="s">
        <v>80</v>
      </c>
      <c r="C469">
        <v>1329738</v>
      </c>
      <c r="D469" t="s">
        <v>113</v>
      </c>
      <c r="E469" t="s">
        <v>146</v>
      </c>
      <c r="F469" t="s">
        <v>17</v>
      </c>
      <c r="G469" t="s">
        <v>153</v>
      </c>
      <c r="H469" t="s">
        <v>232</v>
      </c>
      <c r="I469" t="s">
        <v>84</v>
      </c>
      <c r="J469" t="s">
        <v>85</v>
      </c>
      <c r="K469" t="s">
        <v>87</v>
      </c>
      <c r="L469" s="25">
        <v>44030</v>
      </c>
      <c r="M469">
        <v>7</v>
      </c>
      <c r="N469">
        <v>2020</v>
      </c>
      <c r="O469" t="s">
        <v>110</v>
      </c>
      <c r="P469">
        <v>170</v>
      </c>
      <c r="Q469" s="17">
        <v>44030.460807986114</v>
      </c>
      <c r="R469" t="s">
        <v>126</v>
      </c>
    </row>
    <row r="470" spans="1:18" x14ac:dyDescent="0.3">
      <c r="A470">
        <v>9687029</v>
      </c>
      <c r="B470" t="s">
        <v>80</v>
      </c>
      <c r="C470">
        <v>1330265</v>
      </c>
      <c r="D470" t="s">
        <v>122</v>
      </c>
      <c r="E470" t="s">
        <v>146</v>
      </c>
      <c r="F470" t="s">
        <v>17</v>
      </c>
      <c r="G470" t="s">
        <v>153</v>
      </c>
      <c r="H470" t="s">
        <v>228</v>
      </c>
      <c r="I470" t="s">
        <v>84</v>
      </c>
      <c r="J470" t="s">
        <v>85</v>
      </c>
      <c r="K470" t="s">
        <v>87</v>
      </c>
      <c r="L470" s="25">
        <v>44030</v>
      </c>
      <c r="M470">
        <v>7</v>
      </c>
      <c r="N470">
        <v>2020</v>
      </c>
      <c r="O470" t="s">
        <v>110</v>
      </c>
      <c r="P470">
        <v>170</v>
      </c>
      <c r="Q470" s="17">
        <v>44030.137771527778</v>
      </c>
      <c r="R470" t="s">
        <v>126</v>
      </c>
    </row>
    <row r="471" spans="1:18" x14ac:dyDescent="0.3">
      <c r="A471">
        <v>9682430</v>
      </c>
      <c r="B471" t="s">
        <v>72</v>
      </c>
      <c r="C471">
        <v>1333975</v>
      </c>
      <c r="D471" t="s">
        <v>108</v>
      </c>
      <c r="E471" t="s">
        <v>12</v>
      </c>
      <c r="F471" t="s">
        <v>12</v>
      </c>
      <c r="G471" t="s">
        <v>135</v>
      </c>
      <c r="H471" t="s">
        <v>229</v>
      </c>
      <c r="I471" t="s">
        <v>84</v>
      </c>
      <c r="J471" t="s">
        <v>85</v>
      </c>
      <c r="K471" t="s">
        <v>83</v>
      </c>
      <c r="L471" s="25">
        <v>44030</v>
      </c>
      <c r="M471">
        <v>7</v>
      </c>
      <c r="N471">
        <v>2020</v>
      </c>
      <c r="O471" t="s">
        <v>110</v>
      </c>
      <c r="P471">
        <v>170</v>
      </c>
      <c r="Q471" s="17">
        <v>44031.076557060187</v>
      </c>
      <c r="R471" t="s">
        <v>126</v>
      </c>
    </row>
    <row r="472" spans="1:18" x14ac:dyDescent="0.3">
      <c r="A472">
        <v>9685956</v>
      </c>
      <c r="B472" t="s">
        <v>78</v>
      </c>
      <c r="C472">
        <v>1328759</v>
      </c>
      <c r="D472" t="s">
        <v>78</v>
      </c>
      <c r="E472">
        <v>820</v>
      </c>
      <c r="F472">
        <v>820</v>
      </c>
      <c r="G472" t="s">
        <v>136</v>
      </c>
      <c r="H472" t="s">
        <v>249</v>
      </c>
      <c r="I472" t="s">
        <v>78</v>
      </c>
      <c r="J472" t="s">
        <v>42</v>
      </c>
      <c r="K472" t="s">
        <v>83</v>
      </c>
      <c r="L472" s="25">
        <v>44030</v>
      </c>
      <c r="M472">
        <v>7</v>
      </c>
      <c r="N472">
        <v>2020</v>
      </c>
      <c r="O472" t="s">
        <v>110</v>
      </c>
      <c r="P472">
        <v>170</v>
      </c>
      <c r="Q472" s="17">
        <v>44030.434693634263</v>
      </c>
      <c r="R472" t="s">
        <v>126</v>
      </c>
    </row>
    <row r="473" spans="1:18" x14ac:dyDescent="0.3">
      <c r="A473">
        <v>9685817</v>
      </c>
      <c r="B473" t="s">
        <v>72</v>
      </c>
      <c r="C473">
        <v>1329538</v>
      </c>
      <c r="D473" t="s">
        <v>108</v>
      </c>
      <c r="E473">
        <v>820</v>
      </c>
      <c r="F473">
        <v>820</v>
      </c>
      <c r="G473" t="s">
        <v>136</v>
      </c>
      <c r="H473" t="s">
        <v>229</v>
      </c>
      <c r="I473" t="s">
        <v>84</v>
      </c>
      <c r="J473" t="s">
        <v>85</v>
      </c>
      <c r="K473" t="s">
        <v>83</v>
      </c>
      <c r="L473" s="25">
        <v>44030</v>
      </c>
      <c r="M473">
        <v>7</v>
      </c>
      <c r="N473">
        <v>2020</v>
      </c>
      <c r="O473" t="s">
        <v>110</v>
      </c>
      <c r="P473">
        <v>170</v>
      </c>
      <c r="Q473" s="17">
        <v>44030.335562731481</v>
      </c>
      <c r="R473" t="s">
        <v>126</v>
      </c>
    </row>
    <row r="474" spans="1:18" x14ac:dyDescent="0.3">
      <c r="A474">
        <v>9686250</v>
      </c>
      <c r="B474" t="s">
        <v>80</v>
      </c>
      <c r="C474">
        <v>1329661</v>
      </c>
      <c r="D474" t="s">
        <v>113</v>
      </c>
      <c r="E474" t="s">
        <v>146</v>
      </c>
      <c r="F474" t="s">
        <v>17</v>
      </c>
      <c r="G474" t="s">
        <v>153</v>
      </c>
      <c r="H474" t="s">
        <v>232</v>
      </c>
      <c r="I474" t="s">
        <v>84</v>
      </c>
      <c r="J474" t="s">
        <v>85</v>
      </c>
      <c r="K474" t="s">
        <v>87</v>
      </c>
      <c r="L474" s="25">
        <v>44030</v>
      </c>
      <c r="M474">
        <v>7</v>
      </c>
      <c r="N474">
        <v>2020</v>
      </c>
      <c r="O474" t="s">
        <v>110</v>
      </c>
      <c r="P474">
        <v>170</v>
      </c>
      <c r="Q474" s="17">
        <v>44030.449380555554</v>
      </c>
      <c r="R474" t="s">
        <v>126</v>
      </c>
    </row>
    <row r="475" spans="1:18" x14ac:dyDescent="0.3">
      <c r="A475">
        <v>9686043</v>
      </c>
      <c r="B475" t="s">
        <v>78</v>
      </c>
      <c r="C475">
        <v>1328825</v>
      </c>
      <c r="D475" t="s">
        <v>78</v>
      </c>
      <c r="E475">
        <v>820</v>
      </c>
      <c r="F475">
        <v>820</v>
      </c>
      <c r="G475" t="s">
        <v>136</v>
      </c>
      <c r="H475" t="s">
        <v>250</v>
      </c>
      <c r="I475" t="s">
        <v>78</v>
      </c>
      <c r="J475" t="s">
        <v>42</v>
      </c>
      <c r="K475" t="s">
        <v>83</v>
      </c>
      <c r="L475" s="25">
        <v>44030</v>
      </c>
      <c r="M475">
        <v>7</v>
      </c>
      <c r="N475">
        <v>2020</v>
      </c>
      <c r="O475" t="s">
        <v>110</v>
      </c>
      <c r="P475">
        <v>170</v>
      </c>
      <c r="Q475" s="17">
        <v>44030.436955555553</v>
      </c>
      <c r="R475" t="s">
        <v>126</v>
      </c>
    </row>
    <row r="476" spans="1:18" x14ac:dyDescent="0.3">
      <c r="A476">
        <v>9679196</v>
      </c>
      <c r="B476" t="s">
        <v>78</v>
      </c>
      <c r="C476">
        <v>1322018</v>
      </c>
      <c r="D476" t="s">
        <v>78</v>
      </c>
      <c r="E476" t="s">
        <v>26</v>
      </c>
      <c r="F476" t="s">
        <v>26</v>
      </c>
      <c r="G476" t="s">
        <v>137</v>
      </c>
      <c r="H476" t="s">
        <v>245</v>
      </c>
      <c r="I476" t="s">
        <v>78</v>
      </c>
      <c r="J476" t="s">
        <v>42</v>
      </c>
      <c r="K476" t="s">
        <v>83</v>
      </c>
      <c r="L476" s="25">
        <v>44030</v>
      </c>
      <c r="M476">
        <v>7</v>
      </c>
      <c r="N476">
        <v>2020</v>
      </c>
      <c r="O476" t="s">
        <v>110</v>
      </c>
      <c r="P476">
        <v>170</v>
      </c>
      <c r="Q476" s="17">
        <v>44030.486011805559</v>
      </c>
      <c r="R476" t="s">
        <v>126</v>
      </c>
    </row>
    <row r="477" spans="1:18" x14ac:dyDescent="0.3">
      <c r="A477">
        <v>9674013</v>
      </c>
      <c r="B477" t="s">
        <v>72</v>
      </c>
      <c r="C477">
        <v>1331510</v>
      </c>
      <c r="D477" t="s">
        <v>108</v>
      </c>
      <c r="E477" t="s">
        <v>26</v>
      </c>
      <c r="F477" t="s">
        <v>26</v>
      </c>
      <c r="G477" t="s">
        <v>137</v>
      </c>
      <c r="H477" t="s">
        <v>229</v>
      </c>
      <c r="I477" t="s">
        <v>84</v>
      </c>
      <c r="J477" t="s">
        <v>85</v>
      </c>
      <c r="K477" t="s">
        <v>83</v>
      </c>
      <c r="L477" s="25">
        <v>44030</v>
      </c>
      <c r="M477">
        <v>7</v>
      </c>
      <c r="N477">
        <v>2020</v>
      </c>
      <c r="O477" t="s">
        <v>110</v>
      </c>
      <c r="P477">
        <v>170</v>
      </c>
      <c r="Q477" s="17">
        <v>44030.381253009262</v>
      </c>
      <c r="R477" t="s">
        <v>126</v>
      </c>
    </row>
    <row r="478" spans="1:18" x14ac:dyDescent="0.3">
      <c r="A478">
        <v>9686907</v>
      </c>
      <c r="B478" t="s">
        <v>80</v>
      </c>
      <c r="C478">
        <v>1329804</v>
      </c>
      <c r="D478" t="s">
        <v>113</v>
      </c>
      <c r="E478" t="s">
        <v>146</v>
      </c>
      <c r="F478" t="s">
        <v>17</v>
      </c>
      <c r="G478" t="s">
        <v>153</v>
      </c>
      <c r="H478" t="s">
        <v>232</v>
      </c>
      <c r="I478" t="s">
        <v>84</v>
      </c>
      <c r="J478" t="s">
        <v>85</v>
      </c>
      <c r="K478" t="s">
        <v>87</v>
      </c>
      <c r="L478" s="25">
        <v>44030</v>
      </c>
      <c r="M478">
        <v>7</v>
      </c>
      <c r="N478">
        <v>2020</v>
      </c>
      <c r="O478" t="s">
        <v>110</v>
      </c>
      <c r="P478">
        <v>170</v>
      </c>
      <c r="Q478" s="17">
        <v>44030.476484027778</v>
      </c>
      <c r="R478" t="s">
        <v>126</v>
      </c>
    </row>
    <row r="479" spans="1:18" x14ac:dyDescent="0.3">
      <c r="A479">
        <v>9686028</v>
      </c>
      <c r="B479" t="s">
        <v>80</v>
      </c>
      <c r="C479">
        <v>1329604</v>
      </c>
      <c r="D479" t="s">
        <v>113</v>
      </c>
      <c r="E479" t="s">
        <v>146</v>
      </c>
      <c r="F479" t="s">
        <v>17</v>
      </c>
      <c r="G479" t="s">
        <v>153</v>
      </c>
      <c r="H479" t="s">
        <v>232</v>
      </c>
      <c r="I479" t="s">
        <v>84</v>
      </c>
      <c r="J479" t="s">
        <v>85</v>
      </c>
      <c r="K479" t="s">
        <v>87</v>
      </c>
      <c r="L479" s="25">
        <v>44030</v>
      </c>
      <c r="M479">
        <v>7</v>
      </c>
      <c r="N479">
        <v>2020</v>
      </c>
      <c r="O479" t="s">
        <v>110</v>
      </c>
      <c r="P479">
        <v>170</v>
      </c>
      <c r="Q479" s="17">
        <v>44030.436680208331</v>
      </c>
      <c r="R479" t="s">
        <v>126</v>
      </c>
    </row>
    <row r="480" spans="1:18" x14ac:dyDescent="0.3">
      <c r="A480">
        <v>9685637</v>
      </c>
      <c r="B480" t="s">
        <v>78</v>
      </c>
      <c r="C480">
        <v>1328668</v>
      </c>
      <c r="D480" t="s">
        <v>78</v>
      </c>
      <c r="E480">
        <v>820</v>
      </c>
      <c r="F480">
        <v>820</v>
      </c>
      <c r="G480" t="s">
        <v>136</v>
      </c>
      <c r="H480" t="s">
        <v>250</v>
      </c>
      <c r="I480" t="s">
        <v>78</v>
      </c>
      <c r="J480" t="s">
        <v>42</v>
      </c>
      <c r="K480" t="s">
        <v>83</v>
      </c>
      <c r="L480" s="25">
        <v>44030</v>
      </c>
      <c r="M480">
        <v>7</v>
      </c>
      <c r="N480">
        <v>2020</v>
      </c>
      <c r="O480" t="s">
        <v>110</v>
      </c>
      <c r="P480">
        <v>170</v>
      </c>
      <c r="Q480" s="17">
        <v>44030.425351504629</v>
      </c>
      <c r="R480" t="s">
        <v>126</v>
      </c>
    </row>
    <row r="481" spans="1:18" x14ac:dyDescent="0.3">
      <c r="A481">
        <v>9686864</v>
      </c>
      <c r="B481" t="s">
        <v>80</v>
      </c>
      <c r="C481">
        <v>1329761</v>
      </c>
      <c r="D481" t="s">
        <v>113</v>
      </c>
      <c r="E481" t="s">
        <v>146</v>
      </c>
      <c r="F481" t="s">
        <v>17</v>
      </c>
      <c r="G481" t="s">
        <v>153</v>
      </c>
      <c r="H481" t="s">
        <v>232</v>
      </c>
      <c r="I481" t="s">
        <v>84</v>
      </c>
      <c r="J481" t="s">
        <v>85</v>
      </c>
      <c r="K481" t="s">
        <v>87</v>
      </c>
      <c r="L481" s="25">
        <v>44030</v>
      </c>
      <c r="M481">
        <v>7</v>
      </c>
      <c r="N481">
        <v>2020</v>
      </c>
      <c r="O481" t="s">
        <v>110</v>
      </c>
      <c r="P481">
        <v>170</v>
      </c>
      <c r="Q481" s="17">
        <v>44030.466540277775</v>
      </c>
      <c r="R481" t="s">
        <v>126</v>
      </c>
    </row>
    <row r="482" spans="1:18" x14ac:dyDescent="0.3">
      <c r="A482">
        <v>9675338</v>
      </c>
      <c r="B482" t="s">
        <v>78</v>
      </c>
      <c r="C482">
        <v>1325894</v>
      </c>
      <c r="D482" t="s">
        <v>78</v>
      </c>
      <c r="E482">
        <v>966</v>
      </c>
      <c r="F482">
        <v>966</v>
      </c>
      <c r="G482" t="s">
        <v>139</v>
      </c>
      <c r="H482" t="s">
        <v>228</v>
      </c>
      <c r="I482" t="s">
        <v>78</v>
      </c>
      <c r="J482" t="s">
        <v>42</v>
      </c>
      <c r="K482" t="s">
        <v>87</v>
      </c>
      <c r="L482" s="25">
        <v>44030</v>
      </c>
      <c r="M482">
        <v>7</v>
      </c>
      <c r="N482">
        <v>2020</v>
      </c>
      <c r="O482" t="s">
        <v>110</v>
      </c>
      <c r="P482">
        <v>170</v>
      </c>
      <c r="Q482" s="17">
        <v>44030.489220370371</v>
      </c>
      <c r="R482" t="s">
        <v>126</v>
      </c>
    </row>
    <row r="483" spans="1:18" x14ac:dyDescent="0.3">
      <c r="A483">
        <v>21531725</v>
      </c>
      <c r="B483" t="s">
        <v>72</v>
      </c>
      <c r="C483">
        <v>1334407</v>
      </c>
      <c r="D483" t="s">
        <v>108</v>
      </c>
      <c r="E483" t="s">
        <v>26</v>
      </c>
      <c r="F483" t="s">
        <v>26</v>
      </c>
      <c r="G483" t="s">
        <v>137</v>
      </c>
      <c r="H483" t="s">
        <v>229</v>
      </c>
      <c r="I483" t="s">
        <v>84</v>
      </c>
      <c r="J483" t="s">
        <v>85</v>
      </c>
      <c r="K483" t="s">
        <v>83</v>
      </c>
      <c r="L483" s="25">
        <v>44030</v>
      </c>
      <c r="M483">
        <v>7</v>
      </c>
      <c r="N483">
        <v>2020</v>
      </c>
      <c r="O483" t="s">
        <v>110</v>
      </c>
      <c r="P483">
        <v>170</v>
      </c>
      <c r="Q483" s="17">
        <v>44031.088489351852</v>
      </c>
      <c r="R483" t="s">
        <v>126</v>
      </c>
    </row>
    <row r="484" spans="1:18" x14ac:dyDescent="0.3">
      <c r="A484">
        <v>9685982</v>
      </c>
      <c r="B484" t="s">
        <v>78</v>
      </c>
      <c r="C484">
        <v>1329034</v>
      </c>
      <c r="D484" t="s">
        <v>78</v>
      </c>
      <c r="E484">
        <v>820</v>
      </c>
      <c r="F484">
        <v>820</v>
      </c>
      <c r="G484" t="s">
        <v>136</v>
      </c>
      <c r="H484" t="s">
        <v>250</v>
      </c>
      <c r="I484" t="s">
        <v>78</v>
      </c>
      <c r="J484" t="s">
        <v>42</v>
      </c>
      <c r="K484" t="s">
        <v>83</v>
      </c>
      <c r="L484" s="25">
        <v>44030</v>
      </c>
      <c r="M484">
        <v>7</v>
      </c>
      <c r="N484">
        <v>2020</v>
      </c>
      <c r="O484" t="s">
        <v>110</v>
      </c>
      <c r="P484">
        <v>170</v>
      </c>
      <c r="Q484" s="17">
        <v>44030.45045196759</v>
      </c>
      <c r="R484" t="s">
        <v>126</v>
      </c>
    </row>
    <row r="485" spans="1:18" x14ac:dyDescent="0.3">
      <c r="A485">
        <v>244727</v>
      </c>
      <c r="B485" t="s">
        <v>80</v>
      </c>
      <c r="C485">
        <v>1330165</v>
      </c>
      <c r="D485" t="s">
        <v>113</v>
      </c>
      <c r="E485" t="s">
        <v>142</v>
      </c>
      <c r="F485" t="s">
        <v>17</v>
      </c>
      <c r="G485" t="s">
        <v>143</v>
      </c>
      <c r="H485" t="s">
        <v>232</v>
      </c>
      <c r="I485" t="s">
        <v>84</v>
      </c>
      <c r="J485" t="s">
        <v>85</v>
      </c>
      <c r="K485" t="s">
        <v>87</v>
      </c>
      <c r="L485" s="25">
        <v>44030</v>
      </c>
      <c r="M485">
        <v>7</v>
      </c>
      <c r="N485">
        <v>2020</v>
      </c>
      <c r="O485" t="s">
        <v>110</v>
      </c>
      <c r="P485">
        <v>170</v>
      </c>
      <c r="Q485" s="17">
        <v>44030.489708449073</v>
      </c>
      <c r="R485" t="s">
        <v>126</v>
      </c>
    </row>
    <row r="486" spans="1:18" x14ac:dyDescent="0.3">
      <c r="A486">
        <v>9685583</v>
      </c>
      <c r="B486" t="s">
        <v>80</v>
      </c>
      <c r="C486">
        <v>1329561</v>
      </c>
      <c r="D486" t="s">
        <v>113</v>
      </c>
      <c r="E486" t="s">
        <v>146</v>
      </c>
      <c r="F486" t="s">
        <v>17</v>
      </c>
      <c r="G486" t="s">
        <v>153</v>
      </c>
      <c r="H486" t="s">
        <v>232</v>
      </c>
      <c r="I486" t="s">
        <v>84</v>
      </c>
      <c r="J486" t="s">
        <v>85</v>
      </c>
      <c r="K486" t="s">
        <v>87</v>
      </c>
      <c r="L486" s="25">
        <v>44030</v>
      </c>
      <c r="M486">
        <v>7</v>
      </c>
      <c r="N486">
        <v>2020</v>
      </c>
      <c r="O486" t="s">
        <v>110</v>
      </c>
      <c r="P486">
        <v>170</v>
      </c>
      <c r="Q486" s="17">
        <v>44030.425349074074</v>
      </c>
      <c r="R486" t="s">
        <v>126</v>
      </c>
    </row>
    <row r="487" spans="1:18" x14ac:dyDescent="0.3">
      <c r="A487">
        <v>9686174</v>
      </c>
      <c r="B487" t="s">
        <v>80</v>
      </c>
      <c r="C487">
        <v>1329638</v>
      </c>
      <c r="D487" t="s">
        <v>113</v>
      </c>
      <c r="E487" t="s">
        <v>146</v>
      </c>
      <c r="F487" t="s">
        <v>17</v>
      </c>
      <c r="G487" t="s">
        <v>153</v>
      </c>
      <c r="H487" t="s">
        <v>232</v>
      </c>
      <c r="I487" t="s">
        <v>84</v>
      </c>
      <c r="J487" t="s">
        <v>85</v>
      </c>
      <c r="K487" t="s">
        <v>87</v>
      </c>
      <c r="L487" s="25">
        <v>44030</v>
      </c>
      <c r="M487">
        <v>7</v>
      </c>
      <c r="N487">
        <v>2020</v>
      </c>
      <c r="O487" t="s">
        <v>110</v>
      </c>
      <c r="P487">
        <v>170</v>
      </c>
      <c r="Q487" s="17">
        <v>44030.443008680559</v>
      </c>
      <c r="R487" t="s">
        <v>126</v>
      </c>
    </row>
    <row r="488" spans="1:18" x14ac:dyDescent="0.3">
      <c r="A488">
        <v>9685961</v>
      </c>
      <c r="B488" t="s">
        <v>78</v>
      </c>
      <c r="C488">
        <v>1328702</v>
      </c>
      <c r="D488" t="s">
        <v>78</v>
      </c>
      <c r="E488">
        <v>820</v>
      </c>
      <c r="F488">
        <v>820</v>
      </c>
      <c r="G488" t="s">
        <v>136</v>
      </c>
      <c r="H488" t="s">
        <v>250</v>
      </c>
      <c r="I488" t="s">
        <v>78</v>
      </c>
      <c r="J488" t="s">
        <v>42</v>
      </c>
      <c r="K488" t="s">
        <v>83</v>
      </c>
      <c r="L488" s="25">
        <v>44030</v>
      </c>
      <c r="M488">
        <v>7</v>
      </c>
      <c r="N488">
        <v>2020</v>
      </c>
      <c r="O488" t="s">
        <v>110</v>
      </c>
      <c r="P488">
        <v>170</v>
      </c>
      <c r="Q488" s="17">
        <v>44030.429994328704</v>
      </c>
      <c r="R488" t="s">
        <v>126</v>
      </c>
    </row>
    <row r="489" spans="1:18" x14ac:dyDescent="0.3">
      <c r="A489">
        <v>240596</v>
      </c>
      <c r="B489" t="s">
        <v>78</v>
      </c>
      <c r="C489">
        <v>1318280</v>
      </c>
      <c r="D489" t="s">
        <v>78</v>
      </c>
      <c r="E489" t="s">
        <v>57</v>
      </c>
      <c r="F489" t="s">
        <v>57</v>
      </c>
      <c r="G489" t="s">
        <v>109</v>
      </c>
      <c r="H489" t="s">
        <v>105</v>
      </c>
      <c r="I489" t="s">
        <v>78</v>
      </c>
      <c r="J489" t="s">
        <v>42</v>
      </c>
      <c r="K489" t="s">
        <v>87</v>
      </c>
      <c r="L489" s="25">
        <v>44030</v>
      </c>
      <c r="M489">
        <v>7</v>
      </c>
      <c r="N489">
        <v>2020</v>
      </c>
      <c r="O489" t="s">
        <v>110</v>
      </c>
      <c r="P489">
        <v>170</v>
      </c>
      <c r="Q489" s="17">
        <v>44030.47748321759</v>
      </c>
      <c r="R489" t="s">
        <v>111</v>
      </c>
    </row>
    <row r="490" spans="1:18" x14ac:dyDescent="0.3">
      <c r="A490">
        <v>241260</v>
      </c>
      <c r="B490" t="s">
        <v>79</v>
      </c>
      <c r="C490">
        <v>1319209</v>
      </c>
      <c r="D490" t="s">
        <v>116</v>
      </c>
      <c r="E490" t="s">
        <v>58</v>
      </c>
      <c r="F490" t="s">
        <v>58</v>
      </c>
      <c r="G490" t="s">
        <v>114</v>
      </c>
      <c r="H490" t="s">
        <v>233</v>
      </c>
      <c r="I490" t="s">
        <v>82</v>
      </c>
      <c r="J490" t="s">
        <v>42</v>
      </c>
      <c r="K490" t="s">
        <v>87</v>
      </c>
      <c r="L490" s="25">
        <v>44030</v>
      </c>
      <c r="M490">
        <v>7</v>
      </c>
      <c r="N490">
        <v>2020</v>
      </c>
      <c r="O490" t="s">
        <v>110</v>
      </c>
      <c r="P490">
        <v>170</v>
      </c>
      <c r="Q490" s="17">
        <v>44030.492298958336</v>
      </c>
      <c r="R490" t="s">
        <v>111</v>
      </c>
    </row>
    <row r="491" spans="1:18" x14ac:dyDescent="0.3">
      <c r="A491">
        <v>241260</v>
      </c>
      <c r="B491" t="s">
        <v>79</v>
      </c>
      <c r="C491">
        <v>1319202</v>
      </c>
      <c r="D491" t="s">
        <v>116</v>
      </c>
      <c r="E491" t="s">
        <v>58</v>
      </c>
      <c r="F491" t="s">
        <v>58</v>
      </c>
      <c r="G491" t="s">
        <v>114</v>
      </c>
      <c r="H491" t="s">
        <v>233</v>
      </c>
      <c r="I491" t="s">
        <v>82</v>
      </c>
      <c r="J491" t="s">
        <v>42</v>
      </c>
      <c r="K491" t="s">
        <v>87</v>
      </c>
      <c r="L491" s="25">
        <v>44030</v>
      </c>
      <c r="M491">
        <v>7</v>
      </c>
      <c r="N491">
        <v>2020</v>
      </c>
      <c r="O491" t="s">
        <v>110</v>
      </c>
      <c r="P491">
        <v>170</v>
      </c>
      <c r="Q491" s="17">
        <v>44030.493794560185</v>
      </c>
      <c r="R491" t="s">
        <v>111</v>
      </c>
    </row>
    <row r="492" spans="1:18" x14ac:dyDescent="0.3">
      <c r="A492">
        <v>241260</v>
      </c>
      <c r="B492" t="s">
        <v>79</v>
      </c>
      <c r="C492">
        <v>1319202</v>
      </c>
      <c r="D492" t="s">
        <v>116</v>
      </c>
      <c r="E492" t="s">
        <v>58</v>
      </c>
      <c r="F492" t="s">
        <v>58</v>
      </c>
      <c r="G492" t="s">
        <v>114</v>
      </c>
      <c r="H492" t="s">
        <v>233</v>
      </c>
      <c r="I492" t="s">
        <v>82</v>
      </c>
      <c r="J492" t="s">
        <v>42</v>
      </c>
      <c r="K492" t="s">
        <v>87</v>
      </c>
      <c r="L492" s="25">
        <v>44030</v>
      </c>
      <c r="M492">
        <v>7</v>
      </c>
      <c r="N492">
        <v>2020</v>
      </c>
      <c r="O492" t="s">
        <v>110</v>
      </c>
      <c r="P492">
        <v>170</v>
      </c>
      <c r="Q492" s="17">
        <v>44030.493794560185</v>
      </c>
      <c r="R492" t="s">
        <v>111</v>
      </c>
    </row>
    <row r="493" spans="1:18" x14ac:dyDescent="0.3">
      <c r="A493">
        <v>9679377</v>
      </c>
      <c r="B493" t="s">
        <v>78</v>
      </c>
      <c r="C493">
        <v>1319366</v>
      </c>
      <c r="D493" t="s">
        <v>78</v>
      </c>
      <c r="E493" t="s">
        <v>57</v>
      </c>
      <c r="F493" t="s">
        <v>57</v>
      </c>
      <c r="G493" t="s">
        <v>109</v>
      </c>
      <c r="H493" t="s">
        <v>238</v>
      </c>
      <c r="I493" t="s">
        <v>78</v>
      </c>
      <c r="J493" t="s">
        <v>42</v>
      </c>
      <c r="K493" t="s">
        <v>87</v>
      </c>
      <c r="L493" s="25">
        <v>44030</v>
      </c>
      <c r="M493">
        <v>7</v>
      </c>
      <c r="N493">
        <v>2020</v>
      </c>
      <c r="O493" t="s">
        <v>110</v>
      </c>
      <c r="P493">
        <v>170</v>
      </c>
      <c r="Q493" s="17">
        <v>44030.459467939814</v>
      </c>
      <c r="R493" t="s">
        <v>115</v>
      </c>
    </row>
    <row r="494" spans="1:18" x14ac:dyDescent="0.3">
      <c r="A494">
        <v>240942</v>
      </c>
      <c r="B494" t="s">
        <v>78</v>
      </c>
      <c r="C494">
        <v>1319759</v>
      </c>
      <c r="D494" t="s">
        <v>78</v>
      </c>
      <c r="E494" t="s">
        <v>57</v>
      </c>
      <c r="F494" t="s">
        <v>57</v>
      </c>
      <c r="G494" t="s">
        <v>109</v>
      </c>
      <c r="H494" t="s">
        <v>105</v>
      </c>
      <c r="I494" t="s">
        <v>78</v>
      </c>
      <c r="J494" t="s">
        <v>42</v>
      </c>
      <c r="K494" t="s">
        <v>87</v>
      </c>
      <c r="L494" s="25">
        <v>44030</v>
      </c>
      <c r="M494">
        <v>7</v>
      </c>
      <c r="N494">
        <v>2020</v>
      </c>
      <c r="O494" t="s">
        <v>110</v>
      </c>
      <c r="P494">
        <v>170</v>
      </c>
      <c r="Q494" s="17">
        <v>44030.445401041667</v>
      </c>
      <c r="R494" t="s">
        <v>111</v>
      </c>
    </row>
    <row r="495" spans="1:18" x14ac:dyDescent="0.3">
      <c r="A495">
        <v>240513</v>
      </c>
      <c r="B495" t="s">
        <v>78</v>
      </c>
      <c r="C495">
        <v>1319988</v>
      </c>
      <c r="D495" t="s">
        <v>78</v>
      </c>
      <c r="E495" t="s">
        <v>58</v>
      </c>
      <c r="F495" t="s">
        <v>58</v>
      </c>
      <c r="G495" t="s">
        <v>114</v>
      </c>
      <c r="H495" t="s">
        <v>228</v>
      </c>
      <c r="I495" t="s">
        <v>78</v>
      </c>
      <c r="J495" t="s">
        <v>42</v>
      </c>
      <c r="K495" t="s">
        <v>87</v>
      </c>
      <c r="L495" s="25">
        <v>44030</v>
      </c>
      <c r="M495">
        <v>7</v>
      </c>
      <c r="N495">
        <v>2020</v>
      </c>
      <c r="O495" t="s">
        <v>110</v>
      </c>
      <c r="P495">
        <v>170</v>
      </c>
      <c r="Q495" s="17">
        <v>44030.466692708331</v>
      </c>
      <c r="R495" t="s">
        <v>111</v>
      </c>
    </row>
    <row r="496" spans="1:18" x14ac:dyDescent="0.3">
      <c r="A496">
        <v>241443</v>
      </c>
      <c r="B496" t="s">
        <v>72</v>
      </c>
      <c r="C496">
        <v>1322910</v>
      </c>
      <c r="D496" t="s">
        <v>108</v>
      </c>
      <c r="E496" t="s">
        <v>57</v>
      </c>
      <c r="F496" t="s">
        <v>57</v>
      </c>
      <c r="G496" t="s">
        <v>109</v>
      </c>
      <c r="H496" t="s">
        <v>229</v>
      </c>
      <c r="I496" t="s">
        <v>84</v>
      </c>
      <c r="J496" t="s">
        <v>85</v>
      </c>
      <c r="K496" t="s">
        <v>87</v>
      </c>
      <c r="L496" s="25">
        <v>44030</v>
      </c>
      <c r="M496">
        <v>7</v>
      </c>
      <c r="N496">
        <v>2020</v>
      </c>
      <c r="O496" t="s">
        <v>110</v>
      </c>
      <c r="P496">
        <v>170</v>
      </c>
      <c r="Q496" s="17">
        <v>44030.481939467594</v>
      </c>
      <c r="R496" t="s">
        <v>111</v>
      </c>
    </row>
    <row r="497" spans="1:18" x14ac:dyDescent="0.3">
      <c r="A497">
        <v>242679</v>
      </c>
      <c r="B497" t="s">
        <v>78</v>
      </c>
      <c r="C497">
        <v>1325361</v>
      </c>
      <c r="D497" t="s">
        <v>78</v>
      </c>
      <c r="E497" t="s">
        <v>58</v>
      </c>
      <c r="F497" t="s">
        <v>58</v>
      </c>
      <c r="G497" t="s">
        <v>114</v>
      </c>
      <c r="H497" t="s">
        <v>105</v>
      </c>
      <c r="I497" t="s">
        <v>78</v>
      </c>
      <c r="J497" t="s">
        <v>42</v>
      </c>
      <c r="K497" t="s">
        <v>87</v>
      </c>
      <c r="L497" s="25">
        <v>44030</v>
      </c>
      <c r="M497">
        <v>7</v>
      </c>
      <c r="N497">
        <v>2020</v>
      </c>
      <c r="O497" t="s">
        <v>110</v>
      </c>
      <c r="P497">
        <v>170</v>
      </c>
      <c r="Q497" s="17">
        <v>44030.484008101848</v>
      </c>
      <c r="R497" t="s">
        <v>111</v>
      </c>
    </row>
    <row r="498" spans="1:18" x14ac:dyDescent="0.3">
      <c r="A498">
        <v>21529199</v>
      </c>
      <c r="B498" t="s">
        <v>72</v>
      </c>
      <c r="C498">
        <v>1326361</v>
      </c>
      <c r="D498" t="s">
        <v>108</v>
      </c>
      <c r="E498" t="s">
        <v>117</v>
      </c>
      <c r="F498" t="s">
        <v>117</v>
      </c>
      <c r="G498" t="s">
        <v>59</v>
      </c>
      <c r="H498" t="s">
        <v>229</v>
      </c>
      <c r="I498" t="s">
        <v>84</v>
      </c>
      <c r="J498" t="s">
        <v>85</v>
      </c>
      <c r="K498" t="s">
        <v>91</v>
      </c>
      <c r="L498" s="25">
        <v>44030</v>
      </c>
      <c r="M498">
        <v>7</v>
      </c>
      <c r="N498">
        <v>2020</v>
      </c>
      <c r="O498" t="s">
        <v>110</v>
      </c>
      <c r="P498">
        <v>170</v>
      </c>
      <c r="Q498" s="17">
        <v>44030.423378356485</v>
      </c>
      <c r="R498" t="s">
        <v>119</v>
      </c>
    </row>
    <row r="499" spans="1:18" x14ac:dyDescent="0.3">
      <c r="A499">
        <v>21527674</v>
      </c>
      <c r="B499" t="s">
        <v>78</v>
      </c>
      <c r="C499">
        <v>1326554</v>
      </c>
      <c r="D499" t="s">
        <v>78</v>
      </c>
      <c r="E499" t="s">
        <v>117</v>
      </c>
      <c r="F499" t="s">
        <v>117</v>
      </c>
      <c r="G499" t="s">
        <v>59</v>
      </c>
      <c r="H499" t="s">
        <v>230</v>
      </c>
      <c r="I499" t="s">
        <v>78</v>
      </c>
      <c r="J499" t="s">
        <v>42</v>
      </c>
      <c r="K499" t="s">
        <v>91</v>
      </c>
      <c r="L499" s="25">
        <v>44030</v>
      </c>
      <c r="M499">
        <v>7</v>
      </c>
      <c r="N499">
        <v>2020</v>
      </c>
      <c r="O499" t="s">
        <v>110</v>
      </c>
      <c r="P499">
        <v>170</v>
      </c>
      <c r="Q499" s="17">
        <v>44030.426193981482</v>
      </c>
      <c r="R499" t="s">
        <v>118</v>
      </c>
    </row>
    <row r="500" spans="1:18" x14ac:dyDescent="0.3">
      <c r="A500">
        <v>21529450</v>
      </c>
      <c r="B500" t="s">
        <v>78</v>
      </c>
      <c r="C500">
        <v>1326711</v>
      </c>
      <c r="D500" t="s">
        <v>78</v>
      </c>
      <c r="E500" t="s">
        <v>117</v>
      </c>
      <c r="F500" t="s">
        <v>117</v>
      </c>
      <c r="G500" t="s">
        <v>59</v>
      </c>
      <c r="H500" t="s">
        <v>230</v>
      </c>
      <c r="I500" t="s">
        <v>78</v>
      </c>
      <c r="J500" t="s">
        <v>42</v>
      </c>
      <c r="K500" t="s">
        <v>91</v>
      </c>
      <c r="L500" s="25">
        <v>44030</v>
      </c>
      <c r="M500">
        <v>7</v>
      </c>
      <c r="N500">
        <v>2020</v>
      </c>
      <c r="O500" t="s">
        <v>110</v>
      </c>
      <c r="P500">
        <v>170</v>
      </c>
      <c r="Q500" s="17">
        <v>44030.429937615743</v>
      </c>
      <c r="R500" t="s">
        <v>118</v>
      </c>
    </row>
    <row r="501" spans="1:18" x14ac:dyDescent="0.3">
      <c r="A501">
        <v>21529456</v>
      </c>
      <c r="B501" t="s">
        <v>78</v>
      </c>
      <c r="C501">
        <v>1326704</v>
      </c>
      <c r="D501" t="s">
        <v>78</v>
      </c>
      <c r="E501" t="s">
        <v>117</v>
      </c>
      <c r="F501" t="s">
        <v>117</v>
      </c>
      <c r="G501" t="s">
        <v>59</v>
      </c>
      <c r="H501" t="s">
        <v>231</v>
      </c>
      <c r="I501" t="s">
        <v>78</v>
      </c>
      <c r="J501" t="s">
        <v>42</v>
      </c>
      <c r="K501" t="s">
        <v>91</v>
      </c>
      <c r="L501" s="25">
        <v>44030</v>
      </c>
      <c r="M501">
        <v>7</v>
      </c>
      <c r="N501">
        <v>2020</v>
      </c>
      <c r="O501" t="s">
        <v>110</v>
      </c>
      <c r="P501">
        <v>170</v>
      </c>
      <c r="Q501" s="17">
        <v>44030.42889328704</v>
      </c>
      <c r="R501" t="s">
        <v>119</v>
      </c>
    </row>
    <row r="502" spans="1:18" x14ac:dyDescent="0.3">
      <c r="A502">
        <v>21529210</v>
      </c>
      <c r="B502" t="s">
        <v>72</v>
      </c>
      <c r="C502">
        <v>1326740</v>
      </c>
      <c r="D502" t="s">
        <v>108</v>
      </c>
      <c r="E502" t="s">
        <v>117</v>
      </c>
      <c r="F502" t="s">
        <v>117</v>
      </c>
      <c r="G502" t="s">
        <v>59</v>
      </c>
      <c r="H502" t="s">
        <v>229</v>
      </c>
      <c r="I502" t="s">
        <v>84</v>
      </c>
      <c r="J502" t="s">
        <v>85</v>
      </c>
      <c r="K502" t="s">
        <v>91</v>
      </c>
      <c r="L502" s="25">
        <v>44030</v>
      </c>
      <c r="M502">
        <v>7</v>
      </c>
      <c r="N502">
        <v>2020</v>
      </c>
      <c r="O502" t="s">
        <v>110</v>
      </c>
      <c r="P502">
        <v>170</v>
      </c>
      <c r="Q502" s="17">
        <v>44030.430860185188</v>
      </c>
      <c r="R502" t="s">
        <v>119</v>
      </c>
    </row>
    <row r="503" spans="1:18" x14ac:dyDescent="0.3">
      <c r="A503">
        <v>21529246</v>
      </c>
      <c r="B503" t="s">
        <v>78</v>
      </c>
      <c r="C503">
        <v>1327040</v>
      </c>
      <c r="D503" t="s">
        <v>78</v>
      </c>
      <c r="E503" t="s">
        <v>117</v>
      </c>
      <c r="F503" t="s">
        <v>117</v>
      </c>
      <c r="G503" t="s">
        <v>59</v>
      </c>
      <c r="H503" t="s">
        <v>230</v>
      </c>
      <c r="I503" t="s">
        <v>78</v>
      </c>
      <c r="J503" t="s">
        <v>42</v>
      </c>
      <c r="K503" t="s">
        <v>91</v>
      </c>
      <c r="L503" s="25">
        <v>44030</v>
      </c>
      <c r="M503">
        <v>7</v>
      </c>
      <c r="N503">
        <v>2020</v>
      </c>
      <c r="O503" t="s">
        <v>110</v>
      </c>
      <c r="P503">
        <v>170</v>
      </c>
      <c r="Q503" s="17">
        <v>44030.433834837961</v>
      </c>
      <c r="R503" t="s">
        <v>118</v>
      </c>
    </row>
    <row r="504" spans="1:18" x14ac:dyDescent="0.3">
      <c r="A504">
        <v>21529201</v>
      </c>
      <c r="B504" t="s">
        <v>80</v>
      </c>
      <c r="C504">
        <v>1327104</v>
      </c>
      <c r="D504" t="s">
        <v>113</v>
      </c>
      <c r="E504" t="s">
        <v>117</v>
      </c>
      <c r="F504" t="s">
        <v>117</v>
      </c>
      <c r="G504" t="s">
        <v>59</v>
      </c>
      <c r="H504" t="s">
        <v>257</v>
      </c>
      <c r="I504" t="s">
        <v>82</v>
      </c>
      <c r="J504" t="s">
        <v>42</v>
      </c>
      <c r="K504" t="s">
        <v>91</v>
      </c>
      <c r="L504" s="25">
        <v>44030</v>
      </c>
      <c r="M504">
        <v>7</v>
      </c>
      <c r="N504">
        <v>2020</v>
      </c>
      <c r="O504" t="s">
        <v>110</v>
      </c>
      <c r="P504">
        <v>170</v>
      </c>
      <c r="Q504" s="17">
        <v>44030.433753124998</v>
      </c>
      <c r="R504" t="s">
        <v>119</v>
      </c>
    </row>
    <row r="505" spans="1:18" x14ac:dyDescent="0.3">
      <c r="A505">
        <v>21529423</v>
      </c>
      <c r="B505" t="s">
        <v>78</v>
      </c>
      <c r="C505">
        <v>1327233</v>
      </c>
      <c r="D505" t="s">
        <v>78</v>
      </c>
      <c r="E505" t="s">
        <v>117</v>
      </c>
      <c r="F505" t="s">
        <v>117</v>
      </c>
      <c r="G505" t="s">
        <v>59</v>
      </c>
      <c r="H505" t="s">
        <v>230</v>
      </c>
      <c r="I505" t="s">
        <v>78</v>
      </c>
      <c r="J505" t="s">
        <v>42</v>
      </c>
      <c r="K505" t="s">
        <v>91</v>
      </c>
      <c r="L505" s="25">
        <v>44030</v>
      </c>
      <c r="M505">
        <v>7</v>
      </c>
      <c r="N505">
        <v>2020</v>
      </c>
      <c r="O505" t="s">
        <v>110</v>
      </c>
      <c r="P505">
        <v>170</v>
      </c>
      <c r="Q505" s="17">
        <v>44030.435226504633</v>
      </c>
      <c r="R505" t="s">
        <v>118</v>
      </c>
    </row>
    <row r="506" spans="1:18" x14ac:dyDescent="0.3">
      <c r="A506">
        <v>9682420</v>
      </c>
      <c r="B506" t="s">
        <v>78</v>
      </c>
      <c r="C506">
        <v>1327340</v>
      </c>
      <c r="D506" t="s">
        <v>78</v>
      </c>
      <c r="E506" t="s">
        <v>57</v>
      </c>
      <c r="F506" t="s">
        <v>57</v>
      </c>
      <c r="G506" t="s">
        <v>109</v>
      </c>
      <c r="H506" t="s">
        <v>105</v>
      </c>
      <c r="I506" t="s">
        <v>78</v>
      </c>
      <c r="J506" t="s">
        <v>42</v>
      </c>
      <c r="K506" t="s">
        <v>87</v>
      </c>
      <c r="L506" s="25">
        <v>44030</v>
      </c>
      <c r="M506">
        <v>7</v>
      </c>
      <c r="N506">
        <v>2020</v>
      </c>
      <c r="O506" t="s">
        <v>110</v>
      </c>
      <c r="P506">
        <v>170</v>
      </c>
      <c r="Q506" s="17">
        <v>44030.425103240741</v>
      </c>
      <c r="R506" t="s">
        <v>111</v>
      </c>
    </row>
    <row r="507" spans="1:18" x14ac:dyDescent="0.3">
      <c r="A507">
        <v>21529331</v>
      </c>
      <c r="B507" t="s">
        <v>78</v>
      </c>
      <c r="C507">
        <v>1327397</v>
      </c>
      <c r="D507" t="s">
        <v>78</v>
      </c>
      <c r="E507" t="s">
        <v>117</v>
      </c>
      <c r="F507" t="s">
        <v>117</v>
      </c>
      <c r="G507" t="s">
        <v>59</v>
      </c>
      <c r="H507" t="s">
        <v>230</v>
      </c>
      <c r="I507" t="s">
        <v>78</v>
      </c>
      <c r="J507" t="s">
        <v>42</v>
      </c>
      <c r="K507" t="s">
        <v>91</v>
      </c>
      <c r="L507" s="25">
        <v>44030</v>
      </c>
      <c r="M507">
        <v>7</v>
      </c>
      <c r="N507">
        <v>2020</v>
      </c>
      <c r="O507" t="s">
        <v>110</v>
      </c>
      <c r="P507">
        <v>170</v>
      </c>
      <c r="Q507" s="17">
        <v>44030.441352083333</v>
      </c>
      <c r="R507" t="s">
        <v>118</v>
      </c>
    </row>
    <row r="508" spans="1:18" x14ac:dyDescent="0.3">
      <c r="A508">
        <v>21528294</v>
      </c>
      <c r="B508" t="s">
        <v>78</v>
      </c>
      <c r="C508">
        <v>1327383</v>
      </c>
      <c r="D508" t="s">
        <v>78</v>
      </c>
      <c r="E508" t="s">
        <v>117</v>
      </c>
      <c r="F508" t="s">
        <v>117</v>
      </c>
      <c r="G508" t="s">
        <v>59</v>
      </c>
      <c r="H508" t="s">
        <v>230</v>
      </c>
      <c r="I508" t="s">
        <v>78</v>
      </c>
      <c r="J508" t="s">
        <v>42</v>
      </c>
      <c r="K508" t="s">
        <v>91</v>
      </c>
      <c r="L508" s="25">
        <v>44030</v>
      </c>
      <c r="M508">
        <v>7</v>
      </c>
      <c r="N508">
        <v>2020</v>
      </c>
      <c r="O508" t="s">
        <v>110</v>
      </c>
      <c r="P508">
        <v>170</v>
      </c>
      <c r="Q508" s="17">
        <v>44030.439852662035</v>
      </c>
      <c r="R508" t="s">
        <v>118</v>
      </c>
    </row>
    <row r="509" spans="1:18" x14ac:dyDescent="0.3">
      <c r="A509">
        <v>21529424</v>
      </c>
      <c r="B509" t="s">
        <v>78</v>
      </c>
      <c r="C509">
        <v>1327390</v>
      </c>
      <c r="D509" t="s">
        <v>78</v>
      </c>
      <c r="E509" t="s">
        <v>117</v>
      </c>
      <c r="F509" t="s">
        <v>117</v>
      </c>
      <c r="G509" t="s">
        <v>59</v>
      </c>
      <c r="H509" t="s">
        <v>231</v>
      </c>
      <c r="I509" t="s">
        <v>78</v>
      </c>
      <c r="J509" t="s">
        <v>42</v>
      </c>
      <c r="K509" t="s">
        <v>91</v>
      </c>
      <c r="L509" s="25">
        <v>44030</v>
      </c>
      <c r="M509">
        <v>7</v>
      </c>
      <c r="N509">
        <v>2020</v>
      </c>
      <c r="O509" t="s">
        <v>110</v>
      </c>
      <c r="P509">
        <v>170</v>
      </c>
      <c r="Q509" s="17">
        <v>44030.439856365738</v>
      </c>
      <c r="R509" t="s">
        <v>119</v>
      </c>
    </row>
    <row r="510" spans="1:18" x14ac:dyDescent="0.3">
      <c r="A510">
        <v>21529131</v>
      </c>
      <c r="B510" t="s">
        <v>79</v>
      </c>
      <c r="C510">
        <v>1327490</v>
      </c>
      <c r="D510" t="s">
        <v>116</v>
      </c>
      <c r="E510" t="s">
        <v>58</v>
      </c>
      <c r="F510" t="s">
        <v>58</v>
      </c>
      <c r="G510" t="s">
        <v>114</v>
      </c>
      <c r="H510" t="s">
        <v>233</v>
      </c>
      <c r="I510" t="s">
        <v>82</v>
      </c>
      <c r="J510" t="s">
        <v>42</v>
      </c>
      <c r="K510" t="s">
        <v>87</v>
      </c>
      <c r="L510" s="25">
        <v>44030</v>
      </c>
      <c r="M510">
        <v>7</v>
      </c>
      <c r="N510">
        <v>2020</v>
      </c>
      <c r="O510" t="s">
        <v>110</v>
      </c>
      <c r="P510">
        <v>170</v>
      </c>
      <c r="Q510" s="17">
        <v>44030.427723726854</v>
      </c>
      <c r="R510" t="s">
        <v>111</v>
      </c>
    </row>
    <row r="511" spans="1:18" x14ac:dyDescent="0.3">
      <c r="A511">
        <v>9683201</v>
      </c>
      <c r="B511" t="s">
        <v>79</v>
      </c>
      <c r="C511">
        <v>1327633</v>
      </c>
      <c r="D511" t="s">
        <v>116</v>
      </c>
      <c r="E511" t="s">
        <v>58</v>
      </c>
      <c r="F511" t="s">
        <v>58</v>
      </c>
      <c r="G511" t="s">
        <v>114</v>
      </c>
      <c r="H511" t="s">
        <v>233</v>
      </c>
      <c r="I511" t="s">
        <v>82</v>
      </c>
      <c r="J511" t="s">
        <v>42</v>
      </c>
      <c r="K511" t="s">
        <v>87</v>
      </c>
      <c r="L511" s="25">
        <v>44030</v>
      </c>
      <c r="M511">
        <v>7</v>
      </c>
      <c r="N511">
        <v>2020</v>
      </c>
      <c r="O511" t="s">
        <v>110</v>
      </c>
      <c r="P511">
        <v>170</v>
      </c>
      <c r="Q511" s="17">
        <v>44030.429927199075</v>
      </c>
      <c r="R511" t="s">
        <v>111</v>
      </c>
    </row>
    <row r="512" spans="1:18" x14ac:dyDescent="0.3">
      <c r="A512">
        <v>9683467</v>
      </c>
      <c r="B512" t="s">
        <v>78</v>
      </c>
      <c r="C512">
        <v>1327683</v>
      </c>
      <c r="D512" t="s">
        <v>78</v>
      </c>
      <c r="E512" t="s">
        <v>58</v>
      </c>
      <c r="F512" t="s">
        <v>58</v>
      </c>
      <c r="G512" t="s">
        <v>114</v>
      </c>
      <c r="H512" t="s">
        <v>105</v>
      </c>
      <c r="I512" t="s">
        <v>78</v>
      </c>
      <c r="J512" t="s">
        <v>42</v>
      </c>
      <c r="K512" t="s">
        <v>87</v>
      </c>
      <c r="L512" s="25">
        <v>44030</v>
      </c>
      <c r="M512">
        <v>7</v>
      </c>
      <c r="N512">
        <v>2020</v>
      </c>
      <c r="O512" t="s">
        <v>110</v>
      </c>
      <c r="P512">
        <v>170</v>
      </c>
      <c r="Q512" s="17">
        <v>44030.430642476851</v>
      </c>
      <c r="R512" t="s">
        <v>112</v>
      </c>
    </row>
    <row r="513" spans="1:18" x14ac:dyDescent="0.3">
      <c r="A513">
        <v>9684171</v>
      </c>
      <c r="B513" t="s">
        <v>78</v>
      </c>
      <c r="C513">
        <v>1328004</v>
      </c>
      <c r="D513" t="s">
        <v>78</v>
      </c>
      <c r="E513" t="s">
        <v>58</v>
      </c>
      <c r="F513" t="s">
        <v>58</v>
      </c>
      <c r="G513" t="s">
        <v>114</v>
      </c>
      <c r="H513" t="s">
        <v>105</v>
      </c>
      <c r="I513" t="s">
        <v>78</v>
      </c>
      <c r="J513" t="s">
        <v>42</v>
      </c>
      <c r="K513" t="s">
        <v>87</v>
      </c>
      <c r="L513" s="25">
        <v>44030</v>
      </c>
      <c r="M513">
        <v>7</v>
      </c>
      <c r="N513">
        <v>2020</v>
      </c>
      <c r="O513" t="s">
        <v>110</v>
      </c>
      <c r="P513">
        <v>170</v>
      </c>
      <c r="Q513" s="17">
        <v>44030.445423263889</v>
      </c>
      <c r="R513" t="s">
        <v>112</v>
      </c>
    </row>
    <row r="514" spans="1:18" x14ac:dyDescent="0.3">
      <c r="A514">
        <v>9683899</v>
      </c>
      <c r="B514" t="s">
        <v>78</v>
      </c>
      <c r="C514">
        <v>1328106</v>
      </c>
      <c r="D514" t="s">
        <v>78</v>
      </c>
      <c r="E514" t="s">
        <v>57</v>
      </c>
      <c r="F514" t="s">
        <v>57</v>
      </c>
      <c r="G514" t="s">
        <v>109</v>
      </c>
      <c r="H514" t="s">
        <v>105</v>
      </c>
      <c r="I514" t="s">
        <v>78</v>
      </c>
      <c r="J514" t="s">
        <v>42</v>
      </c>
      <c r="K514" t="s">
        <v>87</v>
      </c>
      <c r="L514" s="25">
        <v>44030</v>
      </c>
      <c r="M514">
        <v>7</v>
      </c>
      <c r="N514">
        <v>2020</v>
      </c>
      <c r="O514" t="s">
        <v>110</v>
      </c>
      <c r="P514">
        <v>170</v>
      </c>
      <c r="Q514" s="17">
        <v>44030.444399884262</v>
      </c>
      <c r="R514" t="s">
        <v>111</v>
      </c>
    </row>
    <row r="515" spans="1:18" x14ac:dyDescent="0.3">
      <c r="A515">
        <v>9685011</v>
      </c>
      <c r="B515" t="s">
        <v>72</v>
      </c>
      <c r="C515">
        <v>1328740</v>
      </c>
      <c r="D515" t="s">
        <v>108</v>
      </c>
      <c r="E515" t="s">
        <v>57</v>
      </c>
      <c r="F515" t="s">
        <v>57</v>
      </c>
      <c r="G515" t="s">
        <v>109</v>
      </c>
      <c r="H515" t="s">
        <v>229</v>
      </c>
      <c r="I515" t="s">
        <v>84</v>
      </c>
      <c r="J515" t="s">
        <v>85</v>
      </c>
      <c r="K515" t="s">
        <v>87</v>
      </c>
      <c r="L515" s="25">
        <v>44030</v>
      </c>
      <c r="M515">
        <v>7</v>
      </c>
      <c r="N515">
        <v>2020</v>
      </c>
      <c r="O515" t="s">
        <v>110</v>
      </c>
      <c r="P515">
        <v>170</v>
      </c>
      <c r="Q515" s="17">
        <v>44030.448806365741</v>
      </c>
      <c r="R515" t="s">
        <v>111</v>
      </c>
    </row>
    <row r="516" spans="1:18" x14ac:dyDescent="0.3">
      <c r="A516">
        <v>9683790</v>
      </c>
      <c r="B516" t="s">
        <v>78</v>
      </c>
      <c r="C516">
        <v>1328638</v>
      </c>
      <c r="D516" t="s">
        <v>78</v>
      </c>
      <c r="E516" t="s">
        <v>57</v>
      </c>
      <c r="F516" t="s">
        <v>57</v>
      </c>
      <c r="G516" t="s">
        <v>109</v>
      </c>
      <c r="H516" t="s">
        <v>228</v>
      </c>
      <c r="I516" t="s">
        <v>78</v>
      </c>
      <c r="J516" t="s">
        <v>42</v>
      </c>
      <c r="K516" t="s">
        <v>87</v>
      </c>
      <c r="L516" s="25">
        <v>44030</v>
      </c>
      <c r="M516">
        <v>7</v>
      </c>
      <c r="N516">
        <v>2020</v>
      </c>
      <c r="O516" t="s">
        <v>110</v>
      </c>
      <c r="P516">
        <v>170</v>
      </c>
      <c r="Q516" s="17">
        <v>44030.450271412039</v>
      </c>
      <c r="R516" t="s">
        <v>112</v>
      </c>
    </row>
    <row r="517" spans="1:18" x14ac:dyDescent="0.3">
      <c r="A517">
        <v>9684246</v>
      </c>
      <c r="B517" t="s">
        <v>79</v>
      </c>
      <c r="C517">
        <v>1328791</v>
      </c>
      <c r="D517" t="s">
        <v>116</v>
      </c>
      <c r="E517" t="s">
        <v>58</v>
      </c>
      <c r="F517" t="s">
        <v>58</v>
      </c>
      <c r="G517" t="s">
        <v>114</v>
      </c>
      <c r="H517" t="s">
        <v>233</v>
      </c>
      <c r="I517" t="s">
        <v>82</v>
      </c>
      <c r="J517" t="s">
        <v>42</v>
      </c>
      <c r="K517" t="s">
        <v>87</v>
      </c>
      <c r="L517" s="25">
        <v>44030</v>
      </c>
      <c r="M517">
        <v>7</v>
      </c>
      <c r="N517">
        <v>2020</v>
      </c>
      <c r="O517" t="s">
        <v>110</v>
      </c>
      <c r="P517">
        <v>170</v>
      </c>
      <c r="Q517" s="17">
        <v>44030.449586458337</v>
      </c>
      <c r="R517" t="s">
        <v>111</v>
      </c>
    </row>
    <row r="518" spans="1:18" x14ac:dyDescent="0.3">
      <c r="A518">
        <v>9684343</v>
      </c>
      <c r="B518" t="s">
        <v>79</v>
      </c>
      <c r="C518">
        <v>1328808</v>
      </c>
      <c r="D518" t="s">
        <v>116</v>
      </c>
      <c r="E518" t="s">
        <v>58</v>
      </c>
      <c r="F518" t="s">
        <v>58</v>
      </c>
      <c r="G518" t="s">
        <v>114</v>
      </c>
      <c r="H518" t="s">
        <v>233</v>
      </c>
      <c r="I518" t="s">
        <v>82</v>
      </c>
      <c r="J518" t="s">
        <v>42</v>
      </c>
      <c r="K518" t="s">
        <v>87</v>
      </c>
      <c r="L518" s="25">
        <v>44030</v>
      </c>
      <c r="M518">
        <v>7</v>
      </c>
      <c r="N518">
        <v>2020</v>
      </c>
      <c r="O518" t="s">
        <v>110</v>
      </c>
      <c r="P518">
        <v>170</v>
      </c>
      <c r="Q518" s="17">
        <v>44030.450953703701</v>
      </c>
      <c r="R518" t="s">
        <v>111</v>
      </c>
    </row>
    <row r="519" spans="1:18" x14ac:dyDescent="0.3">
      <c r="A519">
        <v>9684727</v>
      </c>
      <c r="B519" t="s">
        <v>72</v>
      </c>
      <c r="C519">
        <v>1328655</v>
      </c>
      <c r="D519" t="s">
        <v>108</v>
      </c>
      <c r="E519" t="s">
        <v>58</v>
      </c>
      <c r="F519" t="s">
        <v>58</v>
      </c>
      <c r="G519" t="s">
        <v>114</v>
      </c>
      <c r="H519" t="s">
        <v>229</v>
      </c>
      <c r="I519" t="s">
        <v>84</v>
      </c>
      <c r="J519" t="s">
        <v>85</v>
      </c>
      <c r="K519" t="s">
        <v>87</v>
      </c>
      <c r="L519" s="25">
        <v>44030</v>
      </c>
      <c r="M519">
        <v>7</v>
      </c>
      <c r="N519">
        <v>2020</v>
      </c>
      <c r="O519" t="s">
        <v>110</v>
      </c>
      <c r="P519">
        <v>170</v>
      </c>
      <c r="Q519" s="17">
        <v>44030.450161458335</v>
      </c>
      <c r="R519" t="s">
        <v>111</v>
      </c>
    </row>
    <row r="520" spans="1:18" x14ac:dyDescent="0.3">
      <c r="A520">
        <v>9685199</v>
      </c>
      <c r="B520" t="s">
        <v>72</v>
      </c>
      <c r="C520">
        <v>1328872</v>
      </c>
      <c r="D520" t="s">
        <v>108</v>
      </c>
      <c r="E520" t="s">
        <v>58</v>
      </c>
      <c r="F520" t="s">
        <v>58</v>
      </c>
      <c r="G520" t="s">
        <v>114</v>
      </c>
      <c r="H520" t="s">
        <v>229</v>
      </c>
      <c r="I520" t="s">
        <v>84</v>
      </c>
      <c r="J520" t="s">
        <v>85</v>
      </c>
      <c r="K520" t="s">
        <v>87</v>
      </c>
      <c r="L520" s="25">
        <v>44030</v>
      </c>
      <c r="M520">
        <v>7</v>
      </c>
      <c r="N520">
        <v>2020</v>
      </c>
      <c r="O520" t="s">
        <v>110</v>
      </c>
      <c r="P520">
        <v>170</v>
      </c>
      <c r="Q520" s="17">
        <v>44030.451083912034</v>
      </c>
      <c r="R520" t="s">
        <v>111</v>
      </c>
    </row>
    <row r="521" spans="1:18" x14ac:dyDescent="0.3">
      <c r="A521">
        <v>9684520</v>
      </c>
      <c r="B521" t="s">
        <v>79</v>
      </c>
      <c r="C521">
        <v>1328889</v>
      </c>
      <c r="D521" t="s">
        <v>116</v>
      </c>
      <c r="E521" t="s">
        <v>58</v>
      </c>
      <c r="F521" t="s">
        <v>58</v>
      </c>
      <c r="G521" t="s">
        <v>114</v>
      </c>
      <c r="H521" t="s">
        <v>233</v>
      </c>
      <c r="I521" t="s">
        <v>82</v>
      </c>
      <c r="J521" t="s">
        <v>42</v>
      </c>
      <c r="K521" t="s">
        <v>87</v>
      </c>
      <c r="L521" s="25">
        <v>44030</v>
      </c>
      <c r="M521">
        <v>7</v>
      </c>
      <c r="N521">
        <v>2020</v>
      </c>
      <c r="O521" t="s">
        <v>110</v>
      </c>
      <c r="P521">
        <v>170</v>
      </c>
      <c r="Q521" s="17">
        <v>44030.452295833333</v>
      </c>
      <c r="R521" t="s">
        <v>111</v>
      </c>
    </row>
    <row r="522" spans="1:18" x14ac:dyDescent="0.3">
      <c r="A522">
        <v>244565</v>
      </c>
      <c r="B522" t="s">
        <v>78</v>
      </c>
      <c r="C522">
        <v>1329208</v>
      </c>
      <c r="D522" t="s">
        <v>78</v>
      </c>
      <c r="E522" t="s">
        <v>117</v>
      </c>
      <c r="F522" t="s">
        <v>117</v>
      </c>
      <c r="G522" t="s">
        <v>59</v>
      </c>
      <c r="H522" t="s">
        <v>230</v>
      </c>
      <c r="I522" t="s">
        <v>78</v>
      </c>
      <c r="J522" t="s">
        <v>42</v>
      </c>
      <c r="K522" t="s">
        <v>91</v>
      </c>
      <c r="L522" s="25">
        <v>44030</v>
      </c>
      <c r="M522">
        <v>7</v>
      </c>
      <c r="N522">
        <v>2020</v>
      </c>
      <c r="O522" t="s">
        <v>110</v>
      </c>
      <c r="P522">
        <v>170</v>
      </c>
      <c r="Q522" s="17">
        <v>44030.442102199071</v>
      </c>
      <c r="R522" t="s">
        <v>118</v>
      </c>
    </row>
    <row r="523" spans="1:18" x14ac:dyDescent="0.3">
      <c r="A523">
        <v>244605</v>
      </c>
      <c r="B523" t="s">
        <v>78</v>
      </c>
      <c r="C523">
        <v>1329340</v>
      </c>
      <c r="D523" t="s">
        <v>78</v>
      </c>
      <c r="E523" t="s">
        <v>58</v>
      </c>
      <c r="F523" t="s">
        <v>58</v>
      </c>
      <c r="G523" t="s">
        <v>114</v>
      </c>
      <c r="H523" t="s">
        <v>105</v>
      </c>
      <c r="I523" t="s">
        <v>78</v>
      </c>
      <c r="J523" t="s">
        <v>42</v>
      </c>
      <c r="K523" t="s">
        <v>87</v>
      </c>
      <c r="L523" s="25">
        <v>44030</v>
      </c>
      <c r="M523">
        <v>7</v>
      </c>
      <c r="N523">
        <v>2020</v>
      </c>
      <c r="O523" t="s">
        <v>110</v>
      </c>
      <c r="P523">
        <v>170</v>
      </c>
      <c r="Q523" s="17">
        <v>44030.461306134261</v>
      </c>
      <c r="R523" t="s">
        <v>112</v>
      </c>
    </row>
    <row r="524" spans="1:18" x14ac:dyDescent="0.3">
      <c r="A524">
        <v>244607</v>
      </c>
      <c r="B524" t="s">
        <v>72</v>
      </c>
      <c r="C524">
        <v>1329408</v>
      </c>
      <c r="D524" t="s">
        <v>108</v>
      </c>
      <c r="E524" t="s">
        <v>58</v>
      </c>
      <c r="F524" t="s">
        <v>58</v>
      </c>
      <c r="G524" t="s">
        <v>114</v>
      </c>
      <c r="H524" t="s">
        <v>229</v>
      </c>
      <c r="I524" t="s">
        <v>84</v>
      </c>
      <c r="J524" t="s">
        <v>85</v>
      </c>
      <c r="K524" t="s">
        <v>87</v>
      </c>
      <c r="L524" s="25">
        <v>44030</v>
      </c>
      <c r="M524">
        <v>7</v>
      </c>
      <c r="N524">
        <v>2020</v>
      </c>
      <c r="O524" t="s">
        <v>110</v>
      </c>
      <c r="P524">
        <v>170</v>
      </c>
      <c r="Q524" s="17">
        <v>44030.462131250002</v>
      </c>
      <c r="R524" t="s">
        <v>111</v>
      </c>
    </row>
    <row r="525" spans="1:18" x14ac:dyDescent="0.3">
      <c r="A525">
        <v>9686964</v>
      </c>
      <c r="B525" t="s">
        <v>78</v>
      </c>
      <c r="C525">
        <v>1329876</v>
      </c>
      <c r="D525" t="s">
        <v>78</v>
      </c>
      <c r="E525" t="s">
        <v>57</v>
      </c>
      <c r="F525" t="s">
        <v>57</v>
      </c>
      <c r="G525" t="s">
        <v>109</v>
      </c>
      <c r="H525" t="s">
        <v>268</v>
      </c>
      <c r="I525" t="s">
        <v>78</v>
      </c>
      <c r="J525" t="s">
        <v>42</v>
      </c>
      <c r="K525" t="s">
        <v>87</v>
      </c>
      <c r="L525" s="25">
        <v>44030</v>
      </c>
      <c r="M525">
        <v>7</v>
      </c>
      <c r="N525">
        <v>2020</v>
      </c>
      <c r="O525" t="s">
        <v>110</v>
      </c>
      <c r="P525">
        <v>170</v>
      </c>
      <c r="Q525" s="17">
        <v>44030.466309143521</v>
      </c>
      <c r="R525" t="s">
        <v>111</v>
      </c>
    </row>
    <row r="526" spans="1:18" x14ac:dyDescent="0.3">
      <c r="A526">
        <v>244996</v>
      </c>
      <c r="B526" t="s">
        <v>72</v>
      </c>
      <c r="C526">
        <v>1329978</v>
      </c>
      <c r="D526" t="s">
        <v>108</v>
      </c>
      <c r="E526" t="s">
        <v>58</v>
      </c>
      <c r="F526" t="s">
        <v>58</v>
      </c>
      <c r="G526" t="s">
        <v>114</v>
      </c>
      <c r="H526" t="s">
        <v>229</v>
      </c>
      <c r="I526" t="s">
        <v>84</v>
      </c>
      <c r="J526" t="s">
        <v>85</v>
      </c>
      <c r="K526" t="s">
        <v>87</v>
      </c>
      <c r="L526" s="25">
        <v>44030</v>
      </c>
      <c r="M526">
        <v>7</v>
      </c>
      <c r="N526">
        <v>2020</v>
      </c>
      <c r="O526" t="s">
        <v>110</v>
      </c>
      <c r="P526">
        <v>170</v>
      </c>
      <c r="Q526" s="17">
        <v>44030.470080439816</v>
      </c>
      <c r="R526" t="s">
        <v>115</v>
      </c>
    </row>
    <row r="527" spans="1:18" x14ac:dyDescent="0.3">
      <c r="A527">
        <v>9686651</v>
      </c>
      <c r="B527" t="s">
        <v>78</v>
      </c>
      <c r="C527">
        <v>1329974</v>
      </c>
      <c r="D527" t="s">
        <v>78</v>
      </c>
      <c r="E527" t="s">
        <v>58</v>
      </c>
      <c r="F527" t="s">
        <v>58</v>
      </c>
      <c r="G527" t="s">
        <v>114</v>
      </c>
      <c r="H527" t="s">
        <v>105</v>
      </c>
      <c r="I527" t="s">
        <v>78</v>
      </c>
      <c r="J527" t="s">
        <v>42</v>
      </c>
      <c r="K527" t="s">
        <v>87</v>
      </c>
      <c r="L527" s="25">
        <v>44030</v>
      </c>
      <c r="M527">
        <v>7</v>
      </c>
      <c r="N527">
        <v>2020</v>
      </c>
      <c r="O527" t="s">
        <v>110</v>
      </c>
      <c r="P527">
        <v>170</v>
      </c>
      <c r="Q527" s="17">
        <v>44030.471340277778</v>
      </c>
      <c r="R527" t="s">
        <v>111</v>
      </c>
    </row>
    <row r="528" spans="1:18" x14ac:dyDescent="0.3">
      <c r="A528">
        <v>244694</v>
      </c>
      <c r="B528" t="s">
        <v>80</v>
      </c>
      <c r="C528">
        <v>1330093</v>
      </c>
      <c r="D528" t="s">
        <v>113</v>
      </c>
      <c r="E528" t="s">
        <v>58</v>
      </c>
      <c r="F528" t="s">
        <v>58</v>
      </c>
      <c r="G528" t="s">
        <v>114</v>
      </c>
      <c r="H528" t="s">
        <v>257</v>
      </c>
      <c r="I528" t="s">
        <v>82</v>
      </c>
      <c r="J528" t="s">
        <v>42</v>
      </c>
      <c r="K528" t="s">
        <v>87</v>
      </c>
      <c r="L528" s="25">
        <v>44030</v>
      </c>
      <c r="M528">
        <v>7</v>
      </c>
      <c r="N528">
        <v>2020</v>
      </c>
      <c r="O528" t="s">
        <v>110</v>
      </c>
      <c r="P528">
        <v>170</v>
      </c>
      <c r="Q528" s="17">
        <v>44030.475790972225</v>
      </c>
      <c r="R528" t="s">
        <v>111</v>
      </c>
    </row>
    <row r="529" spans="1:18" x14ac:dyDescent="0.3">
      <c r="A529">
        <v>244863</v>
      </c>
      <c r="B529" t="s">
        <v>78</v>
      </c>
      <c r="C529">
        <v>1330127</v>
      </c>
      <c r="D529" t="s">
        <v>78</v>
      </c>
      <c r="E529" t="s">
        <v>58</v>
      </c>
      <c r="F529" t="s">
        <v>58</v>
      </c>
      <c r="G529" t="s">
        <v>114</v>
      </c>
      <c r="H529" t="s">
        <v>273</v>
      </c>
      <c r="I529" t="s">
        <v>78</v>
      </c>
      <c r="J529" t="s">
        <v>42</v>
      </c>
      <c r="K529" t="s">
        <v>87</v>
      </c>
      <c r="L529" s="25">
        <v>44030</v>
      </c>
      <c r="M529">
        <v>7</v>
      </c>
      <c r="N529">
        <v>2020</v>
      </c>
      <c r="O529" t="s">
        <v>110</v>
      </c>
      <c r="P529">
        <v>170</v>
      </c>
      <c r="Q529" s="17">
        <v>44030.478324305557</v>
      </c>
      <c r="R529" t="s">
        <v>111</v>
      </c>
    </row>
    <row r="530" spans="1:18" x14ac:dyDescent="0.3">
      <c r="A530">
        <v>9687337</v>
      </c>
      <c r="B530" t="s">
        <v>72</v>
      </c>
      <c r="C530">
        <v>1330195</v>
      </c>
      <c r="D530" t="s">
        <v>108</v>
      </c>
      <c r="E530" t="s">
        <v>58</v>
      </c>
      <c r="F530" t="s">
        <v>58</v>
      </c>
      <c r="G530" t="s">
        <v>114</v>
      </c>
      <c r="H530" t="s">
        <v>229</v>
      </c>
      <c r="I530" t="s">
        <v>84</v>
      </c>
      <c r="J530" t="s">
        <v>85</v>
      </c>
      <c r="K530" t="s">
        <v>87</v>
      </c>
      <c r="L530" s="25">
        <v>44030</v>
      </c>
      <c r="M530">
        <v>7</v>
      </c>
      <c r="N530">
        <v>2020</v>
      </c>
      <c r="O530" t="s">
        <v>110</v>
      </c>
      <c r="P530">
        <v>170</v>
      </c>
      <c r="Q530" s="17">
        <v>44030.480196875003</v>
      </c>
      <c r="R530" t="s">
        <v>112</v>
      </c>
    </row>
    <row r="531" spans="1:18" x14ac:dyDescent="0.3">
      <c r="A531">
        <v>9688573</v>
      </c>
      <c r="B531" t="s">
        <v>78</v>
      </c>
      <c r="C531">
        <v>1331378</v>
      </c>
      <c r="D531" t="s">
        <v>78</v>
      </c>
      <c r="E531" t="s">
        <v>57</v>
      </c>
      <c r="F531" t="s">
        <v>57</v>
      </c>
      <c r="G531" t="s">
        <v>109</v>
      </c>
      <c r="H531" t="s">
        <v>272</v>
      </c>
      <c r="I531" t="s">
        <v>78</v>
      </c>
      <c r="J531" t="s">
        <v>42</v>
      </c>
      <c r="K531" t="s">
        <v>87</v>
      </c>
      <c r="L531" s="25">
        <v>44030</v>
      </c>
      <c r="M531">
        <v>7</v>
      </c>
      <c r="N531">
        <v>2020</v>
      </c>
      <c r="O531" t="s">
        <v>110</v>
      </c>
      <c r="P531">
        <v>170</v>
      </c>
      <c r="Q531" s="17">
        <v>44030.494468750003</v>
      </c>
      <c r="R531" t="s">
        <v>111</v>
      </c>
    </row>
    <row r="532" spans="1:18" x14ac:dyDescent="0.3">
      <c r="A532">
        <v>9686289</v>
      </c>
      <c r="B532" t="s">
        <v>78</v>
      </c>
      <c r="C532">
        <v>1329944</v>
      </c>
      <c r="D532" t="s">
        <v>78</v>
      </c>
      <c r="E532" t="s">
        <v>12</v>
      </c>
      <c r="F532" t="s">
        <v>12</v>
      </c>
      <c r="G532" t="s">
        <v>135</v>
      </c>
      <c r="H532" t="s">
        <v>251</v>
      </c>
      <c r="I532" t="s">
        <v>78</v>
      </c>
      <c r="J532" t="s">
        <v>42</v>
      </c>
      <c r="K532" t="s">
        <v>83</v>
      </c>
      <c r="L532" s="25">
        <v>44030</v>
      </c>
      <c r="M532">
        <v>7</v>
      </c>
      <c r="N532">
        <v>2020</v>
      </c>
      <c r="O532" t="s">
        <v>110</v>
      </c>
      <c r="P532">
        <v>170</v>
      </c>
      <c r="Q532" s="17">
        <v>44030.463245949075</v>
      </c>
      <c r="R532" t="s">
        <v>126</v>
      </c>
    </row>
    <row r="533" spans="1:18" x14ac:dyDescent="0.3">
      <c r="A533">
        <v>9685542</v>
      </c>
      <c r="B533" t="s">
        <v>79</v>
      </c>
      <c r="C533">
        <v>1328582</v>
      </c>
      <c r="D533" t="s">
        <v>116</v>
      </c>
      <c r="E533" t="s">
        <v>58</v>
      </c>
      <c r="F533" t="s">
        <v>58</v>
      </c>
      <c r="G533" t="s">
        <v>114</v>
      </c>
      <c r="H533" t="s">
        <v>233</v>
      </c>
      <c r="I533" t="s">
        <v>82</v>
      </c>
      <c r="J533" t="s">
        <v>42</v>
      </c>
      <c r="K533" t="s">
        <v>87</v>
      </c>
      <c r="L533" s="25">
        <v>44030</v>
      </c>
      <c r="M533">
        <v>7</v>
      </c>
      <c r="N533">
        <v>2020</v>
      </c>
      <c r="O533" t="s">
        <v>110</v>
      </c>
      <c r="P533">
        <v>170</v>
      </c>
      <c r="Q533" s="17">
        <v>44030.448943750001</v>
      </c>
      <c r="R533" t="s">
        <v>115</v>
      </c>
    </row>
    <row r="534" spans="1:18" x14ac:dyDescent="0.3">
      <c r="A534">
        <v>9684742</v>
      </c>
      <c r="B534" t="s">
        <v>72</v>
      </c>
      <c r="C534">
        <v>1329013</v>
      </c>
      <c r="D534" t="s">
        <v>108</v>
      </c>
      <c r="E534" t="s">
        <v>57</v>
      </c>
      <c r="F534" t="s">
        <v>57</v>
      </c>
      <c r="G534" t="s">
        <v>109</v>
      </c>
      <c r="H534" t="s">
        <v>229</v>
      </c>
      <c r="I534" t="s">
        <v>84</v>
      </c>
      <c r="J534" t="s">
        <v>85</v>
      </c>
      <c r="K534" t="s">
        <v>87</v>
      </c>
      <c r="L534" s="25">
        <v>44030</v>
      </c>
      <c r="M534">
        <v>7</v>
      </c>
      <c r="N534">
        <v>2020</v>
      </c>
      <c r="O534" t="s">
        <v>110</v>
      </c>
      <c r="P534">
        <v>170</v>
      </c>
      <c r="Q534" s="17">
        <v>44030.453540509261</v>
      </c>
      <c r="R534" t="s">
        <v>111</v>
      </c>
    </row>
    <row r="535" spans="1:18" x14ac:dyDescent="0.3">
      <c r="A535">
        <v>9686435</v>
      </c>
      <c r="B535" t="s">
        <v>79</v>
      </c>
      <c r="C535">
        <v>1329199</v>
      </c>
      <c r="D535" t="s">
        <v>116</v>
      </c>
      <c r="E535" t="s">
        <v>58</v>
      </c>
      <c r="F535" t="s">
        <v>58</v>
      </c>
      <c r="G535" t="s">
        <v>114</v>
      </c>
      <c r="H535" t="s">
        <v>233</v>
      </c>
      <c r="I535" t="s">
        <v>82</v>
      </c>
      <c r="J535" t="s">
        <v>42</v>
      </c>
      <c r="K535" t="s">
        <v>87</v>
      </c>
      <c r="L535" s="25">
        <v>44030</v>
      </c>
      <c r="M535">
        <v>7</v>
      </c>
      <c r="N535">
        <v>2020</v>
      </c>
      <c r="O535" t="s">
        <v>110</v>
      </c>
      <c r="P535">
        <v>170</v>
      </c>
      <c r="Q535" s="17">
        <v>44030.459066898147</v>
      </c>
      <c r="R535" t="s">
        <v>111</v>
      </c>
    </row>
    <row r="536" spans="1:18" x14ac:dyDescent="0.3">
      <c r="A536">
        <v>9686435</v>
      </c>
      <c r="B536" t="s">
        <v>79</v>
      </c>
      <c r="C536">
        <v>1329200</v>
      </c>
      <c r="D536" t="s">
        <v>116</v>
      </c>
      <c r="E536" t="s">
        <v>58</v>
      </c>
      <c r="F536" t="s">
        <v>58</v>
      </c>
      <c r="G536" t="s">
        <v>114</v>
      </c>
      <c r="H536" t="s">
        <v>233</v>
      </c>
      <c r="I536" t="s">
        <v>82</v>
      </c>
      <c r="J536" t="s">
        <v>42</v>
      </c>
      <c r="K536" t="s">
        <v>87</v>
      </c>
      <c r="L536" s="25">
        <v>44030</v>
      </c>
      <c r="M536">
        <v>7</v>
      </c>
      <c r="N536">
        <v>2020</v>
      </c>
      <c r="O536" t="s">
        <v>110</v>
      </c>
      <c r="P536">
        <v>170</v>
      </c>
      <c r="Q536" s="17">
        <v>44030.458450231483</v>
      </c>
      <c r="R536" t="s">
        <v>111</v>
      </c>
    </row>
    <row r="537" spans="1:18" x14ac:dyDescent="0.3">
      <c r="A537">
        <v>244615</v>
      </c>
      <c r="B537" t="s">
        <v>72</v>
      </c>
      <c r="C537">
        <v>1329349</v>
      </c>
      <c r="D537" t="s">
        <v>108</v>
      </c>
      <c r="E537" t="s">
        <v>58</v>
      </c>
      <c r="F537" t="s">
        <v>58</v>
      </c>
      <c r="G537" t="s">
        <v>114</v>
      </c>
      <c r="H537" t="s">
        <v>229</v>
      </c>
      <c r="I537" t="s">
        <v>84</v>
      </c>
      <c r="J537" t="s">
        <v>85</v>
      </c>
      <c r="K537" t="s">
        <v>87</v>
      </c>
      <c r="L537" s="25">
        <v>44030</v>
      </c>
      <c r="M537">
        <v>7</v>
      </c>
      <c r="N537">
        <v>2020</v>
      </c>
      <c r="O537" t="s">
        <v>110</v>
      </c>
      <c r="P537">
        <v>170</v>
      </c>
      <c r="Q537" s="17">
        <v>44030.460909953705</v>
      </c>
      <c r="R537" t="s">
        <v>111</v>
      </c>
    </row>
    <row r="538" spans="1:18" x14ac:dyDescent="0.3">
      <c r="A538">
        <v>9686376</v>
      </c>
      <c r="B538" t="s">
        <v>80</v>
      </c>
      <c r="C538">
        <v>1329986</v>
      </c>
      <c r="D538" t="s">
        <v>113</v>
      </c>
      <c r="E538" t="s">
        <v>57</v>
      </c>
      <c r="F538" t="s">
        <v>57</v>
      </c>
      <c r="G538" t="s">
        <v>109</v>
      </c>
      <c r="H538" t="s">
        <v>232</v>
      </c>
      <c r="I538" t="s">
        <v>84</v>
      </c>
      <c r="J538" t="s">
        <v>85</v>
      </c>
      <c r="K538" t="s">
        <v>87</v>
      </c>
      <c r="L538" s="25">
        <v>44030</v>
      </c>
      <c r="M538">
        <v>7</v>
      </c>
      <c r="N538">
        <v>2020</v>
      </c>
      <c r="O538" t="s">
        <v>110</v>
      </c>
      <c r="P538">
        <v>170</v>
      </c>
      <c r="Q538" s="17">
        <v>44030.47526712963</v>
      </c>
      <c r="R538" t="s">
        <v>111</v>
      </c>
    </row>
    <row r="539" spans="1:18" x14ac:dyDescent="0.3">
      <c r="A539">
        <v>9686594</v>
      </c>
      <c r="B539" t="s">
        <v>78</v>
      </c>
      <c r="C539">
        <v>1330000</v>
      </c>
      <c r="D539" t="s">
        <v>78</v>
      </c>
      <c r="E539" t="s">
        <v>57</v>
      </c>
      <c r="F539" t="s">
        <v>57</v>
      </c>
      <c r="G539" t="s">
        <v>109</v>
      </c>
      <c r="H539" t="s">
        <v>105</v>
      </c>
      <c r="I539" t="s">
        <v>78</v>
      </c>
      <c r="J539" t="s">
        <v>42</v>
      </c>
      <c r="K539" t="s">
        <v>87</v>
      </c>
      <c r="L539" s="25">
        <v>44030</v>
      </c>
      <c r="M539">
        <v>7</v>
      </c>
      <c r="N539">
        <v>2020</v>
      </c>
      <c r="O539" t="s">
        <v>110</v>
      </c>
      <c r="P539">
        <v>170</v>
      </c>
      <c r="Q539" s="17">
        <v>44030.474295023145</v>
      </c>
      <c r="R539" t="s">
        <v>112</v>
      </c>
    </row>
    <row r="540" spans="1:18" x14ac:dyDescent="0.3">
      <c r="A540">
        <v>9686636</v>
      </c>
      <c r="B540" t="s">
        <v>72</v>
      </c>
      <c r="C540">
        <v>1330068</v>
      </c>
      <c r="D540" t="s">
        <v>108</v>
      </c>
      <c r="E540" t="s">
        <v>58</v>
      </c>
      <c r="F540" t="s">
        <v>58</v>
      </c>
      <c r="G540" t="s">
        <v>114</v>
      </c>
      <c r="H540" t="s">
        <v>274</v>
      </c>
      <c r="I540" t="s">
        <v>84</v>
      </c>
      <c r="J540" t="s">
        <v>85</v>
      </c>
      <c r="K540" t="s">
        <v>87</v>
      </c>
      <c r="L540" s="25">
        <v>44030</v>
      </c>
      <c r="M540">
        <v>7</v>
      </c>
      <c r="N540">
        <v>2020</v>
      </c>
      <c r="O540" t="s">
        <v>110</v>
      </c>
      <c r="P540">
        <v>170</v>
      </c>
      <c r="Q540" s="17">
        <v>44030.475898495373</v>
      </c>
      <c r="R540" t="s">
        <v>111</v>
      </c>
    </row>
    <row r="541" spans="1:18" x14ac:dyDescent="0.3">
      <c r="A541">
        <v>244990</v>
      </c>
      <c r="B541" t="s">
        <v>72</v>
      </c>
      <c r="C541">
        <v>1330136</v>
      </c>
      <c r="D541" t="s">
        <v>108</v>
      </c>
      <c r="E541" t="s">
        <v>58</v>
      </c>
      <c r="F541" t="s">
        <v>58</v>
      </c>
      <c r="G541" t="s">
        <v>114</v>
      </c>
      <c r="H541" t="s">
        <v>229</v>
      </c>
      <c r="I541" t="s">
        <v>84</v>
      </c>
      <c r="J541" t="s">
        <v>85</v>
      </c>
      <c r="K541" t="s">
        <v>87</v>
      </c>
      <c r="L541" s="25">
        <v>44030</v>
      </c>
      <c r="M541">
        <v>7</v>
      </c>
      <c r="N541">
        <v>2020</v>
      </c>
      <c r="O541" t="s">
        <v>110</v>
      </c>
      <c r="P541">
        <v>170</v>
      </c>
      <c r="Q541" s="17">
        <v>44030.478585416669</v>
      </c>
      <c r="R541" t="s">
        <v>112</v>
      </c>
    </row>
    <row r="542" spans="1:18" x14ac:dyDescent="0.3">
      <c r="A542">
        <v>21526020</v>
      </c>
      <c r="B542" t="s">
        <v>72</v>
      </c>
      <c r="C542">
        <v>1330671</v>
      </c>
      <c r="D542" t="s">
        <v>108</v>
      </c>
      <c r="E542" t="s">
        <v>58</v>
      </c>
      <c r="F542" t="s">
        <v>58</v>
      </c>
      <c r="G542" t="s">
        <v>114</v>
      </c>
      <c r="H542" t="s">
        <v>229</v>
      </c>
      <c r="I542" t="s">
        <v>84</v>
      </c>
      <c r="J542" t="s">
        <v>85</v>
      </c>
      <c r="K542" t="s">
        <v>87</v>
      </c>
      <c r="L542" s="25">
        <v>44030</v>
      </c>
      <c r="M542">
        <v>7</v>
      </c>
      <c r="N542">
        <v>2020</v>
      </c>
      <c r="O542" t="s">
        <v>110</v>
      </c>
      <c r="P542">
        <v>170</v>
      </c>
      <c r="Q542" s="17">
        <v>44030.488257407407</v>
      </c>
      <c r="R542" t="s">
        <v>111</v>
      </c>
    </row>
    <row r="543" spans="1:18" x14ac:dyDescent="0.3">
      <c r="A543">
        <v>9688717</v>
      </c>
      <c r="B543" t="s">
        <v>79</v>
      </c>
      <c r="C543">
        <v>1331403</v>
      </c>
      <c r="D543" t="s">
        <v>116</v>
      </c>
      <c r="E543" t="s">
        <v>58</v>
      </c>
      <c r="F543" t="s">
        <v>58</v>
      </c>
      <c r="G543" t="s">
        <v>114</v>
      </c>
      <c r="H543" t="s">
        <v>233</v>
      </c>
      <c r="I543" t="s">
        <v>82</v>
      </c>
      <c r="J543" t="s">
        <v>42</v>
      </c>
      <c r="K543" t="s">
        <v>87</v>
      </c>
      <c r="L543" s="25">
        <v>44030</v>
      </c>
      <c r="M543">
        <v>7</v>
      </c>
      <c r="N543">
        <v>2020</v>
      </c>
      <c r="O543" t="s">
        <v>110</v>
      </c>
      <c r="P543">
        <v>170</v>
      </c>
      <c r="Q543" s="17">
        <v>44030.496592476855</v>
      </c>
      <c r="R543" t="s">
        <v>111</v>
      </c>
    </row>
    <row r="544" spans="1:18" x14ac:dyDescent="0.3">
      <c r="A544">
        <v>9685698</v>
      </c>
      <c r="B544" t="s">
        <v>78</v>
      </c>
      <c r="C544">
        <v>1329017</v>
      </c>
      <c r="D544" t="s">
        <v>78</v>
      </c>
      <c r="E544">
        <v>820</v>
      </c>
      <c r="F544">
        <v>820</v>
      </c>
      <c r="G544" t="s">
        <v>136</v>
      </c>
      <c r="H544" t="s">
        <v>250</v>
      </c>
      <c r="I544" t="s">
        <v>78</v>
      </c>
      <c r="J544" t="s">
        <v>42</v>
      </c>
      <c r="K544" t="s">
        <v>83</v>
      </c>
      <c r="L544" s="25">
        <v>44030</v>
      </c>
      <c r="M544">
        <v>7</v>
      </c>
      <c r="N544">
        <v>2020</v>
      </c>
      <c r="O544" t="s">
        <v>110</v>
      </c>
      <c r="P544">
        <v>170</v>
      </c>
      <c r="Q544" s="17">
        <v>44030.446134259262</v>
      </c>
      <c r="R544" t="s">
        <v>126</v>
      </c>
    </row>
    <row r="545" spans="1:18" x14ac:dyDescent="0.3">
      <c r="A545">
        <v>21532075</v>
      </c>
      <c r="B545" t="s">
        <v>72</v>
      </c>
      <c r="C545">
        <v>1333262</v>
      </c>
      <c r="D545" t="s">
        <v>108</v>
      </c>
      <c r="E545">
        <v>845</v>
      </c>
      <c r="F545">
        <v>845</v>
      </c>
      <c r="G545" t="s">
        <v>130</v>
      </c>
      <c r="H545" t="s">
        <v>229</v>
      </c>
      <c r="I545" t="s">
        <v>84</v>
      </c>
      <c r="J545" t="s">
        <v>85</v>
      </c>
      <c r="K545" t="s">
        <v>87</v>
      </c>
      <c r="L545" s="25">
        <v>44030</v>
      </c>
      <c r="M545">
        <v>7</v>
      </c>
      <c r="N545">
        <v>2020</v>
      </c>
      <c r="O545" t="s">
        <v>110</v>
      </c>
      <c r="P545">
        <v>170</v>
      </c>
      <c r="Q545" s="17">
        <v>44031.074310185184</v>
      </c>
      <c r="R545" t="s">
        <v>126</v>
      </c>
    </row>
    <row r="546" spans="1:18" x14ac:dyDescent="0.3">
      <c r="A546">
        <v>9685770</v>
      </c>
      <c r="B546" t="s">
        <v>78</v>
      </c>
      <c r="C546">
        <v>1328731</v>
      </c>
      <c r="D546" t="s">
        <v>78</v>
      </c>
      <c r="E546">
        <v>820</v>
      </c>
      <c r="F546">
        <v>820</v>
      </c>
      <c r="G546" t="s">
        <v>136</v>
      </c>
      <c r="H546" t="s">
        <v>249</v>
      </c>
      <c r="I546" t="s">
        <v>78</v>
      </c>
      <c r="J546" t="s">
        <v>42</v>
      </c>
      <c r="K546" t="s">
        <v>83</v>
      </c>
      <c r="L546" s="25">
        <v>44030</v>
      </c>
      <c r="M546">
        <v>7</v>
      </c>
      <c r="N546">
        <v>2020</v>
      </c>
      <c r="O546" t="s">
        <v>110</v>
      </c>
      <c r="P546">
        <v>170</v>
      </c>
      <c r="Q546" s="17">
        <v>44030.432278819448</v>
      </c>
      <c r="R546" t="s">
        <v>126</v>
      </c>
    </row>
    <row r="547" spans="1:18" x14ac:dyDescent="0.3">
      <c r="A547">
        <v>9686536</v>
      </c>
      <c r="B547" t="s">
        <v>78</v>
      </c>
      <c r="C547">
        <v>1330153</v>
      </c>
      <c r="D547" t="s">
        <v>78</v>
      </c>
      <c r="E547" t="s">
        <v>146</v>
      </c>
      <c r="F547" t="s">
        <v>17</v>
      </c>
      <c r="G547" t="s">
        <v>153</v>
      </c>
      <c r="H547" t="s">
        <v>134</v>
      </c>
      <c r="I547" t="s">
        <v>78</v>
      </c>
      <c r="J547" t="s">
        <v>42</v>
      </c>
      <c r="K547" t="s">
        <v>87</v>
      </c>
      <c r="L547" s="25">
        <v>44030</v>
      </c>
      <c r="M547">
        <v>7</v>
      </c>
      <c r="N547">
        <v>2020</v>
      </c>
      <c r="O547" t="s">
        <v>110</v>
      </c>
      <c r="P547">
        <v>170</v>
      </c>
      <c r="Q547" s="17">
        <v>44030.489441319442</v>
      </c>
      <c r="R547" t="s">
        <v>126</v>
      </c>
    </row>
    <row r="548" spans="1:18" x14ac:dyDescent="0.3">
      <c r="A548">
        <v>9685648</v>
      </c>
      <c r="B548" t="s">
        <v>78</v>
      </c>
      <c r="C548">
        <v>1329518</v>
      </c>
      <c r="D548" t="s">
        <v>78</v>
      </c>
      <c r="E548">
        <v>820</v>
      </c>
      <c r="F548">
        <v>820</v>
      </c>
      <c r="G548" t="s">
        <v>136</v>
      </c>
      <c r="H548" t="s">
        <v>249</v>
      </c>
      <c r="I548" t="s">
        <v>78</v>
      </c>
      <c r="J548" t="s">
        <v>42</v>
      </c>
      <c r="K548" t="s">
        <v>83</v>
      </c>
      <c r="L548" s="25">
        <v>44030</v>
      </c>
      <c r="M548">
        <v>7</v>
      </c>
      <c r="N548">
        <v>2020</v>
      </c>
      <c r="O548" t="s">
        <v>110</v>
      </c>
      <c r="P548">
        <v>170</v>
      </c>
      <c r="Q548" s="17">
        <v>44030.474715393517</v>
      </c>
      <c r="R548" t="s">
        <v>126</v>
      </c>
    </row>
    <row r="549" spans="1:18" x14ac:dyDescent="0.3">
      <c r="A549">
        <v>9683868</v>
      </c>
      <c r="B549" t="s">
        <v>79</v>
      </c>
      <c r="C549">
        <v>1329000</v>
      </c>
      <c r="D549" t="s">
        <v>116</v>
      </c>
      <c r="E549" t="s">
        <v>12</v>
      </c>
      <c r="F549" t="s">
        <v>12</v>
      </c>
      <c r="G549" t="s">
        <v>135</v>
      </c>
      <c r="H549" t="s">
        <v>275</v>
      </c>
      <c r="I549" t="s">
        <v>82</v>
      </c>
      <c r="J549" t="s">
        <v>42</v>
      </c>
      <c r="K549" t="s">
        <v>83</v>
      </c>
      <c r="L549" s="25">
        <v>44030</v>
      </c>
      <c r="M549">
        <v>7</v>
      </c>
      <c r="N549">
        <v>2020</v>
      </c>
      <c r="O549" t="s">
        <v>110</v>
      </c>
      <c r="P549">
        <v>170</v>
      </c>
      <c r="Q549" s="17">
        <v>44030.434569097219</v>
      </c>
      <c r="R549" t="s">
        <v>126</v>
      </c>
    </row>
    <row r="550" spans="1:18" x14ac:dyDescent="0.3">
      <c r="A550">
        <v>9682908</v>
      </c>
      <c r="B550" t="s">
        <v>78</v>
      </c>
      <c r="C550">
        <v>1326106</v>
      </c>
      <c r="D550" t="s">
        <v>78</v>
      </c>
      <c r="E550">
        <v>966</v>
      </c>
      <c r="F550">
        <v>966</v>
      </c>
      <c r="G550" t="s">
        <v>139</v>
      </c>
      <c r="H550" t="s">
        <v>105</v>
      </c>
      <c r="I550" t="s">
        <v>78</v>
      </c>
      <c r="J550" t="s">
        <v>42</v>
      </c>
      <c r="K550" t="s">
        <v>87</v>
      </c>
      <c r="L550" s="25">
        <v>44030</v>
      </c>
      <c r="M550">
        <v>7</v>
      </c>
      <c r="N550">
        <v>2020</v>
      </c>
      <c r="O550" t="s">
        <v>110</v>
      </c>
      <c r="P550">
        <v>170</v>
      </c>
      <c r="Q550" s="17">
        <v>44030.491562615738</v>
      </c>
      <c r="R550" t="s">
        <v>126</v>
      </c>
    </row>
    <row r="551" spans="1:18" x14ac:dyDescent="0.3">
      <c r="A551">
        <v>9667912</v>
      </c>
      <c r="B551" t="s">
        <v>78</v>
      </c>
      <c r="C551">
        <v>1322465</v>
      </c>
      <c r="D551" t="s">
        <v>78</v>
      </c>
      <c r="E551" t="s">
        <v>26</v>
      </c>
      <c r="F551" t="s">
        <v>26</v>
      </c>
      <c r="G551" t="s">
        <v>137</v>
      </c>
      <c r="H551" t="s">
        <v>260</v>
      </c>
      <c r="I551" t="s">
        <v>78</v>
      </c>
      <c r="J551" t="s">
        <v>42</v>
      </c>
      <c r="K551" t="s">
        <v>83</v>
      </c>
      <c r="L551" s="25">
        <v>44030</v>
      </c>
      <c r="M551">
        <v>7</v>
      </c>
      <c r="N551">
        <v>2020</v>
      </c>
      <c r="O551" t="s">
        <v>110</v>
      </c>
      <c r="P551">
        <v>170</v>
      </c>
      <c r="Q551" s="17">
        <v>44031.034164930556</v>
      </c>
      <c r="R551" t="s">
        <v>126</v>
      </c>
    </row>
    <row r="552" spans="1:18" x14ac:dyDescent="0.3">
      <c r="A552">
        <v>9685840</v>
      </c>
      <c r="B552" t="s">
        <v>72</v>
      </c>
      <c r="C552">
        <v>1329549</v>
      </c>
      <c r="D552" t="s">
        <v>108</v>
      </c>
      <c r="E552">
        <v>820</v>
      </c>
      <c r="F552">
        <v>820</v>
      </c>
      <c r="G552" t="s">
        <v>136</v>
      </c>
      <c r="H552" t="s">
        <v>262</v>
      </c>
      <c r="I552" t="s">
        <v>82</v>
      </c>
      <c r="J552" t="s">
        <v>42</v>
      </c>
      <c r="K552" t="s">
        <v>83</v>
      </c>
      <c r="L552" s="25">
        <v>44030</v>
      </c>
      <c r="M552">
        <v>7</v>
      </c>
      <c r="N552">
        <v>2020</v>
      </c>
      <c r="O552" t="s">
        <v>110</v>
      </c>
      <c r="P552">
        <v>170</v>
      </c>
      <c r="Q552" s="17">
        <v>44030.475553356482</v>
      </c>
      <c r="R552" t="s">
        <v>126</v>
      </c>
    </row>
    <row r="553" spans="1:18" x14ac:dyDescent="0.3">
      <c r="A553">
        <v>9690484</v>
      </c>
      <c r="B553" t="s">
        <v>78</v>
      </c>
      <c r="C553">
        <v>1331673</v>
      </c>
      <c r="D553" t="s">
        <v>78</v>
      </c>
      <c r="E553" t="s">
        <v>12</v>
      </c>
      <c r="F553" t="s">
        <v>12</v>
      </c>
      <c r="G553" t="s">
        <v>135</v>
      </c>
      <c r="H553" t="s">
        <v>105</v>
      </c>
      <c r="I553" t="s">
        <v>78</v>
      </c>
      <c r="J553" t="s">
        <v>42</v>
      </c>
      <c r="K553" t="s">
        <v>83</v>
      </c>
      <c r="L553" s="25">
        <v>44030</v>
      </c>
      <c r="M553">
        <v>7</v>
      </c>
      <c r="N553">
        <v>2020</v>
      </c>
      <c r="O553" t="s">
        <v>110</v>
      </c>
      <c r="P553">
        <v>170</v>
      </c>
      <c r="Q553" s="17">
        <v>44030.493775347219</v>
      </c>
      <c r="R553" t="s">
        <v>126</v>
      </c>
    </row>
    <row r="554" spans="1:18" x14ac:dyDescent="0.3">
      <c r="A554">
        <v>244661</v>
      </c>
      <c r="B554" t="s">
        <v>72</v>
      </c>
      <c r="C554">
        <v>1329466</v>
      </c>
      <c r="D554" t="s">
        <v>108</v>
      </c>
      <c r="E554" t="s">
        <v>12</v>
      </c>
      <c r="F554" t="s">
        <v>12</v>
      </c>
      <c r="G554" t="s">
        <v>135</v>
      </c>
      <c r="H554" t="s">
        <v>98</v>
      </c>
      <c r="I554" t="s">
        <v>82</v>
      </c>
      <c r="J554" t="s">
        <v>42</v>
      </c>
      <c r="K554" t="s">
        <v>83</v>
      </c>
      <c r="L554" s="25">
        <v>44030</v>
      </c>
      <c r="M554">
        <v>7</v>
      </c>
      <c r="N554">
        <v>2020</v>
      </c>
      <c r="O554" t="s">
        <v>110</v>
      </c>
      <c r="P554">
        <v>170</v>
      </c>
      <c r="Q554" s="17">
        <v>44030.449393055555</v>
      </c>
      <c r="R554" t="s">
        <v>126</v>
      </c>
    </row>
    <row r="555" spans="1:18" x14ac:dyDescent="0.3">
      <c r="A555">
        <v>9685874</v>
      </c>
      <c r="B555" t="s">
        <v>78</v>
      </c>
      <c r="C555">
        <v>1328779</v>
      </c>
      <c r="D555" t="s">
        <v>78</v>
      </c>
      <c r="E555">
        <v>820</v>
      </c>
      <c r="F555">
        <v>820</v>
      </c>
      <c r="G555" t="s">
        <v>136</v>
      </c>
      <c r="H555" t="s">
        <v>250</v>
      </c>
      <c r="I555" t="s">
        <v>78</v>
      </c>
      <c r="J555" t="s">
        <v>42</v>
      </c>
      <c r="K555" t="s">
        <v>83</v>
      </c>
      <c r="L555" s="25">
        <v>44030</v>
      </c>
      <c r="M555">
        <v>7</v>
      </c>
      <c r="N555">
        <v>2020</v>
      </c>
      <c r="O555" t="s">
        <v>110</v>
      </c>
      <c r="P555">
        <v>170</v>
      </c>
      <c r="Q555" s="17">
        <v>44030.434300347224</v>
      </c>
      <c r="R555" t="s">
        <v>126</v>
      </c>
    </row>
    <row r="556" spans="1:18" x14ac:dyDescent="0.3">
      <c r="A556">
        <v>9671809</v>
      </c>
      <c r="B556" t="s">
        <v>72</v>
      </c>
      <c r="C556">
        <v>1327543</v>
      </c>
      <c r="D556" t="s">
        <v>108</v>
      </c>
      <c r="E556">
        <v>820</v>
      </c>
      <c r="F556">
        <v>820</v>
      </c>
      <c r="G556" t="s">
        <v>136</v>
      </c>
      <c r="H556" t="s">
        <v>229</v>
      </c>
      <c r="I556" t="s">
        <v>84</v>
      </c>
      <c r="J556" t="s">
        <v>85</v>
      </c>
      <c r="K556" t="s">
        <v>83</v>
      </c>
      <c r="L556" s="25">
        <v>44030</v>
      </c>
      <c r="M556">
        <v>7</v>
      </c>
      <c r="N556">
        <v>2020</v>
      </c>
      <c r="O556" t="s">
        <v>110</v>
      </c>
      <c r="P556">
        <v>170</v>
      </c>
      <c r="Q556" s="17">
        <v>44030.292866087962</v>
      </c>
      <c r="R556" t="s">
        <v>126</v>
      </c>
    </row>
    <row r="557" spans="1:18" x14ac:dyDescent="0.3">
      <c r="A557">
        <v>9680251</v>
      </c>
      <c r="B557" t="s">
        <v>72</v>
      </c>
      <c r="C557">
        <v>1321878</v>
      </c>
      <c r="D557" t="s">
        <v>108</v>
      </c>
      <c r="E557">
        <v>966</v>
      </c>
      <c r="F557">
        <v>966</v>
      </c>
      <c r="G557" t="s">
        <v>139</v>
      </c>
      <c r="H557" t="s">
        <v>229</v>
      </c>
      <c r="I557" t="s">
        <v>84</v>
      </c>
      <c r="J557" t="s">
        <v>85</v>
      </c>
      <c r="K557" t="s">
        <v>87</v>
      </c>
      <c r="L557" s="25">
        <v>44030</v>
      </c>
      <c r="M557">
        <v>7</v>
      </c>
      <c r="N557">
        <v>2020</v>
      </c>
      <c r="O557" t="s">
        <v>110</v>
      </c>
      <c r="P557">
        <v>170</v>
      </c>
      <c r="Q557" s="17">
        <v>44030.443993865738</v>
      </c>
      <c r="R557" t="s">
        <v>126</v>
      </c>
    </row>
    <row r="558" spans="1:18" x14ac:dyDescent="0.3">
      <c r="A558">
        <v>9685663</v>
      </c>
      <c r="B558" t="s">
        <v>78</v>
      </c>
      <c r="C558">
        <v>1328679</v>
      </c>
      <c r="D558" t="s">
        <v>78</v>
      </c>
      <c r="E558">
        <v>820</v>
      </c>
      <c r="F558">
        <v>820</v>
      </c>
      <c r="G558" t="s">
        <v>136</v>
      </c>
      <c r="H558" t="s">
        <v>250</v>
      </c>
      <c r="I558" t="s">
        <v>78</v>
      </c>
      <c r="J558" t="s">
        <v>42</v>
      </c>
      <c r="K558" t="s">
        <v>83</v>
      </c>
      <c r="L558" s="25">
        <v>44030</v>
      </c>
      <c r="M558">
        <v>7</v>
      </c>
      <c r="N558">
        <v>2020</v>
      </c>
      <c r="O558" t="s">
        <v>110</v>
      </c>
      <c r="P558">
        <v>170</v>
      </c>
      <c r="Q558" s="17">
        <v>44030.426784606483</v>
      </c>
      <c r="R558" t="s">
        <v>126</v>
      </c>
    </row>
    <row r="559" spans="1:18" x14ac:dyDescent="0.3">
      <c r="A559">
        <v>9679506</v>
      </c>
      <c r="B559" t="s">
        <v>72</v>
      </c>
      <c r="C559">
        <v>1322064</v>
      </c>
      <c r="D559" t="s">
        <v>108</v>
      </c>
      <c r="E559" t="s">
        <v>26</v>
      </c>
      <c r="F559" t="s">
        <v>26</v>
      </c>
      <c r="G559" t="s">
        <v>137</v>
      </c>
      <c r="H559" t="s">
        <v>276</v>
      </c>
      <c r="I559" t="s">
        <v>84</v>
      </c>
      <c r="J559" t="s">
        <v>85</v>
      </c>
      <c r="K559" t="s">
        <v>83</v>
      </c>
      <c r="L559" s="25">
        <v>44030</v>
      </c>
      <c r="M559">
        <v>7</v>
      </c>
      <c r="N559">
        <v>2020</v>
      </c>
      <c r="O559" t="s">
        <v>110</v>
      </c>
      <c r="P559">
        <v>170</v>
      </c>
      <c r="Q559" s="17">
        <v>44030.479448032405</v>
      </c>
      <c r="R559" t="s">
        <v>126</v>
      </c>
    </row>
    <row r="560" spans="1:18" x14ac:dyDescent="0.3">
      <c r="A560">
        <v>9686901</v>
      </c>
      <c r="B560" t="s">
        <v>80</v>
      </c>
      <c r="C560">
        <v>1329801</v>
      </c>
      <c r="D560" t="s">
        <v>113</v>
      </c>
      <c r="E560" t="s">
        <v>146</v>
      </c>
      <c r="F560" t="s">
        <v>17</v>
      </c>
      <c r="G560" t="s">
        <v>153</v>
      </c>
      <c r="H560" t="s">
        <v>232</v>
      </c>
      <c r="I560" t="s">
        <v>84</v>
      </c>
      <c r="J560" t="s">
        <v>85</v>
      </c>
      <c r="K560" t="s">
        <v>87</v>
      </c>
      <c r="L560" s="25">
        <v>44030</v>
      </c>
      <c r="M560">
        <v>7</v>
      </c>
      <c r="N560">
        <v>2020</v>
      </c>
      <c r="O560" t="s">
        <v>110</v>
      </c>
      <c r="P560">
        <v>170</v>
      </c>
      <c r="Q560" s="17">
        <v>44030.475255787038</v>
      </c>
      <c r="R560" t="s">
        <v>126</v>
      </c>
    </row>
    <row r="561" spans="1:18" x14ac:dyDescent="0.3">
      <c r="A561">
        <v>9686154</v>
      </c>
      <c r="B561" t="s">
        <v>80</v>
      </c>
      <c r="C561">
        <v>1329615</v>
      </c>
      <c r="D561" t="s">
        <v>113</v>
      </c>
      <c r="E561" t="s">
        <v>146</v>
      </c>
      <c r="F561" t="s">
        <v>17</v>
      </c>
      <c r="G561" t="s">
        <v>153</v>
      </c>
      <c r="H561" t="s">
        <v>232</v>
      </c>
      <c r="I561" t="s">
        <v>84</v>
      </c>
      <c r="J561" t="s">
        <v>85</v>
      </c>
      <c r="K561" t="s">
        <v>87</v>
      </c>
      <c r="L561" s="25">
        <v>44030</v>
      </c>
      <c r="M561">
        <v>7</v>
      </c>
      <c r="N561">
        <v>2020</v>
      </c>
      <c r="O561" t="s">
        <v>110</v>
      </c>
      <c r="P561">
        <v>170</v>
      </c>
      <c r="Q561" s="17">
        <v>44030.434045254631</v>
      </c>
      <c r="R561" t="s">
        <v>126</v>
      </c>
    </row>
    <row r="562" spans="1:18" x14ac:dyDescent="0.3">
      <c r="A562">
        <v>242321</v>
      </c>
      <c r="B562" t="s">
        <v>78</v>
      </c>
      <c r="C562">
        <v>1324921</v>
      </c>
      <c r="D562" t="s">
        <v>78</v>
      </c>
      <c r="E562">
        <v>966</v>
      </c>
      <c r="F562">
        <v>966</v>
      </c>
      <c r="G562" t="s">
        <v>139</v>
      </c>
      <c r="H562" t="s">
        <v>105</v>
      </c>
      <c r="I562" t="s">
        <v>78</v>
      </c>
      <c r="J562" t="s">
        <v>42</v>
      </c>
      <c r="K562" t="s">
        <v>87</v>
      </c>
      <c r="L562" s="25">
        <v>44030</v>
      </c>
      <c r="M562">
        <v>7</v>
      </c>
      <c r="N562">
        <v>2020</v>
      </c>
      <c r="O562" t="s">
        <v>110</v>
      </c>
      <c r="P562">
        <v>170</v>
      </c>
      <c r="Q562" s="17">
        <v>44030.476913194441</v>
      </c>
      <c r="R562" t="s">
        <v>126</v>
      </c>
    </row>
    <row r="563" spans="1:18" x14ac:dyDescent="0.3">
      <c r="A563">
        <v>9685903</v>
      </c>
      <c r="B563" t="s">
        <v>78</v>
      </c>
      <c r="C563">
        <v>1329415</v>
      </c>
      <c r="D563" t="s">
        <v>78</v>
      </c>
      <c r="E563">
        <v>820</v>
      </c>
      <c r="F563">
        <v>820</v>
      </c>
      <c r="G563" t="s">
        <v>136</v>
      </c>
      <c r="H563" t="s">
        <v>250</v>
      </c>
      <c r="I563" t="s">
        <v>78</v>
      </c>
      <c r="J563" t="s">
        <v>42</v>
      </c>
      <c r="K563" t="s">
        <v>83</v>
      </c>
      <c r="L563" s="25">
        <v>44030</v>
      </c>
      <c r="M563">
        <v>7</v>
      </c>
      <c r="N563">
        <v>2020</v>
      </c>
      <c r="O563" t="s">
        <v>110</v>
      </c>
      <c r="P563">
        <v>170</v>
      </c>
      <c r="Q563" s="17">
        <v>44030.468063888889</v>
      </c>
      <c r="R563" t="s">
        <v>126</v>
      </c>
    </row>
    <row r="564" spans="1:18" x14ac:dyDescent="0.3">
      <c r="A564">
        <v>245042</v>
      </c>
      <c r="B564" t="s">
        <v>72</v>
      </c>
      <c r="C564">
        <v>1330102</v>
      </c>
      <c r="D564" t="s">
        <v>108</v>
      </c>
      <c r="E564" t="s">
        <v>142</v>
      </c>
      <c r="F564" t="s">
        <v>17</v>
      </c>
      <c r="G564" t="s">
        <v>143</v>
      </c>
      <c r="H564" t="s">
        <v>263</v>
      </c>
      <c r="I564" t="s">
        <v>82</v>
      </c>
      <c r="J564" t="s">
        <v>42</v>
      </c>
      <c r="K564" t="s">
        <v>87</v>
      </c>
      <c r="L564" s="25">
        <v>44030</v>
      </c>
      <c r="M564">
        <v>7</v>
      </c>
      <c r="N564">
        <v>2020</v>
      </c>
      <c r="O564" t="s">
        <v>110</v>
      </c>
      <c r="P564">
        <v>170</v>
      </c>
      <c r="Q564" s="17">
        <v>44030.489623842594</v>
      </c>
      <c r="R564" t="s">
        <v>126</v>
      </c>
    </row>
    <row r="565" spans="1:18" x14ac:dyDescent="0.3">
      <c r="A565">
        <v>9686024</v>
      </c>
      <c r="B565" t="s">
        <v>80</v>
      </c>
      <c r="C565">
        <v>1329601</v>
      </c>
      <c r="D565" t="s">
        <v>113</v>
      </c>
      <c r="E565" t="s">
        <v>146</v>
      </c>
      <c r="F565" t="s">
        <v>17</v>
      </c>
      <c r="G565" t="s">
        <v>153</v>
      </c>
      <c r="H565" t="s">
        <v>232</v>
      </c>
      <c r="I565" t="s">
        <v>84</v>
      </c>
      <c r="J565" t="s">
        <v>85</v>
      </c>
      <c r="K565" t="s">
        <v>87</v>
      </c>
      <c r="L565" s="25">
        <v>44030</v>
      </c>
      <c r="M565">
        <v>7</v>
      </c>
      <c r="N565">
        <v>2020</v>
      </c>
      <c r="O565" t="s">
        <v>110</v>
      </c>
      <c r="P565">
        <v>170</v>
      </c>
      <c r="Q565" s="17">
        <v>44030.432266666663</v>
      </c>
      <c r="R565" t="s">
        <v>126</v>
      </c>
    </row>
    <row r="566" spans="1:18" x14ac:dyDescent="0.3">
      <c r="A566">
        <v>9686275</v>
      </c>
      <c r="B566" t="s">
        <v>80</v>
      </c>
      <c r="C566">
        <v>1329701</v>
      </c>
      <c r="D566" t="s">
        <v>113</v>
      </c>
      <c r="E566" t="s">
        <v>146</v>
      </c>
      <c r="F566" t="s">
        <v>17</v>
      </c>
      <c r="G566" t="s">
        <v>153</v>
      </c>
      <c r="H566" t="s">
        <v>232</v>
      </c>
      <c r="I566" t="s">
        <v>84</v>
      </c>
      <c r="J566" t="s">
        <v>85</v>
      </c>
      <c r="K566" t="s">
        <v>87</v>
      </c>
      <c r="L566" s="25">
        <v>44030</v>
      </c>
      <c r="M566">
        <v>7</v>
      </c>
      <c r="N566">
        <v>2020</v>
      </c>
      <c r="O566" t="s">
        <v>110</v>
      </c>
      <c r="P566">
        <v>170</v>
      </c>
      <c r="Q566" s="17">
        <v>44030.456960416668</v>
      </c>
      <c r="R566" t="s">
        <v>126</v>
      </c>
    </row>
    <row r="567" spans="1:18" x14ac:dyDescent="0.3">
      <c r="A567">
        <v>9686695</v>
      </c>
      <c r="B567" t="s">
        <v>80</v>
      </c>
      <c r="C567">
        <v>1329715</v>
      </c>
      <c r="D567" t="s">
        <v>113</v>
      </c>
      <c r="E567" t="s">
        <v>146</v>
      </c>
      <c r="F567" t="s">
        <v>17</v>
      </c>
      <c r="G567" t="s">
        <v>153</v>
      </c>
      <c r="H567" t="s">
        <v>232</v>
      </c>
      <c r="I567" t="s">
        <v>84</v>
      </c>
      <c r="J567" t="s">
        <v>85</v>
      </c>
      <c r="K567" t="s">
        <v>87</v>
      </c>
      <c r="L567" s="25">
        <v>44030</v>
      </c>
      <c r="M567">
        <v>7</v>
      </c>
      <c r="N567">
        <v>2020</v>
      </c>
      <c r="O567" t="s">
        <v>110</v>
      </c>
      <c r="P567">
        <v>170</v>
      </c>
      <c r="Q567" s="17">
        <v>44030.455601388887</v>
      </c>
      <c r="R567" t="s">
        <v>126</v>
      </c>
    </row>
    <row r="568" spans="1:18" x14ac:dyDescent="0.3">
      <c r="A568">
        <v>9685866</v>
      </c>
      <c r="B568" t="s">
        <v>78</v>
      </c>
      <c r="C568">
        <v>1329366</v>
      </c>
      <c r="D568" t="s">
        <v>78</v>
      </c>
      <c r="E568">
        <v>820</v>
      </c>
      <c r="F568">
        <v>820</v>
      </c>
      <c r="G568" t="s">
        <v>136</v>
      </c>
      <c r="H568" t="s">
        <v>249</v>
      </c>
      <c r="I568" t="s">
        <v>78</v>
      </c>
      <c r="J568" t="s">
        <v>42</v>
      </c>
      <c r="K568" t="s">
        <v>83</v>
      </c>
      <c r="L568" s="25">
        <v>44030</v>
      </c>
      <c r="M568">
        <v>7</v>
      </c>
      <c r="N568">
        <v>2020</v>
      </c>
      <c r="O568" t="s">
        <v>110</v>
      </c>
      <c r="P568">
        <v>170</v>
      </c>
      <c r="Q568" s="17">
        <v>44030.465867824074</v>
      </c>
      <c r="R568" t="s">
        <v>126</v>
      </c>
    </row>
    <row r="569" spans="1:18" x14ac:dyDescent="0.3">
      <c r="A569">
        <v>9685111</v>
      </c>
      <c r="B569" t="s">
        <v>72</v>
      </c>
      <c r="C569">
        <v>1328856</v>
      </c>
      <c r="D569" t="s">
        <v>108</v>
      </c>
      <c r="E569" t="s">
        <v>57</v>
      </c>
      <c r="F569" t="s">
        <v>57</v>
      </c>
      <c r="G569" t="s">
        <v>109</v>
      </c>
      <c r="H569" t="s">
        <v>229</v>
      </c>
      <c r="I569" t="s">
        <v>84</v>
      </c>
      <c r="J569" t="s">
        <v>85</v>
      </c>
      <c r="K569" t="s">
        <v>87</v>
      </c>
      <c r="L569" s="25">
        <v>44030</v>
      </c>
      <c r="M569">
        <v>7</v>
      </c>
      <c r="N569">
        <v>2020</v>
      </c>
      <c r="O569" t="s">
        <v>110</v>
      </c>
      <c r="P569">
        <v>170</v>
      </c>
      <c r="Q569" s="17">
        <v>44030.450595023147</v>
      </c>
      <c r="R569" t="s">
        <v>115</v>
      </c>
    </row>
    <row r="570" spans="1:18" x14ac:dyDescent="0.3">
      <c r="A570">
        <v>9685284</v>
      </c>
      <c r="B570" t="s">
        <v>79</v>
      </c>
      <c r="C570">
        <v>1329056</v>
      </c>
      <c r="D570" t="s">
        <v>116</v>
      </c>
      <c r="E570" t="s">
        <v>58</v>
      </c>
      <c r="F570" t="s">
        <v>58</v>
      </c>
      <c r="G570" t="s">
        <v>114</v>
      </c>
      <c r="H570" t="s">
        <v>233</v>
      </c>
      <c r="I570" t="s">
        <v>82</v>
      </c>
      <c r="J570" t="s">
        <v>42</v>
      </c>
      <c r="K570" t="s">
        <v>87</v>
      </c>
      <c r="L570" s="25">
        <v>44030</v>
      </c>
      <c r="M570">
        <v>7</v>
      </c>
      <c r="N570">
        <v>2020</v>
      </c>
      <c r="O570" t="s">
        <v>110</v>
      </c>
      <c r="P570">
        <v>170</v>
      </c>
      <c r="Q570" s="17">
        <v>44030.454867476852</v>
      </c>
      <c r="R570" t="s">
        <v>111</v>
      </c>
    </row>
    <row r="571" spans="1:18" x14ac:dyDescent="0.3">
      <c r="A571">
        <v>9685066</v>
      </c>
      <c r="B571" t="s">
        <v>72</v>
      </c>
      <c r="C571">
        <v>1329105</v>
      </c>
      <c r="D571" t="s">
        <v>108</v>
      </c>
      <c r="E571" t="s">
        <v>57</v>
      </c>
      <c r="F571" t="s">
        <v>57</v>
      </c>
      <c r="G571" t="s">
        <v>109</v>
      </c>
      <c r="H571" t="s">
        <v>271</v>
      </c>
      <c r="I571" t="s">
        <v>84</v>
      </c>
      <c r="J571" t="s">
        <v>85</v>
      </c>
      <c r="K571" t="s">
        <v>87</v>
      </c>
      <c r="L571" s="25">
        <v>44030</v>
      </c>
      <c r="M571">
        <v>7</v>
      </c>
      <c r="N571">
        <v>2020</v>
      </c>
      <c r="O571" t="s">
        <v>110</v>
      </c>
      <c r="P571">
        <v>170</v>
      </c>
      <c r="Q571" s="17">
        <v>44030.45730613426</v>
      </c>
      <c r="R571" t="s">
        <v>111</v>
      </c>
    </row>
    <row r="572" spans="1:18" x14ac:dyDescent="0.3">
      <c r="A572">
        <v>244496</v>
      </c>
      <c r="B572" t="s">
        <v>72</v>
      </c>
      <c r="C572">
        <v>1329275</v>
      </c>
      <c r="D572" t="s">
        <v>108</v>
      </c>
      <c r="E572" t="s">
        <v>58</v>
      </c>
      <c r="F572" t="s">
        <v>58</v>
      </c>
      <c r="G572" t="s">
        <v>114</v>
      </c>
      <c r="H572" t="s">
        <v>229</v>
      </c>
      <c r="I572" t="s">
        <v>84</v>
      </c>
      <c r="J572" t="s">
        <v>85</v>
      </c>
      <c r="K572" t="s">
        <v>87</v>
      </c>
      <c r="L572" s="25">
        <v>44030</v>
      </c>
      <c r="M572">
        <v>7</v>
      </c>
      <c r="N572">
        <v>2020</v>
      </c>
      <c r="O572" t="s">
        <v>110</v>
      </c>
      <c r="P572">
        <v>170</v>
      </c>
      <c r="Q572" s="17">
        <v>44030.46151134259</v>
      </c>
      <c r="R572" t="s">
        <v>121</v>
      </c>
    </row>
    <row r="573" spans="1:18" x14ac:dyDescent="0.3">
      <c r="A573">
        <v>244229</v>
      </c>
      <c r="B573" t="s">
        <v>72</v>
      </c>
      <c r="C573">
        <v>1329256</v>
      </c>
      <c r="D573" t="s">
        <v>108</v>
      </c>
      <c r="E573" t="s">
        <v>58</v>
      </c>
      <c r="F573" t="s">
        <v>58</v>
      </c>
      <c r="G573" t="s">
        <v>114</v>
      </c>
      <c r="H573" t="s">
        <v>229</v>
      </c>
      <c r="I573" t="s">
        <v>84</v>
      </c>
      <c r="J573" t="s">
        <v>85</v>
      </c>
      <c r="K573" t="s">
        <v>87</v>
      </c>
      <c r="L573" s="25">
        <v>44030</v>
      </c>
      <c r="M573">
        <v>7</v>
      </c>
      <c r="N573">
        <v>2020</v>
      </c>
      <c r="O573" t="s">
        <v>110</v>
      </c>
      <c r="P573">
        <v>170</v>
      </c>
      <c r="Q573" s="17">
        <v>44030.459503472222</v>
      </c>
      <c r="R573" t="s">
        <v>121</v>
      </c>
    </row>
    <row r="574" spans="1:18" x14ac:dyDescent="0.3">
      <c r="A574">
        <v>244442</v>
      </c>
      <c r="B574" t="s">
        <v>72</v>
      </c>
      <c r="C574">
        <v>1329356</v>
      </c>
      <c r="D574" t="s">
        <v>108</v>
      </c>
      <c r="E574" t="s">
        <v>58</v>
      </c>
      <c r="F574" t="s">
        <v>58</v>
      </c>
      <c r="G574" t="s">
        <v>114</v>
      </c>
      <c r="H574" t="s">
        <v>229</v>
      </c>
      <c r="I574" t="s">
        <v>84</v>
      </c>
      <c r="J574" t="s">
        <v>85</v>
      </c>
      <c r="K574" t="s">
        <v>87</v>
      </c>
      <c r="L574" s="25">
        <v>44030</v>
      </c>
      <c r="M574">
        <v>7</v>
      </c>
      <c r="N574">
        <v>2020</v>
      </c>
      <c r="O574" t="s">
        <v>110</v>
      </c>
      <c r="P574">
        <v>170</v>
      </c>
      <c r="Q574" s="17">
        <v>44030.461976273145</v>
      </c>
      <c r="R574" t="s">
        <v>111</v>
      </c>
    </row>
    <row r="575" spans="1:18" x14ac:dyDescent="0.3">
      <c r="A575">
        <v>244416</v>
      </c>
      <c r="B575" t="s">
        <v>72</v>
      </c>
      <c r="C575">
        <v>1329390</v>
      </c>
      <c r="D575" t="s">
        <v>108</v>
      </c>
      <c r="E575" t="s">
        <v>58</v>
      </c>
      <c r="F575" t="s">
        <v>58</v>
      </c>
      <c r="G575" t="s">
        <v>114</v>
      </c>
      <c r="H575" t="s">
        <v>229</v>
      </c>
      <c r="I575" t="s">
        <v>84</v>
      </c>
      <c r="J575" t="s">
        <v>85</v>
      </c>
      <c r="K575" t="s">
        <v>87</v>
      </c>
      <c r="L575" s="25">
        <v>44030</v>
      </c>
      <c r="M575">
        <v>7</v>
      </c>
      <c r="N575">
        <v>2020</v>
      </c>
      <c r="O575" t="s">
        <v>110</v>
      </c>
      <c r="P575">
        <v>170</v>
      </c>
      <c r="Q575" s="17">
        <v>44030.461460069448</v>
      </c>
      <c r="R575" t="s">
        <v>121</v>
      </c>
    </row>
    <row r="576" spans="1:18" x14ac:dyDescent="0.3">
      <c r="A576">
        <v>9686555</v>
      </c>
      <c r="B576" t="s">
        <v>72</v>
      </c>
      <c r="C576">
        <v>1329977</v>
      </c>
      <c r="D576" t="s">
        <v>108</v>
      </c>
      <c r="E576" t="s">
        <v>58</v>
      </c>
      <c r="F576" t="s">
        <v>58</v>
      </c>
      <c r="G576" t="s">
        <v>114</v>
      </c>
      <c r="H576" t="s">
        <v>246</v>
      </c>
      <c r="I576" t="s">
        <v>84</v>
      </c>
      <c r="J576" t="s">
        <v>85</v>
      </c>
      <c r="K576" t="s">
        <v>87</v>
      </c>
      <c r="L576" s="25">
        <v>44030</v>
      </c>
      <c r="M576">
        <v>7</v>
      </c>
      <c r="N576">
        <v>2020</v>
      </c>
      <c r="O576" t="s">
        <v>110</v>
      </c>
      <c r="P576">
        <v>170</v>
      </c>
      <c r="Q576" s="17">
        <v>44030.470338310188</v>
      </c>
      <c r="R576" t="s">
        <v>111</v>
      </c>
    </row>
    <row r="577" spans="1:18" x14ac:dyDescent="0.3">
      <c r="A577">
        <v>9686410</v>
      </c>
      <c r="B577" t="s">
        <v>79</v>
      </c>
      <c r="C577">
        <v>1330011</v>
      </c>
      <c r="D577" t="s">
        <v>116</v>
      </c>
      <c r="E577" t="s">
        <v>58</v>
      </c>
      <c r="F577" t="s">
        <v>58</v>
      </c>
      <c r="G577" t="s">
        <v>114</v>
      </c>
      <c r="H577" t="s">
        <v>233</v>
      </c>
      <c r="I577" t="s">
        <v>82</v>
      </c>
      <c r="J577" t="s">
        <v>42</v>
      </c>
      <c r="K577" t="s">
        <v>87</v>
      </c>
      <c r="L577" s="25">
        <v>44030</v>
      </c>
      <c r="M577">
        <v>7</v>
      </c>
      <c r="N577">
        <v>2020</v>
      </c>
      <c r="O577" t="s">
        <v>110</v>
      </c>
      <c r="P577">
        <v>170</v>
      </c>
      <c r="Q577" s="17">
        <v>44030.474004166666</v>
      </c>
      <c r="R577" t="s">
        <v>111</v>
      </c>
    </row>
    <row r="578" spans="1:18" x14ac:dyDescent="0.3">
      <c r="A578">
        <v>244662</v>
      </c>
      <c r="B578" t="s">
        <v>72</v>
      </c>
      <c r="C578">
        <v>1330111</v>
      </c>
      <c r="D578" t="s">
        <v>108</v>
      </c>
      <c r="E578" t="s">
        <v>58</v>
      </c>
      <c r="F578" t="s">
        <v>58</v>
      </c>
      <c r="G578" t="s">
        <v>114</v>
      </c>
      <c r="H578" t="s">
        <v>229</v>
      </c>
      <c r="I578" t="s">
        <v>84</v>
      </c>
      <c r="J578" t="s">
        <v>85</v>
      </c>
      <c r="K578" t="s">
        <v>87</v>
      </c>
      <c r="L578" s="25">
        <v>44030</v>
      </c>
      <c r="M578">
        <v>7</v>
      </c>
      <c r="N578">
        <v>2020</v>
      </c>
      <c r="O578" t="s">
        <v>110</v>
      </c>
      <c r="P578">
        <v>170</v>
      </c>
      <c r="Q578" s="17">
        <v>44030.478152662035</v>
      </c>
      <c r="R578" t="s">
        <v>111</v>
      </c>
    </row>
    <row r="579" spans="1:18" x14ac:dyDescent="0.3">
      <c r="A579">
        <v>244854</v>
      </c>
      <c r="B579" t="s">
        <v>72</v>
      </c>
      <c r="C579">
        <v>1330126</v>
      </c>
      <c r="D579" t="s">
        <v>108</v>
      </c>
      <c r="E579" t="s">
        <v>58</v>
      </c>
      <c r="F579" t="s">
        <v>58</v>
      </c>
      <c r="G579" t="s">
        <v>114</v>
      </c>
      <c r="H579" t="s">
        <v>229</v>
      </c>
      <c r="I579" t="s">
        <v>84</v>
      </c>
      <c r="J579" t="s">
        <v>85</v>
      </c>
      <c r="K579" t="s">
        <v>87</v>
      </c>
      <c r="L579" s="25">
        <v>44030</v>
      </c>
      <c r="M579">
        <v>7</v>
      </c>
      <c r="N579">
        <v>2020</v>
      </c>
      <c r="O579" t="s">
        <v>110</v>
      </c>
      <c r="P579">
        <v>170</v>
      </c>
      <c r="Q579" s="17">
        <v>44030.478160763887</v>
      </c>
      <c r="R579" t="s">
        <v>121</v>
      </c>
    </row>
    <row r="580" spans="1:18" x14ac:dyDescent="0.3">
      <c r="A580">
        <v>244863</v>
      </c>
      <c r="B580" t="s">
        <v>78</v>
      </c>
      <c r="C580">
        <v>1330128</v>
      </c>
      <c r="D580" t="s">
        <v>78</v>
      </c>
      <c r="E580" t="s">
        <v>58</v>
      </c>
      <c r="F580" t="s">
        <v>58</v>
      </c>
      <c r="G580" t="s">
        <v>114</v>
      </c>
      <c r="H580" t="s">
        <v>273</v>
      </c>
      <c r="I580" t="s">
        <v>78</v>
      </c>
      <c r="J580" t="s">
        <v>42</v>
      </c>
      <c r="K580" t="s">
        <v>87</v>
      </c>
      <c r="L580" s="25">
        <v>44030</v>
      </c>
      <c r="M580">
        <v>7</v>
      </c>
      <c r="N580">
        <v>2020</v>
      </c>
      <c r="O580" t="s">
        <v>110</v>
      </c>
      <c r="P580">
        <v>170</v>
      </c>
      <c r="Q580" s="17">
        <v>44030.479518981483</v>
      </c>
      <c r="R580" t="s">
        <v>111</v>
      </c>
    </row>
    <row r="581" spans="1:18" x14ac:dyDescent="0.3">
      <c r="A581">
        <v>244875</v>
      </c>
      <c r="B581" t="s">
        <v>72</v>
      </c>
      <c r="C581">
        <v>1330175</v>
      </c>
      <c r="D581" t="s">
        <v>108</v>
      </c>
      <c r="E581" t="s">
        <v>58</v>
      </c>
      <c r="F581" t="s">
        <v>58</v>
      </c>
      <c r="G581" t="s">
        <v>114</v>
      </c>
      <c r="H581" t="s">
        <v>229</v>
      </c>
      <c r="I581" t="s">
        <v>84</v>
      </c>
      <c r="J581" t="s">
        <v>85</v>
      </c>
      <c r="K581" t="s">
        <v>87</v>
      </c>
      <c r="L581" s="25">
        <v>44030</v>
      </c>
      <c r="M581">
        <v>7</v>
      </c>
      <c r="N581">
        <v>2020</v>
      </c>
      <c r="O581" t="s">
        <v>110</v>
      </c>
      <c r="P581">
        <v>170</v>
      </c>
      <c r="Q581" s="17">
        <v>44030.480707060182</v>
      </c>
      <c r="R581" t="s">
        <v>111</v>
      </c>
    </row>
    <row r="582" spans="1:18" x14ac:dyDescent="0.3">
      <c r="A582">
        <v>245051</v>
      </c>
      <c r="B582" t="s">
        <v>72</v>
      </c>
      <c r="C582">
        <v>1330177</v>
      </c>
      <c r="D582" t="s">
        <v>108</v>
      </c>
      <c r="E582" t="s">
        <v>58</v>
      </c>
      <c r="F582" t="s">
        <v>58</v>
      </c>
      <c r="G582" t="s">
        <v>114</v>
      </c>
      <c r="H582" t="s">
        <v>229</v>
      </c>
      <c r="I582" t="s">
        <v>84</v>
      </c>
      <c r="J582" t="s">
        <v>85</v>
      </c>
      <c r="K582" t="s">
        <v>87</v>
      </c>
      <c r="L582" s="25">
        <v>44030</v>
      </c>
      <c r="M582">
        <v>7</v>
      </c>
      <c r="N582">
        <v>2020</v>
      </c>
      <c r="O582" t="s">
        <v>110</v>
      </c>
      <c r="P582">
        <v>170</v>
      </c>
      <c r="Q582" s="17">
        <v>44030.48363923611</v>
      </c>
      <c r="R582" t="s">
        <v>115</v>
      </c>
    </row>
    <row r="583" spans="1:18" x14ac:dyDescent="0.3">
      <c r="A583">
        <v>9687423</v>
      </c>
      <c r="B583" t="s">
        <v>78</v>
      </c>
      <c r="C583">
        <v>1330192</v>
      </c>
      <c r="D583" t="s">
        <v>78</v>
      </c>
      <c r="E583" t="s">
        <v>58</v>
      </c>
      <c r="F583" t="s">
        <v>58</v>
      </c>
      <c r="G583" t="s">
        <v>114</v>
      </c>
      <c r="H583" t="s">
        <v>105</v>
      </c>
      <c r="I583" t="s">
        <v>78</v>
      </c>
      <c r="J583" t="s">
        <v>42</v>
      </c>
      <c r="K583" t="s">
        <v>87</v>
      </c>
      <c r="L583" s="25">
        <v>44030</v>
      </c>
      <c r="M583">
        <v>7</v>
      </c>
      <c r="N583">
        <v>2020</v>
      </c>
      <c r="O583" t="s">
        <v>110</v>
      </c>
      <c r="P583">
        <v>170</v>
      </c>
      <c r="Q583" s="17">
        <v>44030.480335879627</v>
      </c>
      <c r="R583" t="s">
        <v>111</v>
      </c>
    </row>
    <row r="584" spans="1:18" x14ac:dyDescent="0.3">
      <c r="A584">
        <v>9688569</v>
      </c>
      <c r="B584" t="s">
        <v>79</v>
      </c>
      <c r="C584">
        <v>1330726</v>
      </c>
      <c r="D584" t="s">
        <v>116</v>
      </c>
      <c r="E584" t="s">
        <v>58</v>
      </c>
      <c r="F584" t="s">
        <v>58</v>
      </c>
      <c r="G584" t="s">
        <v>114</v>
      </c>
      <c r="H584" t="s">
        <v>233</v>
      </c>
      <c r="I584" t="s">
        <v>82</v>
      </c>
      <c r="J584" t="s">
        <v>42</v>
      </c>
      <c r="K584" t="s">
        <v>87</v>
      </c>
      <c r="L584" s="25">
        <v>44030</v>
      </c>
      <c r="M584">
        <v>7</v>
      </c>
      <c r="N584">
        <v>2020</v>
      </c>
      <c r="O584" t="s">
        <v>110</v>
      </c>
      <c r="P584">
        <v>170</v>
      </c>
      <c r="Q584" s="17">
        <v>44030.490257523146</v>
      </c>
      <c r="R584" t="s">
        <v>111</v>
      </c>
    </row>
    <row r="585" spans="1:18" x14ac:dyDescent="0.3">
      <c r="A585">
        <v>9688583</v>
      </c>
      <c r="B585" t="s">
        <v>79</v>
      </c>
      <c r="C585">
        <v>1330728</v>
      </c>
      <c r="D585" t="s">
        <v>116</v>
      </c>
      <c r="E585" t="s">
        <v>58</v>
      </c>
      <c r="F585" t="s">
        <v>58</v>
      </c>
      <c r="G585" t="s">
        <v>114</v>
      </c>
      <c r="H585" t="s">
        <v>233</v>
      </c>
      <c r="I585" t="s">
        <v>82</v>
      </c>
      <c r="J585" t="s">
        <v>42</v>
      </c>
      <c r="K585" t="s">
        <v>87</v>
      </c>
      <c r="L585" s="25">
        <v>44030</v>
      </c>
      <c r="M585">
        <v>7</v>
      </c>
      <c r="N585">
        <v>2020</v>
      </c>
      <c r="O585" t="s">
        <v>110</v>
      </c>
      <c r="P585">
        <v>170</v>
      </c>
      <c r="Q585" s="17">
        <v>44030.489931828706</v>
      </c>
      <c r="R585" t="s">
        <v>111</v>
      </c>
    </row>
    <row r="586" spans="1:18" x14ac:dyDescent="0.3">
      <c r="A586">
        <v>9688032</v>
      </c>
      <c r="B586" t="s">
        <v>80</v>
      </c>
      <c r="C586">
        <v>1330913</v>
      </c>
      <c r="D586" t="s">
        <v>113</v>
      </c>
      <c r="E586" t="s">
        <v>57</v>
      </c>
      <c r="F586" t="s">
        <v>57</v>
      </c>
      <c r="G586" t="s">
        <v>109</v>
      </c>
      <c r="H586" t="s">
        <v>232</v>
      </c>
      <c r="I586" t="s">
        <v>84</v>
      </c>
      <c r="J586" t="s">
        <v>85</v>
      </c>
      <c r="K586" t="s">
        <v>87</v>
      </c>
      <c r="L586" s="25">
        <v>44030</v>
      </c>
      <c r="M586">
        <v>7</v>
      </c>
      <c r="N586">
        <v>2020</v>
      </c>
      <c r="O586" t="s">
        <v>110</v>
      </c>
      <c r="P586">
        <v>170</v>
      </c>
      <c r="Q586" s="17">
        <v>44030.494226620373</v>
      </c>
      <c r="R586" t="s">
        <v>111</v>
      </c>
    </row>
    <row r="587" spans="1:18" x14ac:dyDescent="0.3">
      <c r="A587">
        <v>9685484</v>
      </c>
      <c r="B587" t="s">
        <v>72</v>
      </c>
      <c r="C587">
        <v>1328885</v>
      </c>
      <c r="D587" t="s">
        <v>108</v>
      </c>
      <c r="E587" t="s">
        <v>57</v>
      </c>
      <c r="F587" t="s">
        <v>57</v>
      </c>
      <c r="G587" t="s">
        <v>109</v>
      </c>
      <c r="H587" t="s">
        <v>229</v>
      </c>
      <c r="I587" t="s">
        <v>84</v>
      </c>
      <c r="J587" t="s">
        <v>85</v>
      </c>
      <c r="K587" t="s">
        <v>87</v>
      </c>
      <c r="L587" s="25">
        <v>44030</v>
      </c>
      <c r="M587">
        <v>7</v>
      </c>
      <c r="N587">
        <v>2020</v>
      </c>
      <c r="O587" t="s">
        <v>110</v>
      </c>
      <c r="P587">
        <v>170</v>
      </c>
      <c r="Q587" s="17">
        <v>44030.452595486109</v>
      </c>
      <c r="R587" t="s">
        <v>112</v>
      </c>
    </row>
    <row r="588" spans="1:18" x14ac:dyDescent="0.3">
      <c r="A588">
        <v>9685579</v>
      </c>
      <c r="B588" t="s">
        <v>72</v>
      </c>
      <c r="C588">
        <v>1329285</v>
      </c>
      <c r="D588" t="s">
        <v>108</v>
      </c>
      <c r="E588" t="s">
        <v>58</v>
      </c>
      <c r="F588" t="s">
        <v>58</v>
      </c>
      <c r="G588" t="s">
        <v>114</v>
      </c>
      <c r="H588" t="s">
        <v>267</v>
      </c>
      <c r="I588" t="s">
        <v>84</v>
      </c>
      <c r="J588" t="s">
        <v>85</v>
      </c>
      <c r="K588" t="s">
        <v>87</v>
      </c>
      <c r="L588" s="25">
        <v>44030</v>
      </c>
      <c r="M588">
        <v>7</v>
      </c>
      <c r="N588">
        <v>2020</v>
      </c>
      <c r="O588" t="s">
        <v>110</v>
      </c>
      <c r="P588">
        <v>170</v>
      </c>
      <c r="Q588" s="17">
        <v>44030.461459143517</v>
      </c>
      <c r="R588" t="s">
        <v>111</v>
      </c>
    </row>
    <row r="589" spans="1:18" x14ac:dyDescent="0.3">
      <c r="A589">
        <v>244641</v>
      </c>
      <c r="B589" t="s">
        <v>72</v>
      </c>
      <c r="C589">
        <v>1329378</v>
      </c>
      <c r="D589" t="s">
        <v>108</v>
      </c>
      <c r="E589" t="s">
        <v>58</v>
      </c>
      <c r="F589" t="s">
        <v>58</v>
      </c>
      <c r="G589" t="s">
        <v>114</v>
      </c>
      <c r="H589" t="s">
        <v>229</v>
      </c>
      <c r="I589" t="s">
        <v>84</v>
      </c>
      <c r="J589" t="s">
        <v>85</v>
      </c>
      <c r="K589" t="s">
        <v>87</v>
      </c>
      <c r="L589" s="25">
        <v>44030</v>
      </c>
      <c r="M589">
        <v>7</v>
      </c>
      <c r="N589">
        <v>2020</v>
      </c>
      <c r="O589" t="s">
        <v>110</v>
      </c>
      <c r="P589">
        <v>170</v>
      </c>
      <c r="Q589" s="17">
        <v>44030.462171527775</v>
      </c>
      <c r="R589" t="s">
        <v>111</v>
      </c>
    </row>
    <row r="590" spans="1:18" x14ac:dyDescent="0.3">
      <c r="A590">
        <v>244973</v>
      </c>
      <c r="B590" t="s">
        <v>72</v>
      </c>
      <c r="C590">
        <v>1329996</v>
      </c>
      <c r="D590" t="s">
        <v>108</v>
      </c>
      <c r="E590" t="s">
        <v>58</v>
      </c>
      <c r="F590" t="s">
        <v>58</v>
      </c>
      <c r="G590" t="s">
        <v>114</v>
      </c>
      <c r="H590" t="s">
        <v>229</v>
      </c>
      <c r="I590" t="s">
        <v>84</v>
      </c>
      <c r="J590" t="s">
        <v>85</v>
      </c>
      <c r="K590" t="s">
        <v>87</v>
      </c>
      <c r="L590" s="25">
        <v>44030</v>
      </c>
      <c r="M590">
        <v>7</v>
      </c>
      <c r="N590">
        <v>2020</v>
      </c>
      <c r="O590" t="s">
        <v>110</v>
      </c>
      <c r="P590">
        <v>170</v>
      </c>
      <c r="Q590" s="17">
        <v>44030.472407060188</v>
      </c>
      <c r="R590" t="s">
        <v>111</v>
      </c>
    </row>
    <row r="591" spans="1:18" x14ac:dyDescent="0.3">
      <c r="A591">
        <v>244620</v>
      </c>
      <c r="B591" t="s">
        <v>80</v>
      </c>
      <c r="C591">
        <v>1330089</v>
      </c>
      <c r="D591" t="s">
        <v>113</v>
      </c>
      <c r="E591" t="s">
        <v>58</v>
      </c>
      <c r="F591" t="s">
        <v>58</v>
      </c>
      <c r="G591" t="s">
        <v>114</v>
      </c>
      <c r="H591" t="s">
        <v>257</v>
      </c>
      <c r="I591" t="s">
        <v>82</v>
      </c>
      <c r="J591" t="s">
        <v>42</v>
      </c>
      <c r="K591" t="s">
        <v>87</v>
      </c>
      <c r="L591" s="25">
        <v>44030</v>
      </c>
      <c r="M591">
        <v>7</v>
      </c>
      <c r="N591">
        <v>2020</v>
      </c>
      <c r="O591" t="s">
        <v>110</v>
      </c>
      <c r="P591">
        <v>170</v>
      </c>
      <c r="Q591" s="17">
        <v>44030.475412615742</v>
      </c>
      <c r="R591" t="s">
        <v>112</v>
      </c>
    </row>
    <row r="592" spans="1:18" x14ac:dyDescent="0.3">
      <c r="A592">
        <v>244713</v>
      </c>
      <c r="B592" t="s">
        <v>72</v>
      </c>
      <c r="C592">
        <v>1330114</v>
      </c>
      <c r="D592" t="s">
        <v>108</v>
      </c>
      <c r="E592" t="s">
        <v>58</v>
      </c>
      <c r="F592" t="s">
        <v>58</v>
      </c>
      <c r="G592" t="s">
        <v>114</v>
      </c>
      <c r="H592" t="s">
        <v>229</v>
      </c>
      <c r="I592" t="s">
        <v>84</v>
      </c>
      <c r="J592" t="s">
        <v>85</v>
      </c>
      <c r="K592" t="s">
        <v>87</v>
      </c>
      <c r="L592" s="25">
        <v>44030</v>
      </c>
      <c r="M592">
        <v>7</v>
      </c>
      <c r="N592">
        <v>2020</v>
      </c>
      <c r="O592" t="s">
        <v>110</v>
      </c>
      <c r="P592">
        <v>170</v>
      </c>
      <c r="Q592" s="17">
        <v>44030.477708564817</v>
      </c>
      <c r="R592" t="s">
        <v>111</v>
      </c>
    </row>
    <row r="593" spans="1:18" x14ac:dyDescent="0.3">
      <c r="A593">
        <v>9686957</v>
      </c>
      <c r="B593" t="s">
        <v>79</v>
      </c>
      <c r="C593">
        <v>1330207</v>
      </c>
      <c r="D593" t="s">
        <v>116</v>
      </c>
      <c r="E593" t="s">
        <v>58</v>
      </c>
      <c r="F593" t="s">
        <v>58</v>
      </c>
      <c r="G593" t="s">
        <v>114</v>
      </c>
      <c r="H593" t="s">
        <v>233</v>
      </c>
      <c r="I593" t="s">
        <v>82</v>
      </c>
      <c r="J593" t="s">
        <v>42</v>
      </c>
      <c r="K593" t="s">
        <v>87</v>
      </c>
      <c r="L593" s="25">
        <v>44030</v>
      </c>
      <c r="M593">
        <v>7</v>
      </c>
      <c r="N593">
        <v>2020</v>
      </c>
      <c r="O593" t="s">
        <v>110</v>
      </c>
      <c r="P593">
        <v>170</v>
      </c>
      <c r="Q593" s="17">
        <v>44030.48258773148</v>
      </c>
      <c r="R593" t="s">
        <v>111</v>
      </c>
    </row>
    <row r="594" spans="1:18" x14ac:dyDescent="0.3">
      <c r="A594">
        <v>9689225</v>
      </c>
      <c r="B594" t="s">
        <v>78</v>
      </c>
      <c r="C594">
        <v>1331400</v>
      </c>
      <c r="D594" t="s">
        <v>78</v>
      </c>
      <c r="E594" t="s">
        <v>57</v>
      </c>
      <c r="F594" t="s">
        <v>57</v>
      </c>
      <c r="G594" t="s">
        <v>109</v>
      </c>
      <c r="H594" t="s">
        <v>105</v>
      </c>
      <c r="I594" t="s">
        <v>78</v>
      </c>
      <c r="J594" t="s">
        <v>42</v>
      </c>
      <c r="K594" t="s">
        <v>87</v>
      </c>
      <c r="L594" s="25">
        <v>44030</v>
      </c>
      <c r="M594">
        <v>7</v>
      </c>
      <c r="N594">
        <v>2020</v>
      </c>
      <c r="O594" t="s">
        <v>110</v>
      </c>
      <c r="P594">
        <v>170</v>
      </c>
      <c r="Q594" s="17">
        <v>44030.496236458333</v>
      </c>
      <c r="R594" t="s">
        <v>115</v>
      </c>
    </row>
    <row r="595" spans="1:18" x14ac:dyDescent="0.3">
      <c r="A595">
        <v>9688057</v>
      </c>
      <c r="B595" t="s">
        <v>78</v>
      </c>
      <c r="C595">
        <v>1331493</v>
      </c>
      <c r="D595" t="s">
        <v>78</v>
      </c>
      <c r="E595" t="s">
        <v>58</v>
      </c>
      <c r="F595" t="s">
        <v>58</v>
      </c>
      <c r="G595" t="s">
        <v>114</v>
      </c>
      <c r="H595" t="s">
        <v>105</v>
      </c>
      <c r="I595" t="s">
        <v>78</v>
      </c>
      <c r="J595" t="s">
        <v>42</v>
      </c>
      <c r="K595" t="s">
        <v>87</v>
      </c>
      <c r="L595" s="25">
        <v>44030</v>
      </c>
      <c r="M595">
        <v>7</v>
      </c>
      <c r="N595">
        <v>2020</v>
      </c>
      <c r="O595" t="s">
        <v>110</v>
      </c>
      <c r="P595">
        <v>170</v>
      </c>
      <c r="Q595" s="17">
        <v>44031.072673958333</v>
      </c>
      <c r="R595" t="s">
        <v>111</v>
      </c>
    </row>
    <row r="596" spans="1:18" x14ac:dyDescent="0.3">
      <c r="A596">
        <v>9685831</v>
      </c>
      <c r="B596" t="s">
        <v>78</v>
      </c>
      <c r="C596">
        <v>1328685</v>
      </c>
      <c r="D596" t="s">
        <v>78</v>
      </c>
      <c r="E596">
        <v>820</v>
      </c>
      <c r="F596">
        <v>820</v>
      </c>
      <c r="G596" t="s">
        <v>136</v>
      </c>
      <c r="H596" t="s">
        <v>250</v>
      </c>
      <c r="I596" t="s">
        <v>78</v>
      </c>
      <c r="J596" t="s">
        <v>42</v>
      </c>
      <c r="K596" t="s">
        <v>83</v>
      </c>
      <c r="L596" s="25">
        <v>44030</v>
      </c>
      <c r="M596">
        <v>7</v>
      </c>
      <c r="N596">
        <v>2020</v>
      </c>
      <c r="O596" t="s">
        <v>110</v>
      </c>
      <c r="P596">
        <v>170</v>
      </c>
      <c r="Q596" s="17">
        <v>44030.429177199076</v>
      </c>
      <c r="R596" t="s">
        <v>126</v>
      </c>
    </row>
    <row r="597" spans="1:18" x14ac:dyDescent="0.3">
      <c r="A597">
        <v>9686255</v>
      </c>
      <c r="B597" t="s">
        <v>80</v>
      </c>
      <c r="C597">
        <v>1329664</v>
      </c>
      <c r="D597" t="s">
        <v>113</v>
      </c>
      <c r="E597" t="s">
        <v>146</v>
      </c>
      <c r="F597" t="s">
        <v>17</v>
      </c>
      <c r="G597" t="s">
        <v>153</v>
      </c>
      <c r="H597" t="s">
        <v>232</v>
      </c>
      <c r="I597" t="s">
        <v>84</v>
      </c>
      <c r="J597" t="s">
        <v>85</v>
      </c>
      <c r="K597" t="s">
        <v>87</v>
      </c>
      <c r="L597" s="25">
        <v>44030</v>
      </c>
      <c r="M597">
        <v>7</v>
      </c>
      <c r="N597">
        <v>2020</v>
      </c>
      <c r="O597" t="s">
        <v>110</v>
      </c>
      <c r="P597">
        <v>170</v>
      </c>
      <c r="Q597" s="17">
        <v>44030.45469027778</v>
      </c>
      <c r="R597" t="s">
        <v>126</v>
      </c>
    </row>
    <row r="598" spans="1:18" x14ac:dyDescent="0.3">
      <c r="A598">
        <v>9685781</v>
      </c>
      <c r="B598" t="s">
        <v>78</v>
      </c>
      <c r="C598">
        <v>1329403</v>
      </c>
      <c r="D598" t="s">
        <v>78</v>
      </c>
      <c r="E598">
        <v>820</v>
      </c>
      <c r="F598">
        <v>820</v>
      </c>
      <c r="G598" t="s">
        <v>136</v>
      </c>
      <c r="H598" t="s">
        <v>250</v>
      </c>
      <c r="I598" t="s">
        <v>78</v>
      </c>
      <c r="J598" t="s">
        <v>42</v>
      </c>
      <c r="K598" t="s">
        <v>83</v>
      </c>
      <c r="L598" s="25">
        <v>44030</v>
      </c>
      <c r="M598">
        <v>7</v>
      </c>
      <c r="N598">
        <v>2020</v>
      </c>
      <c r="O598" t="s">
        <v>110</v>
      </c>
      <c r="P598">
        <v>170</v>
      </c>
      <c r="Q598" s="17">
        <v>44030.465827199077</v>
      </c>
      <c r="R598" t="s">
        <v>126</v>
      </c>
    </row>
    <row r="599" spans="1:18" x14ac:dyDescent="0.3">
      <c r="A599">
        <v>9665032</v>
      </c>
      <c r="B599" t="s">
        <v>72</v>
      </c>
      <c r="C599">
        <v>1326856</v>
      </c>
      <c r="D599" t="s">
        <v>108</v>
      </c>
      <c r="E599" t="s">
        <v>26</v>
      </c>
      <c r="F599" t="s">
        <v>26</v>
      </c>
      <c r="G599" t="s">
        <v>137</v>
      </c>
      <c r="H599" t="s">
        <v>229</v>
      </c>
      <c r="I599" t="s">
        <v>84</v>
      </c>
      <c r="J599" t="s">
        <v>85</v>
      </c>
      <c r="K599" t="s">
        <v>83</v>
      </c>
      <c r="L599" s="25">
        <v>44030</v>
      </c>
      <c r="M599">
        <v>7</v>
      </c>
      <c r="N599">
        <v>2020</v>
      </c>
      <c r="O599" t="s">
        <v>110</v>
      </c>
      <c r="P599">
        <v>170</v>
      </c>
      <c r="Q599" s="17">
        <v>44030.288818402776</v>
      </c>
      <c r="R599" t="s">
        <v>126</v>
      </c>
    </row>
    <row r="600" spans="1:18" x14ac:dyDescent="0.3">
      <c r="A600">
        <v>241948</v>
      </c>
      <c r="B600" t="s">
        <v>78</v>
      </c>
      <c r="C600">
        <v>1322133</v>
      </c>
      <c r="D600" t="s">
        <v>78</v>
      </c>
      <c r="E600" t="s">
        <v>26</v>
      </c>
      <c r="F600" t="s">
        <v>26</v>
      </c>
      <c r="G600" t="s">
        <v>137</v>
      </c>
      <c r="H600" t="s">
        <v>245</v>
      </c>
      <c r="I600" t="s">
        <v>78</v>
      </c>
      <c r="J600" t="s">
        <v>42</v>
      </c>
      <c r="K600" t="s">
        <v>83</v>
      </c>
      <c r="L600" s="25">
        <v>44030</v>
      </c>
      <c r="M600">
        <v>7</v>
      </c>
      <c r="N600">
        <v>2020</v>
      </c>
      <c r="O600" t="s">
        <v>110</v>
      </c>
      <c r="P600">
        <v>170</v>
      </c>
      <c r="Q600" s="17">
        <v>44030.486366203702</v>
      </c>
      <c r="R600" t="s">
        <v>126</v>
      </c>
    </row>
    <row r="601" spans="1:18" x14ac:dyDescent="0.3">
      <c r="A601">
        <v>21527262</v>
      </c>
      <c r="B601" t="s">
        <v>78</v>
      </c>
      <c r="C601">
        <v>1324248</v>
      </c>
      <c r="D601" t="s">
        <v>108</v>
      </c>
      <c r="E601" t="s">
        <v>199</v>
      </c>
      <c r="F601" t="s">
        <v>199</v>
      </c>
      <c r="G601" t="s">
        <v>200</v>
      </c>
      <c r="H601" t="s">
        <v>229</v>
      </c>
      <c r="I601" t="s">
        <v>84</v>
      </c>
      <c r="J601" t="s">
        <v>85</v>
      </c>
      <c r="K601" t="s">
        <v>87</v>
      </c>
      <c r="L601" s="25">
        <v>44030</v>
      </c>
      <c r="M601">
        <v>7</v>
      </c>
      <c r="N601">
        <v>2020</v>
      </c>
      <c r="O601" t="s">
        <v>110</v>
      </c>
      <c r="P601">
        <v>170</v>
      </c>
      <c r="Q601" s="17">
        <v>44030.257303703707</v>
      </c>
      <c r="R601" t="s">
        <v>126</v>
      </c>
    </row>
    <row r="602" spans="1:18" x14ac:dyDescent="0.3">
      <c r="A602">
        <v>9685053</v>
      </c>
      <c r="B602" t="s">
        <v>78</v>
      </c>
      <c r="C602">
        <v>1329246</v>
      </c>
      <c r="D602" t="s">
        <v>78</v>
      </c>
      <c r="E602" t="s">
        <v>12</v>
      </c>
      <c r="F602" t="s">
        <v>12</v>
      </c>
      <c r="G602" t="s">
        <v>135</v>
      </c>
      <c r="H602" t="s">
        <v>105</v>
      </c>
      <c r="I602" t="s">
        <v>78</v>
      </c>
      <c r="J602" t="s">
        <v>42</v>
      </c>
      <c r="K602" t="s">
        <v>83</v>
      </c>
      <c r="L602" s="25">
        <v>44030</v>
      </c>
      <c r="M602">
        <v>7</v>
      </c>
      <c r="N602">
        <v>2020</v>
      </c>
      <c r="O602" t="s">
        <v>110</v>
      </c>
      <c r="P602">
        <v>170</v>
      </c>
      <c r="Q602" s="17">
        <v>44030.436698263889</v>
      </c>
      <c r="R602" t="s">
        <v>126</v>
      </c>
    </row>
    <row r="603" spans="1:18" x14ac:dyDescent="0.3">
      <c r="A603">
        <v>9687012</v>
      </c>
      <c r="B603" t="s">
        <v>80</v>
      </c>
      <c r="C603">
        <v>1330271</v>
      </c>
      <c r="D603" t="s">
        <v>113</v>
      </c>
      <c r="E603" t="s">
        <v>146</v>
      </c>
      <c r="F603" t="s">
        <v>17</v>
      </c>
      <c r="G603" t="s">
        <v>153</v>
      </c>
      <c r="H603" t="s">
        <v>232</v>
      </c>
      <c r="I603" t="s">
        <v>84</v>
      </c>
      <c r="J603" t="s">
        <v>85</v>
      </c>
      <c r="K603" t="s">
        <v>87</v>
      </c>
      <c r="L603" s="25">
        <v>44030</v>
      </c>
      <c r="M603">
        <v>7</v>
      </c>
      <c r="N603">
        <v>2020</v>
      </c>
      <c r="O603" t="s">
        <v>110</v>
      </c>
      <c r="P603">
        <v>170</v>
      </c>
      <c r="Q603" s="17">
        <v>44030.498012152777</v>
      </c>
      <c r="R603" t="s">
        <v>126</v>
      </c>
    </row>
    <row r="604" spans="1:18" x14ac:dyDescent="0.3">
      <c r="A604">
        <v>9686735</v>
      </c>
      <c r="B604" t="s">
        <v>80</v>
      </c>
      <c r="C604">
        <v>1329778</v>
      </c>
      <c r="D604" t="s">
        <v>113</v>
      </c>
      <c r="E604" t="s">
        <v>146</v>
      </c>
      <c r="F604" t="s">
        <v>17</v>
      </c>
      <c r="G604" t="s">
        <v>153</v>
      </c>
      <c r="H604" t="s">
        <v>232</v>
      </c>
      <c r="I604" t="s">
        <v>84</v>
      </c>
      <c r="J604" t="s">
        <v>85</v>
      </c>
      <c r="K604" t="s">
        <v>87</v>
      </c>
      <c r="L604" s="25">
        <v>44030</v>
      </c>
      <c r="M604">
        <v>7</v>
      </c>
      <c r="N604">
        <v>2020</v>
      </c>
      <c r="O604" t="s">
        <v>110</v>
      </c>
      <c r="P604">
        <v>170</v>
      </c>
      <c r="Q604" s="17">
        <v>44030.470641666667</v>
      </c>
      <c r="R604" t="s">
        <v>126</v>
      </c>
    </row>
    <row r="605" spans="1:18" x14ac:dyDescent="0.3">
      <c r="A605">
        <v>240979</v>
      </c>
      <c r="B605" t="s">
        <v>78</v>
      </c>
      <c r="C605">
        <v>1319118</v>
      </c>
      <c r="D605" t="s">
        <v>78</v>
      </c>
      <c r="E605" t="s">
        <v>57</v>
      </c>
      <c r="F605" t="s">
        <v>57</v>
      </c>
      <c r="G605" t="s">
        <v>109</v>
      </c>
      <c r="H605" t="s">
        <v>105</v>
      </c>
      <c r="I605" t="s">
        <v>78</v>
      </c>
      <c r="J605" t="s">
        <v>42</v>
      </c>
      <c r="K605" t="s">
        <v>87</v>
      </c>
      <c r="L605" s="25">
        <v>44030</v>
      </c>
      <c r="M605">
        <v>7</v>
      </c>
      <c r="N605">
        <v>2020</v>
      </c>
      <c r="O605" t="s">
        <v>110</v>
      </c>
      <c r="P605">
        <v>170</v>
      </c>
      <c r="Q605" s="17">
        <v>44030.445776967594</v>
      </c>
      <c r="R605" t="s">
        <v>111</v>
      </c>
    </row>
    <row r="606" spans="1:18" x14ac:dyDescent="0.3">
      <c r="A606">
        <v>240562</v>
      </c>
      <c r="B606" t="s">
        <v>78</v>
      </c>
      <c r="C606">
        <v>1319986</v>
      </c>
      <c r="D606" t="s">
        <v>78</v>
      </c>
      <c r="E606" t="s">
        <v>57</v>
      </c>
      <c r="F606" t="s">
        <v>57</v>
      </c>
      <c r="G606" t="s">
        <v>109</v>
      </c>
      <c r="H606" t="s">
        <v>105</v>
      </c>
      <c r="I606" t="s">
        <v>78</v>
      </c>
      <c r="J606" t="s">
        <v>42</v>
      </c>
      <c r="K606" t="s">
        <v>87</v>
      </c>
      <c r="L606" s="25">
        <v>44030</v>
      </c>
      <c r="M606">
        <v>7</v>
      </c>
      <c r="N606">
        <v>2020</v>
      </c>
      <c r="O606" t="s">
        <v>110</v>
      </c>
      <c r="P606">
        <v>170</v>
      </c>
      <c r="Q606" s="17">
        <v>44030.460372222224</v>
      </c>
      <c r="R606" t="s">
        <v>111</v>
      </c>
    </row>
    <row r="607" spans="1:18" x14ac:dyDescent="0.3">
      <c r="A607">
        <v>21529508</v>
      </c>
      <c r="B607" t="s">
        <v>78</v>
      </c>
      <c r="C607">
        <v>1326363</v>
      </c>
      <c r="D607" t="s">
        <v>78</v>
      </c>
      <c r="E607" t="s">
        <v>117</v>
      </c>
      <c r="F607" t="s">
        <v>117</v>
      </c>
      <c r="G607" t="s">
        <v>59</v>
      </c>
      <c r="H607" t="s">
        <v>231</v>
      </c>
      <c r="I607" t="s">
        <v>78</v>
      </c>
      <c r="J607" t="s">
        <v>42</v>
      </c>
      <c r="K607" t="s">
        <v>91</v>
      </c>
      <c r="L607" s="25">
        <v>44030</v>
      </c>
      <c r="M607">
        <v>7</v>
      </c>
      <c r="N607">
        <v>2020</v>
      </c>
      <c r="O607" t="s">
        <v>110</v>
      </c>
      <c r="P607">
        <v>170</v>
      </c>
      <c r="Q607" s="17">
        <v>44030.424313194446</v>
      </c>
      <c r="R607" t="s">
        <v>119</v>
      </c>
    </row>
    <row r="608" spans="1:18" x14ac:dyDescent="0.3">
      <c r="A608">
        <v>21529483</v>
      </c>
      <c r="B608" t="s">
        <v>72</v>
      </c>
      <c r="C608">
        <v>1326713</v>
      </c>
      <c r="D608" t="s">
        <v>108</v>
      </c>
      <c r="E608" t="s">
        <v>117</v>
      </c>
      <c r="F608" t="s">
        <v>117</v>
      </c>
      <c r="G608" t="s">
        <v>59</v>
      </c>
      <c r="H608" t="s">
        <v>229</v>
      </c>
      <c r="I608" t="s">
        <v>84</v>
      </c>
      <c r="J608" t="s">
        <v>85</v>
      </c>
      <c r="K608" t="s">
        <v>91</v>
      </c>
      <c r="L608" s="25">
        <v>44030</v>
      </c>
      <c r="M608">
        <v>7</v>
      </c>
      <c r="N608">
        <v>2020</v>
      </c>
      <c r="O608" t="s">
        <v>110</v>
      </c>
      <c r="P608">
        <v>170</v>
      </c>
      <c r="Q608" s="17">
        <v>44030.429915740744</v>
      </c>
      <c r="R608" t="s">
        <v>119</v>
      </c>
    </row>
    <row r="609" spans="1:18" x14ac:dyDescent="0.3">
      <c r="A609">
        <v>21529354</v>
      </c>
      <c r="B609" t="s">
        <v>78</v>
      </c>
      <c r="C609">
        <v>1326756</v>
      </c>
      <c r="D609" t="s">
        <v>78</v>
      </c>
      <c r="E609" t="s">
        <v>117</v>
      </c>
      <c r="F609" t="s">
        <v>117</v>
      </c>
      <c r="G609" t="s">
        <v>59</v>
      </c>
      <c r="H609" t="s">
        <v>231</v>
      </c>
      <c r="I609" t="s">
        <v>78</v>
      </c>
      <c r="J609" t="s">
        <v>42</v>
      </c>
      <c r="K609" t="s">
        <v>91</v>
      </c>
      <c r="L609" s="25">
        <v>44030</v>
      </c>
      <c r="M609">
        <v>7</v>
      </c>
      <c r="N609">
        <v>2020</v>
      </c>
      <c r="O609" t="s">
        <v>110</v>
      </c>
      <c r="P609">
        <v>170</v>
      </c>
      <c r="Q609" s="17">
        <v>44030.43259837963</v>
      </c>
      <c r="R609" t="s">
        <v>119</v>
      </c>
    </row>
    <row r="610" spans="1:18" x14ac:dyDescent="0.3">
      <c r="A610">
        <v>21528402</v>
      </c>
      <c r="B610" t="s">
        <v>72</v>
      </c>
      <c r="C610">
        <v>1327049</v>
      </c>
      <c r="D610" t="s">
        <v>108</v>
      </c>
      <c r="E610" t="s">
        <v>117</v>
      </c>
      <c r="F610" t="s">
        <v>117</v>
      </c>
      <c r="G610" t="s">
        <v>59</v>
      </c>
      <c r="H610" t="s">
        <v>229</v>
      </c>
      <c r="I610" t="s">
        <v>84</v>
      </c>
      <c r="J610" t="s">
        <v>85</v>
      </c>
      <c r="K610" t="s">
        <v>91</v>
      </c>
      <c r="L610" s="25">
        <v>44030</v>
      </c>
      <c r="M610">
        <v>7</v>
      </c>
      <c r="N610">
        <v>2020</v>
      </c>
      <c r="O610" t="s">
        <v>110</v>
      </c>
      <c r="P610">
        <v>170</v>
      </c>
      <c r="Q610" s="17">
        <v>44030.432827662036</v>
      </c>
      <c r="R610" t="s">
        <v>119</v>
      </c>
    </row>
    <row r="611" spans="1:18" x14ac:dyDescent="0.3">
      <c r="A611">
        <v>21529239</v>
      </c>
      <c r="B611" t="s">
        <v>78</v>
      </c>
      <c r="C611">
        <v>1327099</v>
      </c>
      <c r="D611" t="s">
        <v>78</v>
      </c>
      <c r="E611" t="s">
        <v>117</v>
      </c>
      <c r="F611" t="s">
        <v>117</v>
      </c>
      <c r="G611" t="s">
        <v>59</v>
      </c>
      <c r="H611" t="s">
        <v>230</v>
      </c>
      <c r="I611" t="s">
        <v>78</v>
      </c>
      <c r="J611" t="s">
        <v>42</v>
      </c>
      <c r="K611" t="s">
        <v>91</v>
      </c>
      <c r="L611" s="25">
        <v>44030</v>
      </c>
      <c r="M611">
        <v>7</v>
      </c>
      <c r="N611">
        <v>2020</v>
      </c>
      <c r="O611" t="s">
        <v>110</v>
      </c>
      <c r="P611">
        <v>170</v>
      </c>
      <c r="Q611" s="17">
        <v>44030.43613159722</v>
      </c>
      <c r="R611" t="s">
        <v>118</v>
      </c>
    </row>
    <row r="612" spans="1:18" x14ac:dyDescent="0.3">
      <c r="A612">
        <v>21529056</v>
      </c>
      <c r="B612" t="s">
        <v>72</v>
      </c>
      <c r="C612">
        <v>1327356</v>
      </c>
      <c r="D612" t="s">
        <v>108</v>
      </c>
      <c r="E612" t="s">
        <v>58</v>
      </c>
      <c r="F612" t="s">
        <v>58</v>
      </c>
      <c r="G612" t="s">
        <v>114</v>
      </c>
      <c r="H612" t="s">
        <v>229</v>
      </c>
      <c r="I612" t="s">
        <v>84</v>
      </c>
      <c r="J612" t="s">
        <v>85</v>
      </c>
      <c r="K612" t="s">
        <v>87</v>
      </c>
      <c r="L612" s="25">
        <v>44030</v>
      </c>
      <c r="M612">
        <v>7</v>
      </c>
      <c r="N612">
        <v>2020</v>
      </c>
      <c r="O612" t="s">
        <v>110</v>
      </c>
      <c r="P612">
        <v>170</v>
      </c>
      <c r="Q612" s="17">
        <v>44030.424456828703</v>
      </c>
      <c r="R612" t="s">
        <v>111</v>
      </c>
    </row>
    <row r="613" spans="1:18" x14ac:dyDescent="0.3">
      <c r="A613">
        <v>21528282</v>
      </c>
      <c r="B613" t="s">
        <v>79</v>
      </c>
      <c r="C613">
        <v>1327363</v>
      </c>
      <c r="D613" t="s">
        <v>116</v>
      </c>
      <c r="E613" t="s">
        <v>58</v>
      </c>
      <c r="F613" t="s">
        <v>58</v>
      </c>
      <c r="G613" t="s">
        <v>114</v>
      </c>
      <c r="H613" t="s">
        <v>233</v>
      </c>
      <c r="I613" t="s">
        <v>82</v>
      </c>
      <c r="J613" t="s">
        <v>42</v>
      </c>
      <c r="K613" t="s">
        <v>87</v>
      </c>
      <c r="L613" s="25">
        <v>44030</v>
      </c>
      <c r="M613">
        <v>7</v>
      </c>
      <c r="N613">
        <v>2020</v>
      </c>
      <c r="O613" t="s">
        <v>110</v>
      </c>
      <c r="P613">
        <v>170</v>
      </c>
      <c r="Q613" s="17">
        <v>44030.423565046294</v>
      </c>
      <c r="R613" t="s">
        <v>111</v>
      </c>
    </row>
    <row r="614" spans="1:18" x14ac:dyDescent="0.3">
      <c r="A614">
        <v>21528926</v>
      </c>
      <c r="B614" t="s">
        <v>78</v>
      </c>
      <c r="C614">
        <v>1327488</v>
      </c>
      <c r="D614" t="s">
        <v>78</v>
      </c>
      <c r="E614" t="s">
        <v>117</v>
      </c>
      <c r="F614" t="s">
        <v>117</v>
      </c>
      <c r="G614" t="s">
        <v>59</v>
      </c>
      <c r="H614" t="s">
        <v>230</v>
      </c>
      <c r="I614" t="s">
        <v>78</v>
      </c>
      <c r="J614" t="s">
        <v>42</v>
      </c>
      <c r="K614" t="s">
        <v>91</v>
      </c>
      <c r="L614" s="25">
        <v>44030</v>
      </c>
      <c r="M614">
        <v>7</v>
      </c>
      <c r="N614">
        <v>2020</v>
      </c>
      <c r="O614" t="s">
        <v>110</v>
      </c>
      <c r="P614">
        <v>170</v>
      </c>
      <c r="Q614" s="17">
        <v>44030.440748263885</v>
      </c>
      <c r="R614" t="s">
        <v>118</v>
      </c>
    </row>
    <row r="615" spans="1:18" x14ac:dyDescent="0.3">
      <c r="A615">
        <v>21529018</v>
      </c>
      <c r="B615" t="s">
        <v>79</v>
      </c>
      <c r="C615">
        <v>1327899</v>
      </c>
      <c r="D615" t="s">
        <v>116</v>
      </c>
      <c r="E615" t="s">
        <v>58</v>
      </c>
      <c r="F615" t="s">
        <v>58</v>
      </c>
      <c r="G615" t="s">
        <v>114</v>
      </c>
      <c r="H615" t="s">
        <v>233</v>
      </c>
      <c r="I615" t="s">
        <v>82</v>
      </c>
      <c r="J615" t="s">
        <v>42</v>
      </c>
      <c r="K615" t="s">
        <v>87</v>
      </c>
      <c r="L615" s="25">
        <v>44030</v>
      </c>
      <c r="M615">
        <v>7</v>
      </c>
      <c r="N615">
        <v>2020</v>
      </c>
      <c r="O615" t="s">
        <v>110</v>
      </c>
      <c r="P615">
        <v>170</v>
      </c>
      <c r="Q615" s="17">
        <v>44030.434809722225</v>
      </c>
      <c r="R615" t="s">
        <v>111</v>
      </c>
    </row>
    <row r="616" spans="1:18" x14ac:dyDescent="0.3">
      <c r="A616">
        <v>9684511</v>
      </c>
      <c r="B616" t="s">
        <v>79</v>
      </c>
      <c r="C616">
        <v>1327942</v>
      </c>
      <c r="D616" t="s">
        <v>116</v>
      </c>
      <c r="E616" t="s">
        <v>58</v>
      </c>
      <c r="F616" t="s">
        <v>58</v>
      </c>
      <c r="G616" t="s">
        <v>114</v>
      </c>
      <c r="H616" t="s">
        <v>233</v>
      </c>
      <c r="I616" t="s">
        <v>82</v>
      </c>
      <c r="J616" t="s">
        <v>42</v>
      </c>
      <c r="K616" t="s">
        <v>87</v>
      </c>
      <c r="L616" s="25">
        <v>44030</v>
      </c>
      <c r="M616">
        <v>7</v>
      </c>
      <c r="N616">
        <v>2020</v>
      </c>
      <c r="O616" t="s">
        <v>110</v>
      </c>
      <c r="P616">
        <v>170</v>
      </c>
      <c r="Q616" s="17">
        <v>44030.434302083333</v>
      </c>
      <c r="R616" t="s">
        <v>111</v>
      </c>
    </row>
    <row r="617" spans="1:18" x14ac:dyDescent="0.3">
      <c r="A617">
        <v>9685040</v>
      </c>
      <c r="B617" t="s">
        <v>72</v>
      </c>
      <c r="C617">
        <v>1327960</v>
      </c>
      <c r="D617" t="s">
        <v>108</v>
      </c>
      <c r="E617" t="s">
        <v>58</v>
      </c>
      <c r="F617" t="s">
        <v>58</v>
      </c>
      <c r="G617" t="s">
        <v>114</v>
      </c>
      <c r="H617" t="s">
        <v>229</v>
      </c>
      <c r="I617" t="s">
        <v>84</v>
      </c>
      <c r="J617" t="s">
        <v>85</v>
      </c>
      <c r="K617" t="s">
        <v>87</v>
      </c>
      <c r="L617" s="25">
        <v>44030</v>
      </c>
      <c r="M617">
        <v>7</v>
      </c>
      <c r="N617">
        <v>2020</v>
      </c>
      <c r="O617" t="s">
        <v>110</v>
      </c>
      <c r="P617">
        <v>170</v>
      </c>
      <c r="Q617" s="17">
        <v>44030.436594907405</v>
      </c>
      <c r="R617" t="s">
        <v>112</v>
      </c>
    </row>
    <row r="618" spans="1:18" x14ac:dyDescent="0.3">
      <c r="A618">
        <v>9683581</v>
      </c>
      <c r="B618" t="s">
        <v>72</v>
      </c>
      <c r="C618">
        <v>1327981</v>
      </c>
      <c r="D618" t="s">
        <v>108</v>
      </c>
      <c r="E618" t="s">
        <v>57</v>
      </c>
      <c r="F618" t="s">
        <v>57</v>
      </c>
      <c r="G618" t="s">
        <v>109</v>
      </c>
      <c r="H618" t="s">
        <v>229</v>
      </c>
      <c r="I618" t="s">
        <v>84</v>
      </c>
      <c r="J618" t="s">
        <v>85</v>
      </c>
      <c r="K618" t="s">
        <v>87</v>
      </c>
      <c r="L618" s="25">
        <v>44030</v>
      </c>
      <c r="M618">
        <v>7</v>
      </c>
      <c r="N618">
        <v>2020</v>
      </c>
      <c r="O618" t="s">
        <v>110</v>
      </c>
      <c r="P618">
        <v>170</v>
      </c>
      <c r="Q618" s="17">
        <v>44030.440909375</v>
      </c>
      <c r="R618" t="s">
        <v>111</v>
      </c>
    </row>
    <row r="619" spans="1:18" x14ac:dyDescent="0.3">
      <c r="A619">
        <v>9683992</v>
      </c>
      <c r="B619" t="s">
        <v>79</v>
      </c>
      <c r="C619">
        <v>1328049</v>
      </c>
      <c r="D619" t="s">
        <v>116</v>
      </c>
      <c r="E619" t="s">
        <v>58</v>
      </c>
      <c r="F619" t="s">
        <v>58</v>
      </c>
      <c r="G619" t="s">
        <v>114</v>
      </c>
      <c r="H619" t="s">
        <v>233</v>
      </c>
      <c r="I619" t="s">
        <v>82</v>
      </c>
      <c r="J619" t="s">
        <v>42</v>
      </c>
      <c r="K619" t="s">
        <v>87</v>
      </c>
      <c r="L619" s="25">
        <v>44030</v>
      </c>
      <c r="M619">
        <v>7</v>
      </c>
      <c r="N619">
        <v>2020</v>
      </c>
      <c r="O619" t="s">
        <v>110</v>
      </c>
      <c r="P619">
        <v>170</v>
      </c>
      <c r="Q619" s="17">
        <v>44030.444654166669</v>
      </c>
      <c r="R619" t="s">
        <v>111</v>
      </c>
    </row>
    <row r="620" spans="1:18" x14ac:dyDescent="0.3">
      <c r="A620">
        <v>9685008</v>
      </c>
      <c r="B620" t="s">
        <v>72</v>
      </c>
      <c r="C620">
        <v>1328610</v>
      </c>
      <c r="D620" t="s">
        <v>108</v>
      </c>
      <c r="E620" t="s">
        <v>58</v>
      </c>
      <c r="F620" t="s">
        <v>58</v>
      </c>
      <c r="G620" t="s">
        <v>114</v>
      </c>
      <c r="H620" t="s">
        <v>229</v>
      </c>
      <c r="I620" t="s">
        <v>84</v>
      </c>
      <c r="J620" t="s">
        <v>85</v>
      </c>
      <c r="K620" t="s">
        <v>87</v>
      </c>
      <c r="L620" s="25">
        <v>44030</v>
      </c>
      <c r="M620">
        <v>7</v>
      </c>
      <c r="N620">
        <v>2020</v>
      </c>
      <c r="O620" t="s">
        <v>110</v>
      </c>
      <c r="P620">
        <v>170</v>
      </c>
      <c r="Q620" s="17">
        <v>44030.447479282404</v>
      </c>
      <c r="R620" t="s">
        <v>115</v>
      </c>
    </row>
    <row r="621" spans="1:18" x14ac:dyDescent="0.3">
      <c r="A621">
        <v>9685380</v>
      </c>
      <c r="B621" t="s">
        <v>72</v>
      </c>
      <c r="C621">
        <v>1328717</v>
      </c>
      <c r="D621" t="s">
        <v>108</v>
      </c>
      <c r="E621" t="s">
        <v>57</v>
      </c>
      <c r="F621" t="s">
        <v>57</v>
      </c>
      <c r="G621" t="s">
        <v>109</v>
      </c>
      <c r="H621" t="s">
        <v>229</v>
      </c>
      <c r="I621" t="s">
        <v>84</v>
      </c>
      <c r="J621" t="s">
        <v>85</v>
      </c>
      <c r="K621" t="s">
        <v>87</v>
      </c>
      <c r="L621" s="25">
        <v>44030</v>
      </c>
      <c r="M621">
        <v>7</v>
      </c>
      <c r="N621">
        <v>2020</v>
      </c>
      <c r="O621" t="s">
        <v>110</v>
      </c>
      <c r="P621">
        <v>170</v>
      </c>
      <c r="Q621" s="17">
        <v>44030.447858101848</v>
      </c>
      <c r="R621" t="s">
        <v>111</v>
      </c>
    </row>
    <row r="622" spans="1:18" x14ac:dyDescent="0.3">
      <c r="A622">
        <v>9684637</v>
      </c>
      <c r="B622" t="s">
        <v>72</v>
      </c>
      <c r="C622">
        <v>1328767</v>
      </c>
      <c r="D622" t="s">
        <v>108</v>
      </c>
      <c r="E622" t="s">
        <v>57</v>
      </c>
      <c r="F622" t="s">
        <v>57</v>
      </c>
      <c r="G622" t="s">
        <v>109</v>
      </c>
      <c r="H622" t="s">
        <v>229</v>
      </c>
      <c r="I622" t="s">
        <v>84</v>
      </c>
      <c r="J622" t="s">
        <v>85</v>
      </c>
      <c r="K622" t="s">
        <v>87</v>
      </c>
      <c r="L622" s="25">
        <v>44030</v>
      </c>
      <c r="M622">
        <v>7</v>
      </c>
      <c r="N622">
        <v>2020</v>
      </c>
      <c r="O622" t="s">
        <v>110</v>
      </c>
      <c r="P622">
        <v>170</v>
      </c>
      <c r="Q622" s="17">
        <v>44030.44786886574</v>
      </c>
      <c r="R622" t="s">
        <v>111</v>
      </c>
    </row>
    <row r="623" spans="1:18" x14ac:dyDescent="0.3">
      <c r="A623">
        <v>9685097</v>
      </c>
      <c r="B623" t="s">
        <v>72</v>
      </c>
      <c r="C623">
        <v>1328828</v>
      </c>
      <c r="D623" t="s">
        <v>108</v>
      </c>
      <c r="E623" t="s">
        <v>57</v>
      </c>
      <c r="F623" t="s">
        <v>57</v>
      </c>
      <c r="G623" t="s">
        <v>109</v>
      </c>
      <c r="H623" t="s">
        <v>229</v>
      </c>
      <c r="I623" t="s">
        <v>84</v>
      </c>
      <c r="J623" t="s">
        <v>85</v>
      </c>
      <c r="K623" t="s">
        <v>87</v>
      </c>
      <c r="L623" s="25">
        <v>44030</v>
      </c>
      <c r="M623">
        <v>7</v>
      </c>
      <c r="N623">
        <v>2020</v>
      </c>
      <c r="O623" t="s">
        <v>110</v>
      </c>
      <c r="P623">
        <v>170</v>
      </c>
      <c r="Q623" s="17">
        <v>44030.450425462965</v>
      </c>
      <c r="R623" t="s">
        <v>111</v>
      </c>
    </row>
    <row r="624" spans="1:18" x14ac:dyDescent="0.3">
      <c r="A624">
        <v>9685464</v>
      </c>
      <c r="B624" t="s">
        <v>72</v>
      </c>
      <c r="C624">
        <v>1328946</v>
      </c>
      <c r="D624" t="s">
        <v>108</v>
      </c>
      <c r="E624" t="s">
        <v>58</v>
      </c>
      <c r="F624" t="s">
        <v>58</v>
      </c>
      <c r="G624" t="s">
        <v>114</v>
      </c>
      <c r="H624" t="s">
        <v>229</v>
      </c>
      <c r="I624" t="s">
        <v>84</v>
      </c>
      <c r="J624" t="s">
        <v>85</v>
      </c>
      <c r="K624" t="s">
        <v>87</v>
      </c>
      <c r="L624" s="25">
        <v>44030</v>
      </c>
      <c r="M624">
        <v>7</v>
      </c>
      <c r="N624">
        <v>2020</v>
      </c>
      <c r="O624" t="s">
        <v>110</v>
      </c>
      <c r="P624">
        <v>170</v>
      </c>
      <c r="Q624" s="17">
        <v>44030.453581365742</v>
      </c>
      <c r="R624" t="s">
        <v>111</v>
      </c>
    </row>
    <row r="625" spans="1:18" x14ac:dyDescent="0.3">
      <c r="A625">
        <v>21529459</v>
      </c>
      <c r="B625" t="s">
        <v>78</v>
      </c>
      <c r="C625">
        <v>1326703</v>
      </c>
      <c r="D625" t="s">
        <v>78</v>
      </c>
      <c r="E625" t="s">
        <v>117</v>
      </c>
      <c r="F625" t="s">
        <v>117</v>
      </c>
      <c r="G625" t="s">
        <v>59</v>
      </c>
      <c r="H625" t="s">
        <v>231</v>
      </c>
      <c r="I625" t="s">
        <v>78</v>
      </c>
      <c r="J625" t="s">
        <v>42</v>
      </c>
      <c r="K625" t="s">
        <v>91</v>
      </c>
      <c r="L625" s="25">
        <v>44030</v>
      </c>
      <c r="M625">
        <v>7</v>
      </c>
      <c r="N625">
        <v>2020</v>
      </c>
      <c r="O625" t="s">
        <v>110</v>
      </c>
      <c r="P625">
        <v>170</v>
      </c>
      <c r="Q625" s="17">
        <v>44030.428556018516</v>
      </c>
      <c r="R625" t="s">
        <v>119</v>
      </c>
    </row>
    <row r="626" spans="1:18" x14ac:dyDescent="0.3">
      <c r="A626">
        <v>21529454</v>
      </c>
      <c r="B626" t="s">
        <v>78</v>
      </c>
      <c r="C626">
        <v>1326712</v>
      </c>
      <c r="D626" t="s">
        <v>78</v>
      </c>
      <c r="E626" t="s">
        <v>117</v>
      </c>
      <c r="F626" t="s">
        <v>117</v>
      </c>
      <c r="G626" t="s">
        <v>59</v>
      </c>
      <c r="H626" t="s">
        <v>231</v>
      </c>
      <c r="I626" t="s">
        <v>78</v>
      </c>
      <c r="J626" t="s">
        <v>42</v>
      </c>
      <c r="K626" t="s">
        <v>91</v>
      </c>
      <c r="L626" s="25">
        <v>44030</v>
      </c>
      <c r="M626">
        <v>7</v>
      </c>
      <c r="N626">
        <v>2020</v>
      </c>
      <c r="O626" t="s">
        <v>110</v>
      </c>
      <c r="P626">
        <v>170</v>
      </c>
      <c r="Q626" s="17">
        <v>44030.431619097224</v>
      </c>
      <c r="R626" t="s">
        <v>119</v>
      </c>
    </row>
    <row r="627" spans="1:18" x14ac:dyDescent="0.3">
      <c r="A627">
        <v>21529499</v>
      </c>
      <c r="B627" t="s">
        <v>78</v>
      </c>
      <c r="C627">
        <v>1326803</v>
      </c>
      <c r="D627" t="s">
        <v>78</v>
      </c>
      <c r="E627" t="s">
        <v>117</v>
      </c>
      <c r="F627" t="s">
        <v>117</v>
      </c>
      <c r="G627" t="s">
        <v>59</v>
      </c>
      <c r="H627" t="s">
        <v>231</v>
      </c>
      <c r="I627" t="s">
        <v>78</v>
      </c>
      <c r="J627" t="s">
        <v>42</v>
      </c>
      <c r="K627" t="s">
        <v>91</v>
      </c>
      <c r="L627" s="25">
        <v>44030</v>
      </c>
      <c r="M627">
        <v>7</v>
      </c>
      <c r="N627">
        <v>2020</v>
      </c>
      <c r="O627" t="s">
        <v>110</v>
      </c>
      <c r="P627">
        <v>170</v>
      </c>
      <c r="Q627" s="17">
        <v>44030.431785300927</v>
      </c>
      <c r="R627" t="s">
        <v>119</v>
      </c>
    </row>
    <row r="628" spans="1:18" x14ac:dyDescent="0.3">
      <c r="A628">
        <v>21528143</v>
      </c>
      <c r="B628" t="s">
        <v>72</v>
      </c>
      <c r="C628">
        <v>1326982</v>
      </c>
      <c r="D628" t="s">
        <v>108</v>
      </c>
      <c r="E628" t="s">
        <v>117</v>
      </c>
      <c r="F628" t="s">
        <v>117</v>
      </c>
      <c r="G628" t="s">
        <v>59</v>
      </c>
      <c r="H628" t="s">
        <v>229</v>
      </c>
      <c r="I628" t="s">
        <v>84</v>
      </c>
      <c r="J628" t="s">
        <v>85</v>
      </c>
      <c r="K628" t="s">
        <v>91</v>
      </c>
      <c r="L628" s="25">
        <v>44030</v>
      </c>
      <c r="M628">
        <v>7</v>
      </c>
      <c r="N628">
        <v>2020</v>
      </c>
      <c r="O628" t="s">
        <v>110</v>
      </c>
      <c r="P628">
        <v>170</v>
      </c>
      <c r="Q628" s="17">
        <v>44030.433603819445</v>
      </c>
      <c r="R628" t="s">
        <v>119</v>
      </c>
    </row>
    <row r="629" spans="1:18" x14ac:dyDescent="0.3">
      <c r="A629">
        <v>21527866</v>
      </c>
      <c r="B629" t="s">
        <v>78</v>
      </c>
      <c r="C629">
        <v>1327005</v>
      </c>
      <c r="D629" t="s">
        <v>78</v>
      </c>
      <c r="E629" t="s">
        <v>117</v>
      </c>
      <c r="F629" t="s">
        <v>117</v>
      </c>
      <c r="G629" t="s">
        <v>59</v>
      </c>
      <c r="H629" t="s">
        <v>230</v>
      </c>
      <c r="I629" t="s">
        <v>78</v>
      </c>
      <c r="J629" t="s">
        <v>42</v>
      </c>
      <c r="K629" t="s">
        <v>91</v>
      </c>
      <c r="L629" s="25">
        <v>44030</v>
      </c>
      <c r="M629">
        <v>7</v>
      </c>
      <c r="N629">
        <v>2020</v>
      </c>
      <c r="O629" t="s">
        <v>110</v>
      </c>
      <c r="P629">
        <v>170</v>
      </c>
      <c r="Q629" s="17">
        <v>44030.436807175924</v>
      </c>
      <c r="R629" t="s">
        <v>118</v>
      </c>
    </row>
    <row r="630" spans="1:18" x14ac:dyDescent="0.3">
      <c r="A630">
        <v>21529144</v>
      </c>
      <c r="B630" t="s">
        <v>78</v>
      </c>
      <c r="C630">
        <v>1327046</v>
      </c>
      <c r="D630" t="s">
        <v>78</v>
      </c>
      <c r="E630" t="s">
        <v>117</v>
      </c>
      <c r="F630" t="s">
        <v>117</v>
      </c>
      <c r="G630" t="s">
        <v>59</v>
      </c>
      <c r="H630" t="s">
        <v>230</v>
      </c>
      <c r="I630" t="s">
        <v>78</v>
      </c>
      <c r="J630" t="s">
        <v>42</v>
      </c>
      <c r="K630" t="s">
        <v>91</v>
      </c>
      <c r="L630" s="25">
        <v>44030</v>
      </c>
      <c r="M630">
        <v>7</v>
      </c>
      <c r="N630">
        <v>2020</v>
      </c>
      <c r="O630" t="s">
        <v>110</v>
      </c>
      <c r="P630">
        <v>170</v>
      </c>
      <c r="Q630" s="17">
        <v>44030.434412499999</v>
      </c>
      <c r="R630" t="s">
        <v>118</v>
      </c>
    </row>
    <row r="631" spans="1:18" x14ac:dyDescent="0.3">
      <c r="A631">
        <v>21529470</v>
      </c>
      <c r="B631" t="s">
        <v>78</v>
      </c>
      <c r="C631">
        <v>1327039</v>
      </c>
      <c r="D631" t="s">
        <v>78</v>
      </c>
      <c r="E631" t="s">
        <v>117</v>
      </c>
      <c r="F631" t="s">
        <v>117</v>
      </c>
      <c r="G631" t="s">
        <v>59</v>
      </c>
      <c r="H631" t="s">
        <v>231</v>
      </c>
      <c r="I631" t="s">
        <v>78</v>
      </c>
      <c r="J631" t="s">
        <v>42</v>
      </c>
      <c r="K631" t="s">
        <v>91</v>
      </c>
      <c r="L631" s="25">
        <v>44030</v>
      </c>
      <c r="M631">
        <v>7</v>
      </c>
      <c r="N631">
        <v>2020</v>
      </c>
      <c r="O631" t="s">
        <v>110</v>
      </c>
      <c r="P631">
        <v>170</v>
      </c>
      <c r="Q631" s="17">
        <v>44030.434960763887</v>
      </c>
      <c r="R631" t="s">
        <v>119</v>
      </c>
    </row>
    <row r="632" spans="1:18" x14ac:dyDescent="0.3">
      <c r="A632">
        <v>9683616</v>
      </c>
      <c r="B632" t="s">
        <v>79</v>
      </c>
      <c r="C632">
        <v>1327139</v>
      </c>
      <c r="D632" t="s">
        <v>116</v>
      </c>
      <c r="E632" t="s">
        <v>58</v>
      </c>
      <c r="F632" t="s">
        <v>58</v>
      </c>
      <c r="G632" t="s">
        <v>114</v>
      </c>
      <c r="H632" t="s">
        <v>233</v>
      </c>
      <c r="I632" t="s">
        <v>82</v>
      </c>
      <c r="J632" t="s">
        <v>42</v>
      </c>
      <c r="K632" t="s">
        <v>87</v>
      </c>
      <c r="L632" s="25">
        <v>44030</v>
      </c>
      <c r="M632">
        <v>7</v>
      </c>
      <c r="N632">
        <v>2020</v>
      </c>
      <c r="O632" t="s">
        <v>110</v>
      </c>
      <c r="P632">
        <v>170</v>
      </c>
      <c r="Q632" s="17">
        <v>44030.423136342593</v>
      </c>
      <c r="R632" t="s">
        <v>111</v>
      </c>
    </row>
    <row r="633" spans="1:18" x14ac:dyDescent="0.3">
      <c r="A633">
        <v>21529176</v>
      </c>
      <c r="B633" t="s">
        <v>72</v>
      </c>
      <c r="C633">
        <v>1327246</v>
      </c>
      <c r="D633" t="s">
        <v>108</v>
      </c>
      <c r="E633" t="s">
        <v>117</v>
      </c>
      <c r="F633" t="s">
        <v>117</v>
      </c>
      <c r="G633" t="s">
        <v>59</v>
      </c>
      <c r="H633" t="s">
        <v>229</v>
      </c>
      <c r="I633" t="s">
        <v>84</v>
      </c>
      <c r="J633" t="s">
        <v>85</v>
      </c>
      <c r="K633" t="s">
        <v>91</v>
      </c>
      <c r="L633" s="25">
        <v>44030</v>
      </c>
      <c r="M633">
        <v>7</v>
      </c>
      <c r="N633">
        <v>2020</v>
      </c>
      <c r="O633" t="s">
        <v>110</v>
      </c>
      <c r="P633">
        <v>170</v>
      </c>
      <c r="Q633" s="17">
        <v>44030.434625231479</v>
      </c>
      <c r="R633" t="s">
        <v>119</v>
      </c>
    </row>
    <row r="634" spans="1:18" x14ac:dyDescent="0.3">
      <c r="A634">
        <v>21529482</v>
      </c>
      <c r="B634" t="s">
        <v>78</v>
      </c>
      <c r="C634">
        <v>1327339</v>
      </c>
      <c r="D634" t="s">
        <v>78</v>
      </c>
      <c r="E634" t="s">
        <v>117</v>
      </c>
      <c r="F634" t="s">
        <v>117</v>
      </c>
      <c r="G634" t="s">
        <v>59</v>
      </c>
      <c r="H634" t="s">
        <v>230</v>
      </c>
      <c r="I634" t="s">
        <v>78</v>
      </c>
      <c r="J634" t="s">
        <v>42</v>
      </c>
      <c r="K634" t="s">
        <v>91</v>
      </c>
      <c r="L634" s="25">
        <v>44030</v>
      </c>
      <c r="M634">
        <v>7</v>
      </c>
      <c r="N634">
        <v>2020</v>
      </c>
      <c r="O634" t="s">
        <v>110</v>
      </c>
      <c r="P634">
        <v>170</v>
      </c>
      <c r="Q634" s="17">
        <v>44030.437721527778</v>
      </c>
      <c r="R634" t="s">
        <v>118</v>
      </c>
    </row>
    <row r="635" spans="1:18" x14ac:dyDescent="0.3">
      <c r="A635">
        <v>21529590</v>
      </c>
      <c r="B635" t="s">
        <v>80</v>
      </c>
      <c r="C635">
        <v>1327505</v>
      </c>
      <c r="D635" t="s">
        <v>113</v>
      </c>
      <c r="E635" t="s">
        <v>117</v>
      </c>
      <c r="F635" t="s">
        <v>117</v>
      </c>
      <c r="G635" t="s">
        <v>59</v>
      </c>
      <c r="H635" t="s">
        <v>257</v>
      </c>
      <c r="I635" t="s">
        <v>82</v>
      </c>
      <c r="J635" t="s">
        <v>42</v>
      </c>
      <c r="K635" t="s">
        <v>91</v>
      </c>
      <c r="L635" s="25">
        <v>44030</v>
      </c>
      <c r="M635">
        <v>7</v>
      </c>
      <c r="N635">
        <v>2020</v>
      </c>
      <c r="O635" t="s">
        <v>110</v>
      </c>
      <c r="P635">
        <v>170</v>
      </c>
      <c r="Q635" s="17">
        <v>44030.438916666666</v>
      </c>
      <c r="R635" t="s">
        <v>118</v>
      </c>
    </row>
    <row r="636" spans="1:18" x14ac:dyDescent="0.3">
      <c r="A636">
        <v>21529134</v>
      </c>
      <c r="B636" t="s">
        <v>72</v>
      </c>
      <c r="C636">
        <v>1327482</v>
      </c>
      <c r="D636" t="s">
        <v>108</v>
      </c>
      <c r="E636" t="s">
        <v>57</v>
      </c>
      <c r="F636" t="s">
        <v>57</v>
      </c>
      <c r="G636" t="s">
        <v>109</v>
      </c>
      <c r="H636" t="s">
        <v>229</v>
      </c>
      <c r="I636" t="s">
        <v>84</v>
      </c>
      <c r="J636" t="s">
        <v>85</v>
      </c>
      <c r="K636" t="s">
        <v>87</v>
      </c>
      <c r="L636" s="25">
        <v>44030</v>
      </c>
      <c r="M636">
        <v>7</v>
      </c>
      <c r="N636">
        <v>2020</v>
      </c>
      <c r="O636" t="s">
        <v>110</v>
      </c>
      <c r="P636">
        <v>170</v>
      </c>
      <c r="Q636" s="17">
        <v>44030.426904745371</v>
      </c>
      <c r="R636" t="s">
        <v>121</v>
      </c>
    </row>
    <row r="637" spans="1:18" x14ac:dyDescent="0.3">
      <c r="A637">
        <v>21529640</v>
      </c>
      <c r="B637" t="s">
        <v>72</v>
      </c>
      <c r="C637">
        <v>1327784</v>
      </c>
      <c r="D637" t="s">
        <v>108</v>
      </c>
      <c r="E637" t="s">
        <v>57</v>
      </c>
      <c r="F637" t="s">
        <v>57</v>
      </c>
      <c r="G637" t="s">
        <v>109</v>
      </c>
      <c r="H637" t="s">
        <v>229</v>
      </c>
      <c r="I637" t="s">
        <v>84</v>
      </c>
      <c r="J637" t="s">
        <v>85</v>
      </c>
      <c r="K637" t="s">
        <v>87</v>
      </c>
      <c r="L637" s="25">
        <v>44030</v>
      </c>
      <c r="M637">
        <v>7</v>
      </c>
      <c r="N637">
        <v>2020</v>
      </c>
      <c r="O637" t="s">
        <v>110</v>
      </c>
      <c r="P637">
        <v>170</v>
      </c>
      <c r="Q637" s="17">
        <v>44030.431574189817</v>
      </c>
      <c r="R637" t="s">
        <v>111</v>
      </c>
    </row>
    <row r="638" spans="1:18" x14ac:dyDescent="0.3">
      <c r="A638">
        <v>9684511</v>
      </c>
      <c r="B638" t="s">
        <v>79</v>
      </c>
      <c r="C638">
        <v>1327948</v>
      </c>
      <c r="D638" t="s">
        <v>116</v>
      </c>
      <c r="E638" t="s">
        <v>58</v>
      </c>
      <c r="F638" t="s">
        <v>58</v>
      </c>
      <c r="G638" t="s">
        <v>114</v>
      </c>
      <c r="H638" t="s">
        <v>233</v>
      </c>
      <c r="I638" t="s">
        <v>82</v>
      </c>
      <c r="J638" t="s">
        <v>42</v>
      </c>
      <c r="K638" t="s">
        <v>87</v>
      </c>
      <c r="L638" s="25">
        <v>44030</v>
      </c>
      <c r="M638">
        <v>7</v>
      </c>
      <c r="N638">
        <v>2020</v>
      </c>
      <c r="O638" t="s">
        <v>110</v>
      </c>
      <c r="P638">
        <v>170</v>
      </c>
      <c r="Q638" s="17">
        <v>44030.437893055554</v>
      </c>
      <c r="R638" t="s">
        <v>111</v>
      </c>
    </row>
    <row r="639" spans="1:18" x14ac:dyDescent="0.3">
      <c r="A639">
        <v>9685030</v>
      </c>
      <c r="B639" t="s">
        <v>72</v>
      </c>
      <c r="C639">
        <v>1328018</v>
      </c>
      <c r="D639" t="s">
        <v>108</v>
      </c>
      <c r="E639" t="s">
        <v>58</v>
      </c>
      <c r="F639" t="s">
        <v>58</v>
      </c>
      <c r="G639" t="s">
        <v>114</v>
      </c>
      <c r="H639" t="s">
        <v>229</v>
      </c>
      <c r="I639" t="s">
        <v>84</v>
      </c>
      <c r="J639" t="s">
        <v>85</v>
      </c>
      <c r="K639" t="s">
        <v>87</v>
      </c>
      <c r="L639" s="25">
        <v>44030</v>
      </c>
      <c r="M639">
        <v>7</v>
      </c>
      <c r="N639">
        <v>2020</v>
      </c>
      <c r="O639" t="s">
        <v>110</v>
      </c>
      <c r="P639">
        <v>170</v>
      </c>
      <c r="Q639" s="17">
        <v>44030.440777430558</v>
      </c>
      <c r="R639" t="s">
        <v>111</v>
      </c>
    </row>
    <row r="640" spans="1:18" x14ac:dyDescent="0.3">
      <c r="A640">
        <v>9685038</v>
      </c>
      <c r="B640" t="s">
        <v>79</v>
      </c>
      <c r="C640">
        <v>1327982</v>
      </c>
      <c r="D640" t="s">
        <v>116</v>
      </c>
      <c r="E640" t="s">
        <v>58</v>
      </c>
      <c r="F640" t="s">
        <v>58</v>
      </c>
      <c r="G640" t="s">
        <v>114</v>
      </c>
      <c r="H640" t="s">
        <v>233</v>
      </c>
      <c r="I640" t="s">
        <v>82</v>
      </c>
      <c r="J640" t="s">
        <v>42</v>
      </c>
      <c r="K640" t="s">
        <v>87</v>
      </c>
      <c r="L640" s="25">
        <v>44030</v>
      </c>
      <c r="M640">
        <v>7</v>
      </c>
      <c r="N640">
        <v>2020</v>
      </c>
      <c r="O640" t="s">
        <v>110</v>
      </c>
      <c r="P640">
        <v>170</v>
      </c>
      <c r="Q640" s="17">
        <v>44030.440128935188</v>
      </c>
      <c r="R640" t="s">
        <v>111</v>
      </c>
    </row>
    <row r="641" spans="1:18" x14ac:dyDescent="0.3">
      <c r="A641">
        <v>9684388</v>
      </c>
      <c r="B641" t="s">
        <v>72</v>
      </c>
      <c r="C641">
        <v>1328077</v>
      </c>
      <c r="D641" t="s">
        <v>108</v>
      </c>
      <c r="E641" t="s">
        <v>57</v>
      </c>
      <c r="F641" t="s">
        <v>57</v>
      </c>
      <c r="G641" t="s">
        <v>109</v>
      </c>
      <c r="H641" t="s">
        <v>237</v>
      </c>
      <c r="I641" t="s">
        <v>84</v>
      </c>
      <c r="J641" t="s">
        <v>85</v>
      </c>
      <c r="K641" t="s">
        <v>87</v>
      </c>
      <c r="L641" s="25">
        <v>44030</v>
      </c>
      <c r="M641">
        <v>7</v>
      </c>
      <c r="N641">
        <v>2020</v>
      </c>
      <c r="O641" t="s">
        <v>110</v>
      </c>
      <c r="P641">
        <v>170</v>
      </c>
      <c r="Q641" s="17">
        <v>44030.443365509258</v>
      </c>
      <c r="R641" t="s">
        <v>111</v>
      </c>
    </row>
    <row r="642" spans="1:18" x14ac:dyDescent="0.3">
      <c r="A642">
        <v>9685587</v>
      </c>
      <c r="B642" t="s">
        <v>78</v>
      </c>
      <c r="C642">
        <v>1328911</v>
      </c>
      <c r="D642" t="s">
        <v>78</v>
      </c>
      <c r="E642" t="s">
        <v>57</v>
      </c>
      <c r="F642" t="s">
        <v>57</v>
      </c>
      <c r="G642" t="s">
        <v>109</v>
      </c>
      <c r="H642" t="s">
        <v>105</v>
      </c>
      <c r="I642" t="s">
        <v>78</v>
      </c>
      <c r="J642" t="s">
        <v>42</v>
      </c>
      <c r="K642" t="s">
        <v>87</v>
      </c>
      <c r="L642" s="25">
        <v>44030</v>
      </c>
      <c r="M642">
        <v>7</v>
      </c>
      <c r="N642">
        <v>2020</v>
      </c>
      <c r="O642" t="s">
        <v>110</v>
      </c>
      <c r="P642">
        <v>170</v>
      </c>
      <c r="Q642" s="17">
        <v>44030.453205439815</v>
      </c>
      <c r="R642" t="s">
        <v>115</v>
      </c>
    </row>
    <row r="643" spans="1:18" x14ac:dyDescent="0.3">
      <c r="A643">
        <v>9685516</v>
      </c>
      <c r="B643" t="s">
        <v>78</v>
      </c>
      <c r="C643">
        <v>1329020</v>
      </c>
      <c r="D643" t="s">
        <v>78</v>
      </c>
      <c r="E643" t="s">
        <v>58</v>
      </c>
      <c r="F643" t="s">
        <v>58</v>
      </c>
      <c r="G643" t="s">
        <v>114</v>
      </c>
      <c r="H643" t="s">
        <v>105</v>
      </c>
      <c r="I643" t="s">
        <v>78</v>
      </c>
      <c r="J643" t="s">
        <v>42</v>
      </c>
      <c r="K643" t="s">
        <v>87</v>
      </c>
      <c r="L643" s="25">
        <v>44030</v>
      </c>
      <c r="M643">
        <v>7</v>
      </c>
      <c r="N643">
        <v>2020</v>
      </c>
      <c r="O643" t="s">
        <v>110</v>
      </c>
      <c r="P643">
        <v>170</v>
      </c>
      <c r="Q643" s="17">
        <v>44030.454977546295</v>
      </c>
      <c r="R643" t="s">
        <v>111</v>
      </c>
    </row>
    <row r="644" spans="1:18" x14ac:dyDescent="0.3">
      <c r="A644">
        <v>9686046</v>
      </c>
      <c r="B644" t="s">
        <v>78</v>
      </c>
      <c r="C644">
        <v>1329113</v>
      </c>
      <c r="D644" t="s">
        <v>78</v>
      </c>
      <c r="E644" t="s">
        <v>57</v>
      </c>
      <c r="F644" t="s">
        <v>57</v>
      </c>
      <c r="G644" t="s">
        <v>109</v>
      </c>
      <c r="H644" t="s">
        <v>242</v>
      </c>
      <c r="I644" t="s">
        <v>78</v>
      </c>
      <c r="J644" t="s">
        <v>42</v>
      </c>
      <c r="K644" t="s">
        <v>87</v>
      </c>
      <c r="L644" s="25">
        <v>44030</v>
      </c>
      <c r="M644">
        <v>7</v>
      </c>
      <c r="N644">
        <v>2020</v>
      </c>
      <c r="O644" t="s">
        <v>110</v>
      </c>
      <c r="P644">
        <v>170</v>
      </c>
      <c r="Q644" s="17">
        <v>44030.456001273145</v>
      </c>
      <c r="R644" t="s">
        <v>111</v>
      </c>
    </row>
    <row r="645" spans="1:18" x14ac:dyDescent="0.3">
      <c r="A645">
        <v>244470</v>
      </c>
      <c r="B645" t="s">
        <v>72</v>
      </c>
      <c r="C645">
        <v>1329277</v>
      </c>
      <c r="D645" t="s">
        <v>108</v>
      </c>
      <c r="E645" t="s">
        <v>58</v>
      </c>
      <c r="F645" t="s">
        <v>58</v>
      </c>
      <c r="G645" t="s">
        <v>114</v>
      </c>
      <c r="H645" t="s">
        <v>229</v>
      </c>
      <c r="I645" t="s">
        <v>84</v>
      </c>
      <c r="J645" t="s">
        <v>85</v>
      </c>
      <c r="K645" t="s">
        <v>87</v>
      </c>
      <c r="L645" s="25">
        <v>44030</v>
      </c>
      <c r="M645">
        <v>7</v>
      </c>
      <c r="N645">
        <v>2020</v>
      </c>
      <c r="O645" t="s">
        <v>110</v>
      </c>
      <c r="P645">
        <v>170</v>
      </c>
      <c r="Q645" s="17">
        <v>44030.461055092594</v>
      </c>
      <c r="R645" t="s">
        <v>121</v>
      </c>
    </row>
    <row r="646" spans="1:18" x14ac:dyDescent="0.3">
      <c r="A646">
        <v>244531</v>
      </c>
      <c r="B646" t="s">
        <v>78</v>
      </c>
      <c r="C646">
        <v>1329377</v>
      </c>
      <c r="D646" t="s">
        <v>78</v>
      </c>
      <c r="E646" t="s">
        <v>117</v>
      </c>
      <c r="F646" t="s">
        <v>117</v>
      </c>
      <c r="G646" t="s">
        <v>59</v>
      </c>
      <c r="H646" t="s">
        <v>230</v>
      </c>
      <c r="I646" t="s">
        <v>78</v>
      </c>
      <c r="J646" t="s">
        <v>42</v>
      </c>
      <c r="K646" t="s">
        <v>91</v>
      </c>
      <c r="L646" s="25">
        <v>44030</v>
      </c>
      <c r="M646">
        <v>7</v>
      </c>
      <c r="N646">
        <v>2020</v>
      </c>
      <c r="O646" t="s">
        <v>110</v>
      </c>
      <c r="P646">
        <v>170</v>
      </c>
      <c r="Q646" s="17">
        <v>44030.441564004628</v>
      </c>
      <c r="R646" t="s">
        <v>118</v>
      </c>
    </row>
    <row r="647" spans="1:18" x14ac:dyDescent="0.3">
      <c r="A647">
        <v>9685901</v>
      </c>
      <c r="B647" t="s">
        <v>78</v>
      </c>
      <c r="C647">
        <v>1329424</v>
      </c>
      <c r="D647" t="s">
        <v>78</v>
      </c>
      <c r="E647">
        <v>820</v>
      </c>
      <c r="F647">
        <v>820</v>
      </c>
      <c r="G647" t="s">
        <v>136</v>
      </c>
      <c r="H647" t="s">
        <v>250</v>
      </c>
      <c r="I647" t="s">
        <v>78</v>
      </c>
      <c r="J647" t="s">
        <v>42</v>
      </c>
      <c r="K647" t="s">
        <v>83</v>
      </c>
      <c r="L647" s="25">
        <v>44030</v>
      </c>
      <c r="M647">
        <v>7</v>
      </c>
      <c r="N647">
        <v>2020</v>
      </c>
      <c r="O647" t="s">
        <v>110</v>
      </c>
      <c r="P647">
        <v>170</v>
      </c>
      <c r="Q647" s="17">
        <v>44030.46906747685</v>
      </c>
      <c r="R647" t="s">
        <v>126</v>
      </c>
    </row>
    <row r="648" spans="1:18" x14ac:dyDescent="0.3">
      <c r="A648">
        <v>9685714</v>
      </c>
      <c r="B648" t="s">
        <v>78</v>
      </c>
      <c r="C648">
        <v>1329407</v>
      </c>
      <c r="D648" t="s">
        <v>78</v>
      </c>
      <c r="E648">
        <v>820</v>
      </c>
      <c r="F648">
        <v>820</v>
      </c>
      <c r="G648" t="s">
        <v>136</v>
      </c>
      <c r="H648" t="s">
        <v>250</v>
      </c>
      <c r="I648" t="s">
        <v>78</v>
      </c>
      <c r="J648" t="s">
        <v>42</v>
      </c>
      <c r="K648" t="s">
        <v>83</v>
      </c>
      <c r="L648" s="25">
        <v>44030</v>
      </c>
      <c r="M648">
        <v>7</v>
      </c>
      <c r="N648">
        <v>2020</v>
      </c>
      <c r="O648" t="s">
        <v>110</v>
      </c>
      <c r="P648">
        <v>170</v>
      </c>
      <c r="Q648" s="17">
        <v>44030.46802615741</v>
      </c>
      <c r="R648" t="s">
        <v>126</v>
      </c>
    </row>
    <row r="649" spans="1:18" x14ac:dyDescent="0.3">
      <c r="A649">
        <v>9687020</v>
      </c>
      <c r="B649" t="s">
        <v>80</v>
      </c>
      <c r="C649">
        <v>1330243</v>
      </c>
      <c r="D649" t="s">
        <v>122</v>
      </c>
      <c r="E649" t="s">
        <v>146</v>
      </c>
      <c r="F649" t="s">
        <v>17</v>
      </c>
      <c r="G649" t="s">
        <v>153</v>
      </c>
      <c r="H649" t="s">
        <v>228</v>
      </c>
      <c r="I649" t="s">
        <v>84</v>
      </c>
      <c r="J649" t="s">
        <v>85</v>
      </c>
      <c r="K649" t="s">
        <v>87</v>
      </c>
      <c r="L649" s="25">
        <v>44030</v>
      </c>
      <c r="M649">
        <v>7</v>
      </c>
      <c r="N649">
        <v>2020</v>
      </c>
      <c r="O649" t="s">
        <v>110</v>
      </c>
      <c r="P649">
        <v>170</v>
      </c>
      <c r="Q649" s="17">
        <v>44030.137029861115</v>
      </c>
      <c r="R649" t="s">
        <v>126</v>
      </c>
    </row>
    <row r="650" spans="1:18" x14ac:dyDescent="0.3">
      <c r="A650">
        <v>244701</v>
      </c>
      <c r="B650" t="s">
        <v>78</v>
      </c>
      <c r="C650">
        <v>1330094</v>
      </c>
      <c r="D650" t="s">
        <v>78</v>
      </c>
      <c r="E650">
        <v>4138</v>
      </c>
      <c r="F650" t="s">
        <v>17</v>
      </c>
      <c r="G650" t="s">
        <v>129</v>
      </c>
      <c r="H650" t="s">
        <v>134</v>
      </c>
      <c r="I650" t="s">
        <v>78</v>
      </c>
      <c r="J650" t="s">
        <v>42</v>
      </c>
      <c r="K650" t="s">
        <v>87</v>
      </c>
      <c r="L650" s="25">
        <v>44030</v>
      </c>
      <c r="M650">
        <v>7</v>
      </c>
      <c r="N650">
        <v>2020</v>
      </c>
      <c r="O650" t="s">
        <v>110</v>
      </c>
      <c r="P650">
        <v>170</v>
      </c>
      <c r="Q650" s="17">
        <v>44030.487429398148</v>
      </c>
      <c r="R650" t="s">
        <v>126</v>
      </c>
    </row>
    <row r="651" spans="1:18" x14ac:dyDescent="0.3">
      <c r="A651">
        <v>9680866</v>
      </c>
      <c r="B651" t="s">
        <v>78</v>
      </c>
      <c r="C651">
        <v>1323791</v>
      </c>
      <c r="D651" t="s">
        <v>78</v>
      </c>
      <c r="E651">
        <v>966</v>
      </c>
      <c r="F651">
        <v>966</v>
      </c>
      <c r="G651" t="s">
        <v>139</v>
      </c>
      <c r="H651" t="s">
        <v>257</v>
      </c>
      <c r="I651" t="s">
        <v>78</v>
      </c>
      <c r="J651" t="s">
        <v>42</v>
      </c>
      <c r="K651" t="s">
        <v>87</v>
      </c>
      <c r="L651" s="25">
        <v>44030</v>
      </c>
      <c r="M651">
        <v>7</v>
      </c>
      <c r="N651">
        <v>2020</v>
      </c>
      <c r="O651" t="s">
        <v>110</v>
      </c>
      <c r="P651">
        <v>170</v>
      </c>
      <c r="Q651" s="17">
        <v>44030.470932407407</v>
      </c>
      <c r="R651" t="s">
        <v>126</v>
      </c>
    </row>
    <row r="652" spans="1:18" x14ac:dyDescent="0.3">
      <c r="A652">
        <v>9684048</v>
      </c>
      <c r="B652" t="s">
        <v>72</v>
      </c>
      <c r="C652">
        <v>1335810</v>
      </c>
      <c r="D652" t="s">
        <v>108</v>
      </c>
      <c r="E652" t="s">
        <v>26</v>
      </c>
      <c r="F652" t="s">
        <v>26</v>
      </c>
      <c r="G652" t="s">
        <v>137</v>
      </c>
      <c r="H652" t="s">
        <v>229</v>
      </c>
      <c r="I652" t="s">
        <v>84</v>
      </c>
      <c r="J652" t="s">
        <v>85</v>
      </c>
      <c r="K652" t="s">
        <v>83</v>
      </c>
      <c r="L652" s="25">
        <v>44030</v>
      </c>
      <c r="M652">
        <v>7</v>
      </c>
      <c r="N652">
        <v>2020</v>
      </c>
      <c r="O652" t="s">
        <v>110</v>
      </c>
      <c r="P652">
        <v>170</v>
      </c>
      <c r="Q652" s="17">
        <v>44031.126851851855</v>
      </c>
      <c r="R652" t="s">
        <v>126</v>
      </c>
    </row>
    <row r="653" spans="1:18" x14ac:dyDescent="0.3">
      <c r="A653">
        <v>9685789</v>
      </c>
      <c r="B653" t="s">
        <v>78</v>
      </c>
      <c r="C653">
        <v>1329224</v>
      </c>
      <c r="D653" t="s">
        <v>78</v>
      </c>
      <c r="E653">
        <v>820</v>
      </c>
      <c r="F653">
        <v>820</v>
      </c>
      <c r="G653" t="s">
        <v>136</v>
      </c>
      <c r="H653" t="s">
        <v>250</v>
      </c>
      <c r="I653" t="s">
        <v>78</v>
      </c>
      <c r="J653" t="s">
        <v>42</v>
      </c>
      <c r="K653" t="s">
        <v>83</v>
      </c>
      <c r="L653" s="25">
        <v>44030</v>
      </c>
      <c r="M653">
        <v>7</v>
      </c>
      <c r="N653">
        <v>2020</v>
      </c>
      <c r="O653" t="s">
        <v>110</v>
      </c>
      <c r="P653">
        <v>170</v>
      </c>
      <c r="Q653" s="17">
        <v>44030.452810532406</v>
      </c>
      <c r="R653" t="s">
        <v>126</v>
      </c>
    </row>
    <row r="654" spans="1:18" x14ac:dyDescent="0.3">
      <c r="A654">
        <v>9685635</v>
      </c>
      <c r="B654" t="s">
        <v>78</v>
      </c>
      <c r="C654">
        <v>1329524</v>
      </c>
      <c r="D654" t="s">
        <v>78</v>
      </c>
      <c r="E654">
        <v>820</v>
      </c>
      <c r="F654">
        <v>820</v>
      </c>
      <c r="G654" t="s">
        <v>136</v>
      </c>
      <c r="H654" t="s">
        <v>250</v>
      </c>
      <c r="I654" t="s">
        <v>78</v>
      </c>
      <c r="J654" t="s">
        <v>42</v>
      </c>
      <c r="K654" t="s">
        <v>83</v>
      </c>
      <c r="L654" s="25">
        <v>44030</v>
      </c>
      <c r="M654">
        <v>7</v>
      </c>
      <c r="N654">
        <v>2020</v>
      </c>
      <c r="O654" t="s">
        <v>110</v>
      </c>
      <c r="P654">
        <v>170</v>
      </c>
      <c r="Q654" s="17">
        <v>44030.474661689812</v>
      </c>
      <c r="R654" t="s">
        <v>126</v>
      </c>
    </row>
    <row r="655" spans="1:18" x14ac:dyDescent="0.3">
      <c r="A655">
        <v>9685646</v>
      </c>
      <c r="B655" t="s">
        <v>78</v>
      </c>
      <c r="C655">
        <v>1329573</v>
      </c>
      <c r="D655" t="s">
        <v>78</v>
      </c>
      <c r="E655">
        <v>820</v>
      </c>
      <c r="F655">
        <v>820</v>
      </c>
      <c r="G655" t="s">
        <v>136</v>
      </c>
      <c r="H655" t="s">
        <v>249</v>
      </c>
      <c r="I655" t="s">
        <v>78</v>
      </c>
      <c r="J655" t="s">
        <v>42</v>
      </c>
      <c r="K655" t="s">
        <v>83</v>
      </c>
      <c r="L655" s="25">
        <v>44030</v>
      </c>
      <c r="M655">
        <v>7</v>
      </c>
      <c r="N655">
        <v>2020</v>
      </c>
      <c r="O655" t="s">
        <v>110</v>
      </c>
      <c r="P655">
        <v>170</v>
      </c>
      <c r="Q655" s="17">
        <v>44030.480528125001</v>
      </c>
      <c r="R655" t="s">
        <v>126</v>
      </c>
    </row>
    <row r="656" spans="1:18" x14ac:dyDescent="0.3">
      <c r="A656">
        <v>9687245</v>
      </c>
      <c r="B656" t="s">
        <v>78</v>
      </c>
      <c r="C656">
        <v>1330160</v>
      </c>
      <c r="D656" t="s">
        <v>78</v>
      </c>
      <c r="E656" t="s">
        <v>12</v>
      </c>
      <c r="F656" t="s">
        <v>12</v>
      </c>
      <c r="G656" t="s">
        <v>135</v>
      </c>
      <c r="H656" t="s">
        <v>251</v>
      </c>
      <c r="I656" t="s">
        <v>78</v>
      </c>
      <c r="J656" t="s">
        <v>42</v>
      </c>
      <c r="K656" t="s">
        <v>83</v>
      </c>
      <c r="L656" s="25">
        <v>44030</v>
      </c>
      <c r="M656">
        <v>7</v>
      </c>
      <c r="N656">
        <v>2020</v>
      </c>
      <c r="O656" t="s">
        <v>110</v>
      </c>
      <c r="P656">
        <v>170</v>
      </c>
      <c r="Q656" s="17">
        <v>44030.472602199072</v>
      </c>
      <c r="R656" t="s">
        <v>126</v>
      </c>
    </row>
    <row r="657" spans="1:18" x14ac:dyDescent="0.3">
      <c r="A657">
        <v>9665105</v>
      </c>
      <c r="B657" t="s">
        <v>72</v>
      </c>
      <c r="C657">
        <v>1326450</v>
      </c>
      <c r="D657" t="s">
        <v>108</v>
      </c>
      <c r="E657" t="s">
        <v>26</v>
      </c>
      <c r="F657" t="s">
        <v>26</v>
      </c>
      <c r="G657" t="s">
        <v>137</v>
      </c>
      <c r="H657" t="s">
        <v>229</v>
      </c>
      <c r="I657" t="s">
        <v>84</v>
      </c>
      <c r="J657" t="s">
        <v>85</v>
      </c>
      <c r="K657" t="s">
        <v>83</v>
      </c>
      <c r="L657" s="25">
        <v>44030</v>
      </c>
      <c r="M657">
        <v>7</v>
      </c>
      <c r="N657">
        <v>2020</v>
      </c>
      <c r="O657" t="s">
        <v>110</v>
      </c>
      <c r="P657">
        <v>170</v>
      </c>
      <c r="Q657" s="17">
        <v>44030.276098148148</v>
      </c>
      <c r="R657" t="s">
        <v>126</v>
      </c>
    </row>
    <row r="658" spans="1:18" x14ac:dyDescent="0.3">
      <c r="A658">
        <v>9685631</v>
      </c>
      <c r="B658" t="s">
        <v>78</v>
      </c>
      <c r="C658">
        <v>1328671</v>
      </c>
      <c r="D658" t="s">
        <v>78</v>
      </c>
      <c r="E658">
        <v>820</v>
      </c>
      <c r="F658">
        <v>820</v>
      </c>
      <c r="G658" t="s">
        <v>136</v>
      </c>
      <c r="H658" t="s">
        <v>250</v>
      </c>
      <c r="I658" t="s">
        <v>78</v>
      </c>
      <c r="J658" t="s">
        <v>42</v>
      </c>
      <c r="K658" t="s">
        <v>83</v>
      </c>
      <c r="L658" s="25">
        <v>44030</v>
      </c>
      <c r="M658">
        <v>7</v>
      </c>
      <c r="N658">
        <v>2020</v>
      </c>
      <c r="O658" t="s">
        <v>110</v>
      </c>
      <c r="P658">
        <v>170</v>
      </c>
      <c r="Q658" s="17">
        <v>44030.424602314815</v>
      </c>
      <c r="R658" t="s">
        <v>126</v>
      </c>
    </row>
    <row r="659" spans="1:18" x14ac:dyDescent="0.3">
      <c r="A659">
        <v>9685805</v>
      </c>
      <c r="B659" t="s">
        <v>78</v>
      </c>
      <c r="C659">
        <v>1329507</v>
      </c>
      <c r="D659" t="s">
        <v>78</v>
      </c>
      <c r="E659">
        <v>820</v>
      </c>
      <c r="F659">
        <v>820</v>
      </c>
      <c r="G659" t="s">
        <v>136</v>
      </c>
      <c r="H659" t="s">
        <v>250</v>
      </c>
      <c r="I659" t="s">
        <v>78</v>
      </c>
      <c r="J659" t="s">
        <v>42</v>
      </c>
      <c r="K659" t="s">
        <v>83</v>
      </c>
      <c r="L659" s="25">
        <v>44030</v>
      </c>
      <c r="M659">
        <v>7</v>
      </c>
      <c r="N659">
        <v>2020</v>
      </c>
      <c r="O659" t="s">
        <v>110</v>
      </c>
      <c r="P659">
        <v>170</v>
      </c>
      <c r="Q659" s="17">
        <v>44030.473049768516</v>
      </c>
      <c r="R659" t="s">
        <v>126</v>
      </c>
    </row>
    <row r="660" spans="1:18" x14ac:dyDescent="0.3">
      <c r="A660">
        <v>9685654</v>
      </c>
      <c r="B660" t="s">
        <v>78</v>
      </c>
      <c r="C660">
        <v>1329358</v>
      </c>
      <c r="D660" t="s">
        <v>78</v>
      </c>
      <c r="E660">
        <v>820</v>
      </c>
      <c r="F660">
        <v>820</v>
      </c>
      <c r="G660" t="s">
        <v>136</v>
      </c>
      <c r="H660" t="s">
        <v>250</v>
      </c>
      <c r="I660" t="s">
        <v>78</v>
      </c>
      <c r="J660" t="s">
        <v>42</v>
      </c>
      <c r="K660" t="s">
        <v>83</v>
      </c>
      <c r="L660" s="25">
        <v>44030</v>
      </c>
      <c r="M660">
        <v>7</v>
      </c>
      <c r="N660">
        <v>2020</v>
      </c>
      <c r="O660" t="s">
        <v>110</v>
      </c>
      <c r="P660">
        <v>170</v>
      </c>
      <c r="Q660" s="17">
        <v>44030.461394444443</v>
      </c>
      <c r="R660" t="s">
        <v>126</v>
      </c>
    </row>
    <row r="661" spans="1:18" x14ac:dyDescent="0.3">
      <c r="A661">
        <v>9687436</v>
      </c>
      <c r="B661" t="s">
        <v>78</v>
      </c>
      <c r="C661">
        <v>1330194</v>
      </c>
      <c r="D661" t="s">
        <v>78</v>
      </c>
      <c r="E661" t="s">
        <v>131</v>
      </c>
      <c r="F661" t="s">
        <v>17</v>
      </c>
      <c r="G661" t="s">
        <v>132</v>
      </c>
      <c r="H661" t="s">
        <v>134</v>
      </c>
      <c r="I661" t="s">
        <v>78</v>
      </c>
      <c r="J661" t="s">
        <v>42</v>
      </c>
      <c r="K661" t="s">
        <v>87</v>
      </c>
      <c r="L661" s="25">
        <v>44030</v>
      </c>
      <c r="M661">
        <v>7</v>
      </c>
      <c r="N661">
        <v>2020</v>
      </c>
      <c r="O661" t="s">
        <v>110</v>
      </c>
      <c r="P661">
        <v>170</v>
      </c>
      <c r="Q661" s="17">
        <v>44030.489927430557</v>
      </c>
      <c r="R661" t="s">
        <v>126</v>
      </c>
    </row>
    <row r="662" spans="1:18" x14ac:dyDescent="0.3">
      <c r="A662">
        <v>9680693</v>
      </c>
      <c r="B662" t="s">
        <v>72</v>
      </c>
      <c r="C662">
        <v>1334153</v>
      </c>
      <c r="D662" t="s">
        <v>108</v>
      </c>
      <c r="E662" t="s">
        <v>12</v>
      </c>
      <c r="F662" t="s">
        <v>12</v>
      </c>
      <c r="G662" t="s">
        <v>135</v>
      </c>
      <c r="H662" t="s">
        <v>229</v>
      </c>
      <c r="I662" t="s">
        <v>84</v>
      </c>
      <c r="J662" t="s">
        <v>85</v>
      </c>
      <c r="K662" t="s">
        <v>83</v>
      </c>
      <c r="L662" s="25">
        <v>44030</v>
      </c>
      <c r="M662">
        <v>7</v>
      </c>
      <c r="N662">
        <v>2020</v>
      </c>
      <c r="O662" t="s">
        <v>110</v>
      </c>
      <c r="P662">
        <v>170</v>
      </c>
      <c r="Q662" s="17">
        <v>44031.084654861108</v>
      </c>
      <c r="R662" t="s">
        <v>126</v>
      </c>
    </row>
    <row r="663" spans="1:18" x14ac:dyDescent="0.3">
      <c r="A663">
        <v>241760</v>
      </c>
      <c r="B663" t="s">
        <v>80</v>
      </c>
      <c r="C663">
        <v>1322772</v>
      </c>
      <c r="D663" t="s">
        <v>122</v>
      </c>
      <c r="E663" t="s">
        <v>26</v>
      </c>
      <c r="F663" t="s">
        <v>26</v>
      </c>
      <c r="G663" t="s">
        <v>137</v>
      </c>
      <c r="H663" t="s">
        <v>277</v>
      </c>
      <c r="I663" t="s">
        <v>84</v>
      </c>
      <c r="J663" t="s">
        <v>85</v>
      </c>
      <c r="K663" t="s">
        <v>83</v>
      </c>
      <c r="L663" s="25">
        <v>44030</v>
      </c>
      <c r="M663">
        <v>7</v>
      </c>
      <c r="N663">
        <v>2020</v>
      </c>
      <c r="O663" t="s">
        <v>110</v>
      </c>
      <c r="P663">
        <v>170</v>
      </c>
      <c r="Q663" s="17">
        <v>44029.813564004631</v>
      </c>
      <c r="R663" t="s">
        <v>126</v>
      </c>
    </row>
    <row r="664" spans="1:18" x14ac:dyDescent="0.3">
      <c r="A664">
        <v>21527566</v>
      </c>
      <c r="B664" t="s">
        <v>78</v>
      </c>
      <c r="C664">
        <v>1326616</v>
      </c>
      <c r="D664" t="s">
        <v>78</v>
      </c>
      <c r="E664">
        <v>966</v>
      </c>
      <c r="F664">
        <v>966</v>
      </c>
      <c r="G664" t="s">
        <v>139</v>
      </c>
      <c r="H664" t="s">
        <v>105</v>
      </c>
      <c r="I664" t="s">
        <v>78</v>
      </c>
      <c r="J664" t="s">
        <v>42</v>
      </c>
      <c r="K664" t="s">
        <v>87</v>
      </c>
      <c r="L664" s="25">
        <v>44030</v>
      </c>
      <c r="M664">
        <v>7</v>
      </c>
      <c r="N664">
        <v>2020</v>
      </c>
      <c r="O664" t="s">
        <v>110</v>
      </c>
      <c r="P664">
        <v>170</v>
      </c>
      <c r="Q664" s="17">
        <v>44031.031565740741</v>
      </c>
      <c r="R664" t="s">
        <v>126</v>
      </c>
    </row>
    <row r="665" spans="1:18" x14ac:dyDescent="0.3">
      <c r="A665">
        <v>9687026</v>
      </c>
      <c r="B665" t="s">
        <v>80</v>
      </c>
      <c r="C665">
        <v>1330260</v>
      </c>
      <c r="D665" t="s">
        <v>113</v>
      </c>
      <c r="E665" t="s">
        <v>146</v>
      </c>
      <c r="F665" t="s">
        <v>17</v>
      </c>
      <c r="G665" t="s">
        <v>153</v>
      </c>
      <c r="H665" t="s">
        <v>232</v>
      </c>
      <c r="I665" t="s">
        <v>84</v>
      </c>
      <c r="J665" t="s">
        <v>85</v>
      </c>
      <c r="K665" t="s">
        <v>87</v>
      </c>
      <c r="L665" s="25">
        <v>44030</v>
      </c>
      <c r="M665">
        <v>7</v>
      </c>
      <c r="N665">
        <v>2020</v>
      </c>
      <c r="O665" t="s">
        <v>110</v>
      </c>
      <c r="P665">
        <v>170</v>
      </c>
      <c r="Q665" s="17">
        <v>44030.498316898149</v>
      </c>
      <c r="R665" t="s">
        <v>126</v>
      </c>
    </row>
    <row r="666" spans="1:18" x14ac:dyDescent="0.3">
      <c r="A666">
        <v>9685749</v>
      </c>
      <c r="B666" t="s">
        <v>78</v>
      </c>
      <c r="C666">
        <v>1329023</v>
      </c>
      <c r="D666" t="s">
        <v>78</v>
      </c>
      <c r="E666">
        <v>820</v>
      </c>
      <c r="F666">
        <v>820</v>
      </c>
      <c r="G666" t="s">
        <v>136</v>
      </c>
      <c r="H666" t="s">
        <v>249</v>
      </c>
      <c r="I666" t="s">
        <v>78</v>
      </c>
      <c r="J666" t="s">
        <v>42</v>
      </c>
      <c r="K666" t="s">
        <v>83</v>
      </c>
      <c r="L666" s="25">
        <v>44030</v>
      </c>
      <c r="M666">
        <v>7</v>
      </c>
      <c r="N666">
        <v>2020</v>
      </c>
      <c r="O666" t="s">
        <v>110</v>
      </c>
      <c r="P666">
        <v>170</v>
      </c>
      <c r="Q666" s="17">
        <v>44030.448560185185</v>
      </c>
      <c r="R666" t="s">
        <v>126</v>
      </c>
    </row>
    <row r="667" spans="1:18" x14ac:dyDescent="0.3">
      <c r="A667">
        <v>9686143</v>
      </c>
      <c r="B667" t="s">
        <v>80</v>
      </c>
      <c r="C667">
        <v>1329593</v>
      </c>
      <c r="D667" t="s">
        <v>113</v>
      </c>
      <c r="E667" t="s">
        <v>146</v>
      </c>
      <c r="F667" t="s">
        <v>17</v>
      </c>
      <c r="G667" t="s">
        <v>153</v>
      </c>
      <c r="H667" t="s">
        <v>232</v>
      </c>
      <c r="I667" t="s">
        <v>84</v>
      </c>
      <c r="J667" t="s">
        <v>85</v>
      </c>
      <c r="K667" t="s">
        <v>87</v>
      </c>
      <c r="L667" s="25">
        <v>44030</v>
      </c>
      <c r="M667">
        <v>7</v>
      </c>
      <c r="N667">
        <v>2020</v>
      </c>
      <c r="O667" t="s">
        <v>110</v>
      </c>
      <c r="P667">
        <v>170</v>
      </c>
      <c r="Q667" s="17">
        <v>44030.430178703704</v>
      </c>
      <c r="R667" t="s">
        <v>126</v>
      </c>
    </row>
    <row r="668" spans="1:18" x14ac:dyDescent="0.3">
      <c r="A668">
        <v>9687235</v>
      </c>
      <c r="B668" t="s">
        <v>72</v>
      </c>
      <c r="C668">
        <v>1331431</v>
      </c>
      <c r="D668" t="s">
        <v>108</v>
      </c>
      <c r="E668" t="s">
        <v>12</v>
      </c>
      <c r="F668" t="s">
        <v>12</v>
      </c>
      <c r="G668" t="s">
        <v>135</v>
      </c>
      <c r="H668" t="s">
        <v>98</v>
      </c>
      <c r="I668" t="s">
        <v>82</v>
      </c>
      <c r="J668" t="s">
        <v>42</v>
      </c>
      <c r="K668" t="s">
        <v>83</v>
      </c>
      <c r="L668" s="25">
        <v>44030</v>
      </c>
      <c r="M668">
        <v>7</v>
      </c>
      <c r="N668">
        <v>2020</v>
      </c>
      <c r="O668" t="s">
        <v>110</v>
      </c>
      <c r="P668">
        <v>170</v>
      </c>
      <c r="Q668" s="17">
        <v>44030.487659953702</v>
      </c>
      <c r="R668" t="s">
        <v>126</v>
      </c>
    </row>
    <row r="669" spans="1:18" x14ac:dyDescent="0.3">
      <c r="A669">
        <v>9686711</v>
      </c>
      <c r="B669" t="s">
        <v>80</v>
      </c>
      <c r="C669">
        <v>1329742</v>
      </c>
      <c r="D669" t="s">
        <v>113</v>
      </c>
      <c r="E669" t="s">
        <v>146</v>
      </c>
      <c r="F669" t="s">
        <v>17</v>
      </c>
      <c r="G669" t="s">
        <v>153</v>
      </c>
      <c r="H669" t="s">
        <v>232</v>
      </c>
      <c r="I669" t="s">
        <v>84</v>
      </c>
      <c r="J669" t="s">
        <v>85</v>
      </c>
      <c r="K669" t="s">
        <v>87</v>
      </c>
      <c r="L669" s="25">
        <v>44030</v>
      </c>
      <c r="M669">
        <v>7</v>
      </c>
      <c r="N669">
        <v>2020</v>
      </c>
      <c r="O669" t="s">
        <v>110</v>
      </c>
      <c r="P669">
        <v>170</v>
      </c>
      <c r="Q669" s="17">
        <v>44030.461565625003</v>
      </c>
      <c r="R669" t="s">
        <v>126</v>
      </c>
    </row>
    <row r="670" spans="1:18" x14ac:dyDescent="0.3">
      <c r="A670">
        <v>9675566</v>
      </c>
      <c r="B670" t="s">
        <v>72</v>
      </c>
      <c r="C670">
        <v>1331614</v>
      </c>
      <c r="D670" t="s">
        <v>108</v>
      </c>
      <c r="E670" t="s">
        <v>26</v>
      </c>
      <c r="F670" t="s">
        <v>26</v>
      </c>
      <c r="G670" t="s">
        <v>137</v>
      </c>
      <c r="H670" t="s">
        <v>229</v>
      </c>
      <c r="I670" t="s">
        <v>84</v>
      </c>
      <c r="J670" t="s">
        <v>85</v>
      </c>
      <c r="K670" t="s">
        <v>83</v>
      </c>
      <c r="L670" s="25">
        <v>44030</v>
      </c>
      <c r="M670">
        <v>7</v>
      </c>
      <c r="N670">
        <v>2020</v>
      </c>
      <c r="O670" t="s">
        <v>110</v>
      </c>
      <c r="P670">
        <v>170</v>
      </c>
      <c r="Q670" s="17">
        <v>44030.38400046296</v>
      </c>
      <c r="R670" t="s">
        <v>126</v>
      </c>
    </row>
    <row r="671" spans="1:18" x14ac:dyDescent="0.3">
      <c r="A671">
        <v>9680496</v>
      </c>
      <c r="B671" t="s">
        <v>80</v>
      </c>
      <c r="C671">
        <v>1322156</v>
      </c>
      <c r="D671" t="s">
        <v>113</v>
      </c>
      <c r="E671">
        <v>966</v>
      </c>
      <c r="F671">
        <v>966</v>
      </c>
      <c r="G671" t="s">
        <v>139</v>
      </c>
      <c r="H671" t="s">
        <v>232</v>
      </c>
      <c r="I671" t="s">
        <v>84</v>
      </c>
      <c r="J671" t="s">
        <v>85</v>
      </c>
      <c r="K671" t="s">
        <v>87</v>
      </c>
      <c r="L671" s="25">
        <v>44030</v>
      </c>
      <c r="M671">
        <v>7</v>
      </c>
      <c r="N671">
        <v>2020</v>
      </c>
      <c r="O671" t="s">
        <v>110</v>
      </c>
      <c r="P671">
        <v>170</v>
      </c>
      <c r="Q671" s="17">
        <v>44030.464745254627</v>
      </c>
      <c r="R671" t="s">
        <v>126</v>
      </c>
    </row>
    <row r="672" spans="1:18" x14ac:dyDescent="0.3">
      <c r="A672">
        <v>9685861</v>
      </c>
      <c r="B672" t="s">
        <v>78</v>
      </c>
      <c r="C672">
        <v>1328691</v>
      </c>
      <c r="D672" t="s">
        <v>78</v>
      </c>
      <c r="E672">
        <v>820</v>
      </c>
      <c r="F672">
        <v>820</v>
      </c>
      <c r="G672" t="s">
        <v>136</v>
      </c>
      <c r="H672" t="s">
        <v>250</v>
      </c>
      <c r="I672" t="s">
        <v>78</v>
      </c>
      <c r="J672" t="s">
        <v>42</v>
      </c>
      <c r="K672" t="s">
        <v>83</v>
      </c>
      <c r="L672" s="25">
        <v>44030</v>
      </c>
      <c r="M672">
        <v>7</v>
      </c>
      <c r="N672">
        <v>2020</v>
      </c>
      <c r="O672" t="s">
        <v>110</v>
      </c>
      <c r="P672">
        <v>170</v>
      </c>
      <c r="Q672" s="17">
        <v>44030.428670254631</v>
      </c>
      <c r="R672" t="s">
        <v>126</v>
      </c>
    </row>
    <row r="673" spans="1:18" x14ac:dyDescent="0.3">
      <c r="A673">
        <v>9686873</v>
      </c>
      <c r="B673" t="s">
        <v>80</v>
      </c>
      <c r="C673">
        <v>1329759</v>
      </c>
      <c r="D673" t="s">
        <v>113</v>
      </c>
      <c r="E673" t="s">
        <v>146</v>
      </c>
      <c r="F673" t="s">
        <v>17</v>
      </c>
      <c r="G673" t="s">
        <v>153</v>
      </c>
      <c r="H673" t="s">
        <v>232</v>
      </c>
      <c r="I673" t="s">
        <v>84</v>
      </c>
      <c r="J673" t="s">
        <v>85</v>
      </c>
      <c r="K673" t="s">
        <v>87</v>
      </c>
      <c r="L673" s="25">
        <v>44030</v>
      </c>
      <c r="M673">
        <v>7</v>
      </c>
      <c r="N673">
        <v>2020</v>
      </c>
      <c r="O673" t="s">
        <v>110</v>
      </c>
      <c r="P673">
        <v>170</v>
      </c>
      <c r="Q673" s="17">
        <v>44030.473254166667</v>
      </c>
      <c r="R673" t="s">
        <v>126</v>
      </c>
    </row>
    <row r="674" spans="1:18" x14ac:dyDescent="0.3">
      <c r="A674">
        <v>9680957</v>
      </c>
      <c r="B674" t="s">
        <v>78</v>
      </c>
      <c r="C674">
        <v>1323794</v>
      </c>
      <c r="D674" t="s">
        <v>78</v>
      </c>
      <c r="E674">
        <v>966</v>
      </c>
      <c r="F674">
        <v>966</v>
      </c>
      <c r="G674" t="s">
        <v>139</v>
      </c>
      <c r="H674" t="s">
        <v>257</v>
      </c>
      <c r="I674" t="s">
        <v>78</v>
      </c>
      <c r="J674" t="s">
        <v>42</v>
      </c>
      <c r="K674" t="s">
        <v>87</v>
      </c>
      <c r="L674" s="25">
        <v>44030</v>
      </c>
      <c r="M674">
        <v>7</v>
      </c>
      <c r="N674">
        <v>2020</v>
      </c>
      <c r="O674" t="s">
        <v>110</v>
      </c>
      <c r="P674">
        <v>170</v>
      </c>
      <c r="Q674" s="17">
        <v>44030.469952777778</v>
      </c>
      <c r="R674" t="s">
        <v>126</v>
      </c>
    </row>
    <row r="675" spans="1:18" x14ac:dyDescent="0.3">
      <c r="A675">
        <v>9685746</v>
      </c>
      <c r="B675" t="s">
        <v>78</v>
      </c>
      <c r="C675">
        <v>1328955</v>
      </c>
      <c r="D675" t="s">
        <v>78</v>
      </c>
      <c r="E675">
        <v>820</v>
      </c>
      <c r="F675">
        <v>820</v>
      </c>
      <c r="G675" t="s">
        <v>136</v>
      </c>
      <c r="H675" t="s">
        <v>250</v>
      </c>
      <c r="I675" t="s">
        <v>78</v>
      </c>
      <c r="J675" t="s">
        <v>42</v>
      </c>
      <c r="K675" t="s">
        <v>83</v>
      </c>
      <c r="L675" s="25">
        <v>44030</v>
      </c>
      <c r="M675">
        <v>7</v>
      </c>
      <c r="N675">
        <v>2020</v>
      </c>
      <c r="O675" t="s">
        <v>110</v>
      </c>
      <c r="P675">
        <v>170</v>
      </c>
      <c r="Q675" s="17">
        <v>44030.44332337963</v>
      </c>
      <c r="R675" t="s">
        <v>126</v>
      </c>
    </row>
    <row r="676" spans="1:18" x14ac:dyDescent="0.3">
      <c r="A676">
        <v>9686870</v>
      </c>
      <c r="B676" t="s">
        <v>80</v>
      </c>
      <c r="C676">
        <v>1329793</v>
      </c>
      <c r="D676" t="s">
        <v>113</v>
      </c>
      <c r="E676" t="s">
        <v>146</v>
      </c>
      <c r="F676" t="s">
        <v>17</v>
      </c>
      <c r="G676" t="s">
        <v>153</v>
      </c>
      <c r="H676" t="s">
        <v>232</v>
      </c>
      <c r="I676" t="s">
        <v>84</v>
      </c>
      <c r="J676" t="s">
        <v>85</v>
      </c>
      <c r="K676" t="s">
        <v>87</v>
      </c>
      <c r="L676" s="25">
        <v>44030</v>
      </c>
      <c r="M676">
        <v>7</v>
      </c>
      <c r="N676">
        <v>2020</v>
      </c>
      <c r="O676" t="s">
        <v>110</v>
      </c>
      <c r="P676">
        <v>170</v>
      </c>
      <c r="Q676" s="17">
        <v>44030.470108680558</v>
      </c>
      <c r="R676" t="s">
        <v>126</v>
      </c>
    </row>
    <row r="677" spans="1:18" x14ac:dyDescent="0.3">
      <c r="A677">
        <v>9686540</v>
      </c>
      <c r="B677" t="s">
        <v>80</v>
      </c>
      <c r="C677">
        <v>1329891</v>
      </c>
      <c r="D677" t="s">
        <v>113</v>
      </c>
      <c r="E677" t="s">
        <v>146</v>
      </c>
      <c r="F677" t="s">
        <v>17</v>
      </c>
      <c r="G677" t="s">
        <v>153</v>
      </c>
      <c r="H677" t="s">
        <v>232</v>
      </c>
      <c r="I677" t="s">
        <v>84</v>
      </c>
      <c r="J677" t="s">
        <v>85</v>
      </c>
      <c r="K677" t="s">
        <v>87</v>
      </c>
      <c r="L677" s="25">
        <v>44030</v>
      </c>
      <c r="M677">
        <v>7</v>
      </c>
      <c r="N677">
        <v>2020</v>
      </c>
      <c r="O677" t="s">
        <v>110</v>
      </c>
      <c r="P677">
        <v>170</v>
      </c>
      <c r="Q677" s="17">
        <v>44030.482088425924</v>
      </c>
      <c r="R677" t="s">
        <v>126</v>
      </c>
    </row>
    <row r="678" spans="1:18" x14ac:dyDescent="0.3">
      <c r="A678">
        <v>9684868</v>
      </c>
      <c r="B678" t="s">
        <v>72</v>
      </c>
      <c r="C678">
        <v>1329576</v>
      </c>
      <c r="D678" t="s">
        <v>108</v>
      </c>
      <c r="E678" t="s">
        <v>12</v>
      </c>
      <c r="F678" t="s">
        <v>12</v>
      </c>
      <c r="G678" t="s">
        <v>135</v>
      </c>
      <c r="H678" t="s">
        <v>98</v>
      </c>
      <c r="I678" t="s">
        <v>82</v>
      </c>
      <c r="J678" t="s">
        <v>42</v>
      </c>
      <c r="K678" t="s">
        <v>83</v>
      </c>
      <c r="L678" s="25">
        <v>44030</v>
      </c>
      <c r="M678">
        <v>7</v>
      </c>
      <c r="N678">
        <v>2020</v>
      </c>
      <c r="O678" t="s">
        <v>110</v>
      </c>
      <c r="P678">
        <v>170</v>
      </c>
      <c r="Q678" s="17">
        <v>44030.458409953702</v>
      </c>
      <c r="R678" t="s">
        <v>126</v>
      </c>
    </row>
    <row r="679" spans="1:18" x14ac:dyDescent="0.3">
      <c r="A679">
        <v>9685650</v>
      </c>
      <c r="B679" t="s">
        <v>72</v>
      </c>
      <c r="C679">
        <v>1328674</v>
      </c>
      <c r="D679" t="s">
        <v>108</v>
      </c>
      <c r="E679">
        <v>820</v>
      </c>
      <c r="F679">
        <v>820</v>
      </c>
      <c r="G679" t="s">
        <v>136</v>
      </c>
      <c r="H679" t="s">
        <v>270</v>
      </c>
      <c r="I679" t="s">
        <v>82</v>
      </c>
      <c r="J679" t="s">
        <v>42</v>
      </c>
      <c r="K679" t="s">
        <v>83</v>
      </c>
      <c r="L679" s="25">
        <v>44030</v>
      </c>
      <c r="M679">
        <v>7</v>
      </c>
      <c r="N679">
        <v>2020</v>
      </c>
      <c r="O679" t="s">
        <v>110</v>
      </c>
      <c r="P679">
        <v>170</v>
      </c>
      <c r="Q679" s="17">
        <v>44030.426606828703</v>
      </c>
      <c r="R679" t="s">
        <v>126</v>
      </c>
    </row>
    <row r="680" spans="1:18" x14ac:dyDescent="0.3">
      <c r="A680">
        <v>9686733</v>
      </c>
      <c r="B680" t="s">
        <v>80</v>
      </c>
      <c r="C680">
        <v>1329776</v>
      </c>
      <c r="D680" t="s">
        <v>113</v>
      </c>
      <c r="E680" t="s">
        <v>146</v>
      </c>
      <c r="F680" t="s">
        <v>17</v>
      </c>
      <c r="G680" t="s">
        <v>153</v>
      </c>
      <c r="H680" t="s">
        <v>232</v>
      </c>
      <c r="I680" t="s">
        <v>84</v>
      </c>
      <c r="J680" t="s">
        <v>85</v>
      </c>
      <c r="K680" t="s">
        <v>87</v>
      </c>
      <c r="L680" s="25">
        <v>44030</v>
      </c>
      <c r="M680">
        <v>7</v>
      </c>
      <c r="N680">
        <v>2020</v>
      </c>
      <c r="O680" t="s">
        <v>110</v>
      </c>
      <c r="P680">
        <v>170</v>
      </c>
      <c r="Q680" s="17">
        <v>44030.469921296295</v>
      </c>
      <c r="R680" t="s">
        <v>126</v>
      </c>
    </row>
    <row r="681" spans="1:18" x14ac:dyDescent="0.3">
      <c r="A681">
        <v>241844</v>
      </c>
      <c r="B681" t="s">
        <v>72</v>
      </c>
      <c r="C681">
        <v>1322442</v>
      </c>
      <c r="D681" t="s">
        <v>108</v>
      </c>
      <c r="E681" t="s">
        <v>124</v>
      </c>
      <c r="F681" t="s">
        <v>17</v>
      </c>
      <c r="G681" t="s">
        <v>125</v>
      </c>
      <c r="H681" t="s">
        <v>263</v>
      </c>
      <c r="I681" t="s">
        <v>82</v>
      </c>
      <c r="J681" t="s">
        <v>42</v>
      </c>
      <c r="K681" t="s">
        <v>87</v>
      </c>
      <c r="L681" s="25">
        <v>44030</v>
      </c>
      <c r="M681">
        <v>7</v>
      </c>
      <c r="N681">
        <v>2020</v>
      </c>
      <c r="O681" t="s">
        <v>110</v>
      </c>
      <c r="P681">
        <v>170</v>
      </c>
      <c r="Q681" s="17">
        <v>44030.495194791663</v>
      </c>
      <c r="R681" t="s">
        <v>126</v>
      </c>
    </row>
    <row r="682" spans="1:18" x14ac:dyDescent="0.3">
      <c r="A682">
        <v>9686939</v>
      </c>
      <c r="B682" t="s">
        <v>80</v>
      </c>
      <c r="C682">
        <v>1329830</v>
      </c>
      <c r="D682" t="s">
        <v>113</v>
      </c>
      <c r="E682" t="s">
        <v>146</v>
      </c>
      <c r="F682" t="s">
        <v>17</v>
      </c>
      <c r="G682" t="s">
        <v>153</v>
      </c>
      <c r="H682" t="s">
        <v>232</v>
      </c>
      <c r="I682" t="s">
        <v>84</v>
      </c>
      <c r="J682" t="s">
        <v>85</v>
      </c>
      <c r="K682" t="s">
        <v>87</v>
      </c>
      <c r="L682" s="25">
        <v>44030</v>
      </c>
      <c r="M682">
        <v>7</v>
      </c>
      <c r="N682">
        <v>2020</v>
      </c>
      <c r="O682" t="s">
        <v>110</v>
      </c>
      <c r="P682">
        <v>170</v>
      </c>
      <c r="Q682" s="17">
        <v>44030.479993865738</v>
      </c>
      <c r="R682" t="s">
        <v>126</v>
      </c>
    </row>
    <row r="683" spans="1:18" x14ac:dyDescent="0.3">
      <c r="A683">
        <v>21525186</v>
      </c>
      <c r="B683" t="s">
        <v>72</v>
      </c>
      <c r="C683">
        <v>1322642</v>
      </c>
      <c r="D683" t="s">
        <v>108</v>
      </c>
      <c r="E683" t="s">
        <v>26</v>
      </c>
      <c r="F683" t="s">
        <v>26</v>
      </c>
      <c r="G683" t="s">
        <v>137</v>
      </c>
      <c r="H683" t="s">
        <v>276</v>
      </c>
      <c r="I683" t="s">
        <v>84</v>
      </c>
      <c r="J683" t="s">
        <v>85</v>
      </c>
      <c r="K683" t="s">
        <v>83</v>
      </c>
      <c r="L683" s="25">
        <v>44030</v>
      </c>
      <c r="M683">
        <v>7</v>
      </c>
      <c r="N683">
        <v>2020</v>
      </c>
      <c r="O683" t="s">
        <v>110</v>
      </c>
      <c r="P683">
        <v>170</v>
      </c>
      <c r="Q683" s="17">
        <v>44030.495439930557</v>
      </c>
      <c r="R683" t="s">
        <v>126</v>
      </c>
    </row>
    <row r="684" spans="1:18" x14ac:dyDescent="0.3">
      <c r="A684">
        <v>9680719</v>
      </c>
      <c r="B684" t="s">
        <v>80</v>
      </c>
      <c r="C684">
        <v>1324214</v>
      </c>
      <c r="D684" t="s">
        <v>113</v>
      </c>
      <c r="E684">
        <v>966</v>
      </c>
      <c r="F684">
        <v>966</v>
      </c>
      <c r="G684" t="s">
        <v>139</v>
      </c>
      <c r="H684" t="s">
        <v>232</v>
      </c>
      <c r="I684" t="s">
        <v>84</v>
      </c>
      <c r="J684" t="s">
        <v>85</v>
      </c>
      <c r="K684" t="s">
        <v>87</v>
      </c>
      <c r="L684" s="25">
        <v>44030</v>
      </c>
      <c r="M684">
        <v>7</v>
      </c>
      <c r="N684">
        <v>2020</v>
      </c>
      <c r="O684" t="s">
        <v>110</v>
      </c>
      <c r="P684">
        <v>170</v>
      </c>
      <c r="Q684" s="17">
        <v>44030.47541550926</v>
      </c>
      <c r="R684" t="s">
        <v>126</v>
      </c>
    </row>
    <row r="685" spans="1:18" x14ac:dyDescent="0.3">
      <c r="A685">
        <v>9686853</v>
      </c>
      <c r="B685" t="s">
        <v>80</v>
      </c>
      <c r="C685">
        <v>1329730</v>
      </c>
      <c r="D685" t="s">
        <v>113</v>
      </c>
      <c r="E685" t="s">
        <v>146</v>
      </c>
      <c r="F685" t="s">
        <v>17</v>
      </c>
      <c r="G685" t="s">
        <v>153</v>
      </c>
      <c r="H685" t="s">
        <v>232</v>
      </c>
      <c r="I685" t="s">
        <v>84</v>
      </c>
      <c r="J685" t="s">
        <v>85</v>
      </c>
      <c r="K685" t="s">
        <v>87</v>
      </c>
      <c r="L685" s="25">
        <v>44030</v>
      </c>
      <c r="M685">
        <v>7</v>
      </c>
      <c r="N685">
        <v>2020</v>
      </c>
      <c r="O685" t="s">
        <v>110</v>
      </c>
      <c r="P685">
        <v>170</v>
      </c>
      <c r="Q685" s="17">
        <v>44030.465094097221</v>
      </c>
      <c r="R685" t="s">
        <v>126</v>
      </c>
    </row>
    <row r="686" spans="1:18" x14ac:dyDescent="0.3">
      <c r="A686">
        <v>21527695</v>
      </c>
      <c r="B686" t="s">
        <v>72</v>
      </c>
      <c r="C686">
        <v>1326243</v>
      </c>
      <c r="D686" t="s">
        <v>108</v>
      </c>
      <c r="E686" t="s">
        <v>26</v>
      </c>
      <c r="F686" t="s">
        <v>26</v>
      </c>
      <c r="G686" t="s">
        <v>137</v>
      </c>
      <c r="H686" t="s">
        <v>229</v>
      </c>
      <c r="I686" t="s">
        <v>84</v>
      </c>
      <c r="J686" t="s">
        <v>85</v>
      </c>
      <c r="K686" t="s">
        <v>83</v>
      </c>
      <c r="L686" s="25">
        <v>44030</v>
      </c>
      <c r="M686">
        <v>7</v>
      </c>
      <c r="N686">
        <v>2020</v>
      </c>
      <c r="O686" t="s">
        <v>110</v>
      </c>
      <c r="P686">
        <v>170</v>
      </c>
      <c r="Q686" s="17">
        <v>44030.270521874998</v>
      </c>
      <c r="R686" t="s">
        <v>126</v>
      </c>
    </row>
    <row r="687" spans="1:18" x14ac:dyDescent="0.3">
      <c r="A687">
        <v>9684448</v>
      </c>
      <c r="B687" t="s">
        <v>72</v>
      </c>
      <c r="C687">
        <v>1331559</v>
      </c>
      <c r="D687" t="s">
        <v>108</v>
      </c>
      <c r="E687" t="s">
        <v>26</v>
      </c>
      <c r="F687" t="s">
        <v>26</v>
      </c>
      <c r="G687" t="s">
        <v>137</v>
      </c>
      <c r="H687" t="s">
        <v>229</v>
      </c>
      <c r="I687" t="s">
        <v>84</v>
      </c>
      <c r="J687" t="s">
        <v>85</v>
      </c>
      <c r="K687" t="s">
        <v>83</v>
      </c>
      <c r="L687" s="25">
        <v>44030</v>
      </c>
      <c r="M687">
        <v>7</v>
      </c>
      <c r="N687">
        <v>2020</v>
      </c>
      <c r="O687" t="s">
        <v>110</v>
      </c>
      <c r="P687">
        <v>170</v>
      </c>
      <c r="Q687" s="17">
        <v>44030.380993055558</v>
      </c>
      <c r="R687" t="s">
        <v>126</v>
      </c>
    </row>
    <row r="688" spans="1:18" x14ac:dyDescent="0.3">
      <c r="A688">
        <v>9679224</v>
      </c>
      <c r="B688" t="s">
        <v>78</v>
      </c>
      <c r="C688">
        <v>1319920</v>
      </c>
      <c r="D688" t="s">
        <v>78</v>
      </c>
      <c r="E688" t="s">
        <v>124</v>
      </c>
      <c r="F688" t="s">
        <v>17</v>
      </c>
      <c r="G688" t="s">
        <v>125</v>
      </c>
      <c r="H688" t="s">
        <v>134</v>
      </c>
      <c r="I688" t="s">
        <v>78</v>
      </c>
      <c r="J688" t="s">
        <v>42</v>
      </c>
      <c r="K688" t="s">
        <v>87</v>
      </c>
      <c r="L688" s="25">
        <v>44030</v>
      </c>
      <c r="M688">
        <v>7</v>
      </c>
      <c r="N688">
        <v>2020</v>
      </c>
      <c r="O688" t="s">
        <v>110</v>
      </c>
      <c r="P688">
        <v>170</v>
      </c>
      <c r="Q688" s="17">
        <v>44030.47943796296</v>
      </c>
      <c r="R688" t="s">
        <v>126</v>
      </c>
    </row>
    <row r="689" spans="1:18" x14ac:dyDescent="0.3">
      <c r="A689">
        <v>9687680</v>
      </c>
      <c r="B689" t="s">
        <v>78</v>
      </c>
      <c r="C689">
        <v>1330623</v>
      </c>
      <c r="D689" t="s">
        <v>78</v>
      </c>
      <c r="E689">
        <v>820</v>
      </c>
      <c r="F689">
        <v>820</v>
      </c>
      <c r="G689" t="s">
        <v>136</v>
      </c>
      <c r="H689" t="s">
        <v>250</v>
      </c>
      <c r="I689" t="s">
        <v>78</v>
      </c>
      <c r="J689" t="s">
        <v>42</v>
      </c>
      <c r="K689" t="s">
        <v>83</v>
      </c>
      <c r="L689" s="25">
        <v>44030</v>
      </c>
      <c r="M689">
        <v>7</v>
      </c>
      <c r="N689">
        <v>2020</v>
      </c>
      <c r="O689" t="s">
        <v>110</v>
      </c>
      <c r="P689">
        <v>170</v>
      </c>
      <c r="Q689" s="17">
        <v>44030.494513541664</v>
      </c>
      <c r="R689" t="s">
        <v>126</v>
      </c>
    </row>
    <row r="690" spans="1:18" x14ac:dyDescent="0.3">
      <c r="A690">
        <v>9685634</v>
      </c>
      <c r="B690" t="s">
        <v>78</v>
      </c>
      <c r="C690">
        <v>1328894</v>
      </c>
      <c r="D690" t="s">
        <v>78</v>
      </c>
      <c r="E690">
        <v>820</v>
      </c>
      <c r="F690">
        <v>820</v>
      </c>
      <c r="G690" t="s">
        <v>136</v>
      </c>
      <c r="H690" t="s">
        <v>250</v>
      </c>
      <c r="I690" t="s">
        <v>78</v>
      </c>
      <c r="J690" t="s">
        <v>42</v>
      </c>
      <c r="K690" t="s">
        <v>83</v>
      </c>
      <c r="L690" s="25">
        <v>44030</v>
      </c>
      <c r="M690">
        <v>7</v>
      </c>
      <c r="N690">
        <v>2020</v>
      </c>
      <c r="O690" t="s">
        <v>110</v>
      </c>
      <c r="P690">
        <v>170</v>
      </c>
      <c r="Q690" s="17">
        <v>44030.437561921295</v>
      </c>
      <c r="R690" t="s">
        <v>126</v>
      </c>
    </row>
    <row r="691" spans="1:18" x14ac:dyDescent="0.3">
      <c r="A691">
        <v>9685820</v>
      </c>
      <c r="B691" t="s">
        <v>78</v>
      </c>
      <c r="C691">
        <v>1329237</v>
      </c>
      <c r="D691" t="s">
        <v>78</v>
      </c>
      <c r="E691">
        <v>820</v>
      </c>
      <c r="F691">
        <v>820</v>
      </c>
      <c r="G691" t="s">
        <v>136</v>
      </c>
      <c r="H691" t="s">
        <v>250</v>
      </c>
      <c r="I691" t="s">
        <v>78</v>
      </c>
      <c r="J691" t="s">
        <v>42</v>
      </c>
      <c r="K691" t="s">
        <v>83</v>
      </c>
      <c r="L691" s="25">
        <v>44030</v>
      </c>
      <c r="M691">
        <v>7</v>
      </c>
      <c r="N691">
        <v>2020</v>
      </c>
      <c r="O691" t="s">
        <v>110</v>
      </c>
      <c r="P691">
        <v>170</v>
      </c>
      <c r="Q691" s="17">
        <v>44030.455713773146</v>
      </c>
      <c r="R691" t="s">
        <v>126</v>
      </c>
    </row>
    <row r="692" spans="1:18" x14ac:dyDescent="0.3">
      <c r="A692">
        <v>9684249</v>
      </c>
      <c r="B692" t="s">
        <v>72</v>
      </c>
      <c r="C692">
        <v>1329094</v>
      </c>
      <c r="D692" t="s">
        <v>108</v>
      </c>
      <c r="E692" t="s">
        <v>12</v>
      </c>
      <c r="F692" t="s">
        <v>12</v>
      </c>
      <c r="G692" t="s">
        <v>135</v>
      </c>
      <c r="H692" t="s">
        <v>261</v>
      </c>
      <c r="I692" t="s">
        <v>84</v>
      </c>
      <c r="J692" t="s">
        <v>85</v>
      </c>
      <c r="K692" t="s">
        <v>83</v>
      </c>
      <c r="L692" s="25">
        <v>44030</v>
      </c>
      <c r="M692">
        <v>7</v>
      </c>
      <c r="N692">
        <v>2020</v>
      </c>
      <c r="O692" t="s">
        <v>110</v>
      </c>
      <c r="P692">
        <v>170</v>
      </c>
      <c r="Q692" s="17">
        <v>44030.429493171294</v>
      </c>
      <c r="R692" t="s">
        <v>126</v>
      </c>
    </row>
    <row r="693" spans="1:18" x14ac:dyDescent="0.3">
      <c r="A693">
        <v>21526553</v>
      </c>
      <c r="B693" t="s">
        <v>78</v>
      </c>
      <c r="C693">
        <v>1321363</v>
      </c>
      <c r="D693" t="s">
        <v>78</v>
      </c>
      <c r="E693" t="s">
        <v>26</v>
      </c>
      <c r="F693" t="s">
        <v>26</v>
      </c>
      <c r="G693" t="s">
        <v>137</v>
      </c>
      <c r="H693" t="s">
        <v>245</v>
      </c>
      <c r="I693" t="s">
        <v>78</v>
      </c>
      <c r="J693" t="s">
        <v>42</v>
      </c>
      <c r="K693" t="s">
        <v>83</v>
      </c>
      <c r="L693" s="25">
        <v>44030</v>
      </c>
      <c r="M693">
        <v>7</v>
      </c>
      <c r="N693">
        <v>2020</v>
      </c>
      <c r="O693" t="s">
        <v>110</v>
      </c>
      <c r="P693">
        <v>170</v>
      </c>
      <c r="Q693" s="17">
        <v>44030.458110185187</v>
      </c>
      <c r="R693" t="s">
        <v>126</v>
      </c>
    </row>
    <row r="694" spans="1:18" x14ac:dyDescent="0.3">
      <c r="A694">
        <v>21528902</v>
      </c>
      <c r="B694" t="s">
        <v>72</v>
      </c>
      <c r="C694">
        <v>1324300</v>
      </c>
      <c r="D694" t="s">
        <v>108</v>
      </c>
      <c r="E694">
        <v>966</v>
      </c>
      <c r="F694">
        <v>966</v>
      </c>
      <c r="G694" t="s">
        <v>139</v>
      </c>
      <c r="H694" t="s">
        <v>229</v>
      </c>
      <c r="I694" t="s">
        <v>84</v>
      </c>
      <c r="J694" t="s">
        <v>85</v>
      </c>
      <c r="K694" t="s">
        <v>87</v>
      </c>
      <c r="L694" s="25">
        <v>44030</v>
      </c>
      <c r="M694">
        <v>7</v>
      </c>
      <c r="N694">
        <v>2020</v>
      </c>
      <c r="O694" t="s">
        <v>110</v>
      </c>
      <c r="P694">
        <v>170</v>
      </c>
      <c r="Q694" s="17">
        <v>44030.473146759257</v>
      </c>
      <c r="R694" t="s">
        <v>126</v>
      </c>
    </row>
    <row r="695" spans="1:18" x14ac:dyDescent="0.3">
      <c r="A695">
        <v>9686142</v>
      </c>
      <c r="B695" t="s">
        <v>80</v>
      </c>
      <c r="C695">
        <v>1329587</v>
      </c>
      <c r="D695" t="s">
        <v>113</v>
      </c>
      <c r="E695" t="s">
        <v>146</v>
      </c>
      <c r="F695" t="s">
        <v>17</v>
      </c>
      <c r="G695" t="s">
        <v>153</v>
      </c>
      <c r="H695" t="s">
        <v>232</v>
      </c>
      <c r="I695" t="s">
        <v>84</v>
      </c>
      <c r="J695" t="s">
        <v>85</v>
      </c>
      <c r="K695" t="s">
        <v>87</v>
      </c>
      <c r="L695" s="25">
        <v>44030</v>
      </c>
      <c r="M695">
        <v>7</v>
      </c>
      <c r="N695">
        <v>2020</v>
      </c>
      <c r="O695" t="s">
        <v>110</v>
      </c>
      <c r="P695">
        <v>170</v>
      </c>
      <c r="Q695" s="17">
        <v>44030.429468402777</v>
      </c>
      <c r="R695" t="s">
        <v>126</v>
      </c>
    </row>
    <row r="696" spans="1:18" x14ac:dyDescent="0.3">
      <c r="A696">
        <v>244458</v>
      </c>
      <c r="B696" t="s">
        <v>78</v>
      </c>
      <c r="C696">
        <v>1329284</v>
      </c>
      <c r="D696" t="s">
        <v>78</v>
      </c>
      <c r="E696" t="s">
        <v>117</v>
      </c>
      <c r="F696" t="s">
        <v>117</v>
      </c>
      <c r="G696" t="s">
        <v>59</v>
      </c>
      <c r="H696" t="s">
        <v>230</v>
      </c>
      <c r="I696" t="s">
        <v>78</v>
      </c>
      <c r="J696" t="s">
        <v>42</v>
      </c>
      <c r="K696" t="s">
        <v>91</v>
      </c>
      <c r="L696" s="25">
        <v>44030</v>
      </c>
      <c r="M696">
        <v>7</v>
      </c>
      <c r="N696">
        <v>2020</v>
      </c>
      <c r="O696" t="s">
        <v>110</v>
      </c>
      <c r="P696">
        <v>170</v>
      </c>
      <c r="Q696" s="17">
        <v>44030.442326851851</v>
      </c>
      <c r="R696" t="s">
        <v>118</v>
      </c>
    </row>
    <row r="697" spans="1:18" x14ac:dyDescent="0.3">
      <c r="A697">
        <v>244510</v>
      </c>
      <c r="B697" t="s">
        <v>78</v>
      </c>
      <c r="C697">
        <v>1329448</v>
      </c>
      <c r="D697" t="s">
        <v>78</v>
      </c>
      <c r="E697" t="s">
        <v>117</v>
      </c>
      <c r="F697" t="s">
        <v>117</v>
      </c>
      <c r="G697" t="s">
        <v>59</v>
      </c>
      <c r="H697" t="s">
        <v>230</v>
      </c>
      <c r="I697" t="s">
        <v>78</v>
      </c>
      <c r="J697" t="s">
        <v>42</v>
      </c>
      <c r="K697" t="s">
        <v>91</v>
      </c>
      <c r="L697" s="25">
        <v>44030</v>
      </c>
      <c r="M697">
        <v>7</v>
      </c>
      <c r="N697">
        <v>2020</v>
      </c>
      <c r="O697" t="s">
        <v>110</v>
      </c>
      <c r="P697">
        <v>170</v>
      </c>
      <c r="Q697" s="17">
        <v>44030.443925694446</v>
      </c>
      <c r="R697" t="s">
        <v>118</v>
      </c>
    </row>
    <row r="698" spans="1:18" x14ac:dyDescent="0.3">
      <c r="A698">
        <v>244629</v>
      </c>
      <c r="B698" t="s">
        <v>78</v>
      </c>
      <c r="C698">
        <v>1329919</v>
      </c>
      <c r="D698" t="s">
        <v>78</v>
      </c>
      <c r="E698" t="s">
        <v>117</v>
      </c>
      <c r="F698" t="s">
        <v>117</v>
      </c>
      <c r="G698" t="s">
        <v>59</v>
      </c>
      <c r="H698" t="s">
        <v>230</v>
      </c>
      <c r="I698" t="s">
        <v>78</v>
      </c>
      <c r="J698" t="s">
        <v>42</v>
      </c>
      <c r="K698" t="s">
        <v>91</v>
      </c>
      <c r="L698" s="25">
        <v>44030</v>
      </c>
      <c r="M698">
        <v>7</v>
      </c>
      <c r="N698">
        <v>2020</v>
      </c>
      <c r="O698" t="s">
        <v>110</v>
      </c>
      <c r="P698">
        <v>170</v>
      </c>
      <c r="Q698" s="17">
        <v>44030.441269791663</v>
      </c>
      <c r="R698" t="s">
        <v>118</v>
      </c>
    </row>
    <row r="699" spans="1:18" x14ac:dyDescent="0.3">
      <c r="A699">
        <v>9686917</v>
      </c>
      <c r="B699" t="s">
        <v>78</v>
      </c>
      <c r="C699">
        <v>1329983</v>
      </c>
      <c r="D699" t="s">
        <v>78</v>
      </c>
      <c r="E699" t="s">
        <v>58</v>
      </c>
      <c r="F699" t="s">
        <v>58</v>
      </c>
      <c r="G699" t="s">
        <v>114</v>
      </c>
      <c r="H699" t="s">
        <v>228</v>
      </c>
      <c r="I699" t="s">
        <v>78</v>
      </c>
      <c r="J699" t="s">
        <v>42</v>
      </c>
      <c r="K699" t="s">
        <v>87</v>
      </c>
      <c r="L699" s="25">
        <v>44030</v>
      </c>
      <c r="M699">
        <v>7</v>
      </c>
      <c r="N699">
        <v>2020</v>
      </c>
      <c r="O699" t="s">
        <v>110</v>
      </c>
      <c r="P699">
        <v>170</v>
      </c>
      <c r="Q699" s="17">
        <v>44030.473596759257</v>
      </c>
      <c r="R699" t="s">
        <v>115</v>
      </c>
    </row>
    <row r="700" spans="1:18" x14ac:dyDescent="0.3">
      <c r="A700">
        <v>9686483</v>
      </c>
      <c r="B700" t="s">
        <v>79</v>
      </c>
      <c r="C700">
        <v>1330033</v>
      </c>
      <c r="D700" t="s">
        <v>116</v>
      </c>
      <c r="E700" t="s">
        <v>58</v>
      </c>
      <c r="F700" t="s">
        <v>58</v>
      </c>
      <c r="G700" t="s">
        <v>114</v>
      </c>
      <c r="H700" t="s">
        <v>233</v>
      </c>
      <c r="I700" t="s">
        <v>82</v>
      </c>
      <c r="J700" t="s">
        <v>42</v>
      </c>
      <c r="K700" t="s">
        <v>87</v>
      </c>
      <c r="L700" s="25">
        <v>44030</v>
      </c>
      <c r="M700">
        <v>7</v>
      </c>
      <c r="N700">
        <v>2020</v>
      </c>
      <c r="O700" t="s">
        <v>110</v>
      </c>
      <c r="P700">
        <v>170</v>
      </c>
      <c r="Q700" s="17">
        <v>44030.475033564813</v>
      </c>
      <c r="R700" t="s">
        <v>111</v>
      </c>
    </row>
    <row r="701" spans="1:18" x14ac:dyDescent="0.3">
      <c r="A701">
        <v>9686636</v>
      </c>
      <c r="B701" t="s">
        <v>72</v>
      </c>
      <c r="C701">
        <v>1330069</v>
      </c>
      <c r="D701" t="s">
        <v>108</v>
      </c>
      <c r="E701" t="s">
        <v>58</v>
      </c>
      <c r="F701" t="s">
        <v>58</v>
      </c>
      <c r="G701" t="s">
        <v>114</v>
      </c>
      <c r="H701" t="s">
        <v>274</v>
      </c>
      <c r="I701" t="s">
        <v>84</v>
      </c>
      <c r="J701" t="s">
        <v>85</v>
      </c>
      <c r="K701" t="s">
        <v>87</v>
      </c>
      <c r="L701" s="25">
        <v>44030</v>
      </c>
      <c r="M701">
        <v>7</v>
      </c>
      <c r="N701">
        <v>2020</v>
      </c>
      <c r="O701" t="s">
        <v>110</v>
      </c>
      <c r="P701">
        <v>170</v>
      </c>
      <c r="Q701" s="17">
        <v>44030.476244791666</v>
      </c>
      <c r="R701" t="s">
        <v>111</v>
      </c>
    </row>
    <row r="702" spans="1:18" x14ac:dyDescent="0.3">
      <c r="A702">
        <v>244707</v>
      </c>
      <c r="B702" t="s">
        <v>72</v>
      </c>
      <c r="C702">
        <v>1330119</v>
      </c>
      <c r="D702" t="s">
        <v>108</v>
      </c>
      <c r="E702" t="s">
        <v>58</v>
      </c>
      <c r="F702" t="s">
        <v>58</v>
      </c>
      <c r="G702" t="s">
        <v>114</v>
      </c>
      <c r="H702" t="s">
        <v>229</v>
      </c>
      <c r="I702" t="s">
        <v>84</v>
      </c>
      <c r="J702" t="s">
        <v>85</v>
      </c>
      <c r="K702" t="s">
        <v>87</v>
      </c>
      <c r="L702" s="25">
        <v>44030</v>
      </c>
      <c r="M702">
        <v>7</v>
      </c>
      <c r="N702">
        <v>2020</v>
      </c>
      <c r="O702" t="s">
        <v>110</v>
      </c>
      <c r="P702">
        <v>170</v>
      </c>
      <c r="Q702" s="17">
        <v>44030.477563773151</v>
      </c>
      <c r="R702" t="s">
        <v>111</v>
      </c>
    </row>
    <row r="703" spans="1:18" x14ac:dyDescent="0.3">
      <c r="A703">
        <v>245001</v>
      </c>
      <c r="B703" t="s">
        <v>78</v>
      </c>
      <c r="C703">
        <v>1330134</v>
      </c>
      <c r="D703" t="s">
        <v>78</v>
      </c>
      <c r="E703" t="s">
        <v>57</v>
      </c>
      <c r="F703" t="s">
        <v>57</v>
      </c>
      <c r="G703" t="s">
        <v>109</v>
      </c>
      <c r="H703" t="s">
        <v>238</v>
      </c>
      <c r="I703" t="s">
        <v>78</v>
      </c>
      <c r="J703" t="s">
        <v>42</v>
      </c>
      <c r="K703" t="s">
        <v>87</v>
      </c>
      <c r="L703" s="25">
        <v>44030</v>
      </c>
      <c r="M703">
        <v>7</v>
      </c>
      <c r="N703">
        <v>2020</v>
      </c>
      <c r="O703" t="s">
        <v>110</v>
      </c>
      <c r="P703">
        <v>170</v>
      </c>
      <c r="Q703" s="17">
        <v>44030.483761342592</v>
      </c>
      <c r="R703" t="s">
        <v>115</v>
      </c>
    </row>
    <row r="704" spans="1:18" x14ac:dyDescent="0.3">
      <c r="A704">
        <v>244741</v>
      </c>
      <c r="B704" t="s">
        <v>72</v>
      </c>
      <c r="C704">
        <v>1330169</v>
      </c>
      <c r="D704" t="s">
        <v>108</v>
      </c>
      <c r="E704" t="s">
        <v>58</v>
      </c>
      <c r="F704" t="s">
        <v>58</v>
      </c>
      <c r="G704" t="s">
        <v>114</v>
      </c>
      <c r="H704" t="s">
        <v>229</v>
      </c>
      <c r="I704" t="s">
        <v>84</v>
      </c>
      <c r="J704" t="s">
        <v>85</v>
      </c>
      <c r="K704" t="s">
        <v>87</v>
      </c>
      <c r="L704" s="25">
        <v>44030</v>
      </c>
      <c r="M704">
        <v>7</v>
      </c>
      <c r="N704">
        <v>2020</v>
      </c>
      <c r="O704" t="s">
        <v>110</v>
      </c>
      <c r="P704">
        <v>170</v>
      </c>
      <c r="Q704" s="17">
        <v>44030.479591550924</v>
      </c>
      <c r="R704" t="s">
        <v>111</v>
      </c>
    </row>
    <row r="705" spans="1:18" x14ac:dyDescent="0.3">
      <c r="A705">
        <v>244745</v>
      </c>
      <c r="B705" t="s">
        <v>72</v>
      </c>
      <c r="C705">
        <v>1330170</v>
      </c>
      <c r="D705" t="s">
        <v>108</v>
      </c>
      <c r="E705" t="s">
        <v>58</v>
      </c>
      <c r="F705" t="s">
        <v>58</v>
      </c>
      <c r="G705" t="s">
        <v>114</v>
      </c>
      <c r="H705" t="s">
        <v>229</v>
      </c>
      <c r="I705" t="s">
        <v>84</v>
      </c>
      <c r="J705" t="s">
        <v>85</v>
      </c>
      <c r="K705" t="s">
        <v>87</v>
      </c>
      <c r="L705" s="25">
        <v>44030</v>
      </c>
      <c r="M705">
        <v>7</v>
      </c>
      <c r="N705">
        <v>2020</v>
      </c>
      <c r="O705" t="s">
        <v>110</v>
      </c>
      <c r="P705">
        <v>170</v>
      </c>
      <c r="Q705" s="17">
        <v>44030.480346875003</v>
      </c>
      <c r="R705" t="s">
        <v>111</v>
      </c>
    </row>
    <row r="706" spans="1:18" x14ac:dyDescent="0.3">
      <c r="A706">
        <v>9687251</v>
      </c>
      <c r="B706" t="s">
        <v>78</v>
      </c>
      <c r="C706">
        <v>1330619</v>
      </c>
      <c r="D706" t="s">
        <v>78</v>
      </c>
      <c r="E706" t="s">
        <v>58</v>
      </c>
      <c r="F706" t="s">
        <v>58</v>
      </c>
      <c r="G706" t="s">
        <v>114</v>
      </c>
      <c r="H706" t="s">
        <v>105</v>
      </c>
      <c r="I706" t="s">
        <v>78</v>
      </c>
      <c r="J706" t="s">
        <v>42</v>
      </c>
      <c r="K706" t="s">
        <v>87</v>
      </c>
      <c r="L706" s="25">
        <v>44030</v>
      </c>
      <c r="M706">
        <v>7</v>
      </c>
      <c r="N706">
        <v>2020</v>
      </c>
      <c r="O706" t="s">
        <v>110</v>
      </c>
      <c r="P706">
        <v>170</v>
      </c>
      <c r="Q706" s="17">
        <v>44030.48504097222</v>
      </c>
      <c r="R706" t="s">
        <v>111</v>
      </c>
    </row>
    <row r="707" spans="1:18" x14ac:dyDescent="0.3">
      <c r="A707">
        <v>9687787</v>
      </c>
      <c r="B707" t="s">
        <v>78</v>
      </c>
      <c r="C707">
        <v>1330705</v>
      </c>
      <c r="D707" t="s">
        <v>78</v>
      </c>
      <c r="E707" t="s">
        <v>57</v>
      </c>
      <c r="F707" t="s">
        <v>57</v>
      </c>
      <c r="G707" t="s">
        <v>109</v>
      </c>
      <c r="H707" t="s">
        <v>105</v>
      </c>
      <c r="I707" t="s">
        <v>78</v>
      </c>
      <c r="J707" t="s">
        <v>42</v>
      </c>
      <c r="K707" t="s">
        <v>87</v>
      </c>
      <c r="L707" s="25">
        <v>44030</v>
      </c>
      <c r="M707">
        <v>7</v>
      </c>
      <c r="N707">
        <v>2020</v>
      </c>
      <c r="O707" t="s">
        <v>110</v>
      </c>
      <c r="P707">
        <v>170</v>
      </c>
      <c r="Q707" s="17">
        <v>44030.489073726851</v>
      </c>
      <c r="R707" t="s">
        <v>115</v>
      </c>
    </row>
    <row r="708" spans="1:18" x14ac:dyDescent="0.3">
      <c r="A708">
        <v>9687938</v>
      </c>
      <c r="B708" t="s">
        <v>80</v>
      </c>
      <c r="C708">
        <v>1331506</v>
      </c>
      <c r="D708" t="s">
        <v>122</v>
      </c>
      <c r="E708" t="s">
        <v>58</v>
      </c>
      <c r="F708" t="s">
        <v>58</v>
      </c>
      <c r="G708" t="s">
        <v>114</v>
      </c>
      <c r="H708" t="s">
        <v>228</v>
      </c>
      <c r="I708" t="s">
        <v>84</v>
      </c>
      <c r="J708" t="s">
        <v>85</v>
      </c>
      <c r="K708" t="s">
        <v>87</v>
      </c>
      <c r="L708" s="25">
        <v>44030</v>
      </c>
      <c r="M708">
        <v>7</v>
      </c>
      <c r="N708">
        <v>2020</v>
      </c>
      <c r="O708" t="s">
        <v>110</v>
      </c>
      <c r="P708">
        <v>170</v>
      </c>
      <c r="Q708" s="17">
        <v>44030.286594444442</v>
      </c>
      <c r="R708" t="s">
        <v>115</v>
      </c>
    </row>
    <row r="709" spans="1:18" x14ac:dyDescent="0.3">
      <c r="A709">
        <v>21526173</v>
      </c>
      <c r="B709" t="s">
        <v>72</v>
      </c>
      <c r="C709">
        <v>1321360</v>
      </c>
      <c r="D709" t="s">
        <v>108</v>
      </c>
      <c r="E709" t="s">
        <v>26</v>
      </c>
      <c r="F709" t="s">
        <v>26</v>
      </c>
      <c r="G709" t="s">
        <v>137</v>
      </c>
      <c r="H709" t="s">
        <v>276</v>
      </c>
      <c r="I709" t="s">
        <v>84</v>
      </c>
      <c r="J709" t="s">
        <v>85</v>
      </c>
      <c r="K709" t="s">
        <v>83</v>
      </c>
      <c r="L709" s="25">
        <v>44030</v>
      </c>
      <c r="M709">
        <v>7</v>
      </c>
      <c r="N709">
        <v>2020</v>
      </c>
      <c r="O709" t="s">
        <v>110</v>
      </c>
      <c r="P709">
        <v>170</v>
      </c>
      <c r="Q709" s="17">
        <v>44030.453774884256</v>
      </c>
      <c r="R709" t="s">
        <v>126</v>
      </c>
    </row>
    <row r="710" spans="1:18" x14ac:dyDescent="0.3">
      <c r="A710">
        <v>245071</v>
      </c>
      <c r="B710" t="s">
        <v>79</v>
      </c>
      <c r="C710">
        <v>1330620</v>
      </c>
      <c r="D710" t="s">
        <v>116</v>
      </c>
      <c r="E710" t="s">
        <v>12</v>
      </c>
      <c r="F710" t="s">
        <v>12</v>
      </c>
      <c r="G710" t="s">
        <v>135</v>
      </c>
      <c r="H710" t="s">
        <v>251</v>
      </c>
      <c r="I710" t="s">
        <v>82</v>
      </c>
      <c r="J710" t="s">
        <v>42</v>
      </c>
      <c r="K710" t="s">
        <v>83</v>
      </c>
      <c r="L710" s="25">
        <v>44030</v>
      </c>
      <c r="M710">
        <v>7</v>
      </c>
      <c r="N710">
        <v>2020</v>
      </c>
      <c r="O710" t="s">
        <v>110</v>
      </c>
      <c r="P710">
        <v>170</v>
      </c>
      <c r="Q710" s="17">
        <v>44030.486442476853</v>
      </c>
      <c r="R710" t="s">
        <v>126</v>
      </c>
    </row>
    <row r="711" spans="1:18" x14ac:dyDescent="0.3">
      <c r="A711">
        <v>21524740</v>
      </c>
      <c r="B711" t="s">
        <v>78</v>
      </c>
      <c r="C711">
        <v>1321746</v>
      </c>
      <c r="D711" t="s">
        <v>78</v>
      </c>
      <c r="E711" t="s">
        <v>26</v>
      </c>
      <c r="F711" t="s">
        <v>26</v>
      </c>
      <c r="G711" t="s">
        <v>137</v>
      </c>
      <c r="H711" t="s">
        <v>245</v>
      </c>
      <c r="I711" t="s">
        <v>78</v>
      </c>
      <c r="J711" t="s">
        <v>42</v>
      </c>
      <c r="K711" t="s">
        <v>83</v>
      </c>
      <c r="L711" s="25">
        <v>44030</v>
      </c>
      <c r="M711">
        <v>7</v>
      </c>
      <c r="N711">
        <v>2020</v>
      </c>
      <c r="O711" t="s">
        <v>110</v>
      </c>
      <c r="P711">
        <v>170</v>
      </c>
      <c r="Q711" s="17">
        <v>44030.482741550928</v>
      </c>
      <c r="R711" t="s">
        <v>126</v>
      </c>
    </row>
    <row r="712" spans="1:18" x14ac:dyDescent="0.3">
      <c r="A712">
        <v>9685718</v>
      </c>
      <c r="B712" t="s">
        <v>72</v>
      </c>
      <c r="C712">
        <v>1328648</v>
      </c>
      <c r="D712" t="s">
        <v>108</v>
      </c>
      <c r="E712">
        <v>820</v>
      </c>
      <c r="F712">
        <v>820</v>
      </c>
      <c r="G712" t="s">
        <v>136</v>
      </c>
      <c r="H712" t="s">
        <v>270</v>
      </c>
      <c r="I712" t="s">
        <v>82</v>
      </c>
      <c r="J712" t="s">
        <v>42</v>
      </c>
      <c r="K712" t="s">
        <v>83</v>
      </c>
      <c r="L712" s="25">
        <v>44030</v>
      </c>
      <c r="M712">
        <v>7</v>
      </c>
      <c r="N712">
        <v>2020</v>
      </c>
      <c r="O712" t="s">
        <v>110</v>
      </c>
      <c r="P712">
        <v>170</v>
      </c>
      <c r="Q712" s="17">
        <v>44030.426386921295</v>
      </c>
      <c r="R712" t="s">
        <v>126</v>
      </c>
    </row>
    <row r="713" spans="1:18" x14ac:dyDescent="0.3">
      <c r="A713">
        <v>9685932</v>
      </c>
      <c r="B713" t="s">
        <v>78</v>
      </c>
      <c r="C713">
        <v>1329383</v>
      </c>
      <c r="D713" t="s">
        <v>78</v>
      </c>
      <c r="E713">
        <v>820</v>
      </c>
      <c r="F713">
        <v>820</v>
      </c>
      <c r="G713" t="s">
        <v>136</v>
      </c>
      <c r="H713" t="s">
        <v>249</v>
      </c>
      <c r="I713" t="s">
        <v>78</v>
      </c>
      <c r="J713" t="s">
        <v>42</v>
      </c>
      <c r="K713" t="s">
        <v>83</v>
      </c>
      <c r="L713" s="25">
        <v>44030</v>
      </c>
      <c r="M713">
        <v>7</v>
      </c>
      <c r="N713">
        <v>2020</v>
      </c>
      <c r="O713" t="s">
        <v>110</v>
      </c>
      <c r="P713">
        <v>170</v>
      </c>
      <c r="Q713" s="17">
        <v>44030.467537615739</v>
      </c>
      <c r="R713" t="s">
        <v>126</v>
      </c>
    </row>
    <row r="714" spans="1:18" x14ac:dyDescent="0.3">
      <c r="A714">
        <v>9686281</v>
      </c>
      <c r="B714" t="s">
        <v>80</v>
      </c>
      <c r="C714">
        <v>1329684</v>
      </c>
      <c r="D714" t="s">
        <v>113</v>
      </c>
      <c r="E714" t="s">
        <v>146</v>
      </c>
      <c r="F714" t="s">
        <v>17</v>
      </c>
      <c r="G714" t="s">
        <v>153</v>
      </c>
      <c r="H714" t="s">
        <v>232</v>
      </c>
      <c r="I714" t="s">
        <v>84</v>
      </c>
      <c r="J714" t="s">
        <v>85</v>
      </c>
      <c r="K714" t="s">
        <v>87</v>
      </c>
      <c r="L714" s="25">
        <v>44030</v>
      </c>
      <c r="M714">
        <v>7</v>
      </c>
      <c r="N714">
        <v>2020</v>
      </c>
      <c r="O714" t="s">
        <v>110</v>
      </c>
      <c r="P714">
        <v>170</v>
      </c>
      <c r="Q714" s="17">
        <v>44030.453972453703</v>
      </c>
      <c r="R714" t="s">
        <v>126</v>
      </c>
    </row>
    <row r="715" spans="1:18" x14ac:dyDescent="0.3">
      <c r="A715">
        <v>9685661</v>
      </c>
      <c r="B715" t="s">
        <v>78</v>
      </c>
      <c r="C715">
        <v>1328897</v>
      </c>
      <c r="D715" t="s">
        <v>78</v>
      </c>
      <c r="E715">
        <v>820</v>
      </c>
      <c r="F715">
        <v>820</v>
      </c>
      <c r="G715" t="s">
        <v>136</v>
      </c>
      <c r="H715" t="s">
        <v>250</v>
      </c>
      <c r="I715" t="s">
        <v>78</v>
      </c>
      <c r="J715" t="s">
        <v>42</v>
      </c>
      <c r="K715" t="s">
        <v>83</v>
      </c>
      <c r="L715" s="25">
        <v>44030</v>
      </c>
      <c r="M715">
        <v>7</v>
      </c>
      <c r="N715">
        <v>2020</v>
      </c>
      <c r="O715" t="s">
        <v>110</v>
      </c>
      <c r="P715">
        <v>170</v>
      </c>
      <c r="Q715" s="17">
        <v>44030.442040509261</v>
      </c>
      <c r="R715" t="s">
        <v>126</v>
      </c>
    </row>
    <row r="716" spans="1:18" x14ac:dyDescent="0.3">
      <c r="A716">
        <v>9686146</v>
      </c>
      <c r="B716" t="s">
        <v>80</v>
      </c>
      <c r="C716">
        <v>1329598</v>
      </c>
      <c r="D716" t="s">
        <v>113</v>
      </c>
      <c r="E716" t="s">
        <v>146</v>
      </c>
      <c r="F716" t="s">
        <v>17</v>
      </c>
      <c r="G716" t="s">
        <v>153</v>
      </c>
      <c r="H716" t="s">
        <v>232</v>
      </c>
      <c r="I716" t="s">
        <v>84</v>
      </c>
      <c r="J716" t="s">
        <v>85</v>
      </c>
      <c r="K716" t="s">
        <v>87</v>
      </c>
      <c r="L716" s="25">
        <v>44030</v>
      </c>
      <c r="M716">
        <v>7</v>
      </c>
      <c r="N716">
        <v>2020</v>
      </c>
      <c r="O716" t="s">
        <v>110</v>
      </c>
      <c r="P716">
        <v>170</v>
      </c>
      <c r="Q716" s="17">
        <v>44030.431731018522</v>
      </c>
      <c r="R716" t="s">
        <v>126</v>
      </c>
    </row>
    <row r="717" spans="1:18" x14ac:dyDescent="0.3">
      <c r="A717">
        <v>9686041</v>
      </c>
      <c r="B717" t="s">
        <v>80</v>
      </c>
      <c r="C717">
        <v>1329627</v>
      </c>
      <c r="D717" t="s">
        <v>113</v>
      </c>
      <c r="E717" t="s">
        <v>146</v>
      </c>
      <c r="F717" t="s">
        <v>17</v>
      </c>
      <c r="G717" t="s">
        <v>153</v>
      </c>
      <c r="H717" t="s">
        <v>232</v>
      </c>
      <c r="I717" t="s">
        <v>84</v>
      </c>
      <c r="J717" t="s">
        <v>85</v>
      </c>
      <c r="K717" t="s">
        <v>87</v>
      </c>
      <c r="L717" s="25">
        <v>44030</v>
      </c>
      <c r="M717">
        <v>7</v>
      </c>
      <c r="N717">
        <v>2020</v>
      </c>
      <c r="O717" t="s">
        <v>110</v>
      </c>
      <c r="P717">
        <v>170</v>
      </c>
      <c r="Q717" s="17">
        <v>44030.438409374998</v>
      </c>
      <c r="R717" t="s">
        <v>126</v>
      </c>
    </row>
    <row r="718" spans="1:18" x14ac:dyDescent="0.3">
      <c r="A718">
        <v>9686702</v>
      </c>
      <c r="B718" t="s">
        <v>80</v>
      </c>
      <c r="C718">
        <v>1329725</v>
      </c>
      <c r="D718" t="s">
        <v>113</v>
      </c>
      <c r="E718" t="s">
        <v>146</v>
      </c>
      <c r="F718" t="s">
        <v>17</v>
      </c>
      <c r="G718" t="s">
        <v>153</v>
      </c>
      <c r="H718" t="s">
        <v>232</v>
      </c>
      <c r="I718" t="s">
        <v>84</v>
      </c>
      <c r="J718" t="s">
        <v>85</v>
      </c>
      <c r="K718" t="s">
        <v>87</v>
      </c>
      <c r="L718" s="25">
        <v>44030</v>
      </c>
      <c r="M718">
        <v>7</v>
      </c>
      <c r="N718">
        <v>2020</v>
      </c>
      <c r="O718" t="s">
        <v>110</v>
      </c>
      <c r="P718">
        <v>170</v>
      </c>
      <c r="Q718" s="17">
        <v>44030.464152199071</v>
      </c>
      <c r="R718" t="s">
        <v>126</v>
      </c>
    </row>
    <row r="719" spans="1:18" x14ac:dyDescent="0.3">
      <c r="A719">
        <v>9686842</v>
      </c>
      <c r="B719" t="s">
        <v>80</v>
      </c>
      <c r="C719">
        <v>1329708</v>
      </c>
      <c r="D719" t="s">
        <v>113</v>
      </c>
      <c r="E719" t="s">
        <v>146</v>
      </c>
      <c r="F719" t="s">
        <v>17</v>
      </c>
      <c r="G719" t="s">
        <v>153</v>
      </c>
      <c r="H719" t="s">
        <v>232</v>
      </c>
      <c r="I719" t="s">
        <v>84</v>
      </c>
      <c r="J719" t="s">
        <v>85</v>
      </c>
      <c r="K719" t="s">
        <v>87</v>
      </c>
      <c r="L719" s="25">
        <v>44030</v>
      </c>
      <c r="M719">
        <v>7</v>
      </c>
      <c r="N719">
        <v>2020</v>
      </c>
      <c r="O719" t="s">
        <v>110</v>
      </c>
      <c r="P719">
        <v>170</v>
      </c>
      <c r="Q719" s="17">
        <v>44030.454447569442</v>
      </c>
      <c r="R719" t="s">
        <v>126</v>
      </c>
    </row>
    <row r="720" spans="1:18" x14ac:dyDescent="0.3">
      <c r="A720">
        <v>9687711</v>
      </c>
      <c r="B720" t="s">
        <v>78</v>
      </c>
      <c r="C720">
        <v>1330627</v>
      </c>
      <c r="D720" t="s">
        <v>78</v>
      </c>
      <c r="E720">
        <v>820</v>
      </c>
      <c r="F720">
        <v>820</v>
      </c>
      <c r="G720" t="s">
        <v>136</v>
      </c>
      <c r="H720" t="s">
        <v>250</v>
      </c>
      <c r="I720" t="s">
        <v>78</v>
      </c>
      <c r="J720" t="s">
        <v>42</v>
      </c>
      <c r="K720" t="s">
        <v>83</v>
      </c>
      <c r="L720" s="25">
        <v>44030</v>
      </c>
      <c r="M720">
        <v>7</v>
      </c>
      <c r="N720">
        <v>2020</v>
      </c>
      <c r="O720" t="s">
        <v>110</v>
      </c>
      <c r="P720">
        <v>170</v>
      </c>
      <c r="Q720" s="17">
        <v>44030.495180092592</v>
      </c>
      <c r="R720" t="s">
        <v>126</v>
      </c>
    </row>
    <row r="721" spans="1:18" x14ac:dyDescent="0.3">
      <c r="A721">
        <v>9685784</v>
      </c>
      <c r="B721" t="s">
        <v>78</v>
      </c>
      <c r="C721">
        <v>1329508</v>
      </c>
      <c r="D721" t="s">
        <v>78</v>
      </c>
      <c r="E721">
        <v>820</v>
      </c>
      <c r="F721">
        <v>820</v>
      </c>
      <c r="G721" t="s">
        <v>136</v>
      </c>
      <c r="H721" t="s">
        <v>250</v>
      </c>
      <c r="I721" t="s">
        <v>78</v>
      </c>
      <c r="J721" t="s">
        <v>42</v>
      </c>
      <c r="K721" t="s">
        <v>83</v>
      </c>
      <c r="L721" s="25">
        <v>44030</v>
      </c>
      <c r="M721">
        <v>7</v>
      </c>
      <c r="N721">
        <v>2020</v>
      </c>
      <c r="O721" t="s">
        <v>110</v>
      </c>
      <c r="P721">
        <v>170</v>
      </c>
      <c r="Q721" s="17">
        <v>44030.472227893515</v>
      </c>
      <c r="R721" t="s">
        <v>126</v>
      </c>
    </row>
    <row r="722" spans="1:18" x14ac:dyDescent="0.3">
      <c r="A722">
        <v>9675597</v>
      </c>
      <c r="B722" t="s">
        <v>78</v>
      </c>
      <c r="C722">
        <v>1318144</v>
      </c>
      <c r="D722" t="s">
        <v>78</v>
      </c>
      <c r="E722" t="s">
        <v>146</v>
      </c>
      <c r="F722" t="s">
        <v>17</v>
      </c>
      <c r="G722" t="s">
        <v>153</v>
      </c>
      <c r="H722" t="s">
        <v>134</v>
      </c>
      <c r="I722" t="s">
        <v>78</v>
      </c>
      <c r="J722" t="s">
        <v>42</v>
      </c>
      <c r="K722" t="s">
        <v>87</v>
      </c>
      <c r="L722" s="25">
        <v>44030</v>
      </c>
      <c r="M722">
        <v>7</v>
      </c>
      <c r="N722">
        <v>2020</v>
      </c>
      <c r="O722" t="s">
        <v>110</v>
      </c>
      <c r="P722">
        <v>170</v>
      </c>
      <c r="Q722" s="17">
        <v>44030.484185763889</v>
      </c>
      <c r="R722" t="s">
        <v>126</v>
      </c>
    </row>
    <row r="723" spans="1:18" x14ac:dyDescent="0.3">
      <c r="A723">
        <v>9686277</v>
      </c>
      <c r="B723" t="s">
        <v>80</v>
      </c>
      <c r="C723">
        <v>1329691</v>
      </c>
      <c r="D723" t="s">
        <v>113</v>
      </c>
      <c r="E723" t="s">
        <v>146</v>
      </c>
      <c r="F723" t="s">
        <v>17</v>
      </c>
      <c r="G723" t="s">
        <v>153</v>
      </c>
      <c r="H723" t="s">
        <v>232</v>
      </c>
      <c r="I723" t="s">
        <v>84</v>
      </c>
      <c r="J723" t="s">
        <v>85</v>
      </c>
      <c r="K723" t="s">
        <v>87</v>
      </c>
      <c r="L723" s="25">
        <v>44030</v>
      </c>
      <c r="M723">
        <v>7</v>
      </c>
      <c r="N723">
        <v>2020</v>
      </c>
      <c r="O723" t="s">
        <v>110</v>
      </c>
      <c r="P723">
        <v>170</v>
      </c>
      <c r="Q723" s="17">
        <v>44030.467752777775</v>
      </c>
      <c r="R723" t="s">
        <v>126</v>
      </c>
    </row>
    <row r="724" spans="1:18" x14ac:dyDescent="0.3">
      <c r="A724">
        <v>9685955</v>
      </c>
      <c r="B724" t="s">
        <v>78</v>
      </c>
      <c r="C724">
        <v>1329857</v>
      </c>
      <c r="D724" t="s">
        <v>78</v>
      </c>
      <c r="E724">
        <v>820</v>
      </c>
      <c r="F724">
        <v>820</v>
      </c>
      <c r="G724" t="s">
        <v>136</v>
      </c>
      <c r="H724" t="s">
        <v>250</v>
      </c>
      <c r="I724" t="s">
        <v>78</v>
      </c>
      <c r="J724" t="s">
        <v>42</v>
      </c>
      <c r="K724" t="s">
        <v>83</v>
      </c>
      <c r="L724" s="25">
        <v>44030</v>
      </c>
      <c r="M724">
        <v>7</v>
      </c>
      <c r="N724">
        <v>2020</v>
      </c>
      <c r="O724" t="s">
        <v>110</v>
      </c>
      <c r="P724">
        <v>170</v>
      </c>
      <c r="Q724" s="17">
        <v>44030.484895949077</v>
      </c>
      <c r="R724" t="s">
        <v>126</v>
      </c>
    </row>
    <row r="725" spans="1:18" x14ac:dyDescent="0.3">
      <c r="A725">
        <v>9678998</v>
      </c>
      <c r="B725" t="s">
        <v>72</v>
      </c>
      <c r="C725">
        <v>1331729</v>
      </c>
      <c r="D725" t="s">
        <v>108</v>
      </c>
      <c r="E725" t="s">
        <v>12</v>
      </c>
      <c r="F725" t="s">
        <v>12</v>
      </c>
      <c r="G725" t="s">
        <v>135</v>
      </c>
      <c r="H725" t="s">
        <v>229</v>
      </c>
      <c r="I725" t="s">
        <v>84</v>
      </c>
      <c r="J725" t="s">
        <v>85</v>
      </c>
      <c r="K725" t="s">
        <v>83</v>
      </c>
      <c r="L725" s="25">
        <v>44030</v>
      </c>
      <c r="M725">
        <v>7</v>
      </c>
      <c r="N725">
        <v>2020</v>
      </c>
      <c r="O725" t="s">
        <v>110</v>
      </c>
      <c r="P725">
        <v>170</v>
      </c>
      <c r="Q725" s="17">
        <v>44030.381501388889</v>
      </c>
      <c r="R725" t="s">
        <v>126</v>
      </c>
    </row>
    <row r="726" spans="1:18" x14ac:dyDescent="0.3">
      <c r="A726">
        <v>9686988</v>
      </c>
      <c r="B726" t="s">
        <v>80</v>
      </c>
      <c r="C726">
        <v>1330261</v>
      </c>
      <c r="D726" t="s">
        <v>113</v>
      </c>
      <c r="E726" t="s">
        <v>146</v>
      </c>
      <c r="F726" t="s">
        <v>17</v>
      </c>
      <c r="G726" t="s">
        <v>153</v>
      </c>
      <c r="H726" t="s">
        <v>232</v>
      </c>
      <c r="I726" t="s">
        <v>84</v>
      </c>
      <c r="J726" t="s">
        <v>85</v>
      </c>
      <c r="K726" t="s">
        <v>87</v>
      </c>
      <c r="L726" s="25">
        <v>44030</v>
      </c>
      <c r="M726">
        <v>7</v>
      </c>
      <c r="N726">
        <v>2020</v>
      </c>
      <c r="O726" t="s">
        <v>110</v>
      </c>
      <c r="P726">
        <v>170</v>
      </c>
      <c r="Q726" s="17">
        <v>44030.498950694448</v>
      </c>
      <c r="R726" t="s">
        <v>126</v>
      </c>
    </row>
    <row r="727" spans="1:18" x14ac:dyDescent="0.3">
      <c r="A727">
        <v>9685628</v>
      </c>
      <c r="B727" t="s">
        <v>80</v>
      </c>
      <c r="C727">
        <v>1328789</v>
      </c>
      <c r="D727" t="s">
        <v>122</v>
      </c>
      <c r="E727">
        <v>820</v>
      </c>
      <c r="F727">
        <v>820</v>
      </c>
      <c r="G727" t="s">
        <v>136</v>
      </c>
      <c r="H727" t="s">
        <v>228</v>
      </c>
      <c r="I727" t="s">
        <v>84</v>
      </c>
      <c r="J727" t="s">
        <v>85</v>
      </c>
      <c r="K727" t="s">
        <v>83</v>
      </c>
      <c r="L727" s="25">
        <v>44030</v>
      </c>
      <c r="M727">
        <v>7</v>
      </c>
      <c r="N727">
        <v>2020</v>
      </c>
      <c r="O727" t="s">
        <v>110</v>
      </c>
      <c r="P727">
        <v>170</v>
      </c>
      <c r="Q727" s="17">
        <v>44029.996952662033</v>
      </c>
      <c r="R727" t="s">
        <v>126</v>
      </c>
    </row>
    <row r="728" spans="1:18" x14ac:dyDescent="0.3">
      <c r="A728">
        <v>9687709</v>
      </c>
      <c r="B728" t="s">
        <v>78</v>
      </c>
      <c r="C728">
        <v>1330610</v>
      </c>
      <c r="D728" t="s">
        <v>78</v>
      </c>
      <c r="E728">
        <v>820</v>
      </c>
      <c r="F728">
        <v>820</v>
      </c>
      <c r="G728" t="s">
        <v>136</v>
      </c>
      <c r="H728" t="s">
        <v>250</v>
      </c>
      <c r="I728" t="s">
        <v>78</v>
      </c>
      <c r="J728" t="s">
        <v>42</v>
      </c>
      <c r="K728" t="s">
        <v>83</v>
      </c>
      <c r="L728" s="25">
        <v>44030</v>
      </c>
      <c r="M728">
        <v>7</v>
      </c>
      <c r="N728">
        <v>2020</v>
      </c>
      <c r="O728" t="s">
        <v>110</v>
      </c>
      <c r="P728">
        <v>170</v>
      </c>
      <c r="Q728" s="17">
        <v>44030.493065625</v>
      </c>
      <c r="R728" t="s">
        <v>126</v>
      </c>
    </row>
    <row r="729" spans="1:18" x14ac:dyDescent="0.3">
      <c r="A729">
        <v>9686248</v>
      </c>
      <c r="B729" t="s">
        <v>80</v>
      </c>
      <c r="C729">
        <v>1329657</v>
      </c>
      <c r="D729" t="s">
        <v>113</v>
      </c>
      <c r="E729" t="s">
        <v>146</v>
      </c>
      <c r="F729" t="s">
        <v>17</v>
      </c>
      <c r="G729" t="s">
        <v>153</v>
      </c>
      <c r="H729" t="s">
        <v>232</v>
      </c>
      <c r="I729" t="s">
        <v>84</v>
      </c>
      <c r="J729" t="s">
        <v>85</v>
      </c>
      <c r="K729" t="s">
        <v>87</v>
      </c>
      <c r="L729" s="25">
        <v>44030</v>
      </c>
      <c r="M729">
        <v>7</v>
      </c>
      <c r="N729">
        <v>2020</v>
      </c>
      <c r="O729" t="s">
        <v>110</v>
      </c>
      <c r="P729">
        <v>170</v>
      </c>
      <c r="Q729" s="17">
        <v>44030.446574305555</v>
      </c>
      <c r="R729" t="s">
        <v>126</v>
      </c>
    </row>
    <row r="730" spans="1:18" x14ac:dyDescent="0.3">
      <c r="A730">
        <v>9685618</v>
      </c>
      <c r="B730" t="s">
        <v>78</v>
      </c>
      <c r="C730">
        <v>1329542</v>
      </c>
      <c r="D730" t="s">
        <v>78</v>
      </c>
      <c r="E730">
        <v>820</v>
      </c>
      <c r="F730">
        <v>820</v>
      </c>
      <c r="G730" t="s">
        <v>136</v>
      </c>
      <c r="H730" t="s">
        <v>250</v>
      </c>
      <c r="I730" t="s">
        <v>78</v>
      </c>
      <c r="J730" t="s">
        <v>42</v>
      </c>
      <c r="K730" t="s">
        <v>83</v>
      </c>
      <c r="L730" s="25">
        <v>44030</v>
      </c>
      <c r="M730">
        <v>7</v>
      </c>
      <c r="N730">
        <v>2020</v>
      </c>
      <c r="O730" t="s">
        <v>110</v>
      </c>
      <c r="P730">
        <v>170</v>
      </c>
      <c r="Q730" s="17">
        <v>44030.475076157411</v>
      </c>
      <c r="R730" t="s">
        <v>126</v>
      </c>
    </row>
    <row r="731" spans="1:18" x14ac:dyDescent="0.3">
      <c r="A731">
        <v>241226</v>
      </c>
      <c r="B731" t="s">
        <v>78</v>
      </c>
      <c r="C731">
        <v>1321544</v>
      </c>
      <c r="D731" t="s">
        <v>78</v>
      </c>
      <c r="E731" t="s">
        <v>26</v>
      </c>
      <c r="F731" t="s">
        <v>26</v>
      </c>
      <c r="G731" t="s">
        <v>137</v>
      </c>
      <c r="H731" t="s">
        <v>260</v>
      </c>
      <c r="I731" t="s">
        <v>78</v>
      </c>
      <c r="J731" t="s">
        <v>42</v>
      </c>
      <c r="K731" t="s">
        <v>83</v>
      </c>
      <c r="L731" s="25">
        <v>44030</v>
      </c>
      <c r="M731">
        <v>7</v>
      </c>
      <c r="N731">
        <v>2020</v>
      </c>
      <c r="O731" t="s">
        <v>110</v>
      </c>
      <c r="P731">
        <v>170</v>
      </c>
      <c r="Q731" s="17">
        <v>44030.462036111108</v>
      </c>
      <c r="R731" t="s">
        <v>126</v>
      </c>
    </row>
    <row r="732" spans="1:18" x14ac:dyDescent="0.3">
      <c r="A732">
        <v>9682399</v>
      </c>
      <c r="B732" t="s">
        <v>72</v>
      </c>
      <c r="C732">
        <v>1331571</v>
      </c>
      <c r="D732" t="s">
        <v>108</v>
      </c>
      <c r="E732" t="s">
        <v>26</v>
      </c>
      <c r="F732" t="s">
        <v>26</v>
      </c>
      <c r="G732" t="s">
        <v>137</v>
      </c>
      <c r="H732" t="s">
        <v>229</v>
      </c>
      <c r="I732" t="s">
        <v>84</v>
      </c>
      <c r="J732" t="s">
        <v>85</v>
      </c>
      <c r="K732" t="s">
        <v>83</v>
      </c>
      <c r="L732" s="25">
        <v>44030</v>
      </c>
      <c r="M732">
        <v>7</v>
      </c>
      <c r="N732">
        <v>2020</v>
      </c>
      <c r="O732" t="s">
        <v>110</v>
      </c>
      <c r="P732">
        <v>170</v>
      </c>
      <c r="Q732" s="17">
        <v>44030.432289583332</v>
      </c>
      <c r="R732" t="s">
        <v>126</v>
      </c>
    </row>
    <row r="733" spans="1:18" x14ac:dyDescent="0.3">
      <c r="A733">
        <v>9679266</v>
      </c>
      <c r="B733" t="s">
        <v>72</v>
      </c>
      <c r="C733">
        <v>1321143</v>
      </c>
      <c r="D733" t="s">
        <v>108</v>
      </c>
      <c r="E733" t="s">
        <v>124</v>
      </c>
      <c r="F733" t="s">
        <v>17</v>
      </c>
      <c r="G733" t="s">
        <v>125</v>
      </c>
      <c r="H733" t="s">
        <v>263</v>
      </c>
      <c r="I733" t="s">
        <v>82</v>
      </c>
      <c r="J733" t="s">
        <v>42</v>
      </c>
      <c r="K733" t="s">
        <v>87</v>
      </c>
      <c r="L733" s="25">
        <v>44030</v>
      </c>
      <c r="M733">
        <v>7</v>
      </c>
      <c r="N733">
        <v>2020</v>
      </c>
      <c r="O733" t="s">
        <v>110</v>
      </c>
      <c r="P733">
        <v>170</v>
      </c>
      <c r="Q733" s="17">
        <v>44030.489581944443</v>
      </c>
      <c r="R733" t="s">
        <v>126</v>
      </c>
    </row>
    <row r="734" spans="1:18" x14ac:dyDescent="0.3">
      <c r="A734">
        <v>9685857</v>
      </c>
      <c r="B734" t="s">
        <v>78</v>
      </c>
      <c r="C734">
        <v>1328963</v>
      </c>
      <c r="D734" t="s">
        <v>78</v>
      </c>
      <c r="E734">
        <v>820</v>
      </c>
      <c r="F734">
        <v>820</v>
      </c>
      <c r="G734" t="s">
        <v>136</v>
      </c>
      <c r="H734" t="s">
        <v>250</v>
      </c>
      <c r="I734" t="s">
        <v>78</v>
      </c>
      <c r="J734" t="s">
        <v>42</v>
      </c>
      <c r="K734" t="s">
        <v>83</v>
      </c>
      <c r="L734" s="25">
        <v>44030</v>
      </c>
      <c r="M734">
        <v>7</v>
      </c>
      <c r="N734">
        <v>2020</v>
      </c>
      <c r="O734" t="s">
        <v>110</v>
      </c>
      <c r="P734">
        <v>170</v>
      </c>
      <c r="Q734" s="17">
        <v>44030.444706134258</v>
      </c>
      <c r="R734" t="s">
        <v>126</v>
      </c>
    </row>
    <row r="735" spans="1:18" x14ac:dyDescent="0.3">
      <c r="A735">
        <v>9685630</v>
      </c>
      <c r="B735" t="s">
        <v>78</v>
      </c>
      <c r="C735">
        <v>1328746</v>
      </c>
      <c r="D735" t="s">
        <v>78</v>
      </c>
      <c r="E735">
        <v>820</v>
      </c>
      <c r="F735">
        <v>820</v>
      </c>
      <c r="G735" t="s">
        <v>136</v>
      </c>
      <c r="H735" t="s">
        <v>249</v>
      </c>
      <c r="I735" t="s">
        <v>78</v>
      </c>
      <c r="J735" t="s">
        <v>42</v>
      </c>
      <c r="K735" t="s">
        <v>83</v>
      </c>
      <c r="L735" s="25">
        <v>44030</v>
      </c>
      <c r="M735">
        <v>7</v>
      </c>
      <c r="N735">
        <v>2020</v>
      </c>
      <c r="O735" t="s">
        <v>110</v>
      </c>
      <c r="P735">
        <v>170</v>
      </c>
      <c r="Q735" s="17">
        <v>44030.431875925926</v>
      </c>
      <c r="R735" t="s">
        <v>126</v>
      </c>
    </row>
    <row r="736" spans="1:18" x14ac:dyDescent="0.3">
      <c r="A736">
        <v>9685918</v>
      </c>
      <c r="B736" t="s">
        <v>78</v>
      </c>
      <c r="C736">
        <v>1329032</v>
      </c>
      <c r="D736" t="s">
        <v>78</v>
      </c>
      <c r="E736">
        <v>820</v>
      </c>
      <c r="F736">
        <v>820</v>
      </c>
      <c r="G736" t="s">
        <v>136</v>
      </c>
      <c r="H736" t="s">
        <v>250</v>
      </c>
      <c r="I736" t="s">
        <v>78</v>
      </c>
      <c r="J736" t="s">
        <v>42</v>
      </c>
      <c r="K736" t="s">
        <v>83</v>
      </c>
      <c r="L736" s="25">
        <v>44030</v>
      </c>
      <c r="M736">
        <v>7</v>
      </c>
      <c r="N736">
        <v>2020</v>
      </c>
      <c r="O736" t="s">
        <v>110</v>
      </c>
      <c r="P736">
        <v>170</v>
      </c>
      <c r="Q736" s="17">
        <v>44030.448561921294</v>
      </c>
      <c r="R736" t="s">
        <v>126</v>
      </c>
    </row>
    <row r="737" spans="1:18" x14ac:dyDescent="0.3">
      <c r="A737">
        <v>9685965</v>
      </c>
      <c r="B737" t="s">
        <v>72</v>
      </c>
      <c r="C737">
        <v>1329367</v>
      </c>
      <c r="D737" t="s">
        <v>108</v>
      </c>
      <c r="E737">
        <v>820</v>
      </c>
      <c r="F737">
        <v>820</v>
      </c>
      <c r="G737" t="s">
        <v>136</v>
      </c>
      <c r="H737" t="s">
        <v>270</v>
      </c>
      <c r="I737" t="s">
        <v>82</v>
      </c>
      <c r="J737" t="s">
        <v>42</v>
      </c>
      <c r="K737" t="s">
        <v>83</v>
      </c>
      <c r="L737" s="25">
        <v>44030</v>
      </c>
      <c r="M737">
        <v>7</v>
      </c>
      <c r="N737">
        <v>2020</v>
      </c>
      <c r="O737" t="s">
        <v>110</v>
      </c>
      <c r="P737">
        <v>170</v>
      </c>
      <c r="Q737" s="17">
        <v>44030.463455555553</v>
      </c>
      <c r="R737" t="s">
        <v>126</v>
      </c>
    </row>
    <row r="738" spans="1:18" x14ac:dyDescent="0.3">
      <c r="A738">
        <v>9686739</v>
      </c>
      <c r="B738" t="s">
        <v>80</v>
      </c>
      <c r="C738">
        <v>1329785</v>
      </c>
      <c r="D738" t="s">
        <v>113</v>
      </c>
      <c r="E738" t="s">
        <v>146</v>
      </c>
      <c r="F738" t="s">
        <v>17</v>
      </c>
      <c r="G738" t="s">
        <v>153</v>
      </c>
      <c r="H738" t="s">
        <v>232</v>
      </c>
      <c r="I738" t="s">
        <v>84</v>
      </c>
      <c r="J738" t="s">
        <v>85</v>
      </c>
      <c r="K738" t="s">
        <v>87</v>
      </c>
      <c r="L738" s="25">
        <v>44030</v>
      </c>
      <c r="M738">
        <v>7</v>
      </c>
      <c r="N738">
        <v>2020</v>
      </c>
      <c r="O738" t="s">
        <v>110</v>
      </c>
      <c r="P738">
        <v>170</v>
      </c>
      <c r="Q738" s="17">
        <v>44030.477918518518</v>
      </c>
      <c r="R738" t="s">
        <v>126</v>
      </c>
    </row>
    <row r="739" spans="1:18" x14ac:dyDescent="0.3">
      <c r="A739">
        <v>9685711</v>
      </c>
      <c r="B739" t="s">
        <v>72</v>
      </c>
      <c r="C739">
        <v>1329836</v>
      </c>
      <c r="D739" t="s">
        <v>108</v>
      </c>
      <c r="E739">
        <v>820</v>
      </c>
      <c r="F739">
        <v>820</v>
      </c>
      <c r="G739" t="s">
        <v>136</v>
      </c>
      <c r="H739" t="s">
        <v>270</v>
      </c>
      <c r="I739" t="s">
        <v>82</v>
      </c>
      <c r="J739" t="s">
        <v>42</v>
      </c>
      <c r="K739" t="s">
        <v>83</v>
      </c>
      <c r="L739" s="25">
        <v>44030</v>
      </c>
      <c r="M739">
        <v>7</v>
      </c>
      <c r="N739">
        <v>2020</v>
      </c>
      <c r="O739" t="s">
        <v>110</v>
      </c>
      <c r="P739">
        <v>170</v>
      </c>
      <c r="Q739" s="17">
        <v>44030.479061458333</v>
      </c>
      <c r="R739" t="s">
        <v>126</v>
      </c>
    </row>
    <row r="740" spans="1:18" x14ac:dyDescent="0.3">
      <c r="A740">
        <v>9685928</v>
      </c>
      <c r="B740" t="s">
        <v>72</v>
      </c>
      <c r="C740">
        <v>1329381</v>
      </c>
      <c r="D740" t="s">
        <v>108</v>
      </c>
      <c r="E740">
        <v>820</v>
      </c>
      <c r="F740">
        <v>820</v>
      </c>
      <c r="G740" t="s">
        <v>136</v>
      </c>
      <c r="H740" t="s">
        <v>257</v>
      </c>
      <c r="I740" t="s">
        <v>82</v>
      </c>
      <c r="J740" t="s">
        <v>42</v>
      </c>
      <c r="K740" t="s">
        <v>83</v>
      </c>
      <c r="L740" s="25">
        <v>44030</v>
      </c>
      <c r="M740">
        <v>7</v>
      </c>
      <c r="N740">
        <v>2020</v>
      </c>
      <c r="O740" t="s">
        <v>110</v>
      </c>
      <c r="P740">
        <v>170</v>
      </c>
      <c r="Q740" s="17">
        <v>44030.464667708336</v>
      </c>
      <c r="R740" t="s">
        <v>126</v>
      </c>
    </row>
    <row r="741" spans="1:18" x14ac:dyDescent="0.3">
      <c r="A741">
        <v>9686279</v>
      </c>
      <c r="B741" t="s">
        <v>80</v>
      </c>
      <c r="C741">
        <v>1329682</v>
      </c>
      <c r="D741" t="s">
        <v>113</v>
      </c>
      <c r="E741" t="s">
        <v>146</v>
      </c>
      <c r="F741" t="s">
        <v>17</v>
      </c>
      <c r="G741" t="s">
        <v>153</v>
      </c>
      <c r="H741" t="s">
        <v>232</v>
      </c>
      <c r="I741" t="s">
        <v>84</v>
      </c>
      <c r="J741" t="s">
        <v>85</v>
      </c>
      <c r="K741" t="s">
        <v>87</v>
      </c>
      <c r="L741" s="25">
        <v>44030</v>
      </c>
      <c r="M741">
        <v>7</v>
      </c>
      <c r="N741">
        <v>2020</v>
      </c>
      <c r="O741" t="s">
        <v>110</v>
      </c>
      <c r="P741">
        <v>170</v>
      </c>
      <c r="Q741" s="17">
        <v>44030.464309027775</v>
      </c>
      <c r="R741" t="s">
        <v>126</v>
      </c>
    </row>
    <row r="742" spans="1:18" x14ac:dyDescent="0.3">
      <c r="A742">
        <v>9684380</v>
      </c>
      <c r="B742" t="s">
        <v>79</v>
      </c>
      <c r="C742">
        <v>1329567</v>
      </c>
      <c r="D742" t="s">
        <v>116</v>
      </c>
      <c r="E742" t="s">
        <v>12</v>
      </c>
      <c r="F742" t="s">
        <v>12</v>
      </c>
      <c r="G742" t="s">
        <v>135</v>
      </c>
      <c r="H742" t="s">
        <v>275</v>
      </c>
      <c r="I742" t="s">
        <v>82</v>
      </c>
      <c r="J742" t="s">
        <v>42</v>
      </c>
      <c r="K742" t="s">
        <v>83</v>
      </c>
      <c r="L742" s="25">
        <v>44030</v>
      </c>
      <c r="M742">
        <v>7</v>
      </c>
      <c r="N742">
        <v>2020</v>
      </c>
      <c r="O742" t="s">
        <v>110</v>
      </c>
      <c r="P742">
        <v>170</v>
      </c>
      <c r="Q742" s="17">
        <v>44030.442060185182</v>
      </c>
      <c r="R742" t="s">
        <v>126</v>
      </c>
    </row>
    <row r="743" spans="1:18" x14ac:dyDescent="0.3">
      <c r="A743">
        <v>9679600</v>
      </c>
      <c r="B743" t="s">
        <v>78</v>
      </c>
      <c r="C743">
        <v>1319872</v>
      </c>
      <c r="D743" t="s">
        <v>78</v>
      </c>
      <c r="E743" t="s">
        <v>26</v>
      </c>
      <c r="F743" t="s">
        <v>26</v>
      </c>
      <c r="G743" t="s">
        <v>137</v>
      </c>
      <c r="H743" t="s">
        <v>245</v>
      </c>
      <c r="I743" t="s">
        <v>78</v>
      </c>
      <c r="J743" t="s">
        <v>42</v>
      </c>
      <c r="K743" t="s">
        <v>83</v>
      </c>
      <c r="L743" s="25">
        <v>44030</v>
      </c>
      <c r="M743">
        <v>7</v>
      </c>
      <c r="N743">
        <v>2020</v>
      </c>
      <c r="O743" t="s">
        <v>110</v>
      </c>
      <c r="P743">
        <v>170</v>
      </c>
      <c r="Q743" s="17">
        <v>44030.434753587964</v>
      </c>
      <c r="R743" t="s">
        <v>126</v>
      </c>
    </row>
    <row r="744" spans="1:18" x14ac:dyDescent="0.3">
      <c r="A744">
        <v>9675322</v>
      </c>
      <c r="B744" t="s">
        <v>78</v>
      </c>
      <c r="C744">
        <v>1325955</v>
      </c>
      <c r="D744" t="s">
        <v>78</v>
      </c>
      <c r="E744">
        <v>966</v>
      </c>
      <c r="F744">
        <v>966</v>
      </c>
      <c r="G744" t="s">
        <v>139</v>
      </c>
      <c r="H744" t="s">
        <v>105</v>
      </c>
      <c r="I744" t="s">
        <v>78</v>
      </c>
      <c r="J744" t="s">
        <v>42</v>
      </c>
      <c r="K744" t="s">
        <v>87</v>
      </c>
      <c r="L744" s="25">
        <v>44030</v>
      </c>
      <c r="M744">
        <v>7</v>
      </c>
      <c r="N744">
        <v>2020</v>
      </c>
      <c r="O744" t="s">
        <v>110</v>
      </c>
      <c r="P744">
        <v>170</v>
      </c>
      <c r="Q744" s="17">
        <v>44030.489959953702</v>
      </c>
      <c r="R744" t="s">
        <v>126</v>
      </c>
    </row>
    <row r="745" spans="1:18" x14ac:dyDescent="0.3">
      <c r="A745">
        <v>9685863</v>
      </c>
      <c r="B745" t="s">
        <v>78</v>
      </c>
      <c r="C745">
        <v>1329550</v>
      </c>
      <c r="D745" t="s">
        <v>78</v>
      </c>
      <c r="E745">
        <v>820</v>
      </c>
      <c r="F745">
        <v>820</v>
      </c>
      <c r="G745" t="s">
        <v>136</v>
      </c>
      <c r="H745" t="s">
        <v>250</v>
      </c>
      <c r="I745" t="s">
        <v>78</v>
      </c>
      <c r="J745" t="s">
        <v>42</v>
      </c>
      <c r="K745" t="s">
        <v>83</v>
      </c>
      <c r="L745" s="25">
        <v>44030</v>
      </c>
      <c r="M745">
        <v>7</v>
      </c>
      <c r="N745">
        <v>2020</v>
      </c>
      <c r="O745" t="s">
        <v>110</v>
      </c>
      <c r="P745">
        <v>170</v>
      </c>
      <c r="Q745" s="17">
        <v>44030.477130555555</v>
      </c>
      <c r="R745" t="s">
        <v>126</v>
      </c>
    </row>
    <row r="746" spans="1:18" x14ac:dyDescent="0.3">
      <c r="A746">
        <v>9686303</v>
      </c>
      <c r="B746" t="s">
        <v>76</v>
      </c>
      <c r="C746">
        <v>1329699</v>
      </c>
      <c r="D746" t="s">
        <v>78</v>
      </c>
      <c r="E746" t="s">
        <v>12</v>
      </c>
      <c r="F746" t="s">
        <v>12</v>
      </c>
      <c r="G746" t="s">
        <v>135</v>
      </c>
      <c r="H746" t="s">
        <v>251</v>
      </c>
      <c r="I746" t="s">
        <v>78</v>
      </c>
      <c r="J746" t="s">
        <v>42</v>
      </c>
      <c r="K746" t="s">
        <v>83</v>
      </c>
      <c r="L746" s="25">
        <v>44030</v>
      </c>
      <c r="M746">
        <v>7</v>
      </c>
      <c r="N746">
        <v>2020</v>
      </c>
      <c r="O746" t="s">
        <v>110</v>
      </c>
      <c r="P746">
        <v>170</v>
      </c>
      <c r="Q746" s="17">
        <v>44030.44449814815</v>
      </c>
      <c r="R746" t="s">
        <v>126</v>
      </c>
    </row>
    <row r="747" spans="1:18" x14ac:dyDescent="0.3">
      <c r="A747">
        <v>9685933</v>
      </c>
      <c r="B747" t="s">
        <v>78</v>
      </c>
      <c r="C747">
        <v>1329364</v>
      </c>
      <c r="D747" t="s">
        <v>78</v>
      </c>
      <c r="E747">
        <v>820</v>
      </c>
      <c r="F747">
        <v>820</v>
      </c>
      <c r="G747" t="s">
        <v>136</v>
      </c>
      <c r="H747" t="s">
        <v>249</v>
      </c>
      <c r="I747" t="s">
        <v>78</v>
      </c>
      <c r="J747" t="s">
        <v>42</v>
      </c>
      <c r="K747" t="s">
        <v>83</v>
      </c>
      <c r="L747" s="25">
        <v>44030</v>
      </c>
      <c r="M747">
        <v>7</v>
      </c>
      <c r="N747">
        <v>2020</v>
      </c>
      <c r="O747" t="s">
        <v>110</v>
      </c>
      <c r="P747">
        <v>170</v>
      </c>
      <c r="Q747" s="17">
        <v>44030.46480277778</v>
      </c>
      <c r="R747" t="s">
        <v>126</v>
      </c>
    </row>
    <row r="748" spans="1:18" x14ac:dyDescent="0.3">
      <c r="A748">
        <v>9686700</v>
      </c>
      <c r="B748" t="s">
        <v>72</v>
      </c>
      <c r="C748">
        <v>1335933</v>
      </c>
      <c r="D748" t="s">
        <v>108</v>
      </c>
      <c r="E748" t="s">
        <v>12</v>
      </c>
      <c r="F748" t="s">
        <v>12</v>
      </c>
      <c r="G748" t="s">
        <v>135</v>
      </c>
      <c r="H748" t="s">
        <v>229</v>
      </c>
      <c r="I748" t="s">
        <v>84</v>
      </c>
      <c r="J748" t="s">
        <v>85</v>
      </c>
      <c r="K748" t="s">
        <v>83</v>
      </c>
      <c r="L748" s="25">
        <v>44030</v>
      </c>
      <c r="M748">
        <v>7</v>
      </c>
      <c r="N748">
        <v>2020</v>
      </c>
      <c r="O748" t="s">
        <v>110</v>
      </c>
      <c r="P748">
        <v>170</v>
      </c>
      <c r="Q748" s="17">
        <v>44031.132598263888</v>
      </c>
      <c r="R748" t="s">
        <v>126</v>
      </c>
    </row>
    <row r="749" spans="1:18" x14ac:dyDescent="0.3">
      <c r="A749">
        <v>9681830</v>
      </c>
      <c r="B749" t="s">
        <v>72</v>
      </c>
      <c r="C749">
        <v>1327623</v>
      </c>
      <c r="D749" t="s">
        <v>108</v>
      </c>
      <c r="E749">
        <v>820</v>
      </c>
      <c r="F749">
        <v>820</v>
      </c>
      <c r="G749" t="s">
        <v>136</v>
      </c>
      <c r="H749" t="s">
        <v>229</v>
      </c>
      <c r="I749" t="s">
        <v>84</v>
      </c>
      <c r="J749" t="s">
        <v>85</v>
      </c>
      <c r="K749" t="s">
        <v>83</v>
      </c>
      <c r="L749" s="25">
        <v>44030</v>
      </c>
      <c r="M749">
        <v>7</v>
      </c>
      <c r="N749">
        <v>2020</v>
      </c>
      <c r="O749" t="s">
        <v>110</v>
      </c>
      <c r="P749">
        <v>170</v>
      </c>
      <c r="Q749" s="17">
        <v>44030.298211111112</v>
      </c>
      <c r="R749" t="s">
        <v>126</v>
      </c>
    </row>
    <row r="750" spans="1:18" x14ac:dyDescent="0.3">
      <c r="A750">
        <v>9679381</v>
      </c>
      <c r="B750" t="s">
        <v>78</v>
      </c>
      <c r="C750">
        <v>1321148</v>
      </c>
      <c r="D750" t="s">
        <v>78</v>
      </c>
      <c r="E750" t="s">
        <v>26</v>
      </c>
      <c r="F750" t="s">
        <v>26</v>
      </c>
      <c r="G750" t="s">
        <v>137</v>
      </c>
      <c r="H750" t="s">
        <v>260</v>
      </c>
      <c r="I750" t="s">
        <v>78</v>
      </c>
      <c r="J750" t="s">
        <v>42</v>
      </c>
      <c r="K750" t="s">
        <v>83</v>
      </c>
      <c r="L750" s="25">
        <v>44030</v>
      </c>
      <c r="M750">
        <v>7</v>
      </c>
      <c r="N750">
        <v>2020</v>
      </c>
      <c r="O750" t="s">
        <v>110</v>
      </c>
      <c r="P750">
        <v>170</v>
      </c>
      <c r="Q750" s="17">
        <v>44030.448879976851</v>
      </c>
      <c r="R750" t="s">
        <v>126</v>
      </c>
    </row>
    <row r="751" spans="1:18" x14ac:dyDescent="0.3">
      <c r="A751">
        <v>244732</v>
      </c>
      <c r="B751" t="s">
        <v>72</v>
      </c>
      <c r="C751">
        <v>1330099</v>
      </c>
      <c r="D751" t="s">
        <v>108</v>
      </c>
      <c r="E751" t="s">
        <v>127</v>
      </c>
      <c r="F751" t="s">
        <v>17</v>
      </c>
      <c r="G751" t="s">
        <v>128</v>
      </c>
      <c r="H751" t="s">
        <v>263</v>
      </c>
      <c r="I751" t="s">
        <v>82</v>
      </c>
      <c r="J751" t="s">
        <v>42</v>
      </c>
      <c r="K751" t="s">
        <v>87</v>
      </c>
      <c r="L751" s="25">
        <v>44030</v>
      </c>
      <c r="M751">
        <v>7</v>
      </c>
      <c r="N751">
        <v>2020</v>
      </c>
      <c r="O751" t="s">
        <v>110</v>
      </c>
      <c r="P751">
        <v>170</v>
      </c>
      <c r="Q751" s="17">
        <v>44030.488034259259</v>
      </c>
      <c r="R751" t="s">
        <v>126</v>
      </c>
    </row>
    <row r="752" spans="1:18" x14ac:dyDescent="0.3">
      <c r="A752">
        <v>241849</v>
      </c>
      <c r="B752" t="s">
        <v>78</v>
      </c>
      <c r="C752">
        <v>1321841</v>
      </c>
      <c r="D752" t="s">
        <v>78</v>
      </c>
      <c r="E752" t="s">
        <v>26</v>
      </c>
      <c r="F752" t="s">
        <v>26</v>
      </c>
      <c r="G752" t="s">
        <v>137</v>
      </c>
      <c r="H752" t="s">
        <v>245</v>
      </c>
      <c r="I752" t="s">
        <v>78</v>
      </c>
      <c r="J752" t="s">
        <v>42</v>
      </c>
      <c r="K752" t="s">
        <v>83</v>
      </c>
      <c r="L752" s="25">
        <v>44030</v>
      </c>
      <c r="M752">
        <v>7</v>
      </c>
      <c r="N752">
        <v>2020</v>
      </c>
      <c r="O752" t="s">
        <v>110</v>
      </c>
      <c r="P752">
        <v>170</v>
      </c>
      <c r="Q752" s="17">
        <v>44030.476207754633</v>
      </c>
      <c r="R752" t="s">
        <v>126</v>
      </c>
    </row>
    <row r="753" spans="1:18" x14ac:dyDescent="0.3">
      <c r="A753">
        <v>21526636</v>
      </c>
      <c r="B753" t="s">
        <v>78</v>
      </c>
      <c r="C753">
        <v>1323713</v>
      </c>
      <c r="D753" t="s">
        <v>78</v>
      </c>
      <c r="E753">
        <v>966</v>
      </c>
      <c r="F753">
        <v>966</v>
      </c>
      <c r="G753" t="s">
        <v>139</v>
      </c>
      <c r="H753" t="s">
        <v>105</v>
      </c>
      <c r="I753" t="s">
        <v>78</v>
      </c>
      <c r="J753" t="s">
        <v>42</v>
      </c>
      <c r="K753" t="s">
        <v>87</v>
      </c>
      <c r="L753" s="25">
        <v>44030</v>
      </c>
      <c r="M753">
        <v>7</v>
      </c>
      <c r="N753">
        <v>2020</v>
      </c>
      <c r="O753" t="s">
        <v>110</v>
      </c>
      <c r="P753">
        <v>170</v>
      </c>
      <c r="Q753" s="17">
        <v>44030.466545254632</v>
      </c>
      <c r="R753" t="s">
        <v>126</v>
      </c>
    </row>
    <row r="754" spans="1:18" x14ac:dyDescent="0.3">
      <c r="A754">
        <v>9684145</v>
      </c>
      <c r="B754" t="s">
        <v>76</v>
      </c>
      <c r="C754">
        <v>1329572</v>
      </c>
      <c r="D754" t="s">
        <v>78</v>
      </c>
      <c r="E754" t="s">
        <v>12</v>
      </c>
      <c r="F754" t="s">
        <v>12</v>
      </c>
      <c r="G754" t="s">
        <v>135</v>
      </c>
      <c r="H754" t="s">
        <v>251</v>
      </c>
      <c r="I754" t="s">
        <v>78</v>
      </c>
      <c r="J754" t="s">
        <v>42</v>
      </c>
      <c r="K754" t="s">
        <v>83</v>
      </c>
      <c r="L754" s="25">
        <v>44030</v>
      </c>
      <c r="M754">
        <v>7</v>
      </c>
      <c r="N754">
        <v>2020</v>
      </c>
      <c r="O754" t="s">
        <v>110</v>
      </c>
      <c r="P754">
        <v>170</v>
      </c>
      <c r="Q754" s="17">
        <v>44030.45566388889</v>
      </c>
      <c r="R754" t="s">
        <v>126</v>
      </c>
    </row>
    <row r="755" spans="1:18" x14ac:dyDescent="0.3">
      <c r="A755">
        <v>9679702</v>
      </c>
      <c r="B755" t="s">
        <v>72</v>
      </c>
      <c r="C755">
        <v>1331499</v>
      </c>
      <c r="D755" t="s">
        <v>108</v>
      </c>
      <c r="E755" t="s">
        <v>12</v>
      </c>
      <c r="F755" t="s">
        <v>12</v>
      </c>
      <c r="G755" t="s">
        <v>135</v>
      </c>
      <c r="H755" t="s">
        <v>229</v>
      </c>
      <c r="I755" t="s">
        <v>84</v>
      </c>
      <c r="J755" t="s">
        <v>85</v>
      </c>
      <c r="K755" t="s">
        <v>83</v>
      </c>
      <c r="L755" s="25">
        <v>44030</v>
      </c>
      <c r="M755">
        <v>7</v>
      </c>
      <c r="N755">
        <v>2020</v>
      </c>
      <c r="O755" t="s">
        <v>110</v>
      </c>
      <c r="P755">
        <v>170</v>
      </c>
      <c r="Q755" s="17">
        <v>44030.380335995367</v>
      </c>
      <c r="R755" t="s">
        <v>126</v>
      </c>
    </row>
    <row r="756" spans="1:18" x14ac:dyDescent="0.3">
      <c r="A756">
        <v>9685775</v>
      </c>
      <c r="B756" t="s">
        <v>78</v>
      </c>
      <c r="C756">
        <v>1329529</v>
      </c>
      <c r="D756" t="s">
        <v>78</v>
      </c>
      <c r="E756">
        <v>820</v>
      </c>
      <c r="F756">
        <v>820</v>
      </c>
      <c r="G756" t="s">
        <v>136</v>
      </c>
      <c r="H756" t="s">
        <v>250</v>
      </c>
      <c r="I756" t="s">
        <v>78</v>
      </c>
      <c r="J756" t="s">
        <v>42</v>
      </c>
      <c r="K756" t="s">
        <v>83</v>
      </c>
      <c r="L756" s="25">
        <v>44030</v>
      </c>
      <c r="M756">
        <v>7</v>
      </c>
      <c r="N756">
        <v>2020</v>
      </c>
      <c r="O756" t="s">
        <v>110</v>
      </c>
      <c r="P756">
        <v>170</v>
      </c>
      <c r="Q756" s="17">
        <v>44030.476251504631</v>
      </c>
      <c r="R756" t="s">
        <v>126</v>
      </c>
    </row>
    <row r="757" spans="1:18" x14ac:dyDescent="0.3">
      <c r="A757">
        <v>9685740</v>
      </c>
      <c r="B757" t="s">
        <v>78</v>
      </c>
      <c r="C757">
        <v>1329138</v>
      </c>
      <c r="D757" t="s">
        <v>78</v>
      </c>
      <c r="E757">
        <v>820</v>
      </c>
      <c r="F757">
        <v>820</v>
      </c>
      <c r="G757" t="s">
        <v>136</v>
      </c>
      <c r="H757" t="s">
        <v>250</v>
      </c>
      <c r="I757" t="s">
        <v>78</v>
      </c>
      <c r="J757" t="s">
        <v>42</v>
      </c>
      <c r="K757" t="s">
        <v>83</v>
      </c>
      <c r="L757" s="25">
        <v>44030</v>
      </c>
      <c r="M757">
        <v>7</v>
      </c>
      <c r="N757">
        <v>2020</v>
      </c>
      <c r="O757" t="s">
        <v>110</v>
      </c>
      <c r="P757">
        <v>170</v>
      </c>
      <c r="Q757" s="17">
        <v>44030.450051041669</v>
      </c>
      <c r="R757" t="s">
        <v>126</v>
      </c>
    </row>
    <row r="758" spans="1:18" x14ac:dyDescent="0.3">
      <c r="A758">
        <v>9686318</v>
      </c>
      <c r="B758" t="s">
        <v>76</v>
      </c>
      <c r="C758">
        <v>1329470</v>
      </c>
      <c r="D758" t="s">
        <v>78</v>
      </c>
      <c r="E758" t="s">
        <v>12</v>
      </c>
      <c r="F758" t="s">
        <v>12</v>
      </c>
      <c r="G758" t="s">
        <v>135</v>
      </c>
      <c r="H758" t="s">
        <v>275</v>
      </c>
      <c r="I758" t="s">
        <v>78</v>
      </c>
      <c r="J758" t="s">
        <v>42</v>
      </c>
      <c r="K758" t="s">
        <v>83</v>
      </c>
      <c r="L758" s="25">
        <v>44030</v>
      </c>
      <c r="M758">
        <v>7</v>
      </c>
      <c r="N758">
        <v>2020</v>
      </c>
      <c r="O758" t="s">
        <v>110</v>
      </c>
      <c r="P758">
        <v>170</v>
      </c>
      <c r="Q758" s="17">
        <v>44030.451780787036</v>
      </c>
      <c r="R758" t="s">
        <v>126</v>
      </c>
    </row>
    <row r="759" spans="1:18" x14ac:dyDescent="0.3">
      <c r="A759">
        <v>9687713</v>
      </c>
      <c r="B759" t="s">
        <v>78</v>
      </c>
      <c r="C759">
        <v>1330606</v>
      </c>
      <c r="D759" t="s">
        <v>78</v>
      </c>
      <c r="E759">
        <v>820</v>
      </c>
      <c r="F759">
        <v>820</v>
      </c>
      <c r="G759" t="s">
        <v>136</v>
      </c>
      <c r="H759" t="s">
        <v>250</v>
      </c>
      <c r="I759" t="s">
        <v>78</v>
      </c>
      <c r="J759" t="s">
        <v>42</v>
      </c>
      <c r="K759" t="s">
        <v>83</v>
      </c>
      <c r="L759" s="25">
        <v>44030</v>
      </c>
      <c r="M759">
        <v>7</v>
      </c>
      <c r="N759">
        <v>2020</v>
      </c>
      <c r="O759" t="s">
        <v>110</v>
      </c>
      <c r="P759">
        <v>170</v>
      </c>
      <c r="Q759" s="17">
        <v>44030.493186458334</v>
      </c>
      <c r="R759" t="s">
        <v>126</v>
      </c>
    </row>
    <row r="760" spans="1:18" x14ac:dyDescent="0.3">
      <c r="A760">
        <v>9665678</v>
      </c>
      <c r="B760" t="s">
        <v>72</v>
      </c>
      <c r="C760">
        <v>1326862</v>
      </c>
      <c r="D760" t="s">
        <v>108</v>
      </c>
      <c r="E760" t="s">
        <v>26</v>
      </c>
      <c r="F760" t="s">
        <v>26</v>
      </c>
      <c r="G760" t="s">
        <v>137</v>
      </c>
      <c r="H760" t="s">
        <v>229</v>
      </c>
      <c r="I760" t="s">
        <v>84</v>
      </c>
      <c r="J760" t="s">
        <v>85</v>
      </c>
      <c r="K760" t="s">
        <v>83</v>
      </c>
      <c r="L760" s="25">
        <v>44030</v>
      </c>
      <c r="M760">
        <v>7</v>
      </c>
      <c r="N760">
        <v>2020</v>
      </c>
      <c r="O760" t="s">
        <v>110</v>
      </c>
      <c r="P760">
        <v>170</v>
      </c>
      <c r="Q760" s="17">
        <v>44030.286905555557</v>
      </c>
      <c r="R760" t="s">
        <v>126</v>
      </c>
    </row>
    <row r="761" spans="1:18" x14ac:dyDescent="0.3">
      <c r="A761">
        <v>9681335</v>
      </c>
      <c r="B761" t="s">
        <v>72</v>
      </c>
      <c r="C761">
        <v>1331508</v>
      </c>
      <c r="D761" t="s">
        <v>108</v>
      </c>
      <c r="E761" t="s">
        <v>12</v>
      </c>
      <c r="F761" t="s">
        <v>12</v>
      </c>
      <c r="G761" t="s">
        <v>135</v>
      </c>
      <c r="H761" t="s">
        <v>229</v>
      </c>
      <c r="I761" t="s">
        <v>84</v>
      </c>
      <c r="J761" t="s">
        <v>85</v>
      </c>
      <c r="K761" t="s">
        <v>83</v>
      </c>
      <c r="L761" s="25">
        <v>44030</v>
      </c>
      <c r="M761">
        <v>7</v>
      </c>
      <c r="N761">
        <v>2020</v>
      </c>
      <c r="O761" t="s">
        <v>110</v>
      </c>
      <c r="P761">
        <v>170</v>
      </c>
      <c r="Q761" s="17">
        <v>44030.433807754627</v>
      </c>
      <c r="R761" t="s">
        <v>126</v>
      </c>
    </row>
    <row r="762" spans="1:18" x14ac:dyDescent="0.3">
      <c r="A762">
        <v>9686908</v>
      </c>
      <c r="B762" t="s">
        <v>72</v>
      </c>
      <c r="C762">
        <v>1330197</v>
      </c>
      <c r="D762" t="s">
        <v>108</v>
      </c>
      <c r="E762" t="s">
        <v>164</v>
      </c>
      <c r="F762" t="s">
        <v>17</v>
      </c>
      <c r="G762" t="s">
        <v>165</v>
      </c>
      <c r="H762" t="s">
        <v>263</v>
      </c>
      <c r="I762" t="s">
        <v>82</v>
      </c>
      <c r="J762" t="s">
        <v>42</v>
      </c>
      <c r="K762" t="s">
        <v>87</v>
      </c>
      <c r="L762" s="25">
        <v>44030</v>
      </c>
      <c r="M762">
        <v>7</v>
      </c>
      <c r="N762">
        <v>2020</v>
      </c>
      <c r="O762" t="s">
        <v>110</v>
      </c>
      <c r="P762">
        <v>170</v>
      </c>
      <c r="Q762" s="17">
        <v>44030.489798726849</v>
      </c>
      <c r="R762" t="s">
        <v>126</v>
      </c>
    </row>
    <row r="763" spans="1:18" x14ac:dyDescent="0.3">
      <c r="A763">
        <v>9686979</v>
      </c>
      <c r="B763" t="s">
        <v>80</v>
      </c>
      <c r="C763">
        <v>1330240</v>
      </c>
      <c r="D763" t="s">
        <v>113</v>
      </c>
      <c r="E763" t="s">
        <v>146</v>
      </c>
      <c r="F763" t="s">
        <v>17</v>
      </c>
      <c r="G763" t="s">
        <v>153</v>
      </c>
      <c r="H763" t="s">
        <v>232</v>
      </c>
      <c r="I763" t="s">
        <v>84</v>
      </c>
      <c r="J763" t="s">
        <v>85</v>
      </c>
      <c r="K763" t="s">
        <v>87</v>
      </c>
      <c r="L763" s="25">
        <v>44030</v>
      </c>
      <c r="M763">
        <v>7</v>
      </c>
      <c r="N763">
        <v>2020</v>
      </c>
      <c r="O763" t="s">
        <v>110</v>
      </c>
      <c r="P763">
        <v>170</v>
      </c>
      <c r="Q763" s="17">
        <v>44030.49769178241</v>
      </c>
      <c r="R763" t="s">
        <v>126</v>
      </c>
    </row>
    <row r="764" spans="1:18" x14ac:dyDescent="0.3">
      <c r="A764">
        <v>9685778</v>
      </c>
      <c r="B764" t="s">
        <v>78</v>
      </c>
      <c r="C764">
        <v>1329338</v>
      </c>
      <c r="D764" t="s">
        <v>78</v>
      </c>
      <c r="E764">
        <v>820</v>
      </c>
      <c r="F764">
        <v>820</v>
      </c>
      <c r="G764" t="s">
        <v>136</v>
      </c>
      <c r="H764" t="s">
        <v>249</v>
      </c>
      <c r="I764" t="s">
        <v>78</v>
      </c>
      <c r="J764" t="s">
        <v>42</v>
      </c>
      <c r="K764" t="s">
        <v>83</v>
      </c>
      <c r="L764" s="25">
        <v>44030</v>
      </c>
      <c r="M764">
        <v>7</v>
      </c>
      <c r="N764">
        <v>2020</v>
      </c>
      <c r="O764" t="s">
        <v>110</v>
      </c>
      <c r="P764">
        <v>170</v>
      </c>
      <c r="Q764" s="17">
        <v>44030.462319907405</v>
      </c>
      <c r="R764" t="s">
        <v>126</v>
      </c>
    </row>
    <row r="765" spans="1:18" x14ac:dyDescent="0.3">
      <c r="A765">
        <v>21531885</v>
      </c>
      <c r="B765" t="s">
        <v>72</v>
      </c>
      <c r="C765">
        <v>1334677</v>
      </c>
      <c r="D765" t="s">
        <v>108</v>
      </c>
      <c r="E765" t="s">
        <v>26</v>
      </c>
      <c r="F765" t="s">
        <v>26</v>
      </c>
      <c r="G765" t="s">
        <v>137</v>
      </c>
      <c r="H765" t="s">
        <v>229</v>
      </c>
      <c r="I765" t="s">
        <v>84</v>
      </c>
      <c r="J765" t="s">
        <v>85</v>
      </c>
      <c r="K765" t="s">
        <v>83</v>
      </c>
      <c r="L765" s="25">
        <v>44030</v>
      </c>
      <c r="M765">
        <v>7</v>
      </c>
      <c r="N765">
        <v>2020</v>
      </c>
      <c r="O765" t="s">
        <v>110</v>
      </c>
      <c r="P765">
        <v>170</v>
      </c>
      <c r="Q765" s="17">
        <v>44031.139501157406</v>
      </c>
      <c r="R765" t="s">
        <v>126</v>
      </c>
    </row>
    <row r="766" spans="1:18" x14ac:dyDescent="0.3">
      <c r="A766">
        <v>9677471</v>
      </c>
      <c r="B766" t="s">
        <v>72</v>
      </c>
      <c r="C766">
        <v>1318910</v>
      </c>
      <c r="D766" t="s">
        <v>108</v>
      </c>
      <c r="E766">
        <v>966</v>
      </c>
      <c r="F766">
        <v>966</v>
      </c>
      <c r="G766" t="s">
        <v>139</v>
      </c>
      <c r="H766" t="s">
        <v>229</v>
      </c>
      <c r="I766" t="s">
        <v>84</v>
      </c>
      <c r="J766" t="s">
        <v>85</v>
      </c>
      <c r="K766" t="s">
        <v>87</v>
      </c>
      <c r="L766" s="25">
        <v>44030</v>
      </c>
      <c r="M766">
        <v>7</v>
      </c>
      <c r="N766">
        <v>2020</v>
      </c>
      <c r="O766" t="s">
        <v>110</v>
      </c>
      <c r="P766">
        <v>170</v>
      </c>
      <c r="Q766" s="17">
        <v>44030.435710069447</v>
      </c>
      <c r="R766" t="s">
        <v>126</v>
      </c>
    </row>
    <row r="767" spans="1:18" x14ac:dyDescent="0.3">
      <c r="A767">
        <v>21526889</v>
      </c>
      <c r="B767" t="s">
        <v>78</v>
      </c>
      <c r="C767">
        <v>1324958</v>
      </c>
      <c r="D767" t="s">
        <v>78</v>
      </c>
      <c r="E767" t="s">
        <v>161</v>
      </c>
      <c r="F767" t="s">
        <v>17</v>
      </c>
      <c r="G767" t="s">
        <v>162</v>
      </c>
      <c r="H767" t="s">
        <v>134</v>
      </c>
      <c r="I767" t="s">
        <v>78</v>
      </c>
      <c r="J767" t="s">
        <v>42</v>
      </c>
      <c r="K767" t="s">
        <v>87</v>
      </c>
      <c r="L767" s="25">
        <v>44030</v>
      </c>
      <c r="M767">
        <v>7</v>
      </c>
      <c r="N767">
        <v>2020</v>
      </c>
      <c r="O767" t="s">
        <v>110</v>
      </c>
      <c r="P767">
        <v>170</v>
      </c>
      <c r="Q767" s="17">
        <v>44030.489360648149</v>
      </c>
      <c r="R767" t="s">
        <v>126</v>
      </c>
    </row>
    <row r="768" spans="1:18" x14ac:dyDescent="0.3">
      <c r="A768">
        <v>9686729</v>
      </c>
      <c r="B768" t="s">
        <v>80</v>
      </c>
      <c r="C768">
        <v>1329770</v>
      </c>
      <c r="D768" t="s">
        <v>113</v>
      </c>
      <c r="E768" t="s">
        <v>146</v>
      </c>
      <c r="F768" t="s">
        <v>17</v>
      </c>
      <c r="G768" t="s">
        <v>153</v>
      </c>
      <c r="H768" t="s">
        <v>232</v>
      </c>
      <c r="I768" t="s">
        <v>84</v>
      </c>
      <c r="J768" t="s">
        <v>85</v>
      </c>
      <c r="K768" t="s">
        <v>87</v>
      </c>
      <c r="L768" s="25">
        <v>44030</v>
      </c>
      <c r="M768">
        <v>7</v>
      </c>
      <c r="N768">
        <v>2020</v>
      </c>
      <c r="O768" t="s">
        <v>110</v>
      </c>
      <c r="P768">
        <v>170</v>
      </c>
      <c r="Q768" s="17">
        <v>44030.472899421293</v>
      </c>
      <c r="R768" t="s">
        <v>126</v>
      </c>
    </row>
    <row r="769" spans="1:18" x14ac:dyDescent="0.3">
      <c r="A769">
        <v>9666524</v>
      </c>
      <c r="B769" t="s">
        <v>80</v>
      </c>
      <c r="C769">
        <v>1325158</v>
      </c>
      <c r="D769" t="s">
        <v>113</v>
      </c>
      <c r="E769">
        <v>966</v>
      </c>
      <c r="F769">
        <v>966</v>
      </c>
      <c r="G769" t="s">
        <v>139</v>
      </c>
      <c r="H769" t="s">
        <v>232</v>
      </c>
      <c r="I769" t="s">
        <v>84</v>
      </c>
      <c r="J769" t="s">
        <v>85</v>
      </c>
      <c r="K769" t="s">
        <v>87</v>
      </c>
      <c r="L769" s="25">
        <v>44030</v>
      </c>
      <c r="M769">
        <v>7</v>
      </c>
      <c r="N769">
        <v>2020</v>
      </c>
      <c r="O769" t="s">
        <v>110</v>
      </c>
      <c r="P769">
        <v>170</v>
      </c>
      <c r="Q769" s="17">
        <v>44030.482173379627</v>
      </c>
      <c r="R769" t="s">
        <v>126</v>
      </c>
    </row>
    <row r="770" spans="1:18" x14ac:dyDescent="0.3">
      <c r="A770">
        <v>9685826</v>
      </c>
      <c r="B770" t="s">
        <v>78</v>
      </c>
      <c r="C770">
        <v>1329229</v>
      </c>
      <c r="D770" t="s">
        <v>78</v>
      </c>
      <c r="E770">
        <v>820</v>
      </c>
      <c r="F770">
        <v>820</v>
      </c>
      <c r="G770" t="s">
        <v>136</v>
      </c>
      <c r="H770" t="s">
        <v>250</v>
      </c>
      <c r="I770" t="s">
        <v>78</v>
      </c>
      <c r="J770" t="s">
        <v>42</v>
      </c>
      <c r="K770" t="s">
        <v>83</v>
      </c>
      <c r="L770" s="25">
        <v>44030</v>
      </c>
      <c r="M770">
        <v>7</v>
      </c>
      <c r="N770">
        <v>2020</v>
      </c>
      <c r="O770" t="s">
        <v>110</v>
      </c>
      <c r="P770">
        <v>170</v>
      </c>
      <c r="Q770" s="17">
        <v>44030.453928703704</v>
      </c>
      <c r="R770" t="s">
        <v>126</v>
      </c>
    </row>
    <row r="771" spans="1:18" x14ac:dyDescent="0.3">
      <c r="A771">
        <v>9676603</v>
      </c>
      <c r="B771" t="s">
        <v>78</v>
      </c>
      <c r="C771">
        <v>1319299</v>
      </c>
      <c r="D771" t="s">
        <v>78</v>
      </c>
      <c r="E771">
        <v>966</v>
      </c>
      <c r="F771">
        <v>966</v>
      </c>
      <c r="G771" t="s">
        <v>139</v>
      </c>
      <c r="H771" t="s">
        <v>105</v>
      </c>
      <c r="I771" t="s">
        <v>78</v>
      </c>
      <c r="J771" t="s">
        <v>42</v>
      </c>
      <c r="K771" t="s">
        <v>87</v>
      </c>
      <c r="L771" s="25">
        <v>44030</v>
      </c>
      <c r="M771">
        <v>7</v>
      </c>
      <c r="N771">
        <v>2020</v>
      </c>
      <c r="O771" t="s">
        <v>110</v>
      </c>
      <c r="P771">
        <v>170</v>
      </c>
      <c r="Q771" s="17">
        <v>44030.478448379632</v>
      </c>
      <c r="R771" t="s">
        <v>126</v>
      </c>
    </row>
    <row r="772" spans="1:18" x14ac:dyDescent="0.3">
      <c r="A772">
        <v>9681029</v>
      </c>
      <c r="B772" t="s">
        <v>80</v>
      </c>
      <c r="C772">
        <v>1323086</v>
      </c>
      <c r="D772" t="s">
        <v>113</v>
      </c>
      <c r="E772">
        <v>966</v>
      </c>
      <c r="F772">
        <v>966</v>
      </c>
      <c r="G772" t="s">
        <v>139</v>
      </c>
      <c r="H772" t="s">
        <v>232</v>
      </c>
      <c r="I772" t="s">
        <v>84</v>
      </c>
      <c r="J772" t="s">
        <v>85</v>
      </c>
      <c r="K772" t="s">
        <v>87</v>
      </c>
      <c r="L772" s="25">
        <v>44030</v>
      </c>
      <c r="M772">
        <v>7</v>
      </c>
      <c r="N772">
        <v>2020</v>
      </c>
      <c r="O772" t="s">
        <v>110</v>
      </c>
      <c r="P772">
        <v>170</v>
      </c>
      <c r="Q772" s="17">
        <v>44030.466262268521</v>
      </c>
      <c r="R772" t="s">
        <v>126</v>
      </c>
    </row>
    <row r="773" spans="1:18" x14ac:dyDescent="0.3">
      <c r="A773">
        <v>241138</v>
      </c>
      <c r="B773" t="s">
        <v>72</v>
      </c>
      <c r="C773">
        <v>1320648</v>
      </c>
      <c r="D773" t="s">
        <v>108</v>
      </c>
      <c r="E773" t="s">
        <v>26</v>
      </c>
      <c r="F773" t="s">
        <v>26</v>
      </c>
      <c r="G773" t="s">
        <v>137</v>
      </c>
      <c r="H773" t="s">
        <v>229</v>
      </c>
      <c r="I773" t="s">
        <v>84</v>
      </c>
      <c r="J773" t="s">
        <v>85</v>
      </c>
      <c r="K773" t="s">
        <v>83</v>
      </c>
      <c r="L773" s="25">
        <v>44030</v>
      </c>
      <c r="M773">
        <v>7</v>
      </c>
      <c r="N773">
        <v>2020</v>
      </c>
      <c r="O773" t="s">
        <v>110</v>
      </c>
      <c r="P773">
        <v>170</v>
      </c>
      <c r="Q773" s="17">
        <v>44030.439590509261</v>
      </c>
      <c r="R773" t="s">
        <v>126</v>
      </c>
    </row>
    <row r="774" spans="1:18" x14ac:dyDescent="0.3">
      <c r="A774">
        <v>9686202</v>
      </c>
      <c r="B774" t="s">
        <v>78</v>
      </c>
      <c r="C774">
        <v>1329965</v>
      </c>
      <c r="D774" t="s">
        <v>78</v>
      </c>
      <c r="E774" t="s">
        <v>154</v>
      </c>
      <c r="F774" t="s">
        <v>17</v>
      </c>
      <c r="G774" t="s">
        <v>155</v>
      </c>
      <c r="H774" t="s">
        <v>134</v>
      </c>
      <c r="I774" t="s">
        <v>78</v>
      </c>
      <c r="J774" t="s">
        <v>42</v>
      </c>
      <c r="K774" t="s">
        <v>87</v>
      </c>
      <c r="L774" s="25">
        <v>44030</v>
      </c>
      <c r="M774">
        <v>7</v>
      </c>
      <c r="N774">
        <v>2020</v>
      </c>
      <c r="O774" t="s">
        <v>110</v>
      </c>
      <c r="P774">
        <v>170</v>
      </c>
      <c r="Q774" s="17">
        <v>44030.483219675923</v>
      </c>
      <c r="R774" t="s">
        <v>126</v>
      </c>
    </row>
    <row r="775" spans="1:18" x14ac:dyDescent="0.3">
      <c r="A775">
        <v>241332</v>
      </c>
      <c r="B775" t="s">
        <v>72</v>
      </c>
      <c r="C775">
        <v>1321575</v>
      </c>
      <c r="D775" t="s">
        <v>108</v>
      </c>
      <c r="E775" t="s">
        <v>164</v>
      </c>
      <c r="F775" t="s">
        <v>17</v>
      </c>
      <c r="G775" t="s">
        <v>165</v>
      </c>
      <c r="H775" t="s">
        <v>263</v>
      </c>
      <c r="I775" t="s">
        <v>82</v>
      </c>
      <c r="J775" t="s">
        <v>42</v>
      </c>
      <c r="K775" t="s">
        <v>87</v>
      </c>
      <c r="L775" s="25">
        <v>44030</v>
      </c>
      <c r="M775">
        <v>7</v>
      </c>
      <c r="N775">
        <v>2020</v>
      </c>
      <c r="O775" t="s">
        <v>110</v>
      </c>
      <c r="P775">
        <v>170</v>
      </c>
      <c r="Q775" s="17">
        <v>44030.490636574075</v>
      </c>
      <c r="R775" t="s">
        <v>126</v>
      </c>
    </row>
    <row r="776" spans="1:18" x14ac:dyDescent="0.3">
      <c r="A776">
        <v>9686314</v>
      </c>
      <c r="B776" t="s">
        <v>79</v>
      </c>
      <c r="C776">
        <v>1329370</v>
      </c>
      <c r="D776" t="s">
        <v>113</v>
      </c>
      <c r="E776" t="s">
        <v>12</v>
      </c>
      <c r="F776" t="s">
        <v>12</v>
      </c>
      <c r="G776" t="s">
        <v>135</v>
      </c>
      <c r="H776" t="s">
        <v>232</v>
      </c>
      <c r="I776" t="s">
        <v>84</v>
      </c>
      <c r="J776" t="s">
        <v>85</v>
      </c>
      <c r="K776" t="s">
        <v>83</v>
      </c>
      <c r="L776" s="25">
        <v>44030</v>
      </c>
      <c r="M776">
        <v>7</v>
      </c>
      <c r="N776">
        <v>2020</v>
      </c>
      <c r="O776" t="s">
        <v>110</v>
      </c>
      <c r="P776">
        <v>170</v>
      </c>
      <c r="Q776" s="17">
        <v>44030.46885636574</v>
      </c>
      <c r="R776" t="s">
        <v>126</v>
      </c>
    </row>
    <row r="777" spans="1:18" x14ac:dyDescent="0.3">
      <c r="A777">
        <v>9674144</v>
      </c>
      <c r="B777" t="s">
        <v>72</v>
      </c>
      <c r="C777">
        <v>1320001</v>
      </c>
      <c r="D777" t="s">
        <v>108</v>
      </c>
      <c r="E777" t="s">
        <v>124</v>
      </c>
      <c r="F777" t="s">
        <v>17</v>
      </c>
      <c r="G777" t="s">
        <v>125</v>
      </c>
      <c r="H777" t="s">
        <v>263</v>
      </c>
      <c r="I777" t="s">
        <v>82</v>
      </c>
      <c r="J777" t="s">
        <v>42</v>
      </c>
      <c r="K777" t="s">
        <v>87</v>
      </c>
      <c r="L777" s="25">
        <v>44030</v>
      </c>
      <c r="M777">
        <v>7</v>
      </c>
      <c r="N777">
        <v>2020</v>
      </c>
      <c r="O777" t="s">
        <v>110</v>
      </c>
      <c r="P777">
        <v>170</v>
      </c>
      <c r="Q777" s="17">
        <v>44030.425741319443</v>
      </c>
      <c r="R777" t="s">
        <v>126</v>
      </c>
    </row>
    <row r="778" spans="1:18" x14ac:dyDescent="0.3">
      <c r="A778">
        <v>245016</v>
      </c>
      <c r="B778" t="s">
        <v>72</v>
      </c>
      <c r="C778">
        <v>1330140</v>
      </c>
      <c r="D778" t="s">
        <v>108</v>
      </c>
      <c r="E778" t="s">
        <v>182</v>
      </c>
      <c r="F778" t="s">
        <v>17</v>
      </c>
      <c r="G778" t="s">
        <v>183</v>
      </c>
      <c r="H778" t="s">
        <v>263</v>
      </c>
      <c r="I778" t="s">
        <v>82</v>
      </c>
      <c r="J778" t="s">
        <v>42</v>
      </c>
      <c r="K778" t="s">
        <v>87</v>
      </c>
      <c r="L778" s="25">
        <v>44030</v>
      </c>
      <c r="M778">
        <v>7</v>
      </c>
      <c r="N778">
        <v>2020</v>
      </c>
      <c r="O778" t="s">
        <v>110</v>
      </c>
      <c r="P778">
        <v>170</v>
      </c>
      <c r="Q778" s="17">
        <v>44030.488034259259</v>
      </c>
      <c r="R778" t="s">
        <v>126</v>
      </c>
    </row>
    <row r="779" spans="1:18" x14ac:dyDescent="0.3">
      <c r="A779">
        <v>241278</v>
      </c>
      <c r="B779" t="s">
        <v>78</v>
      </c>
      <c r="C779">
        <v>1321584</v>
      </c>
      <c r="D779" t="s">
        <v>78</v>
      </c>
      <c r="E779" t="s">
        <v>26</v>
      </c>
      <c r="F779" t="s">
        <v>26</v>
      </c>
      <c r="G779" t="s">
        <v>137</v>
      </c>
      <c r="H779" t="s">
        <v>245</v>
      </c>
      <c r="I779" t="s">
        <v>78</v>
      </c>
      <c r="J779" t="s">
        <v>42</v>
      </c>
      <c r="K779" t="s">
        <v>83</v>
      </c>
      <c r="L779" s="25">
        <v>44030</v>
      </c>
      <c r="M779">
        <v>7</v>
      </c>
      <c r="N779">
        <v>2020</v>
      </c>
      <c r="O779" t="s">
        <v>110</v>
      </c>
      <c r="P779">
        <v>170</v>
      </c>
      <c r="Q779" s="17">
        <v>44030.467910416664</v>
      </c>
      <c r="R779" t="s">
        <v>126</v>
      </c>
    </row>
    <row r="780" spans="1:18" x14ac:dyDescent="0.3">
      <c r="A780">
        <v>9686875</v>
      </c>
      <c r="B780" t="s">
        <v>80</v>
      </c>
      <c r="C780">
        <v>1329765</v>
      </c>
      <c r="D780" t="s">
        <v>113</v>
      </c>
      <c r="E780" t="s">
        <v>146</v>
      </c>
      <c r="F780" t="s">
        <v>17</v>
      </c>
      <c r="G780" t="s">
        <v>153</v>
      </c>
      <c r="H780" t="s">
        <v>232</v>
      </c>
      <c r="I780" t="s">
        <v>84</v>
      </c>
      <c r="J780" t="s">
        <v>85</v>
      </c>
      <c r="K780" t="s">
        <v>87</v>
      </c>
      <c r="L780" s="25">
        <v>44030</v>
      </c>
      <c r="M780">
        <v>7</v>
      </c>
      <c r="N780">
        <v>2020</v>
      </c>
      <c r="O780" t="s">
        <v>110</v>
      </c>
      <c r="P780">
        <v>170</v>
      </c>
      <c r="Q780" s="17">
        <v>44030.472462384256</v>
      </c>
      <c r="R780" t="s">
        <v>126</v>
      </c>
    </row>
    <row r="781" spans="1:18" x14ac:dyDescent="0.3">
      <c r="A781">
        <v>9686985</v>
      </c>
      <c r="B781" t="s">
        <v>80</v>
      </c>
      <c r="C781">
        <v>1330263</v>
      </c>
      <c r="D781" t="s">
        <v>113</v>
      </c>
      <c r="E781" t="s">
        <v>146</v>
      </c>
      <c r="F781" t="s">
        <v>17</v>
      </c>
      <c r="G781" t="s">
        <v>153</v>
      </c>
      <c r="H781" t="s">
        <v>232</v>
      </c>
      <c r="I781" t="s">
        <v>84</v>
      </c>
      <c r="J781" t="s">
        <v>85</v>
      </c>
      <c r="K781" t="s">
        <v>87</v>
      </c>
      <c r="L781" s="25">
        <v>44030</v>
      </c>
      <c r="M781">
        <v>7</v>
      </c>
      <c r="N781">
        <v>2020</v>
      </c>
      <c r="O781" t="s">
        <v>110</v>
      </c>
      <c r="P781">
        <v>170</v>
      </c>
      <c r="Q781" s="17">
        <v>44030.497060648151</v>
      </c>
      <c r="R781" t="s">
        <v>126</v>
      </c>
    </row>
    <row r="782" spans="1:18" x14ac:dyDescent="0.3">
      <c r="A782">
        <v>9685922</v>
      </c>
      <c r="B782" t="s">
        <v>72</v>
      </c>
      <c r="C782">
        <v>1328758</v>
      </c>
      <c r="D782" t="s">
        <v>108</v>
      </c>
      <c r="E782">
        <v>820</v>
      </c>
      <c r="F782">
        <v>820</v>
      </c>
      <c r="G782" t="s">
        <v>136</v>
      </c>
      <c r="H782" t="s">
        <v>270</v>
      </c>
      <c r="I782" t="s">
        <v>82</v>
      </c>
      <c r="J782" t="s">
        <v>42</v>
      </c>
      <c r="K782" t="s">
        <v>83</v>
      </c>
      <c r="L782" s="25">
        <v>44030</v>
      </c>
      <c r="M782">
        <v>7</v>
      </c>
      <c r="N782">
        <v>2020</v>
      </c>
      <c r="O782" t="s">
        <v>110</v>
      </c>
      <c r="P782">
        <v>170</v>
      </c>
      <c r="Q782" s="17">
        <v>44030.433242708335</v>
      </c>
      <c r="R782" t="s">
        <v>126</v>
      </c>
    </row>
    <row r="783" spans="1:18" x14ac:dyDescent="0.3">
      <c r="A783">
        <v>9675645</v>
      </c>
      <c r="B783" t="s">
        <v>80</v>
      </c>
      <c r="C783">
        <v>1317992</v>
      </c>
      <c r="D783" t="s">
        <v>113</v>
      </c>
      <c r="E783">
        <v>966</v>
      </c>
      <c r="F783">
        <v>966</v>
      </c>
      <c r="G783" t="s">
        <v>139</v>
      </c>
      <c r="H783" t="s">
        <v>232</v>
      </c>
      <c r="I783" t="s">
        <v>84</v>
      </c>
      <c r="J783" t="s">
        <v>85</v>
      </c>
      <c r="K783" t="s">
        <v>87</v>
      </c>
      <c r="L783" s="25">
        <v>44030</v>
      </c>
      <c r="M783">
        <v>7</v>
      </c>
      <c r="N783">
        <v>2020</v>
      </c>
      <c r="O783" t="s">
        <v>110</v>
      </c>
      <c r="P783">
        <v>170</v>
      </c>
      <c r="Q783" s="17">
        <v>44030.42977210648</v>
      </c>
      <c r="R783" t="s">
        <v>126</v>
      </c>
    </row>
    <row r="784" spans="1:18" x14ac:dyDescent="0.3">
      <c r="A784">
        <v>9686721</v>
      </c>
      <c r="B784" t="s">
        <v>80</v>
      </c>
      <c r="C784">
        <v>1329760</v>
      </c>
      <c r="D784" t="s">
        <v>113</v>
      </c>
      <c r="E784" t="s">
        <v>146</v>
      </c>
      <c r="F784" t="s">
        <v>17</v>
      </c>
      <c r="G784" t="s">
        <v>153</v>
      </c>
      <c r="H784" t="s">
        <v>232</v>
      </c>
      <c r="I784" t="s">
        <v>84</v>
      </c>
      <c r="J784" t="s">
        <v>85</v>
      </c>
      <c r="K784" t="s">
        <v>87</v>
      </c>
      <c r="L784" s="25">
        <v>44030</v>
      </c>
      <c r="M784">
        <v>7</v>
      </c>
      <c r="N784">
        <v>2020</v>
      </c>
      <c r="O784" t="s">
        <v>110</v>
      </c>
      <c r="P784">
        <v>170</v>
      </c>
      <c r="Q784" s="17">
        <v>44030.474733101852</v>
      </c>
      <c r="R784" t="s">
        <v>126</v>
      </c>
    </row>
    <row r="785" spans="1:18" x14ac:dyDescent="0.3">
      <c r="A785">
        <v>9686900</v>
      </c>
      <c r="B785" t="s">
        <v>80</v>
      </c>
      <c r="C785">
        <v>1329794</v>
      </c>
      <c r="D785" t="s">
        <v>113</v>
      </c>
      <c r="E785" t="s">
        <v>146</v>
      </c>
      <c r="F785" t="s">
        <v>17</v>
      </c>
      <c r="G785" t="s">
        <v>153</v>
      </c>
      <c r="H785" t="s">
        <v>232</v>
      </c>
      <c r="I785" t="s">
        <v>84</v>
      </c>
      <c r="J785" t="s">
        <v>85</v>
      </c>
      <c r="K785" t="s">
        <v>87</v>
      </c>
      <c r="L785" s="25">
        <v>44030</v>
      </c>
      <c r="M785">
        <v>7</v>
      </c>
      <c r="N785">
        <v>2020</v>
      </c>
      <c r="O785" t="s">
        <v>110</v>
      </c>
      <c r="P785">
        <v>170</v>
      </c>
      <c r="Q785" s="17">
        <v>44030.473655208334</v>
      </c>
      <c r="R785" t="s">
        <v>126</v>
      </c>
    </row>
    <row r="786" spans="1:18" x14ac:dyDescent="0.3">
      <c r="A786">
        <v>9685923</v>
      </c>
      <c r="B786" t="s">
        <v>78</v>
      </c>
      <c r="C786">
        <v>1329894</v>
      </c>
      <c r="D786" t="s">
        <v>78</v>
      </c>
      <c r="E786">
        <v>820</v>
      </c>
      <c r="F786">
        <v>820</v>
      </c>
      <c r="G786" t="s">
        <v>136</v>
      </c>
      <c r="H786" t="s">
        <v>250</v>
      </c>
      <c r="I786" t="s">
        <v>78</v>
      </c>
      <c r="J786" t="s">
        <v>42</v>
      </c>
      <c r="K786" t="s">
        <v>83</v>
      </c>
      <c r="L786" s="25">
        <v>44030</v>
      </c>
      <c r="M786">
        <v>7</v>
      </c>
      <c r="N786">
        <v>2020</v>
      </c>
      <c r="O786" t="s">
        <v>110</v>
      </c>
      <c r="P786">
        <v>170</v>
      </c>
      <c r="Q786" s="17">
        <v>44030.485257986111</v>
      </c>
      <c r="R786" t="s">
        <v>126</v>
      </c>
    </row>
    <row r="787" spans="1:18" x14ac:dyDescent="0.3">
      <c r="A787">
        <v>9685828</v>
      </c>
      <c r="B787" t="s">
        <v>78</v>
      </c>
      <c r="C787">
        <v>1328958</v>
      </c>
      <c r="D787" t="s">
        <v>78</v>
      </c>
      <c r="E787">
        <v>820</v>
      </c>
      <c r="F787">
        <v>820</v>
      </c>
      <c r="G787" t="s">
        <v>136</v>
      </c>
      <c r="H787" t="s">
        <v>249</v>
      </c>
      <c r="I787" t="s">
        <v>78</v>
      </c>
      <c r="J787" t="s">
        <v>42</v>
      </c>
      <c r="K787" t="s">
        <v>83</v>
      </c>
      <c r="L787" s="25">
        <v>44030</v>
      </c>
      <c r="M787">
        <v>7</v>
      </c>
      <c r="N787">
        <v>2020</v>
      </c>
      <c r="O787" t="s">
        <v>110</v>
      </c>
      <c r="P787">
        <v>170</v>
      </c>
      <c r="Q787" s="17">
        <v>44030.446380787034</v>
      </c>
      <c r="R787" t="s">
        <v>126</v>
      </c>
    </row>
    <row r="788" spans="1:18" x14ac:dyDescent="0.3">
      <c r="A788">
        <v>240822</v>
      </c>
      <c r="B788" t="s">
        <v>72</v>
      </c>
      <c r="C788">
        <v>1319598</v>
      </c>
      <c r="D788" t="s">
        <v>108</v>
      </c>
      <c r="E788" t="s">
        <v>124</v>
      </c>
      <c r="F788" t="s">
        <v>17</v>
      </c>
      <c r="G788" t="s">
        <v>125</v>
      </c>
      <c r="H788" t="s">
        <v>263</v>
      </c>
      <c r="I788" t="s">
        <v>82</v>
      </c>
      <c r="J788" t="s">
        <v>42</v>
      </c>
      <c r="K788" t="s">
        <v>87</v>
      </c>
      <c r="L788" s="25">
        <v>44030</v>
      </c>
      <c r="M788">
        <v>7</v>
      </c>
      <c r="N788">
        <v>2020</v>
      </c>
      <c r="O788" t="s">
        <v>110</v>
      </c>
      <c r="P788">
        <v>170</v>
      </c>
      <c r="Q788" s="17">
        <v>44030.46312847222</v>
      </c>
      <c r="R788" t="s">
        <v>126</v>
      </c>
    </row>
    <row r="789" spans="1:18" x14ac:dyDescent="0.3">
      <c r="A789">
        <v>9686321</v>
      </c>
      <c r="B789" t="s">
        <v>72</v>
      </c>
      <c r="C789">
        <v>1332868</v>
      </c>
      <c r="D789" t="s">
        <v>108</v>
      </c>
      <c r="E789" t="s">
        <v>12</v>
      </c>
      <c r="F789" t="s">
        <v>12</v>
      </c>
      <c r="G789" t="s">
        <v>135</v>
      </c>
      <c r="H789" t="s">
        <v>229</v>
      </c>
      <c r="I789" t="s">
        <v>84</v>
      </c>
      <c r="J789" t="s">
        <v>85</v>
      </c>
      <c r="K789" t="s">
        <v>83</v>
      </c>
      <c r="L789" s="25">
        <v>44030</v>
      </c>
      <c r="M789">
        <v>7</v>
      </c>
      <c r="N789">
        <v>2020</v>
      </c>
      <c r="O789" t="s">
        <v>110</v>
      </c>
      <c r="P789">
        <v>170</v>
      </c>
      <c r="Q789" s="17">
        <v>44030.409173032407</v>
      </c>
      <c r="R789" t="s">
        <v>126</v>
      </c>
    </row>
    <row r="790" spans="1:18" x14ac:dyDescent="0.3">
      <c r="A790">
        <v>21534326</v>
      </c>
      <c r="B790" t="s">
        <v>72</v>
      </c>
      <c r="C790">
        <v>1335038</v>
      </c>
      <c r="D790" t="s">
        <v>108</v>
      </c>
      <c r="E790">
        <v>995</v>
      </c>
      <c r="F790">
        <v>995</v>
      </c>
      <c r="G790" t="s">
        <v>278</v>
      </c>
      <c r="H790" t="s">
        <v>229</v>
      </c>
      <c r="I790" t="s">
        <v>84</v>
      </c>
      <c r="J790" t="s">
        <v>85</v>
      </c>
      <c r="K790" t="s">
        <v>87</v>
      </c>
      <c r="L790" s="25">
        <v>44030</v>
      </c>
      <c r="M790">
        <v>7</v>
      </c>
      <c r="N790">
        <v>2020</v>
      </c>
      <c r="O790" t="s">
        <v>110</v>
      </c>
      <c r="P790">
        <v>170</v>
      </c>
      <c r="Q790" s="17">
        <v>44031.105974537037</v>
      </c>
      <c r="R790" t="s">
        <v>126</v>
      </c>
    </row>
    <row r="791" spans="1:18" x14ac:dyDescent="0.3">
      <c r="A791">
        <v>9685945</v>
      </c>
      <c r="B791" t="s">
        <v>72</v>
      </c>
      <c r="C791">
        <v>1328924</v>
      </c>
      <c r="D791" t="s">
        <v>108</v>
      </c>
      <c r="E791">
        <v>820</v>
      </c>
      <c r="F791">
        <v>820</v>
      </c>
      <c r="G791" t="s">
        <v>136</v>
      </c>
      <c r="H791" t="s">
        <v>229</v>
      </c>
      <c r="I791" t="s">
        <v>84</v>
      </c>
      <c r="J791" t="s">
        <v>85</v>
      </c>
      <c r="K791" t="s">
        <v>83</v>
      </c>
      <c r="L791" s="25">
        <v>44030</v>
      </c>
      <c r="M791">
        <v>7</v>
      </c>
      <c r="N791">
        <v>2020</v>
      </c>
      <c r="O791" t="s">
        <v>110</v>
      </c>
      <c r="P791">
        <v>170</v>
      </c>
      <c r="Q791" s="17">
        <v>44030.307517592591</v>
      </c>
      <c r="R791" t="s">
        <v>126</v>
      </c>
    </row>
    <row r="792" spans="1:18" x14ac:dyDescent="0.3">
      <c r="A792">
        <v>9681469</v>
      </c>
      <c r="B792" t="s">
        <v>78</v>
      </c>
      <c r="C792">
        <v>1326316</v>
      </c>
      <c r="D792" t="s">
        <v>78</v>
      </c>
      <c r="E792">
        <v>966</v>
      </c>
      <c r="F792">
        <v>966</v>
      </c>
      <c r="G792" t="s">
        <v>139</v>
      </c>
      <c r="H792" t="s">
        <v>105</v>
      </c>
      <c r="I792" t="s">
        <v>78</v>
      </c>
      <c r="J792" t="s">
        <v>42</v>
      </c>
      <c r="K792" t="s">
        <v>87</v>
      </c>
      <c r="L792" s="25">
        <v>44030</v>
      </c>
      <c r="M792">
        <v>7</v>
      </c>
      <c r="N792">
        <v>2020</v>
      </c>
      <c r="O792" t="s">
        <v>110</v>
      </c>
      <c r="P792">
        <v>170</v>
      </c>
      <c r="Q792" s="17">
        <v>44030.496805092589</v>
      </c>
      <c r="R792" t="s">
        <v>126</v>
      </c>
    </row>
    <row r="793" spans="1:18" x14ac:dyDescent="0.3">
      <c r="A793">
        <v>244456</v>
      </c>
      <c r="B793" t="s">
        <v>72</v>
      </c>
      <c r="C793">
        <v>1329943</v>
      </c>
      <c r="D793" t="s">
        <v>108</v>
      </c>
      <c r="E793" t="s">
        <v>182</v>
      </c>
      <c r="F793" t="s">
        <v>17</v>
      </c>
      <c r="G793" t="s">
        <v>183</v>
      </c>
      <c r="H793" t="s">
        <v>263</v>
      </c>
      <c r="I793" t="s">
        <v>82</v>
      </c>
      <c r="J793" t="s">
        <v>42</v>
      </c>
      <c r="K793" t="s">
        <v>87</v>
      </c>
      <c r="L793" s="25">
        <v>44030</v>
      </c>
      <c r="M793">
        <v>7</v>
      </c>
      <c r="N793">
        <v>2020</v>
      </c>
      <c r="O793" t="s">
        <v>110</v>
      </c>
      <c r="P793">
        <v>170</v>
      </c>
      <c r="Q793" s="17">
        <v>44030.484084374999</v>
      </c>
      <c r="R793" t="s">
        <v>126</v>
      </c>
    </row>
    <row r="794" spans="1:18" x14ac:dyDescent="0.3">
      <c r="A794">
        <v>9685835</v>
      </c>
      <c r="B794" t="s">
        <v>78</v>
      </c>
      <c r="C794">
        <v>1329373</v>
      </c>
      <c r="D794" t="s">
        <v>78</v>
      </c>
      <c r="E794">
        <v>820</v>
      </c>
      <c r="F794">
        <v>820</v>
      </c>
      <c r="G794" t="s">
        <v>136</v>
      </c>
      <c r="H794" t="s">
        <v>279</v>
      </c>
      <c r="I794" t="s">
        <v>78</v>
      </c>
      <c r="J794" t="s">
        <v>42</v>
      </c>
      <c r="K794" t="s">
        <v>83</v>
      </c>
      <c r="L794" s="25">
        <v>44030</v>
      </c>
      <c r="M794">
        <v>7</v>
      </c>
      <c r="N794">
        <v>2020</v>
      </c>
      <c r="O794" t="s">
        <v>110</v>
      </c>
      <c r="P794">
        <v>170</v>
      </c>
      <c r="Q794" s="17">
        <v>44030.469320254633</v>
      </c>
      <c r="R794" t="s">
        <v>126</v>
      </c>
    </row>
    <row r="795" spans="1:18" x14ac:dyDescent="0.3">
      <c r="A795">
        <v>9685707</v>
      </c>
      <c r="B795" t="s">
        <v>78</v>
      </c>
      <c r="C795">
        <v>1329024</v>
      </c>
      <c r="D795" t="s">
        <v>78</v>
      </c>
      <c r="E795">
        <v>820</v>
      </c>
      <c r="F795">
        <v>820</v>
      </c>
      <c r="G795" t="s">
        <v>136</v>
      </c>
      <c r="H795" t="s">
        <v>250</v>
      </c>
      <c r="I795" t="s">
        <v>78</v>
      </c>
      <c r="J795" t="s">
        <v>42</v>
      </c>
      <c r="K795" t="s">
        <v>83</v>
      </c>
      <c r="L795" s="25">
        <v>44030</v>
      </c>
      <c r="M795">
        <v>7</v>
      </c>
      <c r="N795">
        <v>2020</v>
      </c>
      <c r="O795" t="s">
        <v>110</v>
      </c>
      <c r="P795">
        <v>170</v>
      </c>
      <c r="Q795" s="17">
        <v>44030.448121180554</v>
      </c>
      <c r="R795" t="s">
        <v>126</v>
      </c>
    </row>
    <row r="796" spans="1:18" x14ac:dyDescent="0.3">
      <c r="A796">
        <v>9685729</v>
      </c>
      <c r="B796" t="s">
        <v>78</v>
      </c>
      <c r="C796">
        <v>1329843</v>
      </c>
      <c r="D796" t="s">
        <v>78</v>
      </c>
      <c r="E796">
        <v>820</v>
      </c>
      <c r="F796">
        <v>820</v>
      </c>
      <c r="G796" t="s">
        <v>136</v>
      </c>
      <c r="H796" t="s">
        <v>250</v>
      </c>
      <c r="I796" t="s">
        <v>78</v>
      </c>
      <c r="J796" t="s">
        <v>42</v>
      </c>
      <c r="K796" t="s">
        <v>83</v>
      </c>
      <c r="L796" s="25">
        <v>44030</v>
      </c>
      <c r="M796">
        <v>7</v>
      </c>
      <c r="N796">
        <v>2020</v>
      </c>
      <c r="O796" t="s">
        <v>110</v>
      </c>
      <c r="P796">
        <v>170</v>
      </c>
      <c r="Q796" s="17">
        <v>44030.480618518515</v>
      </c>
      <c r="R796" t="s">
        <v>126</v>
      </c>
    </row>
    <row r="797" spans="1:18" x14ac:dyDescent="0.3">
      <c r="A797">
        <v>241611</v>
      </c>
      <c r="B797" t="s">
        <v>80</v>
      </c>
      <c r="C797">
        <v>1320634</v>
      </c>
      <c r="D797" t="s">
        <v>122</v>
      </c>
      <c r="E797" t="s">
        <v>26</v>
      </c>
      <c r="F797" t="s">
        <v>26</v>
      </c>
      <c r="G797" t="s">
        <v>137</v>
      </c>
      <c r="H797" t="s">
        <v>280</v>
      </c>
      <c r="I797" t="s">
        <v>84</v>
      </c>
      <c r="J797" t="s">
        <v>85</v>
      </c>
      <c r="K797" t="s">
        <v>83</v>
      </c>
      <c r="L797" s="25">
        <v>44030</v>
      </c>
      <c r="M797">
        <v>7</v>
      </c>
      <c r="N797">
        <v>2020</v>
      </c>
      <c r="O797" t="s">
        <v>110</v>
      </c>
      <c r="P797">
        <v>170</v>
      </c>
      <c r="Q797" s="17">
        <v>44029.765383680555</v>
      </c>
      <c r="R797" t="s">
        <v>126</v>
      </c>
    </row>
    <row r="798" spans="1:18" x14ac:dyDescent="0.3">
      <c r="A798">
        <v>244595</v>
      </c>
      <c r="B798" t="s">
        <v>72</v>
      </c>
      <c r="C798">
        <v>1329694</v>
      </c>
      <c r="D798" t="s">
        <v>108</v>
      </c>
      <c r="E798" t="s">
        <v>182</v>
      </c>
      <c r="F798" t="s">
        <v>17</v>
      </c>
      <c r="G798" t="s">
        <v>183</v>
      </c>
      <c r="H798" t="s">
        <v>263</v>
      </c>
      <c r="I798" t="s">
        <v>82</v>
      </c>
      <c r="J798" t="s">
        <v>42</v>
      </c>
      <c r="K798" t="s">
        <v>87</v>
      </c>
      <c r="L798" s="25">
        <v>44030</v>
      </c>
      <c r="M798">
        <v>7</v>
      </c>
      <c r="N798">
        <v>2020</v>
      </c>
      <c r="O798" t="s">
        <v>110</v>
      </c>
      <c r="P798">
        <v>170</v>
      </c>
      <c r="Q798" s="17">
        <v>44030.452499421299</v>
      </c>
      <c r="R798" t="s">
        <v>126</v>
      </c>
    </row>
    <row r="799" spans="1:18" x14ac:dyDescent="0.3">
      <c r="A799">
        <v>9684511</v>
      </c>
      <c r="B799" t="s">
        <v>79</v>
      </c>
      <c r="C799">
        <v>1327940</v>
      </c>
      <c r="D799" t="s">
        <v>116</v>
      </c>
      <c r="E799" t="s">
        <v>58</v>
      </c>
      <c r="F799" t="s">
        <v>58</v>
      </c>
      <c r="G799" t="s">
        <v>114</v>
      </c>
      <c r="H799" t="s">
        <v>233</v>
      </c>
      <c r="I799" t="s">
        <v>82</v>
      </c>
      <c r="J799" t="s">
        <v>42</v>
      </c>
      <c r="K799" t="s">
        <v>87</v>
      </c>
      <c r="L799" s="25">
        <v>44030</v>
      </c>
      <c r="M799">
        <v>7</v>
      </c>
      <c r="N799">
        <v>2020</v>
      </c>
      <c r="O799" t="s">
        <v>110</v>
      </c>
      <c r="P799">
        <v>170</v>
      </c>
      <c r="Q799" s="17">
        <v>44030.435669328705</v>
      </c>
      <c r="R799" t="s">
        <v>111</v>
      </c>
    </row>
    <row r="800" spans="1:18" x14ac:dyDescent="0.3">
      <c r="A800">
        <v>9683624</v>
      </c>
      <c r="B800" t="s">
        <v>78</v>
      </c>
      <c r="C800">
        <v>1327990</v>
      </c>
      <c r="D800" t="s">
        <v>78</v>
      </c>
      <c r="E800" t="s">
        <v>57</v>
      </c>
      <c r="F800" t="s">
        <v>57</v>
      </c>
      <c r="G800" t="s">
        <v>109</v>
      </c>
      <c r="H800" t="s">
        <v>105</v>
      </c>
      <c r="I800" t="s">
        <v>78</v>
      </c>
      <c r="J800" t="s">
        <v>42</v>
      </c>
      <c r="K800" t="s">
        <v>87</v>
      </c>
      <c r="L800" s="25">
        <v>44030</v>
      </c>
      <c r="M800">
        <v>7</v>
      </c>
      <c r="N800">
        <v>2020</v>
      </c>
      <c r="O800" t="s">
        <v>110</v>
      </c>
      <c r="P800">
        <v>170</v>
      </c>
      <c r="Q800" s="17">
        <v>44030.438041435184</v>
      </c>
      <c r="R800" t="s">
        <v>111</v>
      </c>
    </row>
    <row r="801" spans="1:18" x14ac:dyDescent="0.3">
      <c r="A801">
        <v>9684117</v>
      </c>
      <c r="B801" t="s">
        <v>72</v>
      </c>
      <c r="C801">
        <v>1328026</v>
      </c>
      <c r="D801" t="s">
        <v>108</v>
      </c>
      <c r="E801" t="s">
        <v>58</v>
      </c>
      <c r="F801" t="s">
        <v>58</v>
      </c>
      <c r="G801" t="s">
        <v>114</v>
      </c>
      <c r="H801" t="s">
        <v>236</v>
      </c>
      <c r="I801" t="s">
        <v>84</v>
      </c>
      <c r="J801" t="s">
        <v>85</v>
      </c>
      <c r="K801" t="s">
        <v>87</v>
      </c>
      <c r="L801" s="25">
        <v>44030</v>
      </c>
      <c r="M801">
        <v>7</v>
      </c>
      <c r="N801">
        <v>2020</v>
      </c>
      <c r="O801" t="s">
        <v>110</v>
      </c>
      <c r="P801">
        <v>170</v>
      </c>
      <c r="Q801" s="17">
        <v>44030.439441087961</v>
      </c>
      <c r="R801" t="s">
        <v>111</v>
      </c>
    </row>
    <row r="802" spans="1:18" x14ac:dyDescent="0.3">
      <c r="A802">
        <v>9684388</v>
      </c>
      <c r="B802" t="s">
        <v>72</v>
      </c>
      <c r="C802">
        <v>1328076</v>
      </c>
      <c r="D802" t="s">
        <v>108</v>
      </c>
      <c r="E802" t="s">
        <v>57</v>
      </c>
      <c r="F802" t="s">
        <v>57</v>
      </c>
      <c r="G802" t="s">
        <v>109</v>
      </c>
      <c r="H802" t="s">
        <v>237</v>
      </c>
      <c r="I802" t="s">
        <v>84</v>
      </c>
      <c r="J802" t="s">
        <v>85</v>
      </c>
      <c r="K802" t="s">
        <v>87</v>
      </c>
      <c r="L802" s="25">
        <v>44030</v>
      </c>
      <c r="M802">
        <v>7</v>
      </c>
      <c r="N802">
        <v>2020</v>
      </c>
      <c r="O802" t="s">
        <v>110</v>
      </c>
      <c r="P802">
        <v>170</v>
      </c>
      <c r="Q802" s="17">
        <v>44030.444125231479</v>
      </c>
      <c r="R802" t="s">
        <v>111</v>
      </c>
    </row>
    <row r="803" spans="1:18" x14ac:dyDescent="0.3">
      <c r="A803">
        <v>9684927</v>
      </c>
      <c r="B803" t="s">
        <v>72</v>
      </c>
      <c r="C803">
        <v>1328426</v>
      </c>
      <c r="D803" t="s">
        <v>108</v>
      </c>
      <c r="E803" t="s">
        <v>57</v>
      </c>
      <c r="F803" t="s">
        <v>57</v>
      </c>
      <c r="G803" t="s">
        <v>109</v>
      </c>
      <c r="H803" t="s">
        <v>229</v>
      </c>
      <c r="I803" t="s">
        <v>84</v>
      </c>
      <c r="J803" t="s">
        <v>85</v>
      </c>
      <c r="K803" t="s">
        <v>87</v>
      </c>
      <c r="L803" s="25">
        <v>44030</v>
      </c>
      <c r="M803">
        <v>7</v>
      </c>
      <c r="N803">
        <v>2020</v>
      </c>
      <c r="O803" t="s">
        <v>110</v>
      </c>
      <c r="P803">
        <v>170</v>
      </c>
      <c r="Q803" s="17">
        <v>44030.446077199071</v>
      </c>
      <c r="R803" t="s">
        <v>112</v>
      </c>
    </row>
    <row r="804" spans="1:18" x14ac:dyDescent="0.3">
      <c r="A804">
        <v>9684639</v>
      </c>
      <c r="B804" t="s">
        <v>72</v>
      </c>
      <c r="C804">
        <v>1328619</v>
      </c>
      <c r="D804" t="s">
        <v>108</v>
      </c>
      <c r="E804" t="s">
        <v>57</v>
      </c>
      <c r="F804" t="s">
        <v>57</v>
      </c>
      <c r="G804" t="s">
        <v>109</v>
      </c>
      <c r="H804" t="s">
        <v>229</v>
      </c>
      <c r="I804" t="s">
        <v>84</v>
      </c>
      <c r="J804" t="s">
        <v>85</v>
      </c>
      <c r="K804" t="s">
        <v>87</v>
      </c>
      <c r="L804" s="25">
        <v>44030</v>
      </c>
      <c r="M804">
        <v>7</v>
      </c>
      <c r="N804">
        <v>2020</v>
      </c>
      <c r="O804" t="s">
        <v>110</v>
      </c>
      <c r="P804">
        <v>170</v>
      </c>
      <c r="Q804" s="17">
        <v>44030.447746527774</v>
      </c>
      <c r="R804" t="s">
        <v>115</v>
      </c>
    </row>
    <row r="805" spans="1:18" x14ac:dyDescent="0.3">
      <c r="A805">
        <v>9683926</v>
      </c>
      <c r="B805" t="s">
        <v>78</v>
      </c>
      <c r="C805">
        <v>1328633</v>
      </c>
      <c r="D805" t="s">
        <v>78</v>
      </c>
      <c r="E805" t="s">
        <v>57</v>
      </c>
      <c r="F805" t="s">
        <v>57</v>
      </c>
      <c r="G805" t="s">
        <v>109</v>
      </c>
      <c r="H805" t="s">
        <v>105</v>
      </c>
      <c r="I805" t="s">
        <v>78</v>
      </c>
      <c r="J805" t="s">
        <v>42</v>
      </c>
      <c r="K805" t="s">
        <v>87</v>
      </c>
      <c r="L805" s="25">
        <v>44030</v>
      </c>
      <c r="M805">
        <v>7</v>
      </c>
      <c r="N805">
        <v>2020</v>
      </c>
      <c r="O805" t="s">
        <v>110</v>
      </c>
      <c r="P805">
        <v>170</v>
      </c>
      <c r="Q805" s="17">
        <v>44030.447530092591</v>
      </c>
      <c r="R805" t="s">
        <v>111</v>
      </c>
    </row>
    <row r="806" spans="1:18" x14ac:dyDescent="0.3">
      <c r="A806">
        <v>9685131</v>
      </c>
      <c r="B806" t="s">
        <v>80</v>
      </c>
      <c r="C806">
        <v>1328719</v>
      </c>
      <c r="D806" t="s">
        <v>122</v>
      </c>
      <c r="E806" t="s">
        <v>57</v>
      </c>
      <c r="F806" t="s">
        <v>57</v>
      </c>
      <c r="G806" t="s">
        <v>109</v>
      </c>
      <c r="H806" t="s">
        <v>228</v>
      </c>
      <c r="I806" t="s">
        <v>84</v>
      </c>
      <c r="J806" t="s">
        <v>85</v>
      </c>
      <c r="K806" t="s">
        <v>87</v>
      </c>
      <c r="L806" s="25">
        <v>44030</v>
      </c>
      <c r="M806">
        <v>7</v>
      </c>
      <c r="N806">
        <v>2020</v>
      </c>
      <c r="O806" t="s">
        <v>110</v>
      </c>
      <c r="P806">
        <v>170</v>
      </c>
      <c r="Q806" s="17">
        <v>44029.996262731482</v>
      </c>
      <c r="R806" t="s">
        <v>115</v>
      </c>
    </row>
    <row r="807" spans="1:18" x14ac:dyDescent="0.3">
      <c r="A807">
        <v>9684292</v>
      </c>
      <c r="B807" t="s">
        <v>72</v>
      </c>
      <c r="C807">
        <v>1328712</v>
      </c>
      <c r="D807" t="s">
        <v>108</v>
      </c>
      <c r="E807" t="s">
        <v>57</v>
      </c>
      <c r="F807" t="s">
        <v>57</v>
      </c>
      <c r="G807" t="s">
        <v>109</v>
      </c>
      <c r="H807" t="s">
        <v>229</v>
      </c>
      <c r="I807" t="s">
        <v>84</v>
      </c>
      <c r="J807" t="s">
        <v>85</v>
      </c>
      <c r="K807" t="s">
        <v>87</v>
      </c>
      <c r="L807" s="25">
        <v>44030</v>
      </c>
      <c r="M807">
        <v>7</v>
      </c>
      <c r="N807">
        <v>2020</v>
      </c>
      <c r="O807" t="s">
        <v>110</v>
      </c>
      <c r="P807">
        <v>170</v>
      </c>
      <c r="Q807" s="17">
        <v>44030.448256944444</v>
      </c>
      <c r="R807" t="s">
        <v>111</v>
      </c>
    </row>
    <row r="808" spans="1:18" x14ac:dyDescent="0.3">
      <c r="A808">
        <v>21524527</v>
      </c>
      <c r="B808" t="s">
        <v>72</v>
      </c>
      <c r="C808">
        <v>1328976</v>
      </c>
      <c r="D808" t="s">
        <v>108</v>
      </c>
      <c r="E808" t="s">
        <v>58</v>
      </c>
      <c r="F808" t="s">
        <v>58</v>
      </c>
      <c r="G808" t="s">
        <v>114</v>
      </c>
      <c r="H808" t="s">
        <v>229</v>
      </c>
      <c r="I808" t="s">
        <v>84</v>
      </c>
      <c r="J808" t="s">
        <v>85</v>
      </c>
      <c r="K808" t="s">
        <v>87</v>
      </c>
      <c r="L808" s="25">
        <v>44030</v>
      </c>
      <c r="M808">
        <v>7</v>
      </c>
      <c r="N808">
        <v>2020</v>
      </c>
      <c r="O808" t="s">
        <v>110</v>
      </c>
      <c r="P808">
        <v>170</v>
      </c>
      <c r="Q808" s="17">
        <v>44030.452319560187</v>
      </c>
      <c r="R808" t="s">
        <v>111</v>
      </c>
    </row>
    <row r="809" spans="1:18" x14ac:dyDescent="0.3">
      <c r="A809">
        <v>9684800</v>
      </c>
      <c r="B809" t="s">
        <v>78</v>
      </c>
      <c r="C809">
        <v>1329012</v>
      </c>
      <c r="D809" t="s">
        <v>78</v>
      </c>
      <c r="E809" t="s">
        <v>57</v>
      </c>
      <c r="F809" t="s">
        <v>57</v>
      </c>
      <c r="G809" t="s">
        <v>109</v>
      </c>
      <c r="H809" t="s">
        <v>105</v>
      </c>
      <c r="I809" t="s">
        <v>78</v>
      </c>
      <c r="J809" t="s">
        <v>42</v>
      </c>
      <c r="K809" t="s">
        <v>87</v>
      </c>
      <c r="L809" s="25">
        <v>44030</v>
      </c>
      <c r="M809">
        <v>7</v>
      </c>
      <c r="N809">
        <v>2020</v>
      </c>
      <c r="O809" t="s">
        <v>110</v>
      </c>
      <c r="P809">
        <v>170</v>
      </c>
      <c r="Q809" s="17">
        <v>44030.452977199071</v>
      </c>
      <c r="R809" t="s">
        <v>111</v>
      </c>
    </row>
    <row r="810" spans="1:18" x14ac:dyDescent="0.3">
      <c r="A810">
        <v>9685069</v>
      </c>
      <c r="B810" t="s">
        <v>78</v>
      </c>
      <c r="C810">
        <v>1329069</v>
      </c>
      <c r="D810" t="s">
        <v>78</v>
      </c>
      <c r="E810" t="s">
        <v>57</v>
      </c>
      <c r="F810" t="s">
        <v>57</v>
      </c>
      <c r="G810" t="s">
        <v>109</v>
      </c>
      <c r="H810" t="s">
        <v>259</v>
      </c>
      <c r="I810" t="s">
        <v>78</v>
      </c>
      <c r="J810" t="s">
        <v>42</v>
      </c>
      <c r="K810" t="s">
        <v>87</v>
      </c>
      <c r="L810" s="25">
        <v>44030</v>
      </c>
      <c r="M810">
        <v>7</v>
      </c>
      <c r="N810">
        <v>2020</v>
      </c>
      <c r="O810" t="s">
        <v>110</v>
      </c>
      <c r="P810">
        <v>170</v>
      </c>
      <c r="Q810" s="17">
        <v>44030.455357407409</v>
      </c>
      <c r="R810" t="s">
        <v>121</v>
      </c>
    </row>
    <row r="811" spans="1:18" x14ac:dyDescent="0.3">
      <c r="A811">
        <v>9685263</v>
      </c>
      <c r="B811" t="s">
        <v>80</v>
      </c>
      <c r="C811">
        <v>1329076</v>
      </c>
      <c r="D811" t="s">
        <v>113</v>
      </c>
      <c r="E811" t="s">
        <v>58</v>
      </c>
      <c r="F811" t="s">
        <v>58</v>
      </c>
      <c r="G811" t="s">
        <v>114</v>
      </c>
      <c r="H811" t="s">
        <v>232</v>
      </c>
      <c r="I811" t="s">
        <v>84</v>
      </c>
      <c r="J811" t="s">
        <v>85</v>
      </c>
      <c r="K811" t="s">
        <v>87</v>
      </c>
      <c r="L811" s="25">
        <v>44030</v>
      </c>
      <c r="M811">
        <v>7</v>
      </c>
      <c r="N811">
        <v>2020</v>
      </c>
      <c r="O811" t="s">
        <v>110</v>
      </c>
      <c r="P811">
        <v>170</v>
      </c>
      <c r="Q811" s="17">
        <v>44030.460418865739</v>
      </c>
      <c r="R811" t="s">
        <v>121</v>
      </c>
    </row>
    <row r="812" spans="1:18" x14ac:dyDescent="0.3">
      <c r="A812">
        <v>9686046</v>
      </c>
      <c r="B812" t="s">
        <v>78</v>
      </c>
      <c r="C812">
        <v>1329112</v>
      </c>
      <c r="D812" t="s">
        <v>78</v>
      </c>
      <c r="E812" t="s">
        <v>57</v>
      </c>
      <c r="F812" t="s">
        <v>57</v>
      </c>
      <c r="G812" t="s">
        <v>109</v>
      </c>
      <c r="H812" t="s">
        <v>242</v>
      </c>
      <c r="I812" t="s">
        <v>78</v>
      </c>
      <c r="J812" t="s">
        <v>42</v>
      </c>
      <c r="K812" t="s">
        <v>87</v>
      </c>
      <c r="L812" s="25">
        <v>44030</v>
      </c>
      <c r="M812">
        <v>7</v>
      </c>
      <c r="N812">
        <v>2020</v>
      </c>
      <c r="O812" t="s">
        <v>110</v>
      </c>
      <c r="P812">
        <v>170</v>
      </c>
      <c r="Q812" s="17">
        <v>44030.455667939816</v>
      </c>
      <c r="R812" t="s">
        <v>111</v>
      </c>
    </row>
    <row r="813" spans="1:18" x14ac:dyDescent="0.3">
      <c r="A813">
        <v>9686437</v>
      </c>
      <c r="B813" t="s">
        <v>79</v>
      </c>
      <c r="C813">
        <v>1329205</v>
      </c>
      <c r="D813" t="s">
        <v>116</v>
      </c>
      <c r="E813" t="s">
        <v>58</v>
      </c>
      <c r="F813" t="s">
        <v>58</v>
      </c>
      <c r="G813" t="s">
        <v>114</v>
      </c>
      <c r="H813" t="s">
        <v>233</v>
      </c>
      <c r="I813" t="s">
        <v>82</v>
      </c>
      <c r="J813" t="s">
        <v>42</v>
      </c>
      <c r="K813" t="s">
        <v>87</v>
      </c>
      <c r="L813" s="25">
        <v>44030</v>
      </c>
      <c r="M813">
        <v>7</v>
      </c>
      <c r="N813">
        <v>2020</v>
      </c>
      <c r="O813" t="s">
        <v>110</v>
      </c>
      <c r="P813">
        <v>170</v>
      </c>
      <c r="Q813" s="17">
        <v>44030.45834351852</v>
      </c>
      <c r="R813" t="s">
        <v>111</v>
      </c>
    </row>
    <row r="814" spans="1:18" x14ac:dyDescent="0.3">
      <c r="A814">
        <v>244495</v>
      </c>
      <c r="B814" t="s">
        <v>72</v>
      </c>
      <c r="C814">
        <v>1329212</v>
      </c>
      <c r="D814" t="s">
        <v>108</v>
      </c>
      <c r="E814" t="s">
        <v>58</v>
      </c>
      <c r="F814" t="s">
        <v>58</v>
      </c>
      <c r="G814" t="s">
        <v>114</v>
      </c>
      <c r="H814" t="s">
        <v>229</v>
      </c>
      <c r="I814" t="s">
        <v>84</v>
      </c>
      <c r="J814" t="s">
        <v>85</v>
      </c>
      <c r="K814" t="s">
        <v>87</v>
      </c>
      <c r="L814" s="25">
        <v>44030</v>
      </c>
      <c r="M814">
        <v>7</v>
      </c>
      <c r="N814">
        <v>2020</v>
      </c>
      <c r="O814" t="s">
        <v>110</v>
      </c>
      <c r="P814">
        <v>170</v>
      </c>
      <c r="Q814" s="17">
        <v>44030.457815277776</v>
      </c>
      <c r="R814" t="s">
        <v>121</v>
      </c>
    </row>
    <row r="815" spans="1:18" x14ac:dyDescent="0.3">
      <c r="A815">
        <v>9686052</v>
      </c>
      <c r="B815" t="s">
        <v>79</v>
      </c>
      <c r="C815">
        <v>1329169</v>
      </c>
      <c r="D815" t="s">
        <v>116</v>
      </c>
      <c r="E815" t="s">
        <v>58</v>
      </c>
      <c r="F815" t="s">
        <v>58</v>
      </c>
      <c r="G815" t="s">
        <v>114</v>
      </c>
      <c r="H815" t="s">
        <v>233</v>
      </c>
      <c r="I815" t="s">
        <v>82</v>
      </c>
      <c r="J815" t="s">
        <v>42</v>
      </c>
      <c r="K815" t="s">
        <v>87</v>
      </c>
      <c r="L815" s="25">
        <v>44030</v>
      </c>
      <c r="M815">
        <v>7</v>
      </c>
      <c r="N815">
        <v>2020</v>
      </c>
      <c r="O815" t="s">
        <v>110</v>
      </c>
      <c r="P815">
        <v>170</v>
      </c>
      <c r="Q815" s="17">
        <v>44030.458763425922</v>
      </c>
      <c r="R815" t="s">
        <v>111</v>
      </c>
    </row>
    <row r="816" spans="1:18" x14ac:dyDescent="0.3">
      <c r="A816">
        <v>9685376</v>
      </c>
      <c r="B816" t="s">
        <v>72</v>
      </c>
      <c r="C816">
        <v>1329219</v>
      </c>
      <c r="D816" t="s">
        <v>108</v>
      </c>
      <c r="E816" t="s">
        <v>58</v>
      </c>
      <c r="F816" t="s">
        <v>58</v>
      </c>
      <c r="G816" t="s">
        <v>114</v>
      </c>
      <c r="H816" t="s">
        <v>243</v>
      </c>
      <c r="I816" t="s">
        <v>84</v>
      </c>
      <c r="J816" t="s">
        <v>85</v>
      </c>
      <c r="K816" t="s">
        <v>87</v>
      </c>
      <c r="L816" s="25">
        <v>44030</v>
      </c>
      <c r="M816">
        <v>7</v>
      </c>
      <c r="N816">
        <v>2020</v>
      </c>
      <c r="O816" t="s">
        <v>110</v>
      </c>
      <c r="P816">
        <v>170</v>
      </c>
      <c r="Q816" s="17">
        <v>44030.460990277781</v>
      </c>
      <c r="R816" t="s">
        <v>111</v>
      </c>
    </row>
    <row r="817" spans="1:18" x14ac:dyDescent="0.3">
      <c r="A817">
        <v>244418</v>
      </c>
      <c r="B817" t="s">
        <v>78</v>
      </c>
      <c r="C817">
        <v>1329269</v>
      </c>
      <c r="D817" t="s">
        <v>78</v>
      </c>
      <c r="E817" t="s">
        <v>58</v>
      </c>
      <c r="F817" t="s">
        <v>58</v>
      </c>
      <c r="G817" t="s">
        <v>114</v>
      </c>
      <c r="H817" t="s">
        <v>105</v>
      </c>
      <c r="I817" t="s">
        <v>78</v>
      </c>
      <c r="J817" t="s">
        <v>42</v>
      </c>
      <c r="K817" t="s">
        <v>87</v>
      </c>
      <c r="L817" s="25">
        <v>44030</v>
      </c>
      <c r="M817">
        <v>7</v>
      </c>
      <c r="N817">
        <v>2020</v>
      </c>
      <c r="O817" t="s">
        <v>110</v>
      </c>
      <c r="P817">
        <v>170</v>
      </c>
      <c r="Q817" s="17">
        <v>44030.461409374999</v>
      </c>
      <c r="R817" t="s">
        <v>115</v>
      </c>
    </row>
    <row r="818" spans="1:18" x14ac:dyDescent="0.3">
      <c r="A818">
        <v>9685970</v>
      </c>
      <c r="B818" t="s">
        <v>72</v>
      </c>
      <c r="C818">
        <v>1329559</v>
      </c>
      <c r="D818" t="s">
        <v>108</v>
      </c>
      <c r="E818">
        <v>820</v>
      </c>
      <c r="F818">
        <v>820</v>
      </c>
      <c r="G818" t="s">
        <v>136</v>
      </c>
      <c r="H818" t="s">
        <v>270</v>
      </c>
      <c r="I818" t="s">
        <v>82</v>
      </c>
      <c r="J818" t="s">
        <v>42</v>
      </c>
      <c r="K818" t="s">
        <v>83</v>
      </c>
      <c r="L818" s="25">
        <v>44030</v>
      </c>
      <c r="M818">
        <v>7</v>
      </c>
      <c r="N818">
        <v>2020</v>
      </c>
      <c r="O818" t="s">
        <v>110</v>
      </c>
      <c r="P818">
        <v>170</v>
      </c>
      <c r="Q818" s="17">
        <v>44030.477655439812</v>
      </c>
      <c r="R818" t="s">
        <v>126</v>
      </c>
    </row>
    <row r="819" spans="1:18" x14ac:dyDescent="0.3">
      <c r="A819">
        <v>9685642</v>
      </c>
      <c r="B819" t="s">
        <v>78</v>
      </c>
      <c r="C819">
        <v>1328721</v>
      </c>
      <c r="D819" t="s">
        <v>78</v>
      </c>
      <c r="E819">
        <v>820</v>
      </c>
      <c r="F819">
        <v>820</v>
      </c>
      <c r="G819" t="s">
        <v>136</v>
      </c>
      <c r="H819" t="s">
        <v>250</v>
      </c>
      <c r="I819" t="s">
        <v>78</v>
      </c>
      <c r="J819" t="s">
        <v>42</v>
      </c>
      <c r="K819" t="s">
        <v>83</v>
      </c>
      <c r="L819" s="25">
        <v>44030</v>
      </c>
      <c r="M819">
        <v>7</v>
      </c>
      <c r="N819">
        <v>2020</v>
      </c>
      <c r="O819" t="s">
        <v>110</v>
      </c>
      <c r="P819">
        <v>170</v>
      </c>
      <c r="Q819" s="17">
        <v>44030.43074502315</v>
      </c>
      <c r="R819" t="s">
        <v>126</v>
      </c>
    </row>
    <row r="820" spans="1:18" x14ac:dyDescent="0.3">
      <c r="A820">
        <v>9685623</v>
      </c>
      <c r="B820" t="s">
        <v>78</v>
      </c>
      <c r="C820">
        <v>1328772</v>
      </c>
      <c r="D820" t="s">
        <v>78</v>
      </c>
      <c r="E820">
        <v>820</v>
      </c>
      <c r="F820">
        <v>820</v>
      </c>
      <c r="G820" t="s">
        <v>136</v>
      </c>
      <c r="H820" t="s">
        <v>250</v>
      </c>
      <c r="I820" t="s">
        <v>78</v>
      </c>
      <c r="J820" t="s">
        <v>42</v>
      </c>
      <c r="K820" t="s">
        <v>83</v>
      </c>
      <c r="L820" s="25">
        <v>44030</v>
      </c>
      <c r="M820">
        <v>7</v>
      </c>
      <c r="N820">
        <v>2020</v>
      </c>
      <c r="O820" t="s">
        <v>110</v>
      </c>
      <c r="P820">
        <v>170</v>
      </c>
      <c r="Q820" s="17">
        <v>44030.433296643518</v>
      </c>
      <c r="R820" t="s">
        <v>126</v>
      </c>
    </row>
    <row r="821" spans="1:18" x14ac:dyDescent="0.3">
      <c r="A821">
        <v>9674027</v>
      </c>
      <c r="B821" t="s">
        <v>78</v>
      </c>
      <c r="C821">
        <v>1319999</v>
      </c>
      <c r="D821" t="s">
        <v>78</v>
      </c>
      <c r="E821" t="s">
        <v>26</v>
      </c>
      <c r="F821" t="s">
        <v>26</v>
      </c>
      <c r="G821" t="s">
        <v>137</v>
      </c>
      <c r="H821" t="s">
        <v>245</v>
      </c>
      <c r="I821" t="s">
        <v>78</v>
      </c>
      <c r="J821" t="s">
        <v>42</v>
      </c>
      <c r="K821" t="s">
        <v>83</v>
      </c>
      <c r="L821" s="25">
        <v>44030</v>
      </c>
      <c r="M821">
        <v>7</v>
      </c>
      <c r="N821">
        <v>2020</v>
      </c>
      <c r="O821" t="s">
        <v>110</v>
      </c>
      <c r="P821">
        <v>170</v>
      </c>
      <c r="Q821" s="17">
        <v>44030.42666759259</v>
      </c>
      <c r="R821" t="s">
        <v>126</v>
      </c>
    </row>
    <row r="822" spans="1:18" x14ac:dyDescent="0.3">
      <c r="A822">
        <v>240435</v>
      </c>
      <c r="B822" t="s">
        <v>72</v>
      </c>
      <c r="C822">
        <v>1318127</v>
      </c>
      <c r="D822" t="s">
        <v>108</v>
      </c>
      <c r="E822">
        <v>966</v>
      </c>
      <c r="F822">
        <v>966</v>
      </c>
      <c r="G822" t="s">
        <v>139</v>
      </c>
      <c r="H822" t="s">
        <v>252</v>
      </c>
      <c r="I822" t="s">
        <v>84</v>
      </c>
      <c r="J822" t="s">
        <v>85</v>
      </c>
      <c r="K822" t="s">
        <v>87</v>
      </c>
      <c r="L822" s="25">
        <v>44030</v>
      </c>
      <c r="M822">
        <v>7</v>
      </c>
      <c r="N822">
        <v>2020</v>
      </c>
      <c r="O822" t="s">
        <v>110</v>
      </c>
      <c r="P822">
        <v>170</v>
      </c>
      <c r="Q822" s="17">
        <v>44030.424997569447</v>
      </c>
      <c r="R822" t="s">
        <v>126</v>
      </c>
    </row>
    <row r="823" spans="1:18" x14ac:dyDescent="0.3">
      <c r="A823">
        <v>9686181</v>
      </c>
      <c r="B823" t="s">
        <v>80</v>
      </c>
      <c r="C823">
        <v>1329674</v>
      </c>
      <c r="D823" t="s">
        <v>113</v>
      </c>
      <c r="E823" t="s">
        <v>146</v>
      </c>
      <c r="F823" t="s">
        <v>17</v>
      </c>
      <c r="G823" t="s">
        <v>153</v>
      </c>
      <c r="H823" t="s">
        <v>232</v>
      </c>
      <c r="I823" t="s">
        <v>84</v>
      </c>
      <c r="J823" t="s">
        <v>85</v>
      </c>
      <c r="K823" t="s">
        <v>87</v>
      </c>
      <c r="L823" s="25">
        <v>44030</v>
      </c>
      <c r="M823">
        <v>7</v>
      </c>
      <c r="N823">
        <v>2020</v>
      </c>
      <c r="O823" t="s">
        <v>110</v>
      </c>
      <c r="P823">
        <v>170</v>
      </c>
      <c r="Q823" s="17">
        <v>44030.448549652778</v>
      </c>
      <c r="R823" t="s">
        <v>126</v>
      </c>
    </row>
    <row r="824" spans="1:18" x14ac:dyDescent="0.3">
      <c r="A824">
        <v>9685629</v>
      </c>
      <c r="B824" t="s">
        <v>72</v>
      </c>
      <c r="C824">
        <v>1329525</v>
      </c>
      <c r="D824" t="s">
        <v>108</v>
      </c>
      <c r="E824">
        <v>820</v>
      </c>
      <c r="F824">
        <v>820</v>
      </c>
      <c r="G824" t="s">
        <v>136</v>
      </c>
      <c r="H824" t="s">
        <v>270</v>
      </c>
      <c r="I824" t="s">
        <v>82</v>
      </c>
      <c r="J824" t="s">
        <v>42</v>
      </c>
      <c r="K824" t="s">
        <v>83</v>
      </c>
      <c r="L824" s="25">
        <v>44030</v>
      </c>
      <c r="M824">
        <v>7</v>
      </c>
      <c r="N824">
        <v>2020</v>
      </c>
      <c r="O824" t="s">
        <v>110</v>
      </c>
      <c r="P824">
        <v>170</v>
      </c>
      <c r="Q824" s="17">
        <v>44030.473052662041</v>
      </c>
      <c r="R824" t="s">
        <v>126</v>
      </c>
    </row>
    <row r="825" spans="1:18" x14ac:dyDescent="0.3">
      <c r="A825">
        <v>9685887</v>
      </c>
      <c r="B825" t="s">
        <v>78</v>
      </c>
      <c r="C825">
        <v>1329874</v>
      </c>
      <c r="D825" t="s">
        <v>78</v>
      </c>
      <c r="E825">
        <v>820</v>
      </c>
      <c r="F825">
        <v>820</v>
      </c>
      <c r="G825" t="s">
        <v>136</v>
      </c>
      <c r="H825" t="s">
        <v>228</v>
      </c>
      <c r="I825" t="s">
        <v>78</v>
      </c>
      <c r="J825" t="s">
        <v>42</v>
      </c>
      <c r="K825" t="s">
        <v>83</v>
      </c>
      <c r="L825" s="25">
        <v>44030</v>
      </c>
      <c r="M825">
        <v>7</v>
      </c>
      <c r="N825">
        <v>2020</v>
      </c>
      <c r="O825" t="s">
        <v>110</v>
      </c>
      <c r="P825">
        <v>170</v>
      </c>
      <c r="Q825" s="17">
        <v>44030.487498263887</v>
      </c>
      <c r="R825" t="s">
        <v>126</v>
      </c>
    </row>
    <row r="826" spans="1:18" x14ac:dyDescent="0.3">
      <c r="A826">
        <v>9686620</v>
      </c>
      <c r="B826" t="s">
        <v>78</v>
      </c>
      <c r="C826">
        <v>1330061</v>
      </c>
      <c r="D826" t="s">
        <v>78</v>
      </c>
      <c r="E826">
        <v>4138</v>
      </c>
      <c r="F826" t="s">
        <v>17</v>
      </c>
      <c r="G826" t="s">
        <v>129</v>
      </c>
      <c r="H826" t="s">
        <v>134</v>
      </c>
      <c r="I826" t="s">
        <v>78</v>
      </c>
      <c r="J826" t="s">
        <v>42</v>
      </c>
      <c r="K826" t="s">
        <v>87</v>
      </c>
      <c r="L826" s="25">
        <v>44030</v>
      </c>
      <c r="M826">
        <v>7</v>
      </c>
      <c r="N826">
        <v>2020</v>
      </c>
      <c r="O826" t="s">
        <v>110</v>
      </c>
      <c r="P826">
        <v>170</v>
      </c>
      <c r="Q826" s="17">
        <v>44030.486802083331</v>
      </c>
      <c r="R826" t="s">
        <v>126</v>
      </c>
    </row>
    <row r="827" spans="1:18" x14ac:dyDescent="0.3">
      <c r="A827">
        <v>9684265</v>
      </c>
      <c r="B827" t="s">
        <v>72</v>
      </c>
      <c r="C827">
        <v>1331512</v>
      </c>
      <c r="D827" t="s">
        <v>108</v>
      </c>
      <c r="E827" t="s">
        <v>26</v>
      </c>
      <c r="F827" t="s">
        <v>26</v>
      </c>
      <c r="G827" t="s">
        <v>137</v>
      </c>
      <c r="H827" t="s">
        <v>229</v>
      </c>
      <c r="I827" t="s">
        <v>84</v>
      </c>
      <c r="J827" t="s">
        <v>85</v>
      </c>
      <c r="K827" t="s">
        <v>83</v>
      </c>
      <c r="L827" s="25">
        <v>44030</v>
      </c>
      <c r="M827">
        <v>7</v>
      </c>
      <c r="N827">
        <v>2020</v>
      </c>
      <c r="O827" t="s">
        <v>110</v>
      </c>
      <c r="P827">
        <v>170</v>
      </c>
      <c r="Q827" s="17">
        <v>44030.381264004631</v>
      </c>
      <c r="R827" t="s">
        <v>126</v>
      </c>
    </row>
    <row r="828" spans="1:18" x14ac:dyDescent="0.3">
      <c r="A828">
        <v>9685739</v>
      </c>
      <c r="B828" t="s">
        <v>78</v>
      </c>
      <c r="C828">
        <v>1329159</v>
      </c>
      <c r="D828" t="s">
        <v>78</v>
      </c>
      <c r="E828">
        <v>820</v>
      </c>
      <c r="F828">
        <v>820</v>
      </c>
      <c r="G828" t="s">
        <v>136</v>
      </c>
      <c r="H828" t="s">
        <v>250</v>
      </c>
      <c r="I828" t="s">
        <v>78</v>
      </c>
      <c r="J828" t="s">
        <v>42</v>
      </c>
      <c r="K828" t="s">
        <v>83</v>
      </c>
      <c r="L828" s="25">
        <v>44030</v>
      </c>
      <c r="M828">
        <v>7</v>
      </c>
      <c r="N828">
        <v>2020</v>
      </c>
      <c r="O828" t="s">
        <v>110</v>
      </c>
      <c r="P828">
        <v>170</v>
      </c>
      <c r="Q828" s="17">
        <v>44030.452309143519</v>
      </c>
      <c r="R828" t="s">
        <v>126</v>
      </c>
    </row>
    <row r="829" spans="1:18" x14ac:dyDescent="0.3">
      <c r="A829">
        <v>9686845</v>
      </c>
      <c r="B829" t="s">
        <v>79</v>
      </c>
      <c r="C829">
        <v>1330044</v>
      </c>
      <c r="D829" t="s">
        <v>113</v>
      </c>
      <c r="E829" t="s">
        <v>12</v>
      </c>
      <c r="F829" t="s">
        <v>12</v>
      </c>
      <c r="G829" t="s">
        <v>135</v>
      </c>
      <c r="H829" t="s">
        <v>232</v>
      </c>
      <c r="I829" t="s">
        <v>84</v>
      </c>
      <c r="J829" t="s">
        <v>85</v>
      </c>
      <c r="K829" t="s">
        <v>83</v>
      </c>
      <c r="L829" s="25">
        <v>44030</v>
      </c>
      <c r="M829">
        <v>7</v>
      </c>
      <c r="N829">
        <v>2020</v>
      </c>
      <c r="O829" t="s">
        <v>110</v>
      </c>
      <c r="P829">
        <v>170</v>
      </c>
      <c r="Q829" s="17">
        <v>44030.463307060185</v>
      </c>
      <c r="R829" t="s">
        <v>126</v>
      </c>
    </row>
    <row r="830" spans="1:18" x14ac:dyDescent="0.3">
      <c r="A830">
        <v>9685716</v>
      </c>
      <c r="B830" t="s">
        <v>78</v>
      </c>
      <c r="C830">
        <v>1329457</v>
      </c>
      <c r="D830" t="s">
        <v>78</v>
      </c>
      <c r="E830">
        <v>820</v>
      </c>
      <c r="F830">
        <v>820</v>
      </c>
      <c r="G830" t="s">
        <v>136</v>
      </c>
      <c r="H830" t="s">
        <v>250</v>
      </c>
      <c r="I830" t="s">
        <v>78</v>
      </c>
      <c r="J830" t="s">
        <v>42</v>
      </c>
      <c r="K830" t="s">
        <v>83</v>
      </c>
      <c r="L830" s="25">
        <v>44030</v>
      </c>
      <c r="M830">
        <v>7</v>
      </c>
      <c r="N830">
        <v>2020</v>
      </c>
      <c r="O830" t="s">
        <v>110</v>
      </c>
      <c r="P830">
        <v>170</v>
      </c>
      <c r="Q830" s="17">
        <v>44030.470719328703</v>
      </c>
      <c r="R830" t="s">
        <v>126</v>
      </c>
    </row>
    <row r="831" spans="1:18" x14ac:dyDescent="0.3">
      <c r="A831">
        <v>242407</v>
      </c>
      <c r="B831" t="s">
        <v>78</v>
      </c>
      <c r="C831">
        <v>1324479</v>
      </c>
      <c r="D831" t="s">
        <v>78</v>
      </c>
      <c r="E831">
        <v>966</v>
      </c>
      <c r="F831">
        <v>966</v>
      </c>
      <c r="G831" t="s">
        <v>139</v>
      </c>
      <c r="H831" t="s">
        <v>105</v>
      </c>
      <c r="I831" t="s">
        <v>78</v>
      </c>
      <c r="J831" t="s">
        <v>42</v>
      </c>
      <c r="K831" t="s">
        <v>87</v>
      </c>
      <c r="L831" s="25">
        <v>44030</v>
      </c>
      <c r="M831">
        <v>7</v>
      </c>
      <c r="N831">
        <v>2020</v>
      </c>
      <c r="O831" t="s">
        <v>110</v>
      </c>
      <c r="P831">
        <v>170</v>
      </c>
      <c r="Q831" s="17">
        <v>44030.475282291663</v>
      </c>
      <c r="R831" t="s">
        <v>126</v>
      </c>
    </row>
    <row r="832" spans="1:18" x14ac:dyDescent="0.3">
      <c r="A832">
        <v>9680470</v>
      </c>
      <c r="B832" t="s">
        <v>80</v>
      </c>
      <c r="C832">
        <v>1322773</v>
      </c>
      <c r="D832" t="s">
        <v>113</v>
      </c>
      <c r="E832">
        <v>966</v>
      </c>
      <c r="F832">
        <v>966</v>
      </c>
      <c r="G832" t="s">
        <v>139</v>
      </c>
      <c r="H832" t="s">
        <v>232</v>
      </c>
      <c r="I832" t="s">
        <v>84</v>
      </c>
      <c r="J832" t="s">
        <v>85</v>
      </c>
      <c r="K832" t="s">
        <v>87</v>
      </c>
      <c r="L832" s="25">
        <v>44030</v>
      </c>
      <c r="M832">
        <v>7</v>
      </c>
      <c r="N832">
        <v>2020</v>
      </c>
      <c r="O832" t="s">
        <v>110</v>
      </c>
      <c r="P832">
        <v>170</v>
      </c>
      <c r="Q832" s="17">
        <v>44030.459653703707</v>
      </c>
      <c r="R832" t="s">
        <v>126</v>
      </c>
    </row>
    <row r="833" spans="1:18" x14ac:dyDescent="0.3">
      <c r="A833">
        <v>9679046</v>
      </c>
      <c r="B833" t="s">
        <v>72</v>
      </c>
      <c r="C833">
        <v>1320535</v>
      </c>
      <c r="D833" t="s">
        <v>108</v>
      </c>
      <c r="E833" t="s">
        <v>26</v>
      </c>
      <c r="F833" t="s">
        <v>26</v>
      </c>
      <c r="G833" t="s">
        <v>137</v>
      </c>
      <c r="H833" t="s">
        <v>276</v>
      </c>
      <c r="I833" t="s">
        <v>84</v>
      </c>
      <c r="J833" t="s">
        <v>85</v>
      </c>
      <c r="K833" t="s">
        <v>83</v>
      </c>
      <c r="L833" s="25">
        <v>44030</v>
      </c>
      <c r="M833">
        <v>7</v>
      </c>
      <c r="N833">
        <v>2020</v>
      </c>
      <c r="O833" t="s">
        <v>110</v>
      </c>
      <c r="P833">
        <v>170</v>
      </c>
      <c r="Q833" s="17">
        <v>44030.439663194447</v>
      </c>
      <c r="R833" t="s">
        <v>126</v>
      </c>
    </row>
    <row r="834" spans="1:18" x14ac:dyDescent="0.3">
      <c r="A834">
        <v>9685786</v>
      </c>
      <c r="B834" t="s">
        <v>72</v>
      </c>
      <c r="C834">
        <v>1329440</v>
      </c>
      <c r="D834" t="s">
        <v>108</v>
      </c>
      <c r="E834">
        <v>820</v>
      </c>
      <c r="F834">
        <v>820</v>
      </c>
      <c r="G834" t="s">
        <v>136</v>
      </c>
      <c r="H834" t="s">
        <v>270</v>
      </c>
      <c r="I834" t="s">
        <v>82</v>
      </c>
      <c r="J834" t="s">
        <v>42</v>
      </c>
      <c r="K834" t="s">
        <v>83</v>
      </c>
      <c r="L834" s="25">
        <v>44030</v>
      </c>
      <c r="M834">
        <v>7</v>
      </c>
      <c r="N834">
        <v>2020</v>
      </c>
      <c r="O834" t="s">
        <v>110</v>
      </c>
      <c r="P834">
        <v>170</v>
      </c>
      <c r="Q834" s="17">
        <v>44030.468254513886</v>
      </c>
      <c r="R834" t="s">
        <v>126</v>
      </c>
    </row>
    <row r="835" spans="1:18" x14ac:dyDescent="0.3">
      <c r="A835">
        <v>9685985</v>
      </c>
      <c r="B835" t="s">
        <v>72</v>
      </c>
      <c r="C835">
        <v>1329142</v>
      </c>
      <c r="D835" t="s">
        <v>108</v>
      </c>
      <c r="E835">
        <v>820</v>
      </c>
      <c r="F835">
        <v>820</v>
      </c>
      <c r="G835" t="s">
        <v>136</v>
      </c>
      <c r="H835" t="s">
        <v>270</v>
      </c>
      <c r="I835" t="s">
        <v>82</v>
      </c>
      <c r="J835" t="s">
        <v>42</v>
      </c>
      <c r="K835" t="s">
        <v>83</v>
      </c>
      <c r="L835" s="25">
        <v>44030</v>
      </c>
      <c r="M835">
        <v>7</v>
      </c>
      <c r="N835">
        <v>2020</v>
      </c>
      <c r="O835" t="s">
        <v>110</v>
      </c>
      <c r="P835">
        <v>170</v>
      </c>
      <c r="Q835" s="17">
        <v>44030.449597916668</v>
      </c>
      <c r="R835" t="s">
        <v>126</v>
      </c>
    </row>
    <row r="836" spans="1:18" x14ac:dyDescent="0.3">
      <c r="A836">
        <v>9680668</v>
      </c>
      <c r="B836" t="s">
        <v>78</v>
      </c>
      <c r="C836">
        <v>1322680</v>
      </c>
      <c r="D836" t="s">
        <v>78</v>
      </c>
      <c r="E836">
        <v>966</v>
      </c>
      <c r="F836">
        <v>966</v>
      </c>
      <c r="G836" t="s">
        <v>139</v>
      </c>
      <c r="H836" t="s">
        <v>105</v>
      </c>
      <c r="I836" t="s">
        <v>78</v>
      </c>
      <c r="J836" t="s">
        <v>42</v>
      </c>
      <c r="K836" t="s">
        <v>87</v>
      </c>
      <c r="L836" s="25">
        <v>44030</v>
      </c>
      <c r="M836">
        <v>7</v>
      </c>
      <c r="N836">
        <v>2020</v>
      </c>
      <c r="O836" t="s">
        <v>110</v>
      </c>
      <c r="P836">
        <v>170</v>
      </c>
      <c r="Q836" s="17">
        <v>44030.453712268521</v>
      </c>
      <c r="R836" t="s">
        <v>126</v>
      </c>
    </row>
    <row r="837" spans="1:18" x14ac:dyDescent="0.3">
      <c r="A837">
        <v>244742</v>
      </c>
      <c r="B837" t="s">
        <v>72</v>
      </c>
      <c r="C837">
        <v>1330168</v>
      </c>
      <c r="D837" t="s">
        <v>108</v>
      </c>
      <c r="E837" t="s">
        <v>142</v>
      </c>
      <c r="F837" t="s">
        <v>17</v>
      </c>
      <c r="G837" t="s">
        <v>143</v>
      </c>
      <c r="H837" t="s">
        <v>263</v>
      </c>
      <c r="I837" t="s">
        <v>82</v>
      </c>
      <c r="J837" t="s">
        <v>42</v>
      </c>
      <c r="K837" t="s">
        <v>87</v>
      </c>
      <c r="L837" s="25">
        <v>44030</v>
      </c>
      <c r="M837">
        <v>7</v>
      </c>
      <c r="N837">
        <v>2020</v>
      </c>
      <c r="O837" t="s">
        <v>110</v>
      </c>
      <c r="P837">
        <v>170</v>
      </c>
      <c r="Q837" s="17">
        <v>44030.492338888886</v>
      </c>
      <c r="R837" t="s">
        <v>126</v>
      </c>
    </row>
    <row r="838" spans="1:18" x14ac:dyDescent="0.3">
      <c r="A838">
        <v>9687313</v>
      </c>
      <c r="B838" t="s">
        <v>72</v>
      </c>
      <c r="C838">
        <v>1330086</v>
      </c>
      <c r="D838" t="s">
        <v>108</v>
      </c>
      <c r="E838">
        <v>966</v>
      </c>
      <c r="F838">
        <v>966</v>
      </c>
      <c r="G838" t="s">
        <v>139</v>
      </c>
      <c r="H838" t="s">
        <v>229</v>
      </c>
      <c r="I838" t="s">
        <v>84</v>
      </c>
      <c r="J838" t="s">
        <v>85</v>
      </c>
      <c r="K838" t="s">
        <v>87</v>
      </c>
      <c r="L838" s="25">
        <v>44030</v>
      </c>
      <c r="M838">
        <v>7</v>
      </c>
      <c r="N838">
        <v>2020</v>
      </c>
      <c r="O838" t="s">
        <v>110</v>
      </c>
      <c r="P838">
        <v>170</v>
      </c>
      <c r="Q838" s="17">
        <v>44030.352523842594</v>
      </c>
      <c r="R838" t="s">
        <v>126</v>
      </c>
    </row>
    <row r="839" spans="1:18" x14ac:dyDescent="0.3">
      <c r="A839">
        <v>9685949</v>
      </c>
      <c r="B839" t="s">
        <v>78</v>
      </c>
      <c r="C839">
        <v>1328781</v>
      </c>
      <c r="D839" t="s">
        <v>78</v>
      </c>
      <c r="E839">
        <v>820</v>
      </c>
      <c r="F839">
        <v>820</v>
      </c>
      <c r="G839" t="s">
        <v>136</v>
      </c>
      <c r="H839" t="s">
        <v>250</v>
      </c>
      <c r="I839" t="s">
        <v>78</v>
      </c>
      <c r="J839" t="s">
        <v>42</v>
      </c>
      <c r="K839" t="s">
        <v>83</v>
      </c>
      <c r="L839" s="25">
        <v>44030</v>
      </c>
      <c r="M839">
        <v>7</v>
      </c>
      <c r="N839">
        <v>2020</v>
      </c>
      <c r="O839" t="s">
        <v>110</v>
      </c>
      <c r="P839">
        <v>170</v>
      </c>
      <c r="Q839" s="17">
        <v>44030.435960069444</v>
      </c>
      <c r="R839" t="s">
        <v>126</v>
      </c>
    </row>
    <row r="840" spans="1:18" x14ac:dyDescent="0.3">
      <c r="A840">
        <v>9685993</v>
      </c>
      <c r="B840" t="s">
        <v>72</v>
      </c>
      <c r="C840">
        <v>1329585</v>
      </c>
      <c r="D840" t="s">
        <v>108</v>
      </c>
      <c r="E840">
        <v>820</v>
      </c>
      <c r="F840">
        <v>820</v>
      </c>
      <c r="G840" t="s">
        <v>136</v>
      </c>
      <c r="H840" t="s">
        <v>262</v>
      </c>
      <c r="I840" t="s">
        <v>82</v>
      </c>
      <c r="J840" t="s">
        <v>42</v>
      </c>
      <c r="K840" t="s">
        <v>83</v>
      </c>
      <c r="L840" s="25">
        <v>44030</v>
      </c>
      <c r="M840">
        <v>7</v>
      </c>
      <c r="N840">
        <v>2020</v>
      </c>
      <c r="O840" t="s">
        <v>110</v>
      </c>
      <c r="P840">
        <v>170</v>
      </c>
      <c r="Q840" s="17">
        <v>44030.47812777778</v>
      </c>
      <c r="R840" t="s">
        <v>126</v>
      </c>
    </row>
    <row r="841" spans="1:18" x14ac:dyDescent="0.3">
      <c r="A841">
        <v>9678618</v>
      </c>
      <c r="B841" t="s">
        <v>72</v>
      </c>
      <c r="C841">
        <v>1332857</v>
      </c>
      <c r="D841" t="s">
        <v>108</v>
      </c>
      <c r="E841" t="s">
        <v>12</v>
      </c>
      <c r="F841" t="s">
        <v>12</v>
      </c>
      <c r="G841" t="s">
        <v>135</v>
      </c>
      <c r="H841" t="s">
        <v>229</v>
      </c>
      <c r="I841" t="s">
        <v>84</v>
      </c>
      <c r="J841" t="s">
        <v>85</v>
      </c>
      <c r="K841" t="s">
        <v>83</v>
      </c>
      <c r="L841" s="25">
        <v>44030</v>
      </c>
      <c r="M841">
        <v>7</v>
      </c>
      <c r="N841">
        <v>2020</v>
      </c>
      <c r="O841" t="s">
        <v>110</v>
      </c>
      <c r="P841">
        <v>170</v>
      </c>
      <c r="Q841" s="17">
        <v>44030.434695717595</v>
      </c>
      <c r="R841" t="s">
        <v>126</v>
      </c>
    </row>
    <row r="842" spans="1:18" x14ac:dyDescent="0.3">
      <c r="A842">
        <v>9678890</v>
      </c>
      <c r="B842" t="s">
        <v>72</v>
      </c>
      <c r="C842">
        <v>1320122</v>
      </c>
      <c r="D842" t="s">
        <v>108</v>
      </c>
      <c r="E842" t="s">
        <v>26</v>
      </c>
      <c r="F842" t="s">
        <v>26</v>
      </c>
      <c r="G842" t="s">
        <v>137</v>
      </c>
      <c r="H842" t="s">
        <v>281</v>
      </c>
      <c r="I842" t="s">
        <v>82</v>
      </c>
      <c r="J842" t="s">
        <v>42</v>
      </c>
      <c r="K842" t="s">
        <v>83</v>
      </c>
      <c r="L842" s="25">
        <v>44030</v>
      </c>
      <c r="M842">
        <v>7</v>
      </c>
      <c r="N842">
        <v>2020</v>
      </c>
      <c r="O842" t="s">
        <v>110</v>
      </c>
      <c r="P842">
        <v>170</v>
      </c>
      <c r="Q842" s="17">
        <v>44030.422606134256</v>
      </c>
      <c r="R842" t="s">
        <v>126</v>
      </c>
    </row>
    <row r="843" spans="1:18" x14ac:dyDescent="0.3">
      <c r="A843">
        <v>9685116</v>
      </c>
      <c r="B843" t="s">
        <v>78</v>
      </c>
      <c r="C843">
        <v>1329499</v>
      </c>
      <c r="D843" t="s">
        <v>78</v>
      </c>
      <c r="E843" t="s">
        <v>12</v>
      </c>
      <c r="F843" t="s">
        <v>12</v>
      </c>
      <c r="G843" t="s">
        <v>135</v>
      </c>
      <c r="H843" t="s">
        <v>251</v>
      </c>
      <c r="I843" t="s">
        <v>78</v>
      </c>
      <c r="J843" t="s">
        <v>42</v>
      </c>
      <c r="K843" t="s">
        <v>83</v>
      </c>
      <c r="L843" s="25">
        <v>44030</v>
      </c>
      <c r="M843">
        <v>7</v>
      </c>
      <c r="N843">
        <v>2020</v>
      </c>
      <c r="O843" t="s">
        <v>110</v>
      </c>
      <c r="P843">
        <v>170</v>
      </c>
      <c r="Q843" s="17">
        <v>44030.441535763886</v>
      </c>
      <c r="R843" t="s">
        <v>126</v>
      </c>
    </row>
    <row r="844" spans="1:18" x14ac:dyDescent="0.3">
      <c r="A844">
        <v>245042</v>
      </c>
      <c r="B844" t="s">
        <v>72</v>
      </c>
      <c r="C844">
        <v>1330103</v>
      </c>
      <c r="D844" t="s">
        <v>108</v>
      </c>
      <c r="E844" t="s">
        <v>182</v>
      </c>
      <c r="F844" t="s">
        <v>17</v>
      </c>
      <c r="G844" t="s">
        <v>183</v>
      </c>
      <c r="H844" t="s">
        <v>263</v>
      </c>
      <c r="I844" t="s">
        <v>82</v>
      </c>
      <c r="J844" t="s">
        <v>42</v>
      </c>
      <c r="K844" t="s">
        <v>87</v>
      </c>
      <c r="L844" s="25">
        <v>44030</v>
      </c>
      <c r="M844">
        <v>7</v>
      </c>
      <c r="N844">
        <v>2020</v>
      </c>
      <c r="O844" t="s">
        <v>110</v>
      </c>
      <c r="P844">
        <v>170</v>
      </c>
      <c r="Q844" s="17">
        <v>44030.491118634258</v>
      </c>
      <c r="R844" t="s">
        <v>126</v>
      </c>
    </row>
    <row r="845" spans="1:18" x14ac:dyDescent="0.3">
      <c r="A845">
        <v>9685585</v>
      </c>
      <c r="B845" t="s">
        <v>79</v>
      </c>
      <c r="C845">
        <v>1328967</v>
      </c>
      <c r="D845" t="s">
        <v>116</v>
      </c>
      <c r="E845" t="s">
        <v>12</v>
      </c>
      <c r="F845" t="s">
        <v>12</v>
      </c>
      <c r="G845" t="s">
        <v>135</v>
      </c>
      <c r="H845" t="s">
        <v>251</v>
      </c>
      <c r="I845" t="s">
        <v>82</v>
      </c>
      <c r="J845" t="s">
        <v>42</v>
      </c>
      <c r="K845" t="s">
        <v>83</v>
      </c>
      <c r="L845" s="25">
        <v>44030</v>
      </c>
      <c r="M845">
        <v>7</v>
      </c>
      <c r="N845">
        <v>2020</v>
      </c>
      <c r="O845" t="s">
        <v>110</v>
      </c>
      <c r="P845">
        <v>170</v>
      </c>
      <c r="Q845" s="17">
        <v>44030.430302546294</v>
      </c>
      <c r="R845" t="s">
        <v>126</v>
      </c>
    </row>
    <row r="846" spans="1:18" x14ac:dyDescent="0.3">
      <c r="A846">
        <v>244630</v>
      </c>
      <c r="B846" t="s">
        <v>72</v>
      </c>
      <c r="C846">
        <v>1329900</v>
      </c>
      <c r="D846" t="s">
        <v>108</v>
      </c>
      <c r="E846" t="s">
        <v>176</v>
      </c>
      <c r="F846" t="s">
        <v>17</v>
      </c>
      <c r="G846" t="s">
        <v>177</v>
      </c>
      <c r="H846" t="s">
        <v>263</v>
      </c>
      <c r="I846" t="s">
        <v>82</v>
      </c>
      <c r="J846" t="s">
        <v>42</v>
      </c>
      <c r="K846" t="s">
        <v>87</v>
      </c>
      <c r="L846" s="25">
        <v>44030</v>
      </c>
      <c r="M846">
        <v>7</v>
      </c>
      <c r="N846">
        <v>2020</v>
      </c>
      <c r="O846" t="s">
        <v>110</v>
      </c>
      <c r="P846">
        <v>170</v>
      </c>
      <c r="Q846" s="17">
        <v>44030.481482291667</v>
      </c>
      <c r="R846" t="s">
        <v>126</v>
      </c>
    </row>
    <row r="847" spans="1:18" x14ac:dyDescent="0.3">
      <c r="A847">
        <v>21519412</v>
      </c>
      <c r="B847" t="s">
        <v>78</v>
      </c>
      <c r="C847">
        <v>1309797</v>
      </c>
      <c r="D847" t="s">
        <v>78</v>
      </c>
      <c r="E847">
        <v>845</v>
      </c>
      <c r="F847">
        <v>845</v>
      </c>
      <c r="G847" t="s">
        <v>130</v>
      </c>
      <c r="H847" t="s">
        <v>105</v>
      </c>
      <c r="I847" t="s">
        <v>78</v>
      </c>
      <c r="J847" t="s">
        <v>42</v>
      </c>
      <c r="K847" t="s">
        <v>87</v>
      </c>
      <c r="L847" s="25">
        <v>44030</v>
      </c>
      <c r="M847">
        <v>7</v>
      </c>
      <c r="N847">
        <v>2020</v>
      </c>
      <c r="O847" t="s">
        <v>110</v>
      </c>
      <c r="P847">
        <v>170</v>
      </c>
      <c r="Q847" s="17">
        <v>44030.489327662035</v>
      </c>
      <c r="R847" t="s">
        <v>126</v>
      </c>
    </row>
    <row r="848" spans="1:18" x14ac:dyDescent="0.3">
      <c r="A848">
        <v>9685619</v>
      </c>
      <c r="B848" t="s">
        <v>78</v>
      </c>
      <c r="C848">
        <v>1329150</v>
      </c>
      <c r="D848" t="s">
        <v>78</v>
      </c>
      <c r="E848">
        <v>820</v>
      </c>
      <c r="F848">
        <v>820</v>
      </c>
      <c r="G848" t="s">
        <v>136</v>
      </c>
      <c r="H848" t="s">
        <v>250</v>
      </c>
      <c r="I848" t="s">
        <v>78</v>
      </c>
      <c r="J848" t="s">
        <v>42</v>
      </c>
      <c r="K848" t="s">
        <v>83</v>
      </c>
      <c r="L848" s="25">
        <v>44030</v>
      </c>
      <c r="M848">
        <v>7</v>
      </c>
      <c r="N848">
        <v>2020</v>
      </c>
      <c r="O848" t="s">
        <v>110</v>
      </c>
      <c r="P848">
        <v>170</v>
      </c>
      <c r="Q848" s="17">
        <v>44030.451129166664</v>
      </c>
      <c r="R848" t="s">
        <v>126</v>
      </c>
    </row>
    <row r="849" spans="1:18" x14ac:dyDescent="0.3">
      <c r="A849">
        <v>9674203</v>
      </c>
      <c r="B849" t="s">
        <v>72</v>
      </c>
      <c r="C849">
        <v>1331921</v>
      </c>
      <c r="D849" t="s">
        <v>108</v>
      </c>
      <c r="E849" t="s">
        <v>26</v>
      </c>
      <c r="F849" t="s">
        <v>26</v>
      </c>
      <c r="G849" t="s">
        <v>137</v>
      </c>
      <c r="H849" t="s">
        <v>229</v>
      </c>
      <c r="I849" t="s">
        <v>84</v>
      </c>
      <c r="J849" t="s">
        <v>85</v>
      </c>
      <c r="K849" t="s">
        <v>83</v>
      </c>
      <c r="L849" s="25">
        <v>44030</v>
      </c>
      <c r="M849">
        <v>7</v>
      </c>
      <c r="N849">
        <v>2020</v>
      </c>
      <c r="O849" t="s">
        <v>110</v>
      </c>
      <c r="P849">
        <v>170</v>
      </c>
      <c r="Q849" s="17">
        <v>44030.384329050925</v>
      </c>
      <c r="R849" t="s">
        <v>126</v>
      </c>
    </row>
    <row r="850" spans="1:18" x14ac:dyDescent="0.3">
      <c r="A850">
        <v>9685768</v>
      </c>
      <c r="B850" t="s">
        <v>78</v>
      </c>
      <c r="C850">
        <v>1328632</v>
      </c>
      <c r="D850" t="s">
        <v>78</v>
      </c>
      <c r="E850">
        <v>820</v>
      </c>
      <c r="F850">
        <v>820</v>
      </c>
      <c r="G850" t="s">
        <v>136</v>
      </c>
      <c r="H850" t="s">
        <v>250</v>
      </c>
      <c r="I850" t="s">
        <v>78</v>
      </c>
      <c r="J850" t="s">
        <v>42</v>
      </c>
      <c r="K850" t="s">
        <v>83</v>
      </c>
      <c r="L850" s="25">
        <v>44030</v>
      </c>
      <c r="M850">
        <v>7</v>
      </c>
      <c r="N850">
        <v>2020</v>
      </c>
      <c r="O850" t="s">
        <v>110</v>
      </c>
      <c r="P850">
        <v>170</v>
      </c>
      <c r="Q850" s="17">
        <v>44030.424627314816</v>
      </c>
      <c r="R850" t="s">
        <v>126</v>
      </c>
    </row>
    <row r="851" spans="1:18" x14ac:dyDescent="0.3">
      <c r="A851">
        <v>9677225</v>
      </c>
      <c r="B851" t="s">
        <v>80</v>
      </c>
      <c r="C851">
        <v>1318353</v>
      </c>
      <c r="D851" t="s">
        <v>113</v>
      </c>
      <c r="E851">
        <v>966</v>
      </c>
      <c r="F851">
        <v>966</v>
      </c>
      <c r="G851" t="s">
        <v>139</v>
      </c>
      <c r="H851" t="s">
        <v>232</v>
      </c>
      <c r="I851" t="s">
        <v>84</v>
      </c>
      <c r="J851" t="s">
        <v>85</v>
      </c>
      <c r="K851" t="s">
        <v>87</v>
      </c>
      <c r="L851" s="25">
        <v>44030</v>
      </c>
      <c r="M851">
        <v>7</v>
      </c>
      <c r="N851">
        <v>2020</v>
      </c>
      <c r="O851" t="s">
        <v>110</v>
      </c>
      <c r="P851">
        <v>170</v>
      </c>
      <c r="Q851" s="17">
        <v>44030.438682175925</v>
      </c>
      <c r="R851" t="s">
        <v>126</v>
      </c>
    </row>
    <row r="852" spans="1:18" x14ac:dyDescent="0.3">
      <c r="A852">
        <v>9679531</v>
      </c>
      <c r="B852" t="s">
        <v>78</v>
      </c>
      <c r="C852">
        <v>1319990</v>
      </c>
      <c r="D852" t="s">
        <v>78</v>
      </c>
      <c r="E852" t="s">
        <v>26</v>
      </c>
      <c r="F852" t="s">
        <v>26</v>
      </c>
      <c r="G852" t="s">
        <v>137</v>
      </c>
      <c r="H852" t="s">
        <v>245</v>
      </c>
      <c r="I852" t="s">
        <v>78</v>
      </c>
      <c r="J852" t="s">
        <v>42</v>
      </c>
      <c r="K852" t="s">
        <v>83</v>
      </c>
      <c r="L852" s="25">
        <v>44030</v>
      </c>
      <c r="M852">
        <v>7</v>
      </c>
      <c r="N852">
        <v>2020</v>
      </c>
      <c r="O852" t="s">
        <v>110</v>
      </c>
      <c r="P852">
        <v>170</v>
      </c>
      <c r="Q852" s="17">
        <v>44030.42817175926</v>
      </c>
      <c r="R852" t="s">
        <v>126</v>
      </c>
    </row>
    <row r="853" spans="1:18" x14ac:dyDescent="0.3">
      <c r="A853">
        <v>9687679</v>
      </c>
      <c r="B853" t="s">
        <v>78</v>
      </c>
      <c r="C853">
        <v>1330653</v>
      </c>
      <c r="D853" t="s">
        <v>78</v>
      </c>
      <c r="E853">
        <v>820</v>
      </c>
      <c r="F853">
        <v>820</v>
      </c>
      <c r="G853" t="s">
        <v>136</v>
      </c>
      <c r="H853" t="s">
        <v>249</v>
      </c>
      <c r="I853" t="s">
        <v>78</v>
      </c>
      <c r="J853" t="s">
        <v>42</v>
      </c>
      <c r="K853" t="s">
        <v>83</v>
      </c>
      <c r="L853" s="25">
        <v>44030</v>
      </c>
      <c r="M853">
        <v>7</v>
      </c>
      <c r="N853">
        <v>2020</v>
      </c>
      <c r="O853" t="s">
        <v>110</v>
      </c>
      <c r="P853">
        <v>170</v>
      </c>
      <c r="Q853" s="17">
        <v>44031.033481365739</v>
      </c>
      <c r="R853" t="s">
        <v>126</v>
      </c>
    </row>
    <row r="854" spans="1:18" x14ac:dyDescent="0.3">
      <c r="A854">
        <v>9681942</v>
      </c>
      <c r="B854" t="s">
        <v>72</v>
      </c>
      <c r="C854">
        <v>1327427</v>
      </c>
      <c r="D854" t="s">
        <v>108</v>
      </c>
      <c r="E854">
        <v>820</v>
      </c>
      <c r="F854">
        <v>820</v>
      </c>
      <c r="G854" t="s">
        <v>136</v>
      </c>
      <c r="H854" t="s">
        <v>229</v>
      </c>
      <c r="I854" t="s">
        <v>84</v>
      </c>
      <c r="J854" t="s">
        <v>85</v>
      </c>
      <c r="K854" t="s">
        <v>83</v>
      </c>
      <c r="L854" s="25">
        <v>44030</v>
      </c>
      <c r="M854">
        <v>7</v>
      </c>
      <c r="N854">
        <v>2020</v>
      </c>
      <c r="O854" t="s">
        <v>110</v>
      </c>
      <c r="P854">
        <v>170</v>
      </c>
      <c r="Q854" s="17">
        <v>44031.067575347224</v>
      </c>
      <c r="R854" t="s">
        <v>126</v>
      </c>
    </row>
    <row r="855" spans="1:18" x14ac:dyDescent="0.3">
      <c r="A855">
        <v>9686856</v>
      </c>
      <c r="B855" t="s">
        <v>80</v>
      </c>
      <c r="C855">
        <v>1329736</v>
      </c>
      <c r="D855" t="s">
        <v>113</v>
      </c>
      <c r="E855" t="s">
        <v>146</v>
      </c>
      <c r="F855" t="s">
        <v>17</v>
      </c>
      <c r="G855" t="s">
        <v>153</v>
      </c>
      <c r="H855" t="s">
        <v>232</v>
      </c>
      <c r="I855" t="s">
        <v>84</v>
      </c>
      <c r="J855" t="s">
        <v>85</v>
      </c>
      <c r="K855" t="s">
        <v>87</v>
      </c>
      <c r="L855" s="25">
        <v>44030</v>
      </c>
      <c r="M855">
        <v>7</v>
      </c>
      <c r="N855">
        <v>2020</v>
      </c>
      <c r="O855" t="s">
        <v>110</v>
      </c>
      <c r="P855">
        <v>170</v>
      </c>
      <c r="Q855" s="17">
        <v>44030.468901273147</v>
      </c>
      <c r="R855" t="s">
        <v>126</v>
      </c>
    </row>
    <row r="856" spans="1:18" x14ac:dyDescent="0.3">
      <c r="A856">
        <v>9685819</v>
      </c>
      <c r="B856" t="s">
        <v>78</v>
      </c>
      <c r="C856">
        <v>1328634</v>
      </c>
      <c r="D856" t="s">
        <v>78</v>
      </c>
      <c r="E856">
        <v>820</v>
      </c>
      <c r="F856">
        <v>820</v>
      </c>
      <c r="G856" t="s">
        <v>136</v>
      </c>
      <c r="H856" t="s">
        <v>250</v>
      </c>
      <c r="I856" t="s">
        <v>78</v>
      </c>
      <c r="J856" t="s">
        <v>42</v>
      </c>
      <c r="K856" t="s">
        <v>83</v>
      </c>
      <c r="L856" s="25">
        <v>44030</v>
      </c>
      <c r="M856">
        <v>7</v>
      </c>
      <c r="N856">
        <v>2020</v>
      </c>
      <c r="O856" t="s">
        <v>110</v>
      </c>
      <c r="P856">
        <v>170</v>
      </c>
      <c r="Q856" s="17">
        <v>44030.423592939813</v>
      </c>
      <c r="R856" t="s">
        <v>126</v>
      </c>
    </row>
    <row r="857" spans="1:18" x14ac:dyDescent="0.3">
      <c r="A857">
        <v>241013</v>
      </c>
      <c r="B857" t="s">
        <v>72</v>
      </c>
      <c r="C857">
        <v>1317963</v>
      </c>
      <c r="D857" t="s">
        <v>108</v>
      </c>
      <c r="E857">
        <v>966</v>
      </c>
      <c r="F857">
        <v>966</v>
      </c>
      <c r="G857" t="s">
        <v>139</v>
      </c>
      <c r="H857" t="s">
        <v>252</v>
      </c>
      <c r="I857" t="s">
        <v>84</v>
      </c>
      <c r="J857" t="s">
        <v>85</v>
      </c>
      <c r="K857" t="s">
        <v>87</v>
      </c>
      <c r="L857" s="25">
        <v>44030</v>
      </c>
      <c r="M857">
        <v>7</v>
      </c>
      <c r="N857">
        <v>2020</v>
      </c>
      <c r="O857" t="s">
        <v>110</v>
      </c>
      <c r="P857">
        <v>170</v>
      </c>
      <c r="Q857" s="17">
        <v>44030.429371296297</v>
      </c>
      <c r="R857" t="s">
        <v>126</v>
      </c>
    </row>
    <row r="858" spans="1:18" x14ac:dyDescent="0.3">
      <c r="A858">
        <v>9685809</v>
      </c>
      <c r="B858" t="s">
        <v>78</v>
      </c>
      <c r="C858">
        <v>1329536</v>
      </c>
      <c r="D858" t="s">
        <v>78</v>
      </c>
      <c r="E858">
        <v>820</v>
      </c>
      <c r="F858">
        <v>820</v>
      </c>
      <c r="G858" t="s">
        <v>136</v>
      </c>
      <c r="H858" t="s">
        <v>249</v>
      </c>
      <c r="I858" t="s">
        <v>78</v>
      </c>
      <c r="J858" t="s">
        <v>42</v>
      </c>
      <c r="K858" t="s">
        <v>83</v>
      </c>
      <c r="L858" s="25">
        <v>44030</v>
      </c>
      <c r="M858">
        <v>7</v>
      </c>
      <c r="N858">
        <v>2020</v>
      </c>
      <c r="O858" t="s">
        <v>110</v>
      </c>
      <c r="P858">
        <v>170</v>
      </c>
      <c r="Q858" s="17">
        <v>44030.477875925928</v>
      </c>
      <c r="R858" t="s">
        <v>126</v>
      </c>
    </row>
    <row r="859" spans="1:18" x14ac:dyDescent="0.3">
      <c r="A859">
        <v>9685671</v>
      </c>
      <c r="B859" t="s">
        <v>78</v>
      </c>
      <c r="C859">
        <v>1328995</v>
      </c>
      <c r="D859" t="s">
        <v>78</v>
      </c>
      <c r="E859">
        <v>820</v>
      </c>
      <c r="F859">
        <v>820</v>
      </c>
      <c r="G859" t="s">
        <v>136</v>
      </c>
      <c r="H859" t="s">
        <v>249</v>
      </c>
      <c r="I859" t="s">
        <v>78</v>
      </c>
      <c r="J859" t="s">
        <v>42</v>
      </c>
      <c r="K859" t="s">
        <v>83</v>
      </c>
      <c r="L859" s="25">
        <v>44030</v>
      </c>
      <c r="M859">
        <v>7</v>
      </c>
      <c r="N859">
        <v>2020</v>
      </c>
      <c r="O859" t="s">
        <v>110</v>
      </c>
      <c r="P859">
        <v>170</v>
      </c>
      <c r="Q859" s="17">
        <v>44030.447705787039</v>
      </c>
      <c r="R859" t="s">
        <v>126</v>
      </c>
    </row>
    <row r="860" spans="1:18" x14ac:dyDescent="0.3">
      <c r="A860">
        <v>9685890</v>
      </c>
      <c r="B860" t="s">
        <v>72</v>
      </c>
      <c r="C860">
        <v>1329327</v>
      </c>
      <c r="D860" t="s">
        <v>108</v>
      </c>
      <c r="E860">
        <v>820</v>
      </c>
      <c r="F860">
        <v>820</v>
      </c>
      <c r="G860" t="s">
        <v>136</v>
      </c>
      <c r="H860" t="s">
        <v>270</v>
      </c>
      <c r="I860" t="s">
        <v>82</v>
      </c>
      <c r="J860" t="s">
        <v>42</v>
      </c>
      <c r="K860" t="s">
        <v>83</v>
      </c>
      <c r="L860" s="25">
        <v>44030</v>
      </c>
      <c r="M860">
        <v>7</v>
      </c>
      <c r="N860">
        <v>2020</v>
      </c>
      <c r="O860" t="s">
        <v>110</v>
      </c>
      <c r="P860">
        <v>170</v>
      </c>
      <c r="Q860" s="17">
        <v>44030.458473611114</v>
      </c>
      <c r="R860" t="s">
        <v>126</v>
      </c>
    </row>
    <row r="861" spans="1:18" x14ac:dyDescent="0.3">
      <c r="A861">
        <v>9685880</v>
      </c>
      <c r="B861" t="s">
        <v>72</v>
      </c>
      <c r="C861">
        <v>1329404</v>
      </c>
      <c r="D861" t="s">
        <v>108</v>
      </c>
      <c r="E861">
        <v>820</v>
      </c>
      <c r="F861">
        <v>820</v>
      </c>
      <c r="G861" t="s">
        <v>136</v>
      </c>
      <c r="H861" t="s">
        <v>270</v>
      </c>
      <c r="I861" t="s">
        <v>82</v>
      </c>
      <c r="J861" t="s">
        <v>42</v>
      </c>
      <c r="K861" t="s">
        <v>83</v>
      </c>
      <c r="L861" s="25">
        <v>44030</v>
      </c>
      <c r="M861">
        <v>7</v>
      </c>
      <c r="N861">
        <v>2020</v>
      </c>
      <c r="O861" t="s">
        <v>110</v>
      </c>
      <c r="P861">
        <v>170</v>
      </c>
      <c r="Q861" s="17">
        <v>44030.466693981478</v>
      </c>
      <c r="R861" t="s">
        <v>126</v>
      </c>
    </row>
    <row r="862" spans="1:18" x14ac:dyDescent="0.3">
      <c r="A862">
        <v>9685586</v>
      </c>
      <c r="B862" t="s">
        <v>80</v>
      </c>
      <c r="C862">
        <v>1329570</v>
      </c>
      <c r="D862" t="s">
        <v>113</v>
      </c>
      <c r="E862" t="s">
        <v>146</v>
      </c>
      <c r="F862" t="s">
        <v>17</v>
      </c>
      <c r="G862" t="s">
        <v>153</v>
      </c>
      <c r="H862" t="s">
        <v>232</v>
      </c>
      <c r="I862" t="s">
        <v>84</v>
      </c>
      <c r="J862" t="s">
        <v>85</v>
      </c>
      <c r="K862" t="s">
        <v>87</v>
      </c>
      <c r="L862" s="25">
        <v>44030</v>
      </c>
      <c r="M862">
        <v>7</v>
      </c>
      <c r="N862">
        <v>2020</v>
      </c>
      <c r="O862" t="s">
        <v>110</v>
      </c>
      <c r="P862">
        <v>170</v>
      </c>
      <c r="Q862" s="17">
        <v>44030.429750925927</v>
      </c>
      <c r="R862" t="s">
        <v>126</v>
      </c>
    </row>
    <row r="863" spans="1:18" x14ac:dyDescent="0.3">
      <c r="A863">
        <v>9685721</v>
      </c>
      <c r="B863" t="s">
        <v>78</v>
      </c>
      <c r="C863">
        <v>1328800</v>
      </c>
      <c r="D863" t="s">
        <v>78</v>
      </c>
      <c r="E863">
        <v>820</v>
      </c>
      <c r="F863">
        <v>820</v>
      </c>
      <c r="G863" t="s">
        <v>136</v>
      </c>
      <c r="H863" t="s">
        <v>228</v>
      </c>
      <c r="I863" t="s">
        <v>78</v>
      </c>
      <c r="J863" t="s">
        <v>42</v>
      </c>
      <c r="K863" t="s">
        <v>83</v>
      </c>
      <c r="L863" s="25">
        <v>44030</v>
      </c>
      <c r="M863">
        <v>7</v>
      </c>
      <c r="N863">
        <v>2020</v>
      </c>
      <c r="O863" t="s">
        <v>110</v>
      </c>
      <c r="P863">
        <v>170</v>
      </c>
      <c r="Q863" s="17">
        <v>44030.435636458336</v>
      </c>
      <c r="R863" t="s">
        <v>126</v>
      </c>
    </row>
    <row r="864" spans="1:18" x14ac:dyDescent="0.3">
      <c r="A864">
        <v>9675085</v>
      </c>
      <c r="B864" t="s">
        <v>72</v>
      </c>
      <c r="C864">
        <v>1331442</v>
      </c>
      <c r="D864" t="s">
        <v>108</v>
      </c>
      <c r="E864" t="s">
        <v>26</v>
      </c>
      <c r="F864" t="s">
        <v>26</v>
      </c>
      <c r="G864" t="s">
        <v>137</v>
      </c>
      <c r="H864" t="s">
        <v>229</v>
      </c>
      <c r="I864" t="s">
        <v>84</v>
      </c>
      <c r="J864" t="s">
        <v>85</v>
      </c>
      <c r="K864" t="s">
        <v>83</v>
      </c>
      <c r="L864" s="25">
        <v>44030</v>
      </c>
      <c r="M864">
        <v>7</v>
      </c>
      <c r="N864">
        <v>2020</v>
      </c>
      <c r="O864" t="s">
        <v>110</v>
      </c>
      <c r="P864">
        <v>170</v>
      </c>
      <c r="Q864" s="17">
        <v>44030.383937615741</v>
      </c>
      <c r="R864" t="s">
        <v>126</v>
      </c>
    </row>
    <row r="865" spans="1:18" x14ac:dyDescent="0.3">
      <c r="A865">
        <v>9685752</v>
      </c>
      <c r="B865" t="s">
        <v>78</v>
      </c>
      <c r="C865">
        <v>1329527</v>
      </c>
      <c r="D865" t="s">
        <v>78</v>
      </c>
      <c r="E865">
        <v>820</v>
      </c>
      <c r="F865">
        <v>820</v>
      </c>
      <c r="G865" t="s">
        <v>136</v>
      </c>
      <c r="H865" t="s">
        <v>250</v>
      </c>
      <c r="I865" t="s">
        <v>78</v>
      </c>
      <c r="J865" t="s">
        <v>42</v>
      </c>
      <c r="K865" t="s">
        <v>83</v>
      </c>
      <c r="L865" s="25">
        <v>44030</v>
      </c>
      <c r="M865">
        <v>7</v>
      </c>
      <c r="N865">
        <v>2020</v>
      </c>
      <c r="O865" t="s">
        <v>110</v>
      </c>
      <c r="P865">
        <v>170</v>
      </c>
      <c r="Q865" s="17">
        <v>44030.475175925923</v>
      </c>
      <c r="R865" t="s">
        <v>126</v>
      </c>
    </row>
    <row r="866" spans="1:18" x14ac:dyDescent="0.3">
      <c r="A866">
        <v>9686855</v>
      </c>
      <c r="B866" t="s">
        <v>80</v>
      </c>
      <c r="C866">
        <v>1329731</v>
      </c>
      <c r="D866" t="s">
        <v>113</v>
      </c>
      <c r="E866" t="s">
        <v>146</v>
      </c>
      <c r="F866" t="s">
        <v>17</v>
      </c>
      <c r="G866" t="s">
        <v>153</v>
      </c>
      <c r="H866" t="s">
        <v>232</v>
      </c>
      <c r="I866" t="s">
        <v>84</v>
      </c>
      <c r="J866" t="s">
        <v>85</v>
      </c>
      <c r="K866" t="s">
        <v>87</v>
      </c>
      <c r="L866" s="25">
        <v>44030</v>
      </c>
      <c r="M866">
        <v>7</v>
      </c>
      <c r="N866">
        <v>2020</v>
      </c>
      <c r="O866" t="s">
        <v>110</v>
      </c>
      <c r="P866">
        <v>170</v>
      </c>
      <c r="Q866" s="17">
        <v>44030.459328240744</v>
      </c>
      <c r="R866" t="s">
        <v>126</v>
      </c>
    </row>
    <row r="867" spans="1:18" x14ac:dyDescent="0.3">
      <c r="A867">
        <v>9686620</v>
      </c>
      <c r="B867" t="s">
        <v>78</v>
      </c>
      <c r="C867">
        <v>1330063</v>
      </c>
      <c r="D867" t="s">
        <v>78</v>
      </c>
      <c r="E867">
        <v>779</v>
      </c>
      <c r="F867" t="s">
        <v>17</v>
      </c>
      <c r="G867" t="s">
        <v>163</v>
      </c>
      <c r="H867" t="s">
        <v>134</v>
      </c>
      <c r="I867" t="s">
        <v>78</v>
      </c>
      <c r="J867" t="s">
        <v>42</v>
      </c>
      <c r="K867" t="s">
        <v>87</v>
      </c>
      <c r="L867" s="25">
        <v>44030</v>
      </c>
      <c r="M867">
        <v>7</v>
      </c>
      <c r="N867">
        <v>2020</v>
      </c>
      <c r="O867" t="s">
        <v>110</v>
      </c>
      <c r="P867">
        <v>170</v>
      </c>
      <c r="Q867" s="17">
        <v>44030.486676736109</v>
      </c>
      <c r="R867" t="s">
        <v>126</v>
      </c>
    </row>
    <row r="868" spans="1:18" x14ac:dyDescent="0.3">
      <c r="A868">
        <v>241825</v>
      </c>
      <c r="B868" t="s">
        <v>78</v>
      </c>
      <c r="C868">
        <v>1321673</v>
      </c>
      <c r="D868" t="s">
        <v>78</v>
      </c>
      <c r="E868" t="s">
        <v>26</v>
      </c>
      <c r="F868" t="s">
        <v>26</v>
      </c>
      <c r="G868" t="s">
        <v>137</v>
      </c>
      <c r="H868" t="s">
        <v>260</v>
      </c>
      <c r="I868" t="s">
        <v>78</v>
      </c>
      <c r="J868" t="s">
        <v>42</v>
      </c>
      <c r="K868" t="s">
        <v>83</v>
      </c>
      <c r="L868" s="25">
        <v>44030</v>
      </c>
      <c r="M868">
        <v>7</v>
      </c>
      <c r="N868">
        <v>2020</v>
      </c>
      <c r="O868" t="s">
        <v>110</v>
      </c>
      <c r="P868">
        <v>170</v>
      </c>
      <c r="Q868" s="17">
        <v>44030.465389351855</v>
      </c>
      <c r="R868" t="s">
        <v>126</v>
      </c>
    </row>
    <row r="869" spans="1:18" x14ac:dyDescent="0.3">
      <c r="A869">
        <v>9686354</v>
      </c>
      <c r="B869" t="s">
        <v>80</v>
      </c>
      <c r="C869">
        <v>1329940</v>
      </c>
      <c r="D869" t="s">
        <v>113</v>
      </c>
      <c r="E869">
        <v>4138</v>
      </c>
      <c r="F869" t="s">
        <v>17</v>
      </c>
      <c r="G869" t="s">
        <v>129</v>
      </c>
      <c r="H869" t="s">
        <v>232</v>
      </c>
      <c r="I869" t="s">
        <v>84</v>
      </c>
      <c r="J869" t="s">
        <v>85</v>
      </c>
      <c r="K869" t="s">
        <v>87</v>
      </c>
      <c r="L869" s="25">
        <v>44030</v>
      </c>
      <c r="M869">
        <v>7</v>
      </c>
      <c r="N869">
        <v>2020</v>
      </c>
      <c r="O869" t="s">
        <v>110</v>
      </c>
      <c r="P869">
        <v>170</v>
      </c>
      <c r="Q869" s="17">
        <v>44030.484274305556</v>
      </c>
      <c r="R869" t="s">
        <v>126</v>
      </c>
    </row>
    <row r="870" spans="1:18" x14ac:dyDescent="0.3">
      <c r="A870">
        <v>9687018</v>
      </c>
      <c r="B870" t="s">
        <v>80</v>
      </c>
      <c r="C870">
        <v>1330238</v>
      </c>
      <c r="D870" t="s">
        <v>113</v>
      </c>
      <c r="E870" t="s">
        <v>146</v>
      </c>
      <c r="F870" t="s">
        <v>17</v>
      </c>
      <c r="G870" t="s">
        <v>153</v>
      </c>
      <c r="H870" t="s">
        <v>232</v>
      </c>
      <c r="I870" t="s">
        <v>84</v>
      </c>
      <c r="J870" t="s">
        <v>85</v>
      </c>
      <c r="K870" t="s">
        <v>87</v>
      </c>
      <c r="L870" s="25">
        <v>44030</v>
      </c>
      <c r="M870">
        <v>7</v>
      </c>
      <c r="N870">
        <v>2020</v>
      </c>
      <c r="O870" t="s">
        <v>110</v>
      </c>
      <c r="P870">
        <v>170</v>
      </c>
      <c r="Q870" s="17">
        <v>44030.49901053241</v>
      </c>
      <c r="R870" t="s">
        <v>126</v>
      </c>
    </row>
    <row r="871" spans="1:18" x14ac:dyDescent="0.3">
      <c r="A871">
        <v>9677399</v>
      </c>
      <c r="B871" t="s">
        <v>72</v>
      </c>
      <c r="C871">
        <v>1331732</v>
      </c>
      <c r="D871" t="s">
        <v>108</v>
      </c>
      <c r="E871" t="s">
        <v>26</v>
      </c>
      <c r="F871" t="s">
        <v>26</v>
      </c>
      <c r="G871" t="s">
        <v>137</v>
      </c>
      <c r="H871" t="s">
        <v>229</v>
      </c>
      <c r="I871" t="s">
        <v>84</v>
      </c>
      <c r="J871" t="s">
        <v>85</v>
      </c>
      <c r="K871" t="s">
        <v>83</v>
      </c>
      <c r="L871" s="25">
        <v>44030</v>
      </c>
      <c r="M871">
        <v>7</v>
      </c>
      <c r="N871">
        <v>2020</v>
      </c>
      <c r="O871" t="s">
        <v>110</v>
      </c>
      <c r="P871">
        <v>170</v>
      </c>
      <c r="Q871" s="17">
        <v>44030.382618055555</v>
      </c>
      <c r="R871" t="s">
        <v>126</v>
      </c>
    </row>
    <row r="872" spans="1:18" x14ac:dyDescent="0.3">
      <c r="A872">
        <v>9686089</v>
      </c>
      <c r="B872" t="s">
        <v>72</v>
      </c>
      <c r="C872">
        <v>1329960</v>
      </c>
      <c r="D872" t="s">
        <v>108</v>
      </c>
      <c r="E872" t="s">
        <v>146</v>
      </c>
      <c r="F872" t="s">
        <v>17</v>
      </c>
      <c r="G872" t="s">
        <v>153</v>
      </c>
      <c r="H872" t="s">
        <v>263</v>
      </c>
      <c r="I872" t="s">
        <v>82</v>
      </c>
      <c r="J872" t="s">
        <v>42</v>
      </c>
      <c r="K872" t="s">
        <v>87</v>
      </c>
      <c r="L872" s="25">
        <v>44030</v>
      </c>
      <c r="M872">
        <v>7</v>
      </c>
      <c r="N872">
        <v>2020</v>
      </c>
      <c r="O872" t="s">
        <v>110</v>
      </c>
      <c r="P872">
        <v>170</v>
      </c>
      <c r="Q872" s="17">
        <v>44030.484884490739</v>
      </c>
      <c r="R872" t="s">
        <v>126</v>
      </c>
    </row>
    <row r="873" spans="1:18" x14ac:dyDescent="0.3">
      <c r="A873">
        <v>240900</v>
      </c>
      <c r="B873" t="s">
        <v>80</v>
      </c>
      <c r="C873">
        <v>1325950</v>
      </c>
      <c r="D873" t="s">
        <v>122</v>
      </c>
      <c r="E873">
        <v>966</v>
      </c>
      <c r="F873">
        <v>966</v>
      </c>
      <c r="G873" t="s">
        <v>139</v>
      </c>
      <c r="H873" t="s">
        <v>228</v>
      </c>
      <c r="I873" t="s">
        <v>84</v>
      </c>
      <c r="J873" t="s">
        <v>85</v>
      </c>
      <c r="K873" t="s">
        <v>87</v>
      </c>
      <c r="L873" s="25">
        <v>44030</v>
      </c>
      <c r="M873">
        <v>7</v>
      </c>
      <c r="N873">
        <v>2020</v>
      </c>
      <c r="O873" t="s">
        <v>110</v>
      </c>
      <c r="P873">
        <v>170</v>
      </c>
      <c r="Q873" s="17">
        <v>44029.911943171297</v>
      </c>
      <c r="R873" t="s">
        <v>126</v>
      </c>
    </row>
    <row r="874" spans="1:18" x14ac:dyDescent="0.3">
      <c r="A874">
        <v>9685978</v>
      </c>
      <c r="B874" t="s">
        <v>72</v>
      </c>
      <c r="C874">
        <v>1329860</v>
      </c>
      <c r="D874" t="s">
        <v>108</v>
      </c>
      <c r="E874">
        <v>820</v>
      </c>
      <c r="F874">
        <v>820</v>
      </c>
      <c r="G874" t="s">
        <v>136</v>
      </c>
      <c r="H874" t="s">
        <v>270</v>
      </c>
      <c r="I874" t="s">
        <v>82</v>
      </c>
      <c r="J874" t="s">
        <v>42</v>
      </c>
      <c r="K874" t="s">
        <v>83</v>
      </c>
      <c r="L874" s="25">
        <v>44030</v>
      </c>
      <c r="M874">
        <v>7</v>
      </c>
      <c r="N874">
        <v>2020</v>
      </c>
      <c r="O874" t="s">
        <v>110</v>
      </c>
      <c r="P874">
        <v>170</v>
      </c>
      <c r="Q874" s="17">
        <v>44030.483793634259</v>
      </c>
      <c r="R874" t="s">
        <v>126</v>
      </c>
    </row>
    <row r="875" spans="1:18" x14ac:dyDescent="0.3">
      <c r="A875">
        <v>9686395</v>
      </c>
      <c r="B875" t="s">
        <v>80</v>
      </c>
      <c r="C875">
        <v>1330009</v>
      </c>
      <c r="D875" t="s">
        <v>122</v>
      </c>
      <c r="E875">
        <v>820</v>
      </c>
      <c r="F875">
        <v>820</v>
      </c>
      <c r="G875" t="s">
        <v>136</v>
      </c>
      <c r="H875" t="s">
        <v>228</v>
      </c>
      <c r="I875" t="s">
        <v>84</v>
      </c>
      <c r="J875" t="s">
        <v>85</v>
      </c>
      <c r="K875" t="s">
        <v>83</v>
      </c>
      <c r="L875" s="25">
        <v>44030</v>
      </c>
      <c r="M875">
        <v>7</v>
      </c>
      <c r="N875">
        <v>2020</v>
      </c>
      <c r="O875" t="s">
        <v>110</v>
      </c>
      <c r="P875">
        <v>170</v>
      </c>
      <c r="Q875" s="17">
        <v>44030.089347337962</v>
      </c>
      <c r="R875" t="s">
        <v>126</v>
      </c>
    </row>
    <row r="876" spans="1:18" x14ac:dyDescent="0.3">
      <c r="A876">
        <v>9679598</v>
      </c>
      <c r="B876" t="s">
        <v>72</v>
      </c>
      <c r="C876">
        <v>1320534</v>
      </c>
      <c r="D876" t="s">
        <v>108</v>
      </c>
      <c r="E876" t="s">
        <v>124</v>
      </c>
      <c r="F876" t="s">
        <v>17</v>
      </c>
      <c r="G876" t="s">
        <v>125</v>
      </c>
      <c r="H876" t="s">
        <v>263</v>
      </c>
      <c r="I876" t="s">
        <v>82</v>
      </c>
      <c r="J876" t="s">
        <v>42</v>
      </c>
      <c r="K876" t="s">
        <v>87</v>
      </c>
      <c r="L876" s="25">
        <v>44030</v>
      </c>
      <c r="M876">
        <v>7</v>
      </c>
      <c r="N876">
        <v>2020</v>
      </c>
      <c r="O876" t="s">
        <v>110</v>
      </c>
      <c r="P876">
        <v>170</v>
      </c>
      <c r="Q876" s="17">
        <v>44030.484912499996</v>
      </c>
      <c r="R876" t="s">
        <v>126</v>
      </c>
    </row>
    <row r="877" spans="1:18" x14ac:dyDescent="0.3">
      <c r="A877">
        <v>9686249</v>
      </c>
      <c r="B877" t="s">
        <v>80</v>
      </c>
      <c r="C877">
        <v>1329660</v>
      </c>
      <c r="D877" t="s">
        <v>113</v>
      </c>
      <c r="E877" t="s">
        <v>146</v>
      </c>
      <c r="F877" t="s">
        <v>17</v>
      </c>
      <c r="G877" t="s">
        <v>153</v>
      </c>
      <c r="H877" t="s">
        <v>232</v>
      </c>
      <c r="I877" t="s">
        <v>84</v>
      </c>
      <c r="J877" t="s">
        <v>85</v>
      </c>
      <c r="K877" t="s">
        <v>87</v>
      </c>
      <c r="L877" s="25">
        <v>44030</v>
      </c>
      <c r="M877">
        <v>7</v>
      </c>
      <c r="N877">
        <v>2020</v>
      </c>
      <c r="O877" t="s">
        <v>110</v>
      </c>
      <c r="P877">
        <v>170</v>
      </c>
      <c r="Q877" s="17">
        <v>44030.446597916663</v>
      </c>
      <c r="R877" t="s">
        <v>126</v>
      </c>
    </row>
    <row r="878" spans="1:18" x14ac:dyDescent="0.3">
      <c r="A878">
        <v>9685636</v>
      </c>
      <c r="B878" t="s">
        <v>78</v>
      </c>
      <c r="C878">
        <v>1329543</v>
      </c>
      <c r="D878" t="s">
        <v>78</v>
      </c>
      <c r="E878">
        <v>820</v>
      </c>
      <c r="F878">
        <v>820</v>
      </c>
      <c r="G878" t="s">
        <v>136</v>
      </c>
      <c r="H878" t="s">
        <v>249</v>
      </c>
      <c r="I878" t="s">
        <v>78</v>
      </c>
      <c r="J878" t="s">
        <v>42</v>
      </c>
      <c r="K878" t="s">
        <v>83</v>
      </c>
      <c r="L878" s="25">
        <v>44030</v>
      </c>
      <c r="M878">
        <v>7</v>
      </c>
      <c r="N878">
        <v>2020</v>
      </c>
      <c r="O878" t="s">
        <v>110</v>
      </c>
      <c r="P878">
        <v>170</v>
      </c>
      <c r="Q878" s="17">
        <v>44030.477466550925</v>
      </c>
      <c r="R878" t="s">
        <v>126</v>
      </c>
    </row>
    <row r="879" spans="1:18" x14ac:dyDescent="0.3">
      <c r="A879">
        <v>9685979</v>
      </c>
      <c r="B879" t="s">
        <v>78</v>
      </c>
      <c r="C879">
        <v>1329560</v>
      </c>
      <c r="D879" t="s">
        <v>78</v>
      </c>
      <c r="E879">
        <v>820</v>
      </c>
      <c r="F879">
        <v>820</v>
      </c>
      <c r="G879" t="s">
        <v>136</v>
      </c>
      <c r="H879" t="s">
        <v>250</v>
      </c>
      <c r="I879" t="s">
        <v>78</v>
      </c>
      <c r="J879" t="s">
        <v>42</v>
      </c>
      <c r="K879" t="s">
        <v>83</v>
      </c>
      <c r="L879" s="25">
        <v>44030</v>
      </c>
      <c r="M879">
        <v>7</v>
      </c>
      <c r="N879">
        <v>2020</v>
      </c>
      <c r="O879" t="s">
        <v>110</v>
      </c>
      <c r="P879">
        <v>170</v>
      </c>
      <c r="Q879" s="17">
        <v>44030.478153240743</v>
      </c>
      <c r="R879" t="s">
        <v>126</v>
      </c>
    </row>
    <row r="880" spans="1:18" x14ac:dyDescent="0.3">
      <c r="A880">
        <v>9686179</v>
      </c>
      <c r="B880" t="s">
        <v>80</v>
      </c>
      <c r="C880">
        <v>1329643</v>
      </c>
      <c r="D880" t="s">
        <v>113</v>
      </c>
      <c r="E880" t="s">
        <v>146</v>
      </c>
      <c r="F880" t="s">
        <v>17</v>
      </c>
      <c r="G880" t="s">
        <v>153</v>
      </c>
      <c r="H880" t="s">
        <v>232</v>
      </c>
      <c r="I880" t="s">
        <v>84</v>
      </c>
      <c r="J880" t="s">
        <v>85</v>
      </c>
      <c r="K880" t="s">
        <v>87</v>
      </c>
      <c r="L880" s="25">
        <v>44030</v>
      </c>
      <c r="M880">
        <v>7</v>
      </c>
      <c r="N880">
        <v>2020</v>
      </c>
      <c r="O880" t="s">
        <v>110</v>
      </c>
      <c r="P880">
        <v>170</v>
      </c>
      <c r="Q880" s="17">
        <v>44030.443318981481</v>
      </c>
      <c r="R880" t="s">
        <v>126</v>
      </c>
    </row>
    <row r="881" spans="1:18" x14ac:dyDescent="0.3">
      <c r="A881">
        <v>9687701</v>
      </c>
      <c r="B881" t="s">
        <v>72</v>
      </c>
      <c r="C881">
        <v>1330596</v>
      </c>
      <c r="D881" t="s">
        <v>108</v>
      </c>
      <c r="E881">
        <v>820</v>
      </c>
      <c r="F881">
        <v>820</v>
      </c>
      <c r="G881" t="s">
        <v>136</v>
      </c>
      <c r="H881" t="s">
        <v>270</v>
      </c>
      <c r="I881" t="s">
        <v>82</v>
      </c>
      <c r="J881" t="s">
        <v>42</v>
      </c>
      <c r="K881" t="s">
        <v>83</v>
      </c>
      <c r="L881" s="25">
        <v>44030</v>
      </c>
      <c r="M881">
        <v>7</v>
      </c>
      <c r="N881">
        <v>2020</v>
      </c>
      <c r="O881" t="s">
        <v>110</v>
      </c>
      <c r="P881">
        <v>170</v>
      </c>
      <c r="Q881" s="17">
        <v>44030.491134490738</v>
      </c>
      <c r="R881" t="s">
        <v>126</v>
      </c>
    </row>
    <row r="882" spans="1:18" x14ac:dyDescent="0.3">
      <c r="A882">
        <v>9679758</v>
      </c>
      <c r="B882" t="s">
        <v>78</v>
      </c>
      <c r="C882">
        <v>1321419</v>
      </c>
      <c r="D882" t="s">
        <v>78</v>
      </c>
      <c r="E882" t="s">
        <v>26</v>
      </c>
      <c r="F882" t="s">
        <v>26</v>
      </c>
      <c r="G882" t="s">
        <v>137</v>
      </c>
      <c r="H882" t="s">
        <v>245</v>
      </c>
      <c r="I882" t="s">
        <v>78</v>
      </c>
      <c r="J882" t="s">
        <v>42</v>
      </c>
      <c r="K882" t="s">
        <v>83</v>
      </c>
      <c r="L882" s="25">
        <v>44030</v>
      </c>
      <c r="M882">
        <v>7</v>
      </c>
      <c r="N882">
        <v>2020</v>
      </c>
      <c r="O882" t="s">
        <v>110</v>
      </c>
      <c r="P882">
        <v>170</v>
      </c>
      <c r="Q882" s="17">
        <v>44030.461506944448</v>
      </c>
      <c r="R882" t="s">
        <v>126</v>
      </c>
    </row>
    <row r="883" spans="1:18" x14ac:dyDescent="0.3">
      <c r="A883">
        <v>21525941</v>
      </c>
      <c r="B883" t="s">
        <v>72</v>
      </c>
      <c r="C883">
        <v>1321070</v>
      </c>
      <c r="D883" t="s">
        <v>108</v>
      </c>
      <c r="E883" t="s">
        <v>26</v>
      </c>
      <c r="F883" t="s">
        <v>26</v>
      </c>
      <c r="G883" t="s">
        <v>137</v>
      </c>
      <c r="H883" t="s">
        <v>276</v>
      </c>
      <c r="I883" t="s">
        <v>84</v>
      </c>
      <c r="J883" t="s">
        <v>85</v>
      </c>
      <c r="K883" t="s">
        <v>83</v>
      </c>
      <c r="L883" s="25">
        <v>44030</v>
      </c>
      <c r="M883">
        <v>7</v>
      </c>
      <c r="N883">
        <v>2020</v>
      </c>
      <c r="O883" t="s">
        <v>110</v>
      </c>
      <c r="P883">
        <v>170</v>
      </c>
      <c r="Q883" s="17">
        <v>44030.443379166667</v>
      </c>
      <c r="R883" t="s">
        <v>126</v>
      </c>
    </row>
    <row r="884" spans="1:18" x14ac:dyDescent="0.3">
      <c r="A884">
        <v>9685769</v>
      </c>
      <c r="B884" t="s">
        <v>78</v>
      </c>
      <c r="C884">
        <v>1329022</v>
      </c>
      <c r="D884" t="s">
        <v>78</v>
      </c>
      <c r="E884">
        <v>820</v>
      </c>
      <c r="F884">
        <v>820</v>
      </c>
      <c r="G884" t="s">
        <v>136</v>
      </c>
      <c r="H884" t="s">
        <v>249</v>
      </c>
      <c r="I884" t="s">
        <v>78</v>
      </c>
      <c r="J884" t="s">
        <v>42</v>
      </c>
      <c r="K884" t="s">
        <v>83</v>
      </c>
      <c r="L884" s="25">
        <v>44030</v>
      </c>
      <c r="M884">
        <v>7</v>
      </c>
      <c r="N884">
        <v>2020</v>
      </c>
      <c r="O884" t="s">
        <v>110</v>
      </c>
      <c r="P884">
        <v>170</v>
      </c>
      <c r="Q884" s="17">
        <v>44030.449215856483</v>
      </c>
      <c r="R884" t="s">
        <v>126</v>
      </c>
    </row>
    <row r="885" spans="1:18" x14ac:dyDescent="0.3">
      <c r="A885">
        <v>9686152</v>
      </c>
      <c r="B885" t="s">
        <v>80</v>
      </c>
      <c r="C885">
        <v>1329609</v>
      </c>
      <c r="D885" t="s">
        <v>113</v>
      </c>
      <c r="E885" t="s">
        <v>146</v>
      </c>
      <c r="F885" t="s">
        <v>17</v>
      </c>
      <c r="G885" t="s">
        <v>153</v>
      </c>
      <c r="H885" t="s">
        <v>232</v>
      </c>
      <c r="I885" t="s">
        <v>84</v>
      </c>
      <c r="J885" t="s">
        <v>85</v>
      </c>
      <c r="K885" t="s">
        <v>87</v>
      </c>
      <c r="L885" s="25">
        <v>44030</v>
      </c>
      <c r="M885">
        <v>7</v>
      </c>
      <c r="N885">
        <v>2020</v>
      </c>
      <c r="O885" t="s">
        <v>110</v>
      </c>
      <c r="P885">
        <v>170</v>
      </c>
      <c r="Q885" s="17">
        <v>44030.433313425929</v>
      </c>
      <c r="R885" t="s">
        <v>126</v>
      </c>
    </row>
    <row r="886" spans="1:18" x14ac:dyDescent="0.3">
      <c r="A886">
        <v>9678988</v>
      </c>
      <c r="B886" t="s">
        <v>72</v>
      </c>
      <c r="C886">
        <v>1320100</v>
      </c>
      <c r="D886" t="s">
        <v>108</v>
      </c>
      <c r="E886" t="s">
        <v>124</v>
      </c>
      <c r="F886" t="s">
        <v>17</v>
      </c>
      <c r="G886" t="s">
        <v>125</v>
      </c>
      <c r="H886" t="s">
        <v>263</v>
      </c>
      <c r="I886" t="s">
        <v>82</v>
      </c>
      <c r="J886" t="s">
        <v>42</v>
      </c>
      <c r="K886" t="s">
        <v>87</v>
      </c>
      <c r="L886" s="25">
        <v>44030</v>
      </c>
      <c r="M886">
        <v>7</v>
      </c>
      <c r="N886">
        <v>2020</v>
      </c>
      <c r="O886" t="s">
        <v>110</v>
      </c>
      <c r="P886">
        <v>170</v>
      </c>
      <c r="Q886" s="17">
        <v>44030.454769328702</v>
      </c>
      <c r="R886" t="s">
        <v>126</v>
      </c>
    </row>
    <row r="887" spans="1:18" x14ac:dyDescent="0.3">
      <c r="A887">
        <v>9685944</v>
      </c>
      <c r="B887" t="s">
        <v>72</v>
      </c>
      <c r="C887">
        <v>1328922</v>
      </c>
      <c r="D887" t="s">
        <v>108</v>
      </c>
      <c r="E887">
        <v>820</v>
      </c>
      <c r="F887">
        <v>820</v>
      </c>
      <c r="G887" t="s">
        <v>136</v>
      </c>
      <c r="H887" t="s">
        <v>229</v>
      </c>
      <c r="I887" t="s">
        <v>84</v>
      </c>
      <c r="J887" t="s">
        <v>85</v>
      </c>
      <c r="K887" t="s">
        <v>83</v>
      </c>
      <c r="L887" s="25">
        <v>44030</v>
      </c>
      <c r="M887">
        <v>7</v>
      </c>
      <c r="N887">
        <v>2020</v>
      </c>
      <c r="O887" t="s">
        <v>110</v>
      </c>
      <c r="P887">
        <v>170</v>
      </c>
      <c r="Q887" s="17">
        <v>44030.307520601855</v>
      </c>
      <c r="R887" t="s">
        <v>126</v>
      </c>
    </row>
    <row r="888" spans="1:18" x14ac:dyDescent="0.3">
      <c r="A888">
        <v>9685696</v>
      </c>
      <c r="B888" t="s">
        <v>78</v>
      </c>
      <c r="C888">
        <v>1329833</v>
      </c>
      <c r="D888" t="s">
        <v>78</v>
      </c>
      <c r="E888">
        <v>820</v>
      </c>
      <c r="F888">
        <v>820</v>
      </c>
      <c r="G888" t="s">
        <v>136</v>
      </c>
      <c r="H888" t="s">
        <v>250</v>
      </c>
      <c r="I888" t="s">
        <v>78</v>
      </c>
      <c r="J888" t="s">
        <v>42</v>
      </c>
      <c r="K888" t="s">
        <v>83</v>
      </c>
      <c r="L888" s="25">
        <v>44030</v>
      </c>
      <c r="M888">
        <v>7</v>
      </c>
      <c r="N888">
        <v>2020</v>
      </c>
      <c r="O888" t="s">
        <v>110</v>
      </c>
      <c r="P888">
        <v>170</v>
      </c>
      <c r="Q888" s="17">
        <v>44030.479727199076</v>
      </c>
      <c r="R888" t="s">
        <v>126</v>
      </c>
    </row>
    <row r="889" spans="1:18" x14ac:dyDescent="0.3">
      <c r="A889">
        <v>9686738</v>
      </c>
      <c r="B889" t="s">
        <v>80</v>
      </c>
      <c r="C889">
        <v>1329784</v>
      </c>
      <c r="D889" t="s">
        <v>113</v>
      </c>
      <c r="E889" t="s">
        <v>146</v>
      </c>
      <c r="F889" t="s">
        <v>17</v>
      </c>
      <c r="G889" t="s">
        <v>153</v>
      </c>
      <c r="H889" t="s">
        <v>232</v>
      </c>
      <c r="I889" t="s">
        <v>84</v>
      </c>
      <c r="J889" t="s">
        <v>85</v>
      </c>
      <c r="K889" t="s">
        <v>87</v>
      </c>
      <c r="L889" s="25">
        <v>44030</v>
      </c>
      <c r="M889">
        <v>7</v>
      </c>
      <c r="N889">
        <v>2020</v>
      </c>
      <c r="O889" t="s">
        <v>110</v>
      </c>
      <c r="P889">
        <v>170</v>
      </c>
      <c r="Q889" s="17">
        <v>44030.474958217594</v>
      </c>
      <c r="R889" t="s">
        <v>126</v>
      </c>
    </row>
    <row r="890" spans="1:18" x14ac:dyDescent="0.3">
      <c r="A890">
        <v>9668910</v>
      </c>
      <c r="B890" t="s">
        <v>80</v>
      </c>
      <c r="C890">
        <v>1327912</v>
      </c>
      <c r="D890" t="s">
        <v>108</v>
      </c>
      <c r="E890" t="s">
        <v>26</v>
      </c>
      <c r="F890" t="s">
        <v>26</v>
      </c>
      <c r="G890" t="s">
        <v>137</v>
      </c>
      <c r="H890" t="s">
        <v>229</v>
      </c>
      <c r="I890" t="s">
        <v>84</v>
      </c>
      <c r="J890" t="s">
        <v>85</v>
      </c>
      <c r="K890" t="s">
        <v>83</v>
      </c>
      <c r="L890" s="25">
        <v>44030</v>
      </c>
      <c r="M890">
        <v>7</v>
      </c>
      <c r="N890">
        <v>2020</v>
      </c>
      <c r="O890" t="s">
        <v>110</v>
      </c>
      <c r="P890">
        <v>170</v>
      </c>
      <c r="Q890" s="17">
        <v>44031.067213194445</v>
      </c>
      <c r="R890" t="s">
        <v>126</v>
      </c>
    </row>
    <row r="891" spans="1:18" x14ac:dyDescent="0.3">
      <c r="A891">
        <v>9685865</v>
      </c>
      <c r="B891" t="s">
        <v>78</v>
      </c>
      <c r="C891">
        <v>1329584</v>
      </c>
      <c r="D891" t="s">
        <v>78</v>
      </c>
      <c r="E891">
        <v>820</v>
      </c>
      <c r="F891">
        <v>820</v>
      </c>
      <c r="G891" t="s">
        <v>136</v>
      </c>
      <c r="H891" t="s">
        <v>249</v>
      </c>
      <c r="I891" t="s">
        <v>78</v>
      </c>
      <c r="J891" t="s">
        <v>42</v>
      </c>
      <c r="K891" t="s">
        <v>83</v>
      </c>
      <c r="L891" s="25">
        <v>44030</v>
      </c>
      <c r="M891">
        <v>7</v>
      </c>
      <c r="N891">
        <v>2020</v>
      </c>
      <c r="O891" t="s">
        <v>110</v>
      </c>
      <c r="P891">
        <v>170</v>
      </c>
      <c r="Q891" s="17">
        <v>44030.483225578704</v>
      </c>
      <c r="R891" t="s">
        <v>126</v>
      </c>
    </row>
    <row r="892" spans="1:18" x14ac:dyDescent="0.3">
      <c r="A892">
        <v>9686458</v>
      </c>
      <c r="B892" t="s">
        <v>72</v>
      </c>
      <c r="C892">
        <v>1330019</v>
      </c>
      <c r="D892" t="s">
        <v>108</v>
      </c>
      <c r="E892">
        <v>820</v>
      </c>
      <c r="F892">
        <v>820</v>
      </c>
      <c r="G892" t="s">
        <v>136</v>
      </c>
      <c r="H892" t="s">
        <v>270</v>
      </c>
      <c r="I892" t="s">
        <v>82</v>
      </c>
      <c r="J892" t="s">
        <v>42</v>
      </c>
      <c r="K892" t="s">
        <v>83</v>
      </c>
      <c r="L892" s="25">
        <v>44030</v>
      </c>
      <c r="M892">
        <v>7</v>
      </c>
      <c r="N892">
        <v>2020</v>
      </c>
      <c r="O892" t="s">
        <v>110</v>
      </c>
      <c r="P892">
        <v>170</v>
      </c>
      <c r="Q892" s="17">
        <v>44030.487468171297</v>
      </c>
      <c r="R892" t="s">
        <v>126</v>
      </c>
    </row>
    <row r="893" spans="1:18" x14ac:dyDescent="0.3">
      <c r="A893">
        <v>9685897</v>
      </c>
      <c r="B893" t="s">
        <v>78</v>
      </c>
      <c r="C893">
        <v>1328783</v>
      </c>
      <c r="D893" t="s">
        <v>78</v>
      </c>
      <c r="E893">
        <v>820</v>
      </c>
      <c r="F893">
        <v>820</v>
      </c>
      <c r="G893" t="s">
        <v>136</v>
      </c>
      <c r="H893" t="s">
        <v>249</v>
      </c>
      <c r="I893" t="s">
        <v>78</v>
      </c>
      <c r="J893" t="s">
        <v>42</v>
      </c>
      <c r="K893" t="s">
        <v>83</v>
      </c>
      <c r="L893" s="25">
        <v>44030</v>
      </c>
      <c r="M893">
        <v>7</v>
      </c>
      <c r="N893">
        <v>2020</v>
      </c>
      <c r="O893" t="s">
        <v>110</v>
      </c>
      <c r="P893">
        <v>170</v>
      </c>
      <c r="Q893" s="17">
        <v>44030.436241550924</v>
      </c>
      <c r="R893" t="s">
        <v>126</v>
      </c>
    </row>
    <row r="894" spans="1:18" x14ac:dyDescent="0.3">
      <c r="A894">
        <v>9686164</v>
      </c>
      <c r="B894" t="s">
        <v>80</v>
      </c>
      <c r="C894">
        <v>1329633</v>
      </c>
      <c r="D894" t="s">
        <v>113</v>
      </c>
      <c r="E894" t="s">
        <v>146</v>
      </c>
      <c r="F894" t="s">
        <v>17</v>
      </c>
      <c r="G894" t="s">
        <v>153</v>
      </c>
      <c r="H894" t="s">
        <v>232</v>
      </c>
      <c r="I894" t="s">
        <v>84</v>
      </c>
      <c r="J894" t="s">
        <v>85</v>
      </c>
      <c r="K894" t="s">
        <v>87</v>
      </c>
      <c r="L894" s="25">
        <v>44030</v>
      </c>
      <c r="M894">
        <v>7</v>
      </c>
      <c r="N894">
        <v>2020</v>
      </c>
      <c r="O894" t="s">
        <v>110</v>
      </c>
      <c r="P894">
        <v>170</v>
      </c>
      <c r="Q894" s="17">
        <v>44030.439984375</v>
      </c>
      <c r="R894" t="s">
        <v>126</v>
      </c>
    </row>
    <row r="895" spans="1:18" x14ac:dyDescent="0.3">
      <c r="A895">
        <v>9686854</v>
      </c>
      <c r="B895" t="s">
        <v>80</v>
      </c>
      <c r="C895">
        <v>1329733</v>
      </c>
      <c r="D895" t="s">
        <v>113</v>
      </c>
      <c r="E895" t="s">
        <v>146</v>
      </c>
      <c r="F895" t="s">
        <v>17</v>
      </c>
      <c r="G895" t="s">
        <v>153</v>
      </c>
      <c r="H895" t="s">
        <v>232</v>
      </c>
      <c r="I895" t="s">
        <v>84</v>
      </c>
      <c r="J895" t="s">
        <v>85</v>
      </c>
      <c r="K895" t="s">
        <v>87</v>
      </c>
      <c r="L895" s="25">
        <v>44030</v>
      </c>
      <c r="M895">
        <v>7</v>
      </c>
      <c r="N895">
        <v>2020</v>
      </c>
      <c r="O895" t="s">
        <v>110</v>
      </c>
      <c r="P895">
        <v>170</v>
      </c>
      <c r="Q895" s="17">
        <v>44030.46653125</v>
      </c>
      <c r="R895" t="s">
        <v>126</v>
      </c>
    </row>
    <row r="896" spans="1:18" x14ac:dyDescent="0.3">
      <c r="A896">
        <v>9686617</v>
      </c>
      <c r="B896" t="s">
        <v>78</v>
      </c>
      <c r="C896">
        <v>1330034</v>
      </c>
      <c r="D896" t="s">
        <v>78</v>
      </c>
      <c r="E896">
        <v>4138</v>
      </c>
      <c r="F896" t="s">
        <v>17</v>
      </c>
      <c r="G896" t="s">
        <v>129</v>
      </c>
      <c r="H896" t="s">
        <v>134</v>
      </c>
      <c r="I896" t="s">
        <v>78</v>
      </c>
      <c r="J896" t="s">
        <v>42</v>
      </c>
      <c r="K896" t="s">
        <v>87</v>
      </c>
      <c r="L896" s="25">
        <v>44030</v>
      </c>
      <c r="M896">
        <v>7</v>
      </c>
      <c r="N896">
        <v>2020</v>
      </c>
      <c r="O896" t="s">
        <v>110</v>
      </c>
      <c r="P896">
        <v>170</v>
      </c>
      <c r="Q896" s="17">
        <v>44030.486011458335</v>
      </c>
      <c r="R896" t="s">
        <v>126</v>
      </c>
    </row>
    <row r="897" spans="1:18" x14ac:dyDescent="0.3">
      <c r="A897">
        <v>9687008</v>
      </c>
      <c r="B897" t="s">
        <v>80</v>
      </c>
      <c r="C897">
        <v>1330234</v>
      </c>
      <c r="D897" t="s">
        <v>113</v>
      </c>
      <c r="E897" t="s">
        <v>146</v>
      </c>
      <c r="F897" t="s">
        <v>17</v>
      </c>
      <c r="G897" t="s">
        <v>153</v>
      </c>
      <c r="H897" t="s">
        <v>232</v>
      </c>
      <c r="I897" t="s">
        <v>84</v>
      </c>
      <c r="J897" t="s">
        <v>85</v>
      </c>
      <c r="K897" t="s">
        <v>87</v>
      </c>
      <c r="L897" s="25">
        <v>44030</v>
      </c>
      <c r="M897">
        <v>7</v>
      </c>
      <c r="N897">
        <v>2020</v>
      </c>
      <c r="O897" t="s">
        <v>110</v>
      </c>
      <c r="P897">
        <v>170</v>
      </c>
      <c r="Q897" s="17">
        <v>44030.493525578706</v>
      </c>
      <c r="R897" t="s">
        <v>126</v>
      </c>
    </row>
    <row r="898" spans="1:18" x14ac:dyDescent="0.3">
      <c r="A898">
        <v>9685942</v>
      </c>
      <c r="B898" t="s">
        <v>78</v>
      </c>
      <c r="C898">
        <v>1328697</v>
      </c>
      <c r="D898" t="s">
        <v>78</v>
      </c>
      <c r="E898">
        <v>820</v>
      </c>
      <c r="F898">
        <v>820</v>
      </c>
      <c r="G898" t="s">
        <v>136</v>
      </c>
      <c r="H898" t="s">
        <v>250</v>
      </c>
      <c r="I898" t="s">
        <v>78</v>
      </c>
      <c r="J898" t="s">
        <v>42</v>
      </c>
      <c r="K898" t="s">
        <v>83</v>
      </c>
      <c r="L898" s="25">
        <v>44030</v>
      </c>
      <c r="M898">
        <v>7</v>
      </c>
      <c r="N898">
        <v>2020</v>
      </c>
      <c r="O898" t="s">
        <v>110</v>
      </c>
      <c r="P898">
        <v>170</v>
      </c>
      <c r="Q898" s="17">
        <v>44030.426383101854</v>
      </c>
      <c r="R898" t="s">
        <v>126</v>
      </c>
    </row>
    <row r="899" spans="1:18" x14ac:dyDescent="0.3">
      <c r="A899">
        <v>9687722</v>
      </c>
      <c r="B899" t="s">
        <v>78</v>
      </c>
      <c r="C899">
        <v>1330569</v>
      </c>
      <c r="D899" t="s">
        <v>78</v>
      </c>
      <c r="E899">
        <v>820</v>
      </c>
      <c r="F899">
        <v>820</v>
      </c>
      <c r="G899" t="s">
        <v>136</v>
      </c>
      <c r="H899" t="s">
        <v>249</v>
      </c>
      <c r="I899" t="s">
        <v>78</v>
      </c>
      <c r="J899" t="s">
        <v>42</v>
      </c>
      <c r="K899" t="s">
        <v>83</v>
      </c>
      <c r="L899" s="25">
        <v>44030</v>
      </c>
      <c r="M899">
        <v>7</v>
      </c>
      <c r="N899">
        <v>2020</v>
      </c>
      <c r="O899" t="s">
        <v>110</v>
      </c>
      <c r="P899">
        <v>170</v>
      </c>
      <c r="Q899" s="17">
        <v>44030.490649189815</v>
      </c>
      <c r="R899" t="s">
        <v>126</v>
      </c>
    </row>
    <row r="900" spans="1:18" x14ac:dyDescent="0.3">
      <c r="A900">
        <v>9687672</v>
      </c>
      <c r="B900" t="s">
        <v>78</v>
      </c>
      <c r="C900">
        <v>1330669</v>
      </c>
      <c r="D900" t="s">
        <v>78</v>
      </c>
      <c r="E900">
        <v>820</v>
      </c>
      <c r="F900">
        <v>820</v>
      </c>
      <c r="G900" t="s">
        <v>136</v>
      </c>
      <c r="H900" t="s">
        <v>249</v>
      </c>
      <c r="I900" t="s">
        <v>78</v>
      </c>
      <c r="J900" t="s">
        <v>42</v>
      </c>
      <c r="K900" t="s">
        <v>83</v>
      </c>
      <c r="L900" s="25">
        <v>44030</v>
      </c>
      <c r="M900">
        <v>7</v>
      </c>
      <c r="N900">
        <v>2020</v>
      </c>
      <c r="O900" t="s">
        <v>110</v>
      </c>
      <c r="P900">
        <v>170</v>
      </c>
      <c r="Q900" s="17">
        <v>44031.079283796294</v>
      </c>
      <c r="R900" t="s">
        <v>126</v>
      </c>
    </row>
    <row r="901" spans="1:18" x14ac:dyDescent="0.3">
      <c r="A901">
        <v>9681525</v>
      </c>
      <c r="B901" t="s">
        <v>78</v>
      </c>
      <c r="C901">
        <v>1324804</v>
      </c>
      <c r="D901" t="s">
        <v>78</v>
      </c>
      <c r="E901">
        <v>966</v>
      </c>
      <c r="F901">
        <v>966</v>
      </c>
      <c r="G901" t="s">
        <v>139</v>
      </c>
      <c r="H901" t="s">
        <v>257</v>
      </c>
      <c r="I901" t="s">
        <v>78</v>
      </c>
      <c r="J901" t="s">
        <v>42</v>
      </c>
      <c r="K901" t="s">
        <v>87</v>
      </c>
      <c r="L901" s="25">
        <v>44030</v>
      </c>
      <c r="M901">
        <v>7</v>
      </c>
      <c r="N901">
        <v>2020</v>
      </c>
      <c r="O901" t="s">
        <v>110</v>
      </c>
      <c r="P901">
        <v>170</v>
      </c>
      <c r="Q901" s="17">
        <v>44030.477882754632</v>
      </c>
      <c r="R901" t="s">
        <v>126</v>
      </c>
    </row>
    <row r="902" spans="1:18" x14ac:dyDescent="0.3">
      <c r="A902">
        <v>9687004</v>
      </c>
      <c r="B902" t="s">
        <v>80</v>
      </c>
      <c r="C902">
        <v>1330220</v>
      </c>
      <c r="D902" t="s">
        <v>113</v>
      </c>
      <c r="E902" t="s">
        <v>146</v>
      </c>
      <c r="F902" t="s">
        <v>17</v>
      </c>
      <c r="G902" t="s">
        <v>153</v>
      </c>
      <c r="H902" t="s">
        <v>232</v>
      </c>
      <c r="I902" t="s">
        <v>84</v>
      </c>
      <c r="J902" t="s">
        <v>85</v>
      </c>
      <c r="K902" t="s">
        <v>87</v>
      </c>
      <c r="L902" s="25">
        <v>44030</v>
      </c>
      <c r="M902">
        <v>7</v>
      </c>
      <c r="N902">
        <v>2020</v>
      </c>
      <c r="O902" t="s">
        <v>110</v>
      </c>
      <c r="P902">
        <v>170</v>
      </c>
      <c r="Q902" s="17">
        <v>44030.498408101848</v>
      </c>
      <c r="R902" t="s">
        <v>126</v>
      </c>
    </row>
    <row r="903" spans="1:18" x14ac:dyDescent="0.3">
      <c r="A903">
        <v>244814</v>
      </c>
      <c r="B903" t="s">
        <v>72</v>
      </c>
      <c r="C903">
        <v>1330120</v>
      </c>
      <c r="D903" t="s">
        <v>108</v>
      </c>
      <c r="E903" t="s">
        <v>182</v>
      </c>
      <c r="F903" t="s">
        <v>17</v>
      </c>
      <c r="G903" t="s">
        <v>183</v>
      </c>
      <c r="H903" t="s">
        <v>263</v>
      </c>
      <c r="I903" t="s">
        <v>82</v>
      </c>
      <c r="J903" t="s">
        <v>42</v>
      </c>
      <c r="K903" t="s">
        <v>87</v>
      </c>
      <c r="L903" s="25">
        <v>44030</v>
      </c>
      <c r="M903">
        <v>7</v>
      </c>
      <c r="N903">
        <v>2020</v>
      </c>
      <c r="O903" t="s">
        <v>110</v>
      </c>
      <c r="P903">
        <v>170</v>
      </c>
      <c r="Q903" s="17">
        <v>44030.488394444445</v>
      </c>
      <c r="R903" t="s">
        <v>126</v>
      </c>
    </row>
    <row r="904" spans="1:18" x14ac:dyDescent="0.3">
      <c r="A904">
        <v>9687265</v>
      </c>
      <c r="B904" t="s">
        <v>76</v>
      </c>
      <c r="C904">
        <v>1330180</v>
      </c>
      <c r="D904" t="s">
        <v>78</v>
      </c>
      <c r="E904" t="s">
        <v>12</v>
      </c>
      <c r="F904" t="s">
        <v>12</v>
      </c>
      <c r="G904" t="s">
        <v>135</v>
      </c>
      <c r="H904" t="s">
        <v>105</v>
      </c>
      <c r="I904" t="s">
        <v>78</v>
      </c>
      <c r="J904" t="s">
        <v>42</v>
      </c>
      <c r="K904" t="s">
        <v>83</v>
      </c>
      <c r="L904" s="25">
        <v>44030</v>
      </c>
      <c r="M904">
        <v>7</v>
      </c>
      <c r="N904">
        <v>2020</v>
      </c>
      <c r="O904" t="s">
        <v>110</v>
      </c>
      <c r="P904">
        <v>170</v>
      </c>
      <c r="Q904" s="17">
        <v>44030.474692476855</v>
      </c>
      <c r="R904" t="s">
        <v>126</v>
      </c>
    </row>
    <row r="905" spans="1:18" x14ac:dyDescent="0.3">
      <c r="A905">
        <v>9677561</v>
      </c>
      <c r="B905" t="s">
        <v>72</v>
      </c>
      <c r="C905">
        <v>1320556</v>
      </c>
      <c r="D905" t="s">
        <v>108</v>
      </c>
      <c r="E905" t="s">
        <v>26</v>
      </c>
      <c r="F905" t="s">
        <v>26</v>
      </c>
      <c r="G905" t="s">
        <v>137</v>
      </c>
      <c r="H905" t="s">
        <v>229</v>
      </c>
      <c r="I905" t="s">
        <v>84</v>
      </c>
      <c r="J905" t="s">
        <v>85</v>
      </c>
      <c r="K905" t="s">
        <v>83</v>
      </c>
      <c r="L905" s="25">
        <v>44030</v>
      </c>
      <c r="M905">
        <v>7</v>
      </c>
      <c r="N905">
        <v>2020</v>
      </c>
      <c r="O905" t="s">
        <v>110</v>
      </c>
      <c r="P905">
        <v>170</v>
      </c>
      <c r="Q905" s="17">
        <v>44030.436446412037</v>
      </c>
      <c r="R905" t="s">
        <v>126</v>
      </c>
    </row>
    <row r="906" spans="1:18" x14ac:dyDescent="0.3">
      <c r="A906">
        <v>9685952</v>
      </c>
      <c r="B906" t="s">
        <v>78</v>
      </c>
      <c r="C906">
        <v>1329244</v>
      </c>
      <c r="D906" t="s">
        <v>78</v>
      </c>
      <c r="E906">
        <v>820</v>
      </c>
      <c r="F906">
        <v>820</v>
      </c>
      <c r="G906" t="s">
        <v>136</v>
      </c>
      <c r="H906" t="s">
        <v>249</v>
      </c>
      <c r="I906" t="s">
        <v>78</v>
      </c>
      <c r="J906" t="s">
        <v>42</v>
      </c>
      <c r="K906" t="s">
        <v>83</v>
      </c>
      <c r="L906" s="25">
        <v>44030</v>
      </c>
      <c r="M906">
        <v>7</v>
      </c>
      <c r="N906">
        <v>2020</v>
      </c>
      <c r="O906" t="s">
        <v>110</v>
      </c>
      <c r="P906">
        <v>170</v>
      </c>
      <c r="Q906" s="17">
        <v>44030.457448958332</v>
      </c>
      <c r="R906" t="s">
        <v>126</v>
      </c>
    </row>
    <row r="907" spans="1:18" x14ac:dyDescent="0.3">
      <c r="A907">
        <v>9684638</v>
      </c>
      <c r="B907" t="s">
        <v>78</v>
      </c>
      <c r="C907">
        <v>1329387</v>
      </c>
      <c r="D907" t="s">
        <v>78</v>
      </c>
      <c r="E907" t="s">
        <v>12</v>
      </c>
      <c r="F907" t="s">
        <v>12</v>
      </c>
      <c r="G907" t="s">
        <v>135</v>
      </c>
      <c r="H907" t="s">
        <v>251</v>
      </c>
      <c r="I907" t="s">
        <v>78</v>
      </c>
      <c r="J907" t="s">
        <v>42</v>
      </c>
      <c r="K907" t="s">
        <v>83</v>
      </c>
      <c r="L907" s="25">
        <v>44030</v>
      </c>
      <c r="M907">
        <v>7</v>
      </c>
      <c r="N907">
        <v>2020</v>
      </c>
      <c r="O907" t="s">
        <v>110</v>
      </c>
      <c r="P907">
        <v>170</v>
      </c>
      <c r="Q907" s="17">
        <v>44030.438938541665</v>
      </c>
      <c r="R907" t="s">
        <v>126</v>
      </c>
    </row>
    <row r="908" spans="1:18" x14ac:dyDescent="0.3">
      <c r="A908">
        <v>9683000</v>
      </c>
      <c r="B908" t="s">
        <v>72</v>
      </c>
      <c r="C908">
        <v>1335003</v>
      </c>
      <c r="D908" t="s">
        <v>108</v>
      </c>
      <c r="E908" t="s">
        <v>12</v>
      </c>
      <c r="F908" t="s">
        <v>12</v>
      </c>
      <c r="G908" t="s">
        <v>135</v>
      </c>
      <c r="H908" t="s">
        <v>229</v>
      </c>
      <c r="I908" t="s">
        <v>84</v>
      </c>
      <c r="J908" t="s">
        <v>85</v>
      </c>
      <c r="K908" t="s">
        <v>83</v>
      </c>
      <c r="L908" s="25">
        <v>44030</v>
      </c>
      <c r="M908">
        <v>7</v>
      </c>
      <c r="N908">
        <v>2020</v>
      </c>
      <c r="O908" t="s">
        <v>110</v>
      </c>
      <c r="P908">
        <v>170</v>
      </c>
      <c r="Q908" s="17">
        <v>44031.106593171295</v>
      </c>
      <c r="R908" t="s">
        <v>126</v>
      </c>
    </row>
    <row r="909" spans="1:18" x14ac:dyDescent="0.3">
      <c r="A909">
        <v>9686165</v>
      </c>
      <c r="B909" t="s">
        <v>80</v>
      </c>
      <c r="C909">
        <v>1329630</v>
      </c>
      <c r="D909" t="s">
        <v>113</v>
      </c>
      <c r="E909" t="s">
        <v>146</v>
      </c>
      <c r="F909" t="s">
        <v>17</v>
      </c>
      <c r="G909" t="s">
        <v>153</v>
      </c>
      <c r="H909" t="s">
        <v>232</v>
      </c>
      <c r="I909" t="s">
        <v>84</v>
      </c>
      <c r="J909" t="s">
        <v>85</v>
      </c>
      <c r="K909" t="s">
        <v>87</v>
      </c>
      <c r="L909" s="25">
        <v>44030</v>
      </c>
      <c r="M909">
        <v>7</v>
      </c>
      <c r="N909">
        <v>2020</v>
      </c>
      <c r="O909" t="s">
        <v>110</v>
      </c>
      <c r="P909">
        <v>170</v>
      </c>
      <c r="Q909" s="17">
        <v>44030.439423611111</v>
      </c>
      <c r="R909" t="s">
        <v>126</v>
      </c>
    </row>
    <row r="910" spans="1:18" x14ac:dyDescent="0.3">
      <c r="A910">
        <v>9676005</v>
      </c>
      <c r="B910" t="s">
        <v>72</v>
      </c>
      <c r="C910">
        <v>1331502</v>
      </c>
      <c r="D910" t="s">
        <v>108</v>
      </c>
      <c r="E910" t="s">
        <v>12</v>
      </c>
      <c r="F910" t="s">
        <v>12</v>
      </c>
      <c r="G910" t="s">
        <v>135</v>
      </c>
      <c r="H910" t="s">
        <v>229</v>
      </c>
      <c r="I910" t="s">
        <v>84</v>
      </c>
      <c r="J910" t="s">
        <v>85</v>
      </c>
      <c r="K910" t="s">
        <v>83</v>
      </c>
      <c r="L910" s="25">
        <v>44030</v>
      </c>
      <c r="M910">
        <v>7</v>
      </c>
      <c r="N910">
        <v>2020</v>
      </c>
      <c r="O910" t="s">
        <v>110</v>
      </c>
      <c r="P910">
        <v>170</v>
      </c>
      <c r="Q910" s="17">
        <v>44030.433271759262</v>
      </c>
      <c r="R910" t="s">
        <v>126</v>
      </c>
    </row>
    <row r="911" spans="1:18" x14ac:dyDescent="0.3">
      <c r="A911">
        <v>9665553</v>
      </c>
      <c r="B911" t="s">
        <v>72</v>
      </c>
      <c r="C911">
        <v>1327658</v>
      </c>
      <c r="D911" t="s">
        <v>108</v>
      </c>
      <c r="E911" t="s">
        <v>12</v>
      </c>
      <c r="F911" t="s">
        <v>12</v>
      </c>
      <c r="G911" t="s">
        <v>135</v>
      </c>
      <c r="H911" t="s">
        <v>229</v>
      </c>
      <c r="I911" t="s">
        <v>84</v>
      </c>
      <c r="J911" t="s">
        <v>85</v>
      </c>
      <c r="K911" t="s">
        <v>83</v>
      </c>
      <c r="L911" s="25">
        <v>44030</v>
      </c>
      <c r="M911">
        <v>7</v>
      </c>
      <c r="N911">
        <v>2020</v>
      </c>
      <c r="O911" t="s">
        <v>110</v>
      </c>
      <c r="P911">
        <v>170</v>
      </c>
      <c r="Q911" s="17">
        <v>44030.293747569442</v>
      </c>
      <c r="R911" t="s">
        <v>126</v>
      </c>
    </row>
    <row r="912" spans="1:18" x14ac:dyDescent="0.3">
      <c r="A912">
        <v>9686262</v>
      </c>
      <c r="B912" t="s">
        <v>80</v>
      </c>
      <c r="C912">
        <v>1329673</v>
      </c>
      <c r="D912" t="s">
        <v>113</v>
      </c>
      <c r="E912" t="s">
        <v>146</v>
      </c>
      <c r="F912" t="s">
        <v>17</v>
      </c>
      <c r="G912" t="s">
        <v>153</v>
      </c>
      <c r="H912" t="s">
        <v>232</v>
      </c>
      <c r="I912" t="s">
        <v>84</v>
      </c>
      <c r="J912" t="s">
        <v>85</v>
      </c>
      <c r="K912" t="s">
        <v>87</v>
      </c>
      <c r="L912" s="25">
        <v>44030</v>
      </c>
      <c r="M912">
        <v>7</v>
      </c>
      <c r="N912">
        <v>2020</v>
      </c>
      <c r="O912" t="s">
        <v>110</v>
      </c>
      <c r="P912">
        <v>170</v>
      </c>
      <c r="Q912" s="17">
        <v>44030.45324328704</v>
      </c>
      <c r="R912" t="s">
        <v>126</v>
      </c>
    </row>
    <row r="913" spans="1:18" x14ac:dyDescent="0.3">
      <c r="A913">
        <v>9685767</v>
      </c>
      <c r="B913" t="s">
        <v>78</v>
      </c>
      <c r="C913">
        <v>1329530</v>
      </c>
      <c r="D913" t="s">
        <v>78</v>
      </c>
      <c r="E913">
        <v>820</v>
      </c>
      <c r="F913">
        <v>820</v>
      </c>
      <c r="G913" t="s">
        <v>136</v>
      </c>
      <c r="H913" t="s">
        <v>249</v>
      </c>
      <c r="I913" t="s">
        <v>78</v>
      </c>
      <c r="J913" t="s">
        <v>42</v>
      </c>
      <c r="K913" t="s">
        <v>83</v>
      </c>
      <c r="L913" s="25">
        <v>44030</v>
      </c>
      <c r="M913">
        <v>7</v>
      </c>
      <c r="N913">
        <v>2020</v>
      </c>
      <c r="O913" t="s">
        <v>110</v>
      </c>
      <c r="P913">
        <v>170</v>
      </c>
      <c r="Q913" s="17">
        <v>44030.476541782409</v>
      </c>
      <c r="R913" t="s">
        <v>126</v>
      </c>
    </row>
    <row r="914" spans="1:18" x14ac:dyDescent="0.3">
      <c r="A914">
        <v>9686880</v>
      </c>
      <c r="B914" t="s">
        <v>80</v>
      </c>
      <c r="C914">
        <v>1329773</v>
      </c>
      <c r="D914" t="s">
        <v>113</v>
      </c>
      <c r="E914" t="s">
        <v>146</v>
      </c>
      <c r="F914" t="s">
        <v>17</v>
      </c>
      <c r="G914" t="s">
        <v>153</v>
      </c>
      <c r="H914" t="s">
        <v>232</v>
      </c>
      <c r="I914" t="s">
        <v>84</v>
      </c>
      <c r="J914" t="s">
        <v>85</v>
      </c>
      <c r="K914" t="s">
        <v>87</v>
      </c>
      <c r="L914" s="25">
        <v>44030</v>
      </c>
      <c r="M914">
        <v>7</v>
      </c>
      <c r="N914">
        <v>2020</v>
      </c>
      <c r="O914" t="s">
        <v>110</v>
      </c>
      <c r="P914">
        <v>170</v>
      </c>
      <c r="Q914" s="17">
        <v>44030.472205092592</v>
      </c>
      <c r="R914" t="s">
        <v>126</v>
      </c>
    </row>
    <row r="915" spans="1:18" x14ac:dyDescent="0.3">
      <c r="A915">
        <v>241358</v>
      </c>
      <c r="B915" t="s">
        <v>72</v>
      </c>
      <c r="C915">
        <v>1322142</v>
      </c>
      <c r="D915" t="s">
        <v>108</v>
      </c>
      <c r="E915" t="s">
        <v>26</v>
      </c>
      <c r="F915" t="s">
        <v>26</v>
      </c>
      <c r="G915" t="s">
        <v>137</v>
      </c>
      <c r="H915" t="s">
        <v>276</v>
      </c>
      <c r="I915" t="s">
        <v>84</v>
      </c>
      <c r="J915" t="s">
        <v>85</v>
      </c>
      <c r="K915" t="s">
        <v>83</v>
      </c>
      <c r="L915" s="25">
        <v>44030</v>
      </c>
      <c r="M915">
        <v>7</v>
      </c>
      <c r="N915">
        <v>2020</v>
      </c>
      <c r="O915" t="s">
        <v>110</v>
      </c>
      <c r="P915">
        <v>170</v>
      </c>
      <c r="Q915" s="17">
        <v>44030.480256134259</v>
      </c>
      <c r="R915" t="s">
        <v>126</v>
      </c>
    </row>
    <row r="916" spans="1:18" x14ac:dyDescent="0.3">
      <c r="A916">
        <v>9685602</v>
      </c>
      <c r="B916" t="s">
        <v>80</v>
      </c>
      <c r="C916">
        <v>1329544</v>
      </c>
      <c r="D916" t="s">
        <v>113</v>
      </c>
      <c r="E916" t="s">
        <v>146</v>
      </c>
      <c r="F916" t="s">
        <v>17</v>
      </c>
      <c r="G916" t="s">
        <v>153</v>
      </c>
      <c r="H916" t="s">
        <v>232</v>
      </c>
      <c r="I916" t="s">
        <v>84</v>
      </c>
      <c r="J916" t="s">
        <v>85</v>
      </c>
      <c r="K916" t="s">
        <v>87</v>
      </c>
      <c r="L916" s="25">
        <v>44030</v>
      </c>
      <c r="M916">
        <v>7</v>
      </c>
      <c r="N916">
        <v>2020</v>
      </c>
      <c r="O916" t="s">
        <v>110</v>
      </c>
      <c r="P916">
        <v>170</v>
      </c>
      <c r="Q916" s="17">
        <v>44030.42843078704</v>
      </c>
      <c r="R916" t="s">
        <v>126</v>
      </c>
    </row>
    <row r="917" spans="1:18" x14ac:dyDescent="0.3">
      <c r="A917">
        <v>9685726</v>
      </c>
      <c r="B917" t="s">
        <v>72</v>
      </c>
      <c r="C917">
        <v>1328794</v>
      </c>
      <c r="D917" t="s">
        <v>108</v>
      </c>
      <c r="E917">
        <v>820</v>
      </c>
      <c r="F917">
        <v>820</v>
      </c>
      <c r="G917" t="s">
        <v>136</v>
      </c>
      <c r="H917" t="s">
        <v>270</v>
      </c>
      <c r="I917" t="s">
        <v>82</v>
      </c>
      <c r="J917" t="s">
        <v>42</v>
      </c>
      <c r="K917" t="s">
        <v>83</v>
      </c>
      <c r="L917" s="25">
        <v>44030</v>
      </c>
      <c r="M917">
        <v>7</v>
      </c>
      <c r="N917">
        <v>2020</v>
      </c>
      <c r="O917" t="s">
        <v>110</v>
      </c>
      <c r="P917">
        <v>170</v>
      </c>
      <c r="Q917" s="17">
        <v>44030.432557060187</v>
      </c>
      <c r="R917" t="s">
        <v>126</v>
      </c>
    </row>
    <row r="918" spans="1:18" x14ac:dyDescent="0.3">
      <c r="A918">
        <v>241445</v>
      </c>
      <c r="B918" t="s">
        <v>78</v>
      </c>
      <c r="C918">
        <v>1321349</v>
      </c>
      <c r="D918" t="s">
        <v>78</v>
      </c>
      <c r="E918" t="s">
        <v>26</v>
      </c>
      <c r="F918" t="s">
        <v>26</v>
      </c>
      <c r="G918" t="s">
        <v>137</v>
      </c>
      <c r="H918" t="s">
        <v>245</v>
      </c>
      <c r="I918" t="s">
        <v>78</v>
      </c>
      <c r="J918" t="s">
        <v>42</v>
      </c>
      <c r="K918" t="s">
        <v>83</v>
      </c>
      <c r="L918" s="25">
        <v>44030</v>
      </c>
      <c r="M918">
        <v>7</v>
      </c>
      <c r="N918">
        <v>2020</v>
      </c>
      <c r="O918" t="s">
        <v>110</v>
      </c>
      <c r="P918">
        <v>170</v>
      </c>
      <c r="Q918" s="17">
        <v>44030.454702662035</v>
      </c>
      <c r="R918" t="s">
        <v>126</v>
      </c>
    </row>
    <row r="919" spans="1:18" x14ac:dyDescent="0.3">
      <c r="A919">
        <v>9687665</v>
      </c>
      <c r="B919" t="s">
        <v>72</v>
      </c>
      <c r="C919">
        <v>1330566</v>
      </c>
      <c r="D919" t="s">
        <v>108</v>
      </c>
      <c r="E919">
        <v>820</v>
      </c>
      <c r="F919">
        <v>820</v>
      </c>
      <c r="G919" t="s">
        <v>136</v>
      </c>
      <c r="H919" t="s">
        <v>270</v>
      </c>
      <c r="I919" t="s">
        <v>82</v>
      </c>
      <c r="J919" t="s">
        <v>42</v>
      </c>
      <c r="K919" t="s">
        <v>83</v>
      </c>
      <c r="L919" s="25">
        <v>44030</v>
      </c>
      <c r="M919">
        <v>7</v>
      </c>
      <c r="N919">
        <v>2020</v>
      </c>
      <c r="O919" t="s">
        <v>110</v>
      </c>
      <c r="P919">
        <v>170</v>
      </c>
      <c r="Q919" s="17">
        <v>44030.488703935189</v>
      </c>
      <c r="R919" t="s">
        <v>126</v>
      </c>
    </row>
    <row r="920" spans="1:18" x14ac:dyDescent="0.3">
      <c r="A920">
        <v>21530999</v>
      </c>
      <c r="B920" t="s">
        <v>72</v>
      </c>
      <c r="C920">
        <v>1335975</v>
      </c>
      <c r="D920" t="s">
        <v>108</v>
      </c>
      <c r="E920" t="s">
        <v>26</v>
      </c>
      <c r="F920" t="s">
        <v>26</v>
      </c>
      <c r="G920" t="s">
        <v>137</v>
      </c>
      <c r="H920" t="s">
        <v>229</v>
      </c>
      <c r="I920" t="s">
        <v>84</v>
      </c>
      <c r="J920" t="s">
        <v>85</v>
      </c>
      <c r="K920" t="s">
        <v>83</v>
      </c>
      <c r="L920" s="25">
        <v>44030</v>
      </c>
      <c r="M920">
        <v>7</v>
      </c>
      <c r="N920">
        <v>2020</v>
      </c>
      <c r="O920" t="s">
        <v>110</v>
      </c>
      <c r="P920">
        <v>170</v>
      </c>
      <c r="Q920" s="17">
        <v>44031.134677199072</v>
      </c>
      <c r="R920" t="s">
        <v>126</v>
      </c>
    </row>
    <row r="921" spans="1:18" x14ac:dyDescent="0.3">
      <c r="A921">
        <v>9687173</v>
      </c>
      <c r="B921" t="s">
        <v>78</v>
      </c>
      <c r="C921">
        <v>1330210</v>
      </c>
      <c r="D921" t="s">
        <v>78</v>
      </c>
      <c r="E921">
        <v>4142</v>
      </c>
      <c r="F921" t="s">
        <v>17</v>
      </c>
      <c r="G921" t="s">
        <v>133</v>
      </c>
      <c r="H921" t="s">
        <v>134</v>
      </c>
      <c r="I921" t="s">
        <v>78</v>
      </c>
      <c r="J921" t="s">
        <v>42</v>
      </c>
      <c r="K921" t="s">
        <v>87</v>
      </c>
      <c r="L921" s="25">
        <v>44030</v>
      </c>
      <c r="M921">
        <v>7</v>
      </c>
      <c r="N921">
        <v>2020</v>
      </c>
      <c r="O921" t="s">
        <v>110</v>
      </c>
      <c r="P921">
        <v>170</v>
      </c>
      <c r="Q921" s="17">
        <v>44030.490956944443</v>
      </c>
      <c r="R921" t="s">
        <v>126</v>
      </c>
    </row>
    <row r="922" spans="1:18" x14ac:dyDescent="0.3">
      <c r="A922">
        <v>9685947</v>
      </c>
      <c r="B922" t="s">
        <v>78</v>
      </c>
      <c r="C922">
        <v>1329325</v>
      </c>
      <c r="D922" t="s">
        <v>78</v>
      </c>
      <c r="E922">
        <v>820</v>
      </c>
      <c r="F922">
        <v>820</v>
      </c>
      <c r="G922" t="s">
        <v>136</v>
      </c>
      <c r="H922" t="s">
        <v>249</v>
      </c>
      <c r="I922" t="s">
        <v>78</v>
      </c>
      <c r="J922" t="s">
        <v>42</v>
      </c>
      <c r="K922" t="s">
        <v>83</v>
      </c>
      <c r="L922" s="25">
        <v>44030</v>
      </c>
      <c r="M922">
        <v>7</v>
      </c>
      <c r="N922">
        <v>2020</v>
      </c>
      <c r="O922" t="s">
        <v>110</v>
      </c>
      <c r="P922">
        <v>170</v>
      </c>
      <c r="Q922" s="17">
        <v>44030.461975231483</v>
      </c>
      <c r="R922" t="s">
        <v>126</v>
      </c>
    </row>
    <row r="923" spans="1:18" x14ac:dyDescent="0.3">
      <c r="A923">
        <v>9686997</v>
      </c>
      <c r="B923" t="s">
        <v>80</v>
      </c>
      <c r="C923">
        <v>1330227</v>
      </c>
      <c r="D923" t="s">
        <v>113</v>
      </c>
      <c r="E923" t="s">
        <v>146</v>
      </c>
      <c r="F923" t="s">
        <v>17</v>
      </c>
      <c r="G923" t="s">
        <v>153</v>
      </c>
      <c r="H923" t="s">
        <v>232</v>
      </c>
      <c r="I923" t="s">
        <v>84</v>
      </c>
      <c r="J923" t="s">
        <v>85</v>
      </c>
      <c r="K923" t="s">
        <v>87</v>
      </c>
      <c r="L923" s="25">
        <v>44030</v>
      </c>
      <c r="M923">
        <v>7</v>
      </c>
      <c r="N923">
        <v>2020</v>
      </c>
      <c r="O923" t="s">
        <v>110</v>
      </c>
      <c r="P923">
        <v>170</v>
      </c>
      <c r="Q923" s="17">
        <v>44030.492805439811</v>
      </c>
      <c r="R923" t="s">
        <v>126</v>
      </c>
    </row>
    <row r="924" spans="1:18" x14ac:dyDescent="0.3">
      <c r="A924">
        <v>241086</v>
      </c>
      <c r="B924" t="s">
        <v>78</v>
      </c>
      <c r="C924">
        <v>1319029</v>
      </c>
      <c r="D924" t="s">
        <v>78</v>
      </c>
      <c r="E924">
        <v>966</v>
      </c>
      <c r="F924">
        <v>966</v>
      </c>
      <c r="G924" t="s">
        <v>139</v>
      </c>
      <c r="H924" t="s">
        <v>257</v>
      </c>
      <c r="I924" t="s">
        <v>78</v>
      </c>
      <c r="J924" t="s">
        <v>42</v>
      </c>
      <c r="K924" t="s">
        <v>87</v>
      </c>
      <c r="L924" s="25">
        <v>44030</v>
      </c>
      <c r="M924">
        <v>7</v>
      </c>
      <c r="N924">
        <v>2020</v>
      </c>
      <c r="O924" t="s">
        <v>110</v>
      </c>
      <c r="P924">
        <v>170</v>
      </c>
      <c r="Q924" s="17">
        <v>44030.44133425926</v>
      </c>
      <c r="R924" t="s">
        <v>126</v>
      </c>
    </row>
    <row r="925" spans="1:18" x14ac:dyDescent="0.3">
      <c r="A925">
        <v>9679497</v>
      </c>
      <c r="B925" t="s">
        <v>78</v>
      </c>
      <c r="C925">
        <v>1326500</v>
      </c>
      <c r="D925" t="s">
        <v>78</v>
      </c>
      <c r="E925">
        <v>966</v>
      </c>
      <c r="F925">
        <v>966</v>
      </c>
      <c r="G925" t="s">
        <v>139</v>
      </c>
      <c r="H925" t="s">
        <v>105</v>
      </c>
      <c r="I925" t="s">
        <v>78</v>
      </c>
      <c r="J925" t="s">
        <v>42</v>
      </c>
      <c r="K925" t="s">
        <v>87</v>
      </c>
      <c r="L925" s="25">
        <v>44030</v>
      </c>
      <c r="M925">
        <v>7</v>
      </c>
      <c r="N925">
        <v>2020</v>
      </c>
      <c r="O925" t="s">
        <v>110</v>
      </c>
      <c r="P925">
        <v>170</v>
      </c>
      <c r="Q925" s="17">
        <v>44030.496284143519</v>
      </c>
      <c r="R925" t="s">
        <v>126</v>
      </c>
    </row>
    <row r="926" spans="1:18" x14ac:dyDescent="0.3">
      <c r="A926">
        <v>9678129</v>
      </c>
      <c r="B926" t="s">
        <v>72</v>
      </c>
      <c r="C926">
        <v>1320114</v>
      </c>
      <c r="D926" t="s">
        <v>108</v>
      </c>
      <c r="E926" t="s">
        <v>26</v>
      </c>
      <c r="F926" t="s">
        <v>26</v>
      </c>
      <c r="G926" t="s">
        <v>137</v>
      </c>
      <c r="H926" t="s">
        <v>276</v>
      </c>
      <c r="I926" t="s">
        <v>84</v>
      </c>
      <c r="J926" t="s">
        <v>85</v>
      </c>
      <c r="K926" t="s">
        <v>83</v>
      </c>
      <c r="L926" s="25">
        <v>44030</v>
      </c>
      <c r="M926">
        <v>7</v>
      </c>
      <c r="N926">
        <v>2020</v>
      </c>
      <c r="O926" t="s">
        <v>110</v>
      </c>
      <c r="P926">
        <v>170</v>
      </c>
      <c r="Q926" s="17">
        <v>44030.423622453702</v>
      </c>
      <c r="R926" t="s">
        <v>126</v>
      </c>
    </row>
    <row r="927" spans="1:18" x14ac:dyDescent="0.3">
      <c r="A927">
        <v>9686477</v>
      </c>
      <c r="B927" t="s">
        <v>78</v>
      </c>
      <c r="C927">
        <v>1330027</v>
      </c>
      <c r="D927" t="s">
        <v>78</v>
      </c>
      <c r="E927">
        <v>4142</v>
      </c>
      <c r="F927" t="s">
        <v>17</v>
      </c>
      <c r="G927" t="s">
        <v>133</v>
      </c>
      <c r="H927" t="s">
        <v>134</v>
      </c>
      <c r="I927" t="s">
        <v>78</v>
      </c>
      <c r="J927" t="s">
        <v>42</v>
      </c>
      <c r="K927" t="s">
        <v>87</v>
      </c>
      <c r="L927" s="25">
        <v>44030</v>
      </c>
      <c r="M927">
        <v>7</v>
      </c>
      <c r="N927">
        <v>2020</v>
      </c>
      <c r="O927" t="s">
        <v>110</v>
      </c>
      <c r="P927">
        <v>170</v>
      </c>
      <c r="Q927" s="17">
        <v>44030.487686342596</v>
      </c>
      <c r="R927" t="s">
        <v>126</v>
      </c>
    </row>
    <row r="928" spans="1:18" x14ac:dyDescent="0.3">
      <c r="A928">
        <v>9687436</v>
      </c>
      <c r="B928" t="s">
        <v>78</v>
      </c>
      <c r="C928">
        <v>1330193</v>
      </c>
      <c r="D928" t="s">
        <v>78</v>
      </c>
      <c r="E928" t="s">
        <v>161</v>
      </c>
      <c r="F928" t="s">
        <v>17</v>
      </c>
      <c r="G928" t="s">
        <v>162</v>
      </c>
      <c r="H928" t="s">
        <v>228</v>
      </c>
      <c r="I928" t="s">
        <v>78</v>
      </c>
      <c r="J928" t="s">
        <v>42</v>
      </c>
      <c r="K928" t="s">
        <v>87</v>
      </c>
      <c r="L928" s="25">
        <v>44030</v>
      </c>
      <c r="M928">
        <v>7</v>
      </c>
      <c r="N928">
        <v>2020</v>
      </c>
      <c r="O928" t="s">
        <v>110</v>
      </c>
      <c r="P928">
        <v>170</v>
      </c>
      <c r="Q928" s="17">
        <v>44030.491089351854</v>
      </c>
      <c r="R928" t="s">
        <v>126</v>
      </c>
    </row>
    <row r="929" spans="1:18" x14ac:dyDescent="0.3">
      <c r="A929">
        <v>9686037</v>
      </c>
      <c r="B929" t="s">
        <v>80</v>
      </c>
      <c r="C929">
        <v>1329623</v>
      </c>
      <c r="D929" t="s">
        <v>113</v>
      </c>
      <c r="E929" t="s">
        <v>146</v>
      </c>
      <c r="F929" t="s">
        <v>17</v>
      </c>
      <c r="G929" t="s">
        <v>153</v>
      </c>
      <c r="H929" t="s">
        <v>232</v>
      </c>
      <c r="I929" t="s">
        <v>84</v>
      </c>
      <c r="J929" t="s">
        <v>85</v>
      </c>
      <c r="K929" t="s">
        <v>87</v>
      </c>
      <c r="L929" s="25">
        <v>44030</v>
      </c>
      <c r="M929">
        <v>7</v>
      </c>
      <c r="N929">
        <v>2020</v>
      </c>
      <c r="O929" t="s">
        <v>110</v>
      </c>
      <c r="P929">
        <v>170</v>
      </c>
      <c r="Q929" s="17">
        <v>44030.439478935186</v>
      </c>
      <c r="R929" t="s">
        <v>126</v>
      </c>
    </row>
    <row r="930" spans="1:18" x14ac:dyDescent="0.3">
      <c r="A930">
        <v>21526438</v>
      </c>
      <c r="B930" t="s">
        <v>78</v>
      </c>
      <c r="C930">
        <v>1324760</v>
      </c>
      <c r="D930" t="s">
        <v>78</v>
      </c>
      <c r="E930" t="s">
        <v>124</v>
      </c>
      <c r="F930" t="s">
        <v>17</v>
      </c>
      <c r="G930" t="s">
        <v>144</v>
      </c>
      <c r="H930" t="s">
        <v>134</v>
      </c>
      <c r="I930" t="s">
        <v>78</v>
      </c>
      <c r="J930" t="s">
        <v>42</v>
      </c>
      <c r="K930" t="s">
        <v>87</v>
      </c>
      <c r="L930" s="25">
        <v>44030</v>
      </c>
      <c r="M930">
        <v>7</v>
      </c>
      <c r="N930">
        <v>2020</v>
      </c>
      <c r="O930" t="s">
        <v>110</v>
      </c>
      <c r="P930">
        <v>170</v>
      </c>
      <c r="Q930" s="17">
        <v>44030.489107986112</v>
      </c>
      <c r="R930" t="s">
        <v>126</v>
      </c>
    </row>
    <row r="931" spans="1:18" x14ac:dyDescent="0.3">
      <c r="A931">
        <v>9679419</v>
      </c>
      <c r="B931" t="s">
        <v>72</v>
      </c>
      <c r="C931">
        <v>1321141</v>
      </c>
      <c r="D931" t="s">
        <v>108</v>
      </c>
      <c r="E931" t="s">
        <v>26</v>
      </c>
      <c r="F931" t="s">
        <v>26</v>
      </c>
      <c r="G931" t="s">
        <v>137</v>
      </c>
      <c r="H931" t="s">
        <v>276</v>
      </c>
      <c r="I931" t="s">
        <v>84</v>
      </c>
      <c r="J931" t="s">
        <v>85</v>
      </c>
      <c r="K931" t="s">
        <v>83</v>
      </c>
      <c r="L931" s="25">
        <v>44030</v>
      </c>
      <c r="M931">
        <v>7</v>
      </c>
      <c r="N931">
        <v>2020</v>
      </c>
      <c r="O931" t="s">
        <v>110</v>
      </c>
      <c r="P931">
        <v>170</v>
      </c>
      <c r="Q931" s="17">
        <v>44030.448561805555</v>
      </c>
      <c r="R931" t="s">
        <v>126</v>
      </c>
    </row>
    <row r="932" spans="1:18" x14ac:dyDescent="0.3">
      <c r="A932">
        <v>9685916</v>
      </c>
      <c r="B932" t="s">
        <v>72</v>
      </c>
      <c r="C932">
        <v>1328961</v>
      </c>
      <c r="D932" t="s">
        <v>108</v>
      </c>
      <c r="E932">
        <v>820</v>
      </c>
      <c r="F932">
        <v>820</v>
      </c>
      <c r="G932" t="s">
        <v>136</v>
      </c>
      <c r="H932" t="s">
        <v>270</v>
      </c>
      <c r="I932" t="s">
        <v>82</v>
      </c>
      <c r="J932" t="s">
        <v>42</v>
      </c>
      <c r="K932" t="s">
        <v>83</v>
      </c>
      <c r="L932" s="25">
        <v>44030</v>
      </c>
      <c r="M932">
        <v>7</v>
      </c>
      <c r="N932">
        <v>2020</v>
      </c>
      <c r="O932" t="s">
        <v>110</v>
      </c>
      <c r="P932">
        <v>170</v>
      </c>
      <c r="Q932" s="17">
        <v>44030.443581828702</v>
      </c>
      <c r="R932" t="s">
        <v>126</v>
      </c>
    </row>
    <row r="933" spans="1:18" x14ac:dyDescent="0.3">
      <c r="A933">
        <v>9687696</v>
      </c>
      <c r="B933" t="s">
        <v>79</v>
      </c>
      <c r="C933">
        <v>1330667</v>
      </c>
      <c r="D933" t="s">
        <v>78</v>
      </c>
      <c r="E933">
        <v>820</v>
      </c>
      <c r="F933">
        <v>820</v>
      </c>
      <c r="G933" t="s">
        <v>136</v>
      </c>
      <c r="H933" t="s">
        <v>250</v>
      </c>
      <c r="I933" t="s">
        <v>78</v>
      </c>
      <c r="J933" t="s">
        <v>42</v>
      </c>
      <c r="K933" t="s">
        <v>83</v>
      </c>
      <c r="L933" s="25">
        <v>44030</v>
      </c>
      <c r="M933">
        <v>7</v>
      </c>
      <c r="N933">
        <v>2020</v>
      </c>
      <c r="O933" t="s">
        <v>110</v>
      </c>
      <c r="P933">
        <v>170</v>
      </c>
      <c r="Q933" s="17">
        <v>44031.117746643518</v>
      </c>
      <c r="R933" t="s">
        <v>126</v>
      </c>
    </row>
    <row r="934" spans="1:18" x14ac:dyDescent="0.3">
      <c r="A934">
        <v>9685790</v>
      </c>
      <c r="B934" t="s">
        <v>78</v>
      </c>
      <c r="C934">
        <v>1328795</v>
      </c>
      <c r="D934" t="s">
        <v>78</v>
      </c>
      <c r="E934">
        <v>820</v>
      </c>
      <c r="F934">
        <v>820</v>
      </c>
      <c r="G934" t="s">
        <v>136</v>
      </c>
      <c r="H934" t="s">
        <v>250</v>
      </c>
      <c r="I934" t="s">
        <v>78</v>
      </c>
      <c r="J934" t="s">
        <v>42</v>
      </c>
      <c r="K934" t="s">
        <v>83</v>
      </c>
      <c r="L934" s="25">
        <v>44030</v>
      </c>
      <c r="M934">
        <v>7</v>
      </c>
      <c r="N934">
        <v>2020</v>
      </c>
      <c r="O934" t="s">
        <v>110</v>
      </c>
      <c r="P934">
        <v>170</v>
      </c>
      <c r="Q934" s="17">
        <v>44030.435924768521</v>
      </c>
      <c r="R934" t="s">
        <v>126</v>
      </c>
    </row>
    <row r="935" spans="1:18" x14ac:dyDescent="0.3">
      <c r="A935">
        <v>244455</v>
      </c>
      <c r="B935" t="s">
        <v>72</v>
      </c>
      <c r="C935">
        <v>1329906</v>
      </c>
      <c r="D935" t="s">
        <v>108</v>
      </c>
      <c r="E935" t="s">
        <v>182</v>
      </c>
      <c r="F935" t="s">
        <v>17</v>
      </c>
      <c r="G935" t="s">
        <v>183</v>
      </c>
      <c r="H935" t="s">
        <v>263</v>
      </c>
      <c r="I935" t="s">
        <v>82</v>
      </c>
      <c r="J935" t="s">
        <v>42</v>
      </c>
      <c r="K935" t="s">
        <v>87</v>
      </c>
      <c r="L935" s="25">
        <v>44030</v>
      </c>
      <c r="M935">
        <v>7</v>
      </c>
      <c r="N935">
        <v>2020</v>
      </c>
      <c r="O935" t="s">
        <v>110</v>
      </c>
      <c r="P935">
        <v>170</v>
      </c>
      <c r="Q935" s="17">
        <v>44030.48283090278</v>
      </c>
      <c r="R935" t="s">
        <v>126</v>
      </c>
    </row>
    <row r="936" spans="1:18" x14ac:dyDescent="0.3">
      <c r="A936">
        <v>9682172</v>
      </c>
      <c r="B936" t="s">
        <v>72</v>
      </c>
      <c r="C936">
        <v>1333080</v>
      </c>
      <c r="D936" t="s">
        <v>108</v>
      </c>
      <c r="E936" t="s">
        <v>26</v>
      </c>
      <c r="F936" t="s">
        <v>26</v>
      </c>
      <c r="G936" t="s">
        <v>137</v>
      </c>
      <c r="H936" t="s">
        <v>229</v>
      </c>
      <c r="I936" t="s">
        <v>84</v>
      </c>
      <c r="J936" t="s">
        <v>85</v>
      </c>
      <c r="K936" t="s">
        <v>83</v>
      </c>
      <c r="L936" s="25">
        <v>44030</v>
      </c>
      <c r="M936">
        <v>7</v>
      </c>
      <c r="N936">
        <v>2020</v>
      </c>
      <c r="O936" t="s">
        <v>110</v>
      </c>
      <c r="P936">
        <v>170</v>
      </c>
      <c r="Q936" s="17">
        <v>44031.077113541665</v>
      </c>
      <c r="R936" t="s">
        <v>126</v>
      </c>
    </row>
    <row r="937" spans="1:18" x14ac:dyDescent="0.3">
      <c r="A937">
        <v>9685675</v>
      </c>
      <c r="B937" t="s">
        <v>78</v>
      </c>
      <c r="C937">
        <v>1329336</v>
      </c>
      <c r="D937" t="s">
        <v>78</v>
      </c>
      <c r="E937">
        <v>820</v>
      </c>
      <c r="F937">
        <v>820</v>
      </c>
      <c r="G937" t="s">
        <v>136</v>
      </c>
      <c r="H937" t="s">
        <v>282</v>
      </c>
      <c r="I937" t="s">
        <v>78</v>
      </c>
      <c r="J937" t="s">
        <v>42</v>
      </c>
      <c r="K937" t="s">
        <v>83</v>
      </c>
      <c r="L937" s="25">
        <v>44030</v>
      </c>
      <c r="M937">
        <v>7</v>
      </c>
      <c r="N937">
        <v>2020</v>
      </c>
      <c r="O937" t="s">
        <v>110</v>
      </c>
      <c r="P937">
        <v>170</v>
      </c>
      <c r="Q937" s="17">
        <v>44030.46297291667</v>
      </c>
      <c r="R937" t="s">
        <v>126</v>
      </c>
    </row>
    <row r="938" spans="1:18" x14ac:dyDescent="0.3">
      <c r="A938">
        <v>9685962</v>
      </c>
      <c r="B938" t="s">
        <v>78</v>
      </c>
      <c r="C938">
        <v>1329302</v>
      </c>
      <c r="D938" t="s">
        <v>78</v>
      </c>
      <c r="E938">
        <v>820</v>
      </c>
      <c r="F938">
        <v>820</v>
      </c>
      <c r="G938" t="s">
        <v>136</v>
      </c>
      <c r="H938" t="s">
        <v>228</v>
      </c>
      <c r="I938" t="s">
        <v>78</v>
      </c>
      <c r="J938" t="s">
        <v>42</v>
      </c>
      <c r="K938" t="s">
        <v>83</v>
      </c>
      <c r="L938" s="25">
        <v>44030</v>
      </c>
      <c r="M938">
        <v>7</v>
      </c>
      <c r="N938">
        <v>2020</v>
      </c>
      <c r="O938" t="s">
        <v>110</v>
      </c>
      <c r="P938">
        <v>170</v>
      </c>
      <c r="Q938" s="17">
        <v>44030.462497222223</v>
      </c>
      <c r="R938" t="s">
        <v>126</v>
      </c>
    </row>
    <row r="939" spans="1:18" x14ac:dyDescent="0.3">
      <c r="A939">
        <v>9685099</v>
      </c>
      <c r="B939" t="s">
        <v>80</v>
      </c>
      <c r="C939">
        <v>1329093</v>
      </c>
      <c r="D939" t="s">
        <v>113</v>
      </c>
      <c r="E939" t="s">
        <v>12</v>
      </c>
      <c r="F939" t="s">
        <v>12</v>
      </c>
      <c r="G939" t="s">
        <v>135</v>
      </c>
      <c r="H939" t="s">
        <v>232</v>
      </c>
      <c r="I939" t="s">
        <v>84</v>
      </c>
      <c r="J939" t="s">
        <v>85</v>
      </c>
      <c r="K939" t="s">
        <v>83</v>
      </c>
      <c r="L939" s="25">
        <v>44030</v>
      </c>
      <c r="M939">
        <v>7</v>
      </c>
      <c r="N939">
        <v>2020</v>
      </c>
      <c r="O939" t="s">
        <v>110</v>
      </c>
      <c r="P939">
        <v>170</v>
      </c>
      <c r="Q939" s="17">
        <v>44030.435106597222</v>
      </c>
      <c r="R939" t="s">
        <v>126</v>
      </c>
    </row>
    <row r="940" spans="1:18" x14ac:dyDescent="0.3">
      <c r="A940">
        <v>9687000</v>
      </c>
      <c r="B940" t="s">
        <v>80</v>
      </c>
      <c r="C940">
        <v>1330229</v>
      </c>
      <c r="D940" t="s">
        <v>113</v>
      </c>
      <c r="E940" t="s">
        <v>146</v>
      </c>
      <c r="F940" t="s">
        <v>17</v>
      </c>
      <c r="G940" t="s">
        <v>153</v>
      </c>
      <c r="H940" t="s">
        <v>232</v>
      </c>
      <c r="I940" t="s">
        <v>84</v>
      </c>
      <c r="J940" t="s">
        <v>85</v>
      </c>
      <c r="K940" t="s">
        <v>87</v>
      </c>
      <c r="L940" s="25">
        <v>44030</v>
      </c>
      <c r="M940">
        <v>7</v>
      </c>
      <c r="N940">
        <v>2020</v>
      </c>
      <c r="O940" t="s">
        <v>110</v>
      </c>
      <c r="P940">
        <v>170</v>
      </c>
      <c r="Q940" s="17">
        <v>44030.493093171295</v>
      </c>
      <c r="R940" t="s">
        <v>126</v>
      </c>
    </row>
    <row r="941" spans="1:18" x14ac:dyDescent="0.3">
      <c r="A941">
        <v>9684517</v>
      </c>
      <c r="B941" t="s">
        <v>78</v>
      </c>
      <c r="C941">
        <v>1328761</v>
      </c>
      <c r="D941" t="s">
        <v>78</v>
      </c>
      <c r="E941">
        <v>820</v>
      </c>
      <c r="F941">
        <v>820</v>
      </c>
      <c r="G941" t="s">
        <v>136</v>
      </c>
      <c r="H941" t="s">
        <v>250</v>
      </c>
      <c r="I941" t="s">
        <v>78</v>
      </c>
      <c r="J941" t="s">
        <v>42</v>
      </c>
      <c r="K941" t="s">
        <v>83</v>
      </c>
      <c r="L941" s="25">
        <v>44030</v>
      </c>
      <c r="M941">
        <v>7</v>
      </c>
      <c r="N941">
        <v>2020</v>
      </c>
      <c r="O941" t="s">
        <v>110</v>
      </c>
      <c r="P941">
        <v>170</v>
      </c>
      <c r="Q941" s="17">
        <v>44030.432109027781</v>
      </c>
      <c r="R941" t="s">
        <v>126</v>
      </c>
    </row>
    <row r="942" spans="1:18" x14ac:dyDescent="0.3">
      <c r="A942">
        <v>9685960</v>
      </c>
      <c r="B942" t="s">
        <v>78</v>
      </c>
      <c r="C942">
        <v>1329897</v>
      </c>
      <c r="D942" t="s">
        <v>78</v>
      </c>
      <c r="E942">
        <v>820</v>
      </c>
      <c r="F942">
        <v>820</v>
      </c>
      <c r="G942" t="s">
        <v>136</v>
      </c>
      <c r="H942" t="s">
        <v>250</v>
      </c>
      <c r="I942" t="s">
        <v>78</v>
      </c>
      <c r="J942" t="s">
        <v>42</v>
      </c>
      <c r="K942" t="s">
        <v>83</v>
      </c>
      <c r="L942" s="25">
        <v>44030</v>
      </c>
      <c r="M942">
        <v>7</v>
      </c>
      <c r="N942">
        <v>2020</v>
      </c>
      <c r="O942" t="s">
        <v>110</v>
      </c>
      <c r="P942">
        <v>170</v>
      </c>
      <c r="Q942" s="17">
        <v>44030.486506597219</v>
      </c>
      <c r="R942" t="s">
        <v>126</v>
      </c>
    </row>
    <row r="943" spans="1:18" x14ac:dyDescent="0.3">
      <c r="A943">
        <v>9685791</v>
      </c>
      <c r="B943" t="s">
        <v>78</v>
      </c>
      <c r="C943">
        <v>1329531</v>
      </c>
      <c r="D943" t="s">
        <v>78</v>
      </c>
      <c r="E943">
        <v>820</v>
      </c>
      <c r="F943">
        <v>820</v>
      </c>
      <c r="G943" t="s">
        <v>136</v>
      </c>
      <c r="H943" t="s">
        <v>249</v>
      </c>
      <c r="I943" t="s">
        <v>78</v>
      </c>
      <c r="J943" t="s">
        <v>42</v>
      </c>
      <c r="K943" t="s">
        <v>83</v>
      </c>
      <c r="L943" s="25">
        <v>44030</v>
      </c>
      <c r="M943">
        <v>7</v>
      </c>
      <c r="N943">
        <v>2020</v>
      </c>
      <c r="O943" t="s">
        <v>110</v>
      </c>
      <c r="P943">
        <v>170</v>
      </c>
      <c r="Q943" s="17">
        <v>44030.478043750001</v>
      </c>
      <c r="R943" t="s">
        <v>126</v>
      </c>
    </row>
    <row r="944" spans="1:18" x14ac:dyDescent="0.3">
      <c r="A944">
        <v>9687664</v>
      </c>
      <c r="B944" t="s">
        <v>78</v>
      </c>
      <c r="C944">
        <v>1330608</v>
      </c>
      <c r="D944" t="s">
        <v>78</v>
      </c>
      <c r="E944">
        <v>820</v>
      </c>
      <c r="F944">
        <v>820</v>
      </c>
      <c r="G944" t="s">
        <v>136</v>
      </c>
      <c r="H944" t="s">
        <v>228</v>
      </c>
      <c r="I944" t="s">
        <v>78</v>
      </c>
      <c r="J944" t="s">
        <v>42</v>
      </c>
      <c r="K944" t="s">
        <v>83</v>
      </c>
      <c r="L944" s="25">
        <v>44030</v>
      </c>
      <c r="M944">
        <v>7</v>
      </c>
      <c r="N944">
        <v>2020</v>
      </c>
      <c r="O944" t="s">
        <v>110</v>
      </c>
      <c r="P944">
        <v>170</v>
      </c>
      <c r="Q944" s="17">
        <v>44030.494277546299</v>
      </c>
      <c r="R944" t="s">
        <v>126</v>
      </c>
    </row>
    <row r="945" spans="1:18" x14ac:dyDescent="0.3">
      <c r="A945">
        <v>9685469</v>
      </c>
      <c r="B945" t="s">
        <v>79</v>
      </c>
      <c r="C945">
        <v>1330038</v>
      </c>
      <c r="D945" t="s">
        <v>116</v>
      </c>
      <c r="E945" t="s">
        <v>12</v>
      </c>
      <c r="F945" t="s">
        <v>12</v>
      </c>
      <c r="G945" t="s">
        <v>135</v>
      </c>
      <c r="H945" t="s">
        <v>275</v>
      </c>
      <c r="I945" t="s">
        <v>82</v>
      </c>
      <c r="J945" t="s">
        <v>42</v>
      </c>
      <c r="K945" t="s">
        <v>83</v>
      </c>
      <c r="L945" s="25">
        <v>44030</v>
      </c>
      <c r="M945">
        <v>7</v>
      </c>
      <c r="N945">
        <v>2020</v>
      </c>
      <c r="O945" t="s">
        <v>110</v>
      </c>
      <c r="P945">
        <v>170</v>
      </c>
      <c r="Q945" s="17">
        <v>44030.445867939816</v>
      </c>
      <c r="R945" t="s">
        <v>126</v>
      </c>
    </row>
    <row r="946" spans="1:18" x14ac:dyDescent="0.3">
      <c r="A946">
        <v>241459</v>
      </c>
      <c r="B946" t="s">
        <v>78</v>
      </c>
      <c r="C946">
        <v>1321648</v>
      </c>
      <c r="D946" t="s">
        <v>78</v>
      </c>
      <c r="E946" t="s">
        <v>26</v>
      </c>
      <c r="F946" t="s">
        <v>26</v>
      </c>
      <c r="G946" t="s">
        <v>137</v>
      </c>
      <c r="H946" t="s">
        <v>245</v>
      </c>
      <c r="I946" t="s">
        <v>78</v>
      </c>
      <c r="J946" t="s">
        <v>42</v>
      </c>
      <c r="K946" t="s">
        <v>83</v>
      </c>
      <c r="L946" s="25">
        <v>44030</v>
      </c>
      <c r="M946">
        <v>7</v>
      </c>
      <c r="N946">
        <v>2020</v>
      </c>
      <c r="O946" t="s">
        <v>110</v>
      </c>
      <c r="P946">
        <v>170</v>
      </c>
      <c r="Q946" s="17">
        <v>44030.469320601849</v>
      </c>
      <c r="R946" t="s">
        <v>126</v>
      </c>
    </row>
    <row r="947" spans="1:18" x14ac:dyDescent="0.3">
      <c r="A947">
        <v>9685728</v>
      </c>
      <c r="B947" t="s">
        <v>78</v>
      </c>
      <c r="C947">
        <v>1328902</v>
      </c>
      <c r="D947" t="s">
        <v>78</v>
      </c>
      <c r="E947">
        <v>820</v>
      </c>
      <c r="F947">
        <v>820</v>
      </c>
      <c r="G947" t="s">
        <v>136</v>
      </c>
      <c r="H947" t="s">
        <v>228</v>
      </c>
      <c r="I947" t="s">
        <v>78</v>
      </c>
      <c r="J947" t="s">
        <v>42</v>
      </c>
      <c r="K947" t="s">
        <v>83</v>
      </c>
      <c r="L947" s="25">
        <v>44030</v>
      </c>
      <c r="M947">
        <v>7</v>
      </c>
      <c r="N947">
        <v>2020</v>
      </c>
      <c r="O947" t="s">
        <v>110</v>
      </c>
      <c r="P947">
        <v>170</v>
      </c>
      <c r="Q947" s="17">
        <v>44030.441284953704</v>
      </c>
      <c r="R947" t="s">
        <v>126</v>
      </c>
    </row>
    <row r="948" spans="1:18" x14ac:dyDescent="0.3">
      <c r="A948">
        <v>21524087</v>
      </c>
      <c r="B948" t="s">
        <v>78</v>
      </c>
      <c r="C948">
        <v>1320546</v>
      </c>
      <c r="D948" t="s">
        <v>78</v>
      </c>
      <c r="E948" t="s">
        <v>26</v>
      </c>
      <c r="F948" t="s">
        <v>26</v>
      </c>
      <c r="G948" t="s">
        <v>137</v>
      </c>
      <c r="H948" t="s">
        <v>260</v>
      </c>
      <c r="I948" t="s">
        <v>78</v>
      </c>
      <c r="J948" t="s">
        <v>42</v>
      </c>
      <c r="K948" t="s">
        <v>83</v>
      </c>
      <c r="L948" s="25">
        <v>44030</v>
      </c>
      <c r="M948">
        <v>7</v>
      </c>
      <c r="N948">
        <v>2020</v>
      </c>
      <c r="O948" t="s">
        <v>110</v>
      </c>
      <c r="P948">
        <v>170</v>
      </c>
      <c r="Q948" s="17">
        <v>44030.443600462961</v>
      </c>
      <c r="R948" t="s">
        <v>126</v>
      </c>
    </row>
    <row r="949" spans="1:18" x14ac:dyDescent="0.3">
      <c r="A949">
        <v>241509</v>
      </c>
      <c r="B949" t="s">
        <v>78</v>
      </c>
      <c r="C949">
        <v>1322218</v>
      </c>
      <c r="D949" t="s">
        <v>78</v>
      </c>
      <c r="E949">
        <v>966</v>
      </c>
      <c r="F949">
        <v>966</v>
      </c>
      <c r="G949" t="s">
        <v>139</v>
      </c>
      <c r="H949" t="s">
        <v>228</v>
      </c>
      <c r="I949" t="s">
        <v>78</v>
      </c>
      <c r="J949" t="s">
        <v>42</v>
      </c>
      <c r="K949" t="s">
        <v>87</v>
      </c>
      <c r="L949" s="25">
        <v>44030</v>
      </c>
      <c r="M949">
        <v>7</v>
      </c>
      <c r="N949">
        <v>2020</v>
      </c>
      <c r="O949" t="s">
        <v>110</v>
      </c>
      <c r="P949">
        <v>170</v>
      </c>
      <c r="Q949" s="17">
        <v>44030.451235995373</v>
      </c>
      <c r="R949" t="s">
        <v>126</v>
      </c>
    </row>
    <row r="950" spans="1:18" x14ac:dyDescent="0.3">
      <c r="A950">
        <v>244529</v>
      </c>
      <c r="B950" t="s">
        <v>72</v>
      </c>
      <c r="C950">
        <v>1329305</v>
      </c>
      <c r="D950" t="s">
        <v>108</v>
      </c>
      <c r="E950" t="s">
        <v>58</v>
      </c>
      <c r="F950" t="s">
        <v>58</v>
      </c>
      <c r="G950" t="s">
        <v>114</v>
      </c>
      <c r="H950" t="s">
        <v>229</v>
      </c>
      <c r="I950" t="s">
        <v>84</v>
      </c>
      <c r="J950" t="s">
        <v>85</v>
      </c>
      <c r="K950" t="s">
        <v>87</v>
      </c>
      <c r="L950" s="25">
        <v>44030</v>
      </c>
      <c r="M950">
        <v>7</v>
      </c>
      <c r="N950">
        <v>2020</v>
      </c>
      <c r="O950" t="s">
        <v>110</v>
      </c>
      <c r="P950">
        <v>170</v>
      </c>
      <c r="Q950" s="17">
        <v>44030.462635416668</v>
      </c>
      <c r="R950" t="s">
        <v>111</v>
      </c>
    </row>
    <row r="951" spans="1:18" x14ac:dyDescent="0.3">
      <c r="A951">
        <v>244370</v>
      </c>
      <c r="B951" t="s">
        <v>72</v>
      </c>
      <c r="C951">
        <v>1329355</v>
      </c>
      <c r="D951" t="s">
        <v>108</v>
      </c>
      <c r="E951" t="s">
        <v>58</v>
      </c>
      <c r="F951" t="s">
        <v>58</v>
      </c>
      <c r="G951" t="s">
        <v>114</v>
      </c>
      <c r="H951" t="s">
        <v>229</v>
      </c>
      <c r="I951" t="s">
        <v>84</v>
      </c>
      <c r="J951" t="s">
        <v>85</v>
      </c>
      <c r="K951" t="s">
        <v>87</v>
      </c>
      <c r="L951" s="25">
        <v>44030</v>
      </c>
      <c r="M951">
        <v>7</v>
      </c>
      <c r="N951">
        <v>2020</v>
      </c>
      <c r="O951" t="s">
        <v>110</v>
      </c>
      <c r="P951">
        <v>170</v>
      </c>
      <c r="Q951" s="17">
        <v>44030.461363425929</v>
      </c>
      <c r="R951" t="s">
        <v>111</v>
      </c>
    </row>
    <row r="952" spans="1:18" x14ac:dyDescent="0.3">
      <c r="A952">
        <v>244648</v>
      </c>
      <c r="B952" t="s">
        <v>80</v>
      </c>
      <c r="C952">
        <v>1329912</v>
      </c>
      <c r="D952" t="s">
        <v>113</v>
      </c>
      <c r="E952" t="s">
        <v>58</v>
      </c>
      <c r="F952" t="s">
        <v>58</v>
      </c>
      <c r="G952" t="s">
        <v>114</v>
      </c>
      <c r="H952" t="s">
        <v>257</v>
      </c>
      <c r="I952" t="s">
        <v>82</v>
      </c>
      <c r="J952" t="s">
        <v>42</v>
      </c>
      <c r="K952" t="s">
        <v>87</v>
      </c>
      <c r="L952" s="25">
        <v>44030</v>
      </c>
      <c r="M952">
        <v>7</v>
      </c>
      <c r="N952">
        <v>2020</v>
      </c>
      <c r="O952" t="s">
        <v>110</v>
      </c>
      <c r="P952">
        <v>170</v>
      </c>
      <c r="Q952" s="17">
        <v>44030.466772453707</v>
      </c>
      <c r="R952" t="s">
        <v>111</v>
      </c>
    </row>
    <row r="953" spans="1:18" x14ac:dyDescent="0.3">
      <c r="A953">
        <v>9686344</v>
      </c>
      <c r="B953" t="s">
        <v>72</v>
      </c>
      <c r="C953">
        <v>1329948</v>
      </c>
      <c r="D953" t="s">
        <v>108</v>
      </c>
      <c r="E953" t="s">
        <v>57</v>
      </c>
      <c r="F953" t="s">
        <v>57</v>
      </c>
      <c r="G953" t="s">
        <v>109</v>
      </c>
      <c r="H953" t="s">
        <v>229</v>
      </c>
      <c r="I953" t="s">
        <v>84</v>
      </c>
      <c r="J953" t="s">
        <v>85</v>
      </c>
      <c r="K953" t="s">
        <v>87</v>
      </c>
      <c r="L953" s="25">
        <v>44030</v>
      </c>
      <c r="M953">
        <v>7</v>
      </c>
      <c r="N953">
        <v>2020</v>
      </c>
      <c r="O953" t="s">
        <v>110</v>
      </c>
      <c r="P953">
        <v>170</v>
      </c>
      <c r="Q953" s="17">
        <v>44030.468108912035</v>
      </c>
      <c r="R953" t="s">
        <v>112</v>
      </c>
    </row>
    <row r="954" spans="1:18" x14ac:dyDescent="0.3">
      <c r="A954">
        <v>9686410</v>
      </c>
      <c r="B954" t="s">
        <v>79</v>
      </c>
      <c r="C954">
        <v>1330012</v>
      </c>
      <c r="D954" t="s">
        <v>116</v>
      </c>
      <c r="E954" t="s">
        <v>58</v>
      </c>
      <c r="F954" t="s">
        <v>58</v>
      </c>
      <c r="G954" t="s">
        <v>114</v>
      </c>
      <c r="H954" t="s">
        <v>233</v>
      </c>
      <c r="I954" t="s">
        <v>82</v>
      </c>
      <c r="J954" t="s">
        <v>42</v>
      </c>
      <c r="K954" t="s">
        <v>87</v>
      </c>
      <c r="L954" s="25">
        <v>44030</v>
      </c>
      <c r="M954">
        <v>7</v>
      </c>
      <c r="N954">
        <v>2020</v>
      </c>
      <c r="O954" t="s">
        <v>110</v>
      </c>
      <c r="P954">
        <v>170</v>
      </c>
      <c r="Q954" s="17">
        <v>44030.474214699076</v>
      </c>
      <c r="R954" t="s">
        <v>111</v>
      </c>
    </row>
    <row r="955" spans="1:18" x14ac:dyDescent="0.3">
      <c r="A955">
        <v>9686463</v>
      </c>
      <c r="B955" t="s">
        <v>78</v>
      </c>
      <c r="C955">
        <v>1330048</v>
      </c>
      <c r="D955" t="s">
        <v>78</v>
      </c>
      <c r="E955" t="s">
        <v>58</v>
      </c>
      <c r="F955" t="s">
        <v>58</v>
      </c>
      <c r="G955" t="s">
        <v>114</v>
      </c>
      <c r="H955" t="s">
        <v>105</v>
      </c>
      <c r="I955" t="s">
        <v>78</v>
      </c>
      <c r="J955" t="s">
        <v>42</v>
      </c>
      <c r="K955" t="s">
        <v>87</v>
      </c>
      <c r="L955" s="25">
        <v>44030</v>
      </c>
      <c r="M955">
        <v>7</v>
      </c>
      <c r="N955">
        <v>2020</v>
      </c>
      <c r="O955" t="s">
        <v>110</v>
      </c>
      <c r="P955">
        <v>170</v>
      </c>
      <c r="Q955" s="17">
        <v>44030.475741087961</v>
      </c>
      <c r="R955" t="s">
        <v>111</v>
      </c>
    </row>
    <row r="956" spans="1:18" x14ac:dyDescent="0.3">
      <c r="A956">
        <v>245036</v>
      </c>
      <c r="B956" t="s">
        <v>72</v>
      </c>
      <c r="C956">
        <v>1330105</v>
      </c>
      <c r="D956" t="s">
        <v>108</v>
      </c>
      <c r="E956" t="s">
        <v>58</v>
      </c>
      <c r="F956" t="s">
        <v>58</v>
      </c>
      <c r="G956" t="s">
        <v>114</v>
      </c>
      <c r="H956" t="s">
        <v>229</v>
      </c>
      <c r="I956" t="s">
        <v>84</v>
      </c>
      <c r="J956" t="s">
        <v>85</v>
      </c>
      <c r="K956" t="s">
        <v>87</v>
      </c>
      <c r="L956" s="25">
        <v>44030</v>
      </c>
      <c r="M956">
        <v>7</v>
      </c>
      <c r="N956">
        <v>2020</v>
      </c>
      <c r="O956" t="s">
        <v>110</v>
      </c>
      <c r="P956">
        <v>170</v>
      </c>
      <c r="Q956" s="17">
        <v>44030.476827199076</v>
      </c>
      <c r="R956" t="s">
        <v>111</v>
      </c>
    </row>
    <row r="957" spans="1:18" x14ac:dyDescent="0.3">
      <c r="A957">
        <v>244675</v>
      </c>
      <c r="B957" t="s">
        <v>72</v>
      </c>
      <c r="C957">
        <v>1330112</v>
      </c>
      <c r="D957" t="s">
        <v>108</v>
      </c>
      <c r="E957" t="s">
        <v>58</v>
      </c>
      <c r="F957" t="s">
        <v>58</v>
      </c>
      <c r="G957" t="s">
        <v>114</v>
      </c>
      <c r="H957" t="s">
        <v>229</v>
      </c>
      <c r="I957" t="s">
        <v>84</v>
      </c>
      <c r="J957" t="s">
        <v>85</v>
      </c>
      <c r="K957" t="s">
        <v>87</v>
      </c>
      <c r="L957" s="25">
        <v>44030</v>
      </c>
      <c r="M957">
        <v>7</v>
      </c>
      <c r="N957">
        <v>2020</v>
      </c>
      <c r="O957" t="s">
        <v>110</v>
      </c>
      <c r="P957">
        <v>170</v>
      </c>
      <c r="Q957" s="17">
        <v>44030.483642824074</v>
      </c>
      <c r="R957" t="s">
        <v>121</v>
      </c>
    </row>
    <row r="958" spans="1:18" x14ac:dyDescent="0.3">
      <c r="A958">
        <v>9686811</v>
      </c>
      <c r="B958" t="s">
        <v>79</v>
      </c>
      <c r="C958">
        <v>1330198</v>
      </c>
      <c r="D958" t="s">
        <v>116</v>
      </c>
      <c r="E958" t="s">
        <v>58</v>
      </c>
      <c r="F958" t="s">
        <v>58</v>
      </c>
      <c r="G958" t="s">
        <v>114</v>
      </c>
      <c r="H958" t="s">
        <v>233</v>
      </c>
      <c r="I958" t="s">
        <v>82</v>
      </c>
      <c r="J958" t="s">
        <v>42</v>
      </c>
      <c r="K958" t="s">
        <v>87</v>
      </c>
      <c r="L958" s="25">
        <v>44030</v>
      </c>
      <c r="M958">
        <v>7</v>
      </c>
      <c r="N958">
        <v>2020</v>
      </c>
      <c r="O958" t="s">
        <v>110</v>
      </c>
      <c r="P958">
        <v>170</v>
      </c>
      <c r="Q958" s="17">
        <v>44030.480900578703</v>
      </c>
      <c r="R958" t="s">
        <v>111</v>
      </c>
    </row>
    <row r="959" spans="1:18" x14ac:dyDescent="0.3">
      <c r="A959">
        <v>21524595</v>
      </c>
      <c r="B959" t="s">
        <v>79</v>
      </c>
      <c r="C959">
        <v>1330655</v>
      </c>
      <c r="D959" t="s">
        <v>116</v>
      </c>
      <c r="E959" t="s">
        <v>58</v>
      </c>
      <c r="F959" t="s">
        <v>58</v>
      </c>
      <c r="G959" t="s">
        <v>114</v>
      </c>
      <c r="H959" t="s">
        <v>233</v>
      </c>
      <c r="I959" t="s">
        <v>82</v>
      </c>
      <c r="J959" t="s">
        <v>42</v>
      </c>
      <c r="K959" t="s">
        <v>87</v>
      </c>
      <c r="L959" s="25">
        <v>44030</v>
      </c>
      <c r="M959">
        <v>7</v>
      </c>
      <c r="N959">
        <v>2020</v>
      </c>
      <c r="O959" t="s">
        <v>110</v>
      </c>
      <c r="P959">
        <v>170</v>
      </c>
      <c r="Q959" s="17">
        <v>44030.488230671297</v>
      </c>
      <c r="R959" t="s">
        <v>111</v>
      </c>
    </row>
    <row r="960" spans="1:18" x14ac:dyDescent="0.3">
      <c r="A960">
        <v>9687770</v>
      </c>
      <c r="B960" t="s">
        <v>78</v>
      </c>
      <c r="C960">
        <v>1330684</v>
      </c>
      <c r="D960" t="s">
        <v>78</v>
      </c>
      <c r="E960" t="s">
        <v>58</v>
      </c>
      <c r="F960" t="s">
        <v>58</v>
      </c>
      <c r="G960" t="s">
        <v>114</v>
      </c>
      <c r="H960" t="s">
        <v>105</v>
      </c>
      <c r="I960" t="s">
        <v>78</v>
      </c>
      <c r="J960" t="s">
        <v>42</v>
      </c>
      <c r="K960" t="s">
        <v>87</v>
      </c>
      <c r="L960" s="25">
        <v>44030</v>
      </c>
      <c r="M960">
        <v>7</v>
      </c>
      <c r="N960">
        <v>2020</v>
      </c>
      <c r="O960" t="s">
        <v>110</v>
      </c>
      <c r="P960">
        <v>170</v>
      </c>
      <c r="Q960" s="17">
        <v>44030.488837152778</v>
      </c>
      <c r="R960" t="s">
        <v>111</v>
      </c>
    </row>
    <row r="961" spans="1:18" x14ac:dyDescent="0.3">
      <c r="A961">
        <v>9688671</v>
      </c>
      <c r="B961" t="s">
        <v>72</v>
      </c>
      <c r="C961">
        <v>1330734</v>
      </c>
      <c r="D961" t="s">
        <v>108</v>
      </c>
      <c r="E961" t="s">
        <v>57</v>
      </c>
      <c r="F961" t="s">
        <v>57</v>
      </c>
      <c r="G961" t="s">
        <v>109</v>
      </c>
      <c r="H961" t="s">
        <v>229</v>
      </c>
      <c r="I961" t="s">
        <v>84</v>
      </c>
      <c r="J961" t="s">
        <v>85</v>
      </c>
      <c r="K961" t="s">
        <v>87</v>
      </c>
      <c r="L961" s="25">
        <v>44030</v>
      </c>
      <c r="M961">
        <v>7</v>
      </c>
      <c r="N961">
        <v>2020</v>
      </c>
      <c r="O961" t="s">
        <v>110</v>
      </c>
      <c r="P961">
        <v>170</v>
      </c>
      <c r="Q961" s="17">
        <v>44030.491847685182</v>
      </c>
      <c r="R961" t="s">
        <v>115</v>
      </c>
    </row>
    <row r="962" spans="1:18" x14ac:dyDescent="0.3">
      <c r="A962">
        <v>9689071</v>
      </c>
      <c r="B962" t="s">
        <v>80</v>
      </c>
      <c r="C962">
        <v>1330741</v>
      </c>
      <c r="D962" t="s">
        <v>113</v>
      </c>
      <c r="E962" t="s">
        <v>57</v>
      </c>
      <c r="F962" t="s">
        <v>57</v>
      </c>
      <c r="G962" t="s">
        <v>109</v>
      </c>
      <c r="H962" t="s">
        <v>257</v>
      </c>
      <c r="I962" t="s">
        <v>82</v>
      </c>
      <c r="J962" t="s">
        <v>42</v>
      </c>
      <c r="K962" t="s">
        <v>87</v>
      </c>
      <c r="L962" s="25">
        <v>44030</v>
      </c>
      <c r="M962">
        <v>7</v>
      </c>
      <c r="N962">
        <v>2020</v>
      </c>
      <c r="O962" t="s">
        <v>110</v>
      </c>
      <c r="P962">
        <v>170</v>
      </c>
      <c r="Q962" s="17">
        <v>44030.49012800926</v>
      </c>
      <c r="R962" t="s">
        <v>115</v>
      </c>
    </row>
    <row r="963" spans="1:18" x14ac:dyDescent="0.3">
      <c r="A963">
        <v>9688512</v>
      </c>
      <c r="B963" t="s">
        <v>78</v>
      </c>
      <c r="C963">
        <v>1330984</v>
      </c>
      <c r="D963" t="s">
        <v>78</v>
      </c>
      <c r="E963" t="s">
        <v>57</v>
      </c>
      <c r="F963" t="s">
        <v>57</v>
      </c>
      <c r="G963" t="s">
        <v>109</v>
      </c>
      <c r="H963" t="s">
        <v>105</v>
      </c>
      <c r="I963" t="s">
        <v>78</v>
      </c>
      <c r="J963" t="s">
        <v>42</v>
      </c>
      <c r="K963" t="s">
        <v>87</v>
      </c>
      <c r="L963" s="25">
        <v>44030</v>
      </c>
      <c r="M963">
        <v>7</v>
      </c>
      <c r="N963">
        <v>2020</v>
      </c>
      <c r="O963" t="s">
        <v>110</v>
      </c>
      <c r="P963">
        <v>170</v>
      </c>
      <c r="Q963" s="17">
        <v>44030.492978587965</v>
      </c>
      <c r="R963" t="s">
        <v>111</v>
      </c>
    </row>
    <row r="964" spans="1:18" x14ac:dyDescent="0.3">
      <c r="A964">
        <v>9675204</v>
      </c>
      <c r="B964" t="s">
        <v>78</v>
      </c>
      <c r="C964">
        <v>1317587</v>
      </c>
      <c r="D964" t="s">
        <v>78</v>
      </c>
      <c r="E964">
        <v>966</v>
      </c>
      <c r="F964">
        <v>966</v>
      </c>
      <c r="G964" t="s">
        <v>139</v>
      </c>
      <c r="H964" t="s">
        <v>105</v>
      </c>
      <c r="I964" t="s">
        <v>78</v>
      </c>
      <c r="J964" t="s">
        <v>42</v>
      </c>
      <c r="K964" t="s">
        <v>87</v>
      </c>
      <c r="L964" s="25">
        <v>44030</v>
      </c>
      <c r="M964">
        <v>7</v>
      </c>
      <c r="N964">
        <v>2020</v>
      </c>
      <c r="O964" t="s">
        <v>110</v>
      </c>
      <c r="P964">
        <v>170</v>
      </c>
      <c r="Q964" s="17">
        <v>44030.423346412033</v>
      </c>
      <c r="R964" t="s">
        <v>126</v>
      </c>
    </row>
    <row r="965" spans="1:18" x14ac:dyDescent="0.3">
      <c r="A965">
        <v>9685593</v>
      </c>
      <c r="B965" t="s">
        <v>80</v>
      </c>
      <c r="C965">
        <v>1329612</v>
      </c>
      <c r="D965" t="s">
        <v>113</v>
      </c>
      <c r="E965" t="s">
        <v>146</v>
      </c>
      <c r="F965" t="s">
        <v>17</v>
      </c>
      <c r="G965" t="s">
        <v>153</v>
      </c>
      <c r="H965" t="s">
        <v>232</v>
      </c>
      <c r="I965" t="s">
        <v>84</v>
      </c>
      <c r="J965" t="s">
        <v>85</v>
      </c>
      <c r="K965" t="s">
        <v>87</v>
      </c>
      <c r="L965" s="25">
        <v>44030</v>
      </c>
      <c r="M965">
        <v>7</v>
      </c>
      <c r="N965">
        <v>2020</v>
      </c>
      <c r="O965" t="s">
        <v>110</v>
      </c>
      <c r="P965">
        <v>170</v>
      </c>
      <c r="Q965" s="17">
        <v>44030.43231689815</v>
      </c>
      <c r="R965" t="s">
        <v>126</v>
      </c>
    </row>
    <row r="966" spans="1:18" x14ac:dyDescent="0.3">
      <c r="A966">
        <v>9685351</v>
      </c>
      <c r="B966" t="s">
        <v>78</v>
      </c>
      <c r="C966">
        <v>1328662</v>
      </c>
      <c r="D966" t="s">
        <v>78</v>
      </c>
      <c r="E966">
        <v>820</v>
      </c>
      <c r="F966">
        <v>820</v>
      </c>
      <c r="G966" t="s">
        <v>136</v>
      </c>
      <c r="H966" t="s">
        <v>250</v>
      </c>
      <c r="I966" t="s">
        <v>78</v>
      </c>
      <c r="J966" t="s">
        <v>42</v>
      </c>
      <c r="K966" t="s">
        <v>83</v>
      </c>
      <c r="L966" s="25">
        <v>44030</v>
      </c>
      <c r="M966">
        <v>7</v>
      </c>
      <c r="N966">
        <v>2020</v>
      </c>
      <c r="O966" t="s">
        <v>110</v>
      </c>
      <c r="P966">
        <v>170</v>
      </c>
      <c r="Q966" s="17">
        <v>44030.424140393516</v>
      </c>
      <c r="R966" t="s">
        <v>126</v>
      </c>
    </row>
    <row r="967" spans="1:18" x14ac:dyDescent="0.3">
      <c r="A967">
        <v>9680244</v>
      </c>
      <c r="B967" t="s">
        <v>78</v>
      </c>
      <c r="C967">
        <v>1321331</v>
      </c>
      <c r="D967" t="s">
        <v>78</v>
      </c>
      <c r="E967" t="s">
        <v>26</v>
      </c>
      <c r="F967" t="s">
        <v>26</v>
      </c>
      <c r="G967" t="s">
        <v>137</v>
      </c>
      <c r="H967" t="s">
        <v>260</v>
      </c>
      <c r="I967" t="s">
        <v>78</v>
      </c>
      <c r="J967" t="s">
        <v>42</v>
      </c>
      <c r="K967" t="s">
        <v>83</v>
      </c>
      <c r="L967" s="25">
        <v>44030</v>
      </c>
      <c r="M967">
        <v>7</v>
      </c>
      <c r="N967">
        <v>2020</v>
      </c>
      <c r="O967" t="s">
        <v>110</v>
      </c>
      <c r="P967">
        <v>170</v>
      </c>
      <c r="Q967" s="17">
        <v>44030.45510486111</v>
      </c>
      <c r="R967" t="s">
        <v>126</v>
      </c>
    </row>
    <row r="968" spans="1:18" x14ac:dyDescent="0.3">
      <c r="A968">
        <v>9678948</v>
      </c>
      <c r="B968" t="s">
        <v>78</v>
      </c>
      <c r="C968">
        <v>1320195</v>
      </c>
      <c r="D968" t="s">
        <v>78</v>
      </c>
      <c r="E968" t="s">
        <v>26</v>
      </c>
      <c r="F968" t="s">
        <v>26</v>
      </c>
      <c r="G968" t="s">
        <v>137</v>
      </c>
      <c r="H968" t="s">
        <v>245</v>
      </c>
      <c r="I968" t="s">
        <v>78</v>
      </c>
      <c r="J968" t="s">
        <v>42</v>
      </c>
      <c r="K968" t="s">
        <v>83</v>
      </c>
      <c r="L968" s="25">
        <v>44030</v>
      </c>
      <c r="M968">
        <v>7</v>
      </c>
      <c r="N968">
        <v>2020</v>
      </c>
      <c r="O968" t="s">
        <v>110</v>
      </c>
      <c r="P968">
        <v>170</v>
      </c>
      <c r="Q968" s="17">
        <v>44030.427871527776</v>
      </c>
      <c r="R968" t="s">
        <v>126</v>
      </c>
    </row>
    <row r="969" spans="1:18" x14ac:dyDescent="0.3">
      <c r="A969">
        <v>9686916</v>
      </c>
      <c r="B969" t="s">
        <v>78</v>
      </c>
      <c r="C969">
        <v>1330205</v>
      </c>
      <c r="D969" t="s">
        <v>78</v>
      </c>
      <c r="E969" t="s">
        <v>140</v>
      </c>
      <c r="F969" t="s">
        <v>17</v>
      </c>
      <c r="G969" t="s">
        <v>141</v>
      </c>
      <c r="H969" t="s">
        <v>134</v>
      </c>
      <c r="I969" t="s">
        <v>78</v>
      </c>
      <c r="J969" t="s">
        <v>42</v>
      </c>
      <c r="K969" t="s">
        <v>87</v>
      </c>
      <c r="L969" s="25">
        <v>44030</v>
      </c>
      <c r="M969">
        <v>7</v>
      </c>
      <c r="N969">
        <v>2020</v>
      </c>
      <c r="O969" t="s">
        <v>110</v>
      </c>
      <c r="P969">
        <v>170</v>
      </c>
      <c r="Q969" s="17">
        <v>44030.490866898152</v>
      </c>
      <c r="R969" t="s">
        <v>126</v>
      </c>
    </row>
    <row r="970" spans="1:18" x14ac:dyDescent="0.3">
      <c r="A970">
        <v>9686692</v>
      </c>
      <c r="B970" t="s">
        <v>80</v>
      </c>
      <c r="C970">
        <v>1329709</v>
      </c>
      <c r="D970" t="s">
        <v>113</v>
      </c>
      <c r="E970" t="s">
        <v>146</v>
      </c>
      <c r="F970" t="s">
        <v>17</v>
      </c>
      <c r="G970" t="s">
        <v>153</v>
      </c>
      <c r="H970" t="s">
        <v>232</v>
      </c>
      <c r="I970" t="s">
        <v>84</v>
      </c>
      <c r="J970" t="s">
        <v>85</v>
      </c>
      <c r="K970" t="s">
        <v>87</v>
      </c>
      <c r="L970" s="25">
        <v>44030</v>
      </c>
      <c r="M970">
        <v>7</v>
      </c>
      <c r="N970">
        <v>2020</v>
      </c>
      <c r="O970" t="s">
        <v>110</v>
      </c>
      <c r="P970">
        <v>170</v>
      </c>
      <c r="Q970" s="17">
        <v>44030.461770138892</v>
      </c>
      <c r="R970" t="s">
        <v>126</v>
      </c>
    </row>
    <row r="971" spans="1:18" x14ac:dyDescent="0.3">
      <c r="A971">
        <v>9681890</v>
      </c>
      <c r="B971" t="s">
        <v>72</v>
      </c>
      <c r="C971">
        <v>1327671</v>
      </c>
      <c r="D971" t="s">
        <v>108</v>
      </c>
      <c r="E971">
        <v>820</v>
      </c>
      <c r="F971">
        <v>820</v>
      </c>
      <c r="G971" t="s">
        <v>136</v>
      </c>
      <c r="H971" t="s">
        <v>229</v>
      </c>
      <c r="I971" t="s">
        <v>84</v>
      </c>
      <c r="J971" t="s">
        <v>85</v>
      </c>
      <c r="K971" t="s">
        <v>83</v>
      </c>
      <c r="L971" s="25">
        <v>44030</v>
      </c>
      <c r="M971">
        <v>7</v>
      </c>
      <c r="N971">
        <v>2020</v>
      </c>
      <c r="O971" t="s">
        <v>110</v>
      </c>
      <c r="P971">
        <v>170</v>
      </c>
      <c r="Q971" s="17">
        <v>44030.293923032405</v>
      </c>
      <c r="R971" t="s">
        <v>126</v>
      </c>
    </row>
    <row r="972" spans="1:18" x14ac:dyDescent="0.3">
      <c r="A972">
        <v>9687235</v>
      </c>
      <c r="B972" t="s">
        <v>72</v>
      </c>
      <c r="C972">
        <v>1331432</v>
      </c>
      <c r="D972" t="s">
        <v>108</v>
      </c>
      <c r="E972" t="s">
        <v>12</v>
      </c>
      <c r="F972" t="s">
        <v>12</v>
      </c>
      <c r="G972" t="s">
        <v>135</v>
      </c>
      <c r="H972" t="s">
        <v>229</v>
      </c>
      <c r="I972" t="s">
        <v>84</v>
      </c>
      <c r="J972" t="s">
        <v>85</v>
      </c>
      <c r="K972" t="s">
        <v>83</v>
      </c>
      <c r="L972" s="25">
        <v>44030</v>
      </c>
      <c r="M972">
        <v>7</v>
      </c>
      <c r="N972">
        <v>2020</v>
      </c>
      <c r="O972" t="s">
        <v>110</v>
      </c>
      <c r="P972">
        <v>170</v>
      </c>
      <c r="Q972" s="17">
        <v>44030.433032638888</v>
      </c>
      <c r="R972" t="s">
        <v>126</v>
      </c>
    </row>
    <row r="973" spans="1:18" x14ac:dyDescent="0.3">
      <c r="A973">
        <v>9679376</v>
      </c>
      <c r="B973" t="s">
        <v>72</v>
      </c>
      <c r="C973">
        <v>1320449</v>
      </c>
      <c r="D973" t="s">
        <v>108</v>
      </c>
      <c r="E973" t="s">
        <v>26</v>
      </c>
      <c r="F973" t="s">
        <v>26</v>
      </c>
      <c r="G973" t="s">
        <v>137</v>
      </c>
      <c r="H973" t="s">
        <v>229</v>
      </c>
      <c r="I973" t="s">
        <v>84</v>
      </c>
      <c r="J973" t="s">
        <v>85</v>
      </c>
      <c r="K973" t="s">
        <v>83</v>
      </c>
      <c r="L973" s="25">
        <v>44030</v>
      </c>
      <c r="M973">
        <v>7</v>
      </c>
      <c r="N973">
        <v>2020</v>
      </c>
      <c r="O973" t="s">
        <v>110</v>
      </c>
      <c r="P973">
        <v>170</v>
      </c>
      <c r="Q973" s="17">
        <v>44030.430668055553</v>
      </c>
      <c r="R973" t="s">
        <v>126</v>
      </c>
    </row>
    <row r="974" spans="1:18" x14ac:dyDescent="0.3">
      <c r="A974">
        <v>241422</v>
      </c>
      <c r="B974" t="s">
        <v>78</v>
      </c>
      <c r="C974">
        <v>1322106</v>
      </c>
      <c r="D974" t="s">
        <v>78</v>
      </c>
      <c r="E974" t="s">
        <v>26</v>
      </c>
      <c r="F974" t="s">
        <v>26</v>
      </c>
      <c r="G974" t="s">
        <v>137</v>
      </c>
      <c r="H974" t="s">
        <v>245</v>
      </c>
      <c r="I974" t="s">
        <v>78</v>
      </c>
      <c r="J974" t="s">
        <v>42</v>
      </c>
      <c r="K974" t="s">
        <v>83</v>
      </c>
      <c r="L974" s="25">
        <v>44030</v>
      </c>
      <c r="M974">
        <v>7</v>
      </c>
      <c r="N974">
        <v>2020</v>
      </c>
      <c r="O974" t="s">
        <v>110</v>
      </c>
      <c r="P974">
        <v>170</v>
      </c>
      <c r="Q974" s="17">
        <v>44030.479022106483</v>
      </c>
      <c r="R974" t="s">
        <v>126</v>
      </c>
    </row>
    <row r="975" spans="1:18" x14ac:dyDescent="0.3">
      <c r="A975">
        <v>9685953</v>
      </c>
      <c r="B975" t="s">
        <v>78</v>
      </c>
      <c r="C975">
        <v>1329460</v>
      </c>
      <c r="D975" t="s">
        <v>78</v>
      </c>
      <c r="E975">
        <v>820</v>
      </c>
      <c r="F975">
        <v>820</v>
      </c>
      <c r="G975" t="s">
        <v>136</v>
      </c>
      <c r="H975" t="s">
        <v>250</v>
      </c>
      <c r="I975" t="s">
        <v>78</v>
      </c>
      <c r="J975" t="s">
        <v>42</v>
      </c>
      <c r="K975" t="s">
        <v>83</v>
      </c>
      <c r="L975" s="25">
        <v>44030</v>
      </c>
      <c r="M975">
        <v>7</v>
      </c>
      <c r="N975">
        <v>2020</v>
      </c>
      <c r="O975" t="s">
        <v>110</v>
      </c>
      <c r="P975">
        <v>170</v>
      </c>
      <c r="Q975" s="17">
        <v>44030.47195324074</v>
      </c>
      <c r="R975" t="s">
        <v>126</v>
      </c>
    </row>
    <row r="976" spans="1:18" x14ac:dyDescent="0.3">
      <c r="A976">
        <v>9686861</v>
      </c>
      <c r="B976" t="s">
        <v>80</v>
      </c>
      <c r="C976">
        <v>1329743</v>
      </c>
      <c r="D976" t="s">
        <v>113</v>
      </c>
      <c r="E976" t="s">
        <v>146</v>
      </c>
      <c r="F976" t="s">
        <v>17</v>
      </c>
      <c r="G976" t="s">
        <v>153</v>
      </c>
      <c r="H976" t="s">
        <v>232</v>
      </c>
      <c r="I976" t="s">
        <v>84</v>
      </c>
      <c r="J976" t="s">
        <v>85</v>
      </c>
      <c r="K976" t="s">
        <v>87</v>
      </c>
      <c r="L976" s="25">
        <v>44030</v>
      </c>
      <c r="M976">
        <v>7</v>
      </c>
      <c r="N976">
        <v>2020</v>
      </c>
      <c r="O976" t="s">
        <v>110</v>
      </c>
      <c r="P976">
        <v>170</v>
      </c>
      <c r="Q976" s="17">
        <v>44030.461761689818</v>
      </c>
      <c r="R976" t="s">
        <v>126</v>
      </c>
    </row>
    <row r="977" spans="1:18" x14ac:dyDescent="0.3">
      <c r="A977">
        <v>9685977</v>
      </c>
      <c r="B977" t="s">
        <v>78</v>
      </c>
      <c r="C977">
        <v>1329858</v>
      </c>
      <c r="D977" t="s">
        <v>78</v>
      </c>
      <c r="E977">
        <v>820</v>
      </c>
      <c r="F977">
        <v>820</v>
      </c>
      <c r="G977" t="s">
        <v>136</v>
      </c>
      <c r="H977" t="s">
        <v>250</v>
      </c>
      <c r="I977" t="s">
        <v>78</v>
      </c>
      <c r="J977" t="s">
        <v>42</v>
      </c>
      <c r="K977" t="s">
        <v>83</v>
      </c>
      <c r="L977" s="25">
        <v>44030</v>
      </c>
      <c r="M977">
        <v>7</v>
      </c>
      <c r="N977">
        <v>2020</v>
      </c>
      <c r="O977" t="s">
        <v>110</v>
      </c>
      <c r="P977">
        <v>170</v>
      </c>
      <c r="Q977" s="17">
        <v>44030.484009027779</v>
      </c>
      <c r="R977" t="s">
        <v>126</v>
      </c>
    </row>
    <row r="978" spans="1:18" x14ac:dyDescent="0.3">
      <c r="A978">
        <v>9686915</v>
      </c>
      <c r="B978" t="s">
        <v>80</v>
      </c>
      <c r="C978">
        <v>1329809</v>
      </c>
      <c r="D978" t="s">
        <v>113</v>
      </c>
      <c r="E978" t="s">
        <v>146</v>
      </c>
      <c r="F978" t="s">
        <v>17</v>
      </c>
      <c r="G978" t="s">
        <v>153</v>
      </c>
      <c r="H978" t="s">
        <v>232</v>
      </c>
      <c r="I978" t="s">
        <v>84</v>
      </c>
      <c r="J978" t="s">
        <v>85</v>
      </c>
      <c r="K978" t="s">
        <v>87</v>
      </c>
      <c r="L978" s="25">
        <v>44030</v>
      </c>
      <c r="M978">
        <v>7</v>
      </c>
      <c r="N978">
        <v>2020</v>
      </c>
      <c r="O978" t="s">
        <v>110</v>
      </c>
      <c r="P978">
        <v>170</v>
      </c>
      <c r="Q978" s="17">
        <v>44030.477191203703</v>
      </c>
      <c r="R978" t="s">
        <v>126</v>
      </c>
    </row>
    <row r="979" spans="1:18" x14ac:dyDescent="0.3">
      <c r="A979">
        <v>9684747</v>
      </c>
      <c r="B979" t="s">
        <v>72</v>
      </c>
      <c r="C979">
        <v>1331730</v>
      </c>
      <c r="D979" t="s">
        <v>108</v>
      </c>
      <c r="E979" t="s">
        <v>26</v>
      </c>
      <c r="F979" t="s">
        <v>26</v>
      </c>
      <c r="G979" t="s">
        <v>137</v>
      </c>
      <c r="H979" t="s">
        <v>229</v>
      </c>
      <c r="I979" t="s">
        <v>84</v>
      </c>
      <c r="J979" t="s">
        <v>85</v>
      </c>
      <c r="K979" t="s">
        <v>83</v>
      </c>
      <c r="L979" s="25">
        <v>44030</v>
      </c>
      <c r="M979">
        <v>7</v>
      </c>
      <c r="N979">
        <v>2020</v>
      </c>
      <c r="O979" t="s">
        <v>110</v>
      </c>
      <c r="P979">
        <v>170</v>
      </c>
      <c r="Q979" s="17">
        <v>44030.381876620369</v>
      </c>
      <c r="R979" t="s">
        <v>126</v>
      </c>
    </row>
    <row r="980" spans="1:18" x14ac:dyDescent="0.3">
      <c r="A980">
        <v>9686992</v>
      </c>
      <c r="B980" t="s">
        <v>80</v>
      </c>
      <c r="C980">
        <v>1330223</v>
      </c>
      <c r="D980" t="s">
        <v>113</v>
      </c>
      <c r="E980" t="s">
        <v>146</v>
      </c>
      <c r="F980" t="s">
        <v>17</v>
      </c>
      <c r="G980" t="s">
        <v>153</v>
      </c>
      <c r="H980" t="s">
        <v>232</v>
      </c>
      <c r="I980" t="s">
        <v>84</v>
      </c>
      <c r="J980" t="s">
        <v>85</v>
      </c>
      <c r="K980" t="s">
        <v>87</v>
      </c>
      <c r="L980" s="25">
        <v>44030</v>
      </c>
      <c r="M980">
        <v>7</v>
      </c>
      <c r="N980">
        <v>2020</v>
      </c>
      <c r="O980" t="s">
        <v>110</v>
      </c>
      <c r="P980">
        <v>170</v>
      </c>
      <c r="Q980" s="17">
        <v>44030.492601504629</v>
      </c>
      <c r="R980" t="s">
        <v>126</v>
      </c>
    </row>
    <row r="981" spans="1:18" x14ac:dyDescent="0.3">
      <c r="A981">
        <v>9685967</v>
      </c>
      <c r="B981" t="s">
        <v>78</v>
      </c>
      <c r="C981">
        <v>1328737</v>
      </c>
      <c r="D981" t="s">
        <v>78</v>
      </c>
      <c r="E981">
        <v>820</v>
      </c>
      <c r="F981">
        <v>820</v>
      </c>
      <c r="G981" t="s">
        <v>136</v>
      </c>
      <c r="H981" t="s">
        <v>250</v>
      </c>
      <c r="I981" t="s">
        <v>78</v>
      </c>
      <c r="J981" t="s">
        <v>42</v>
      </c>
      <c r="K981" t="s">
        <v>83</v>
      </c>
      <c r="L981" s="25">
        <v>44030</v>
      </c>
      <c r="M981">
        <v>7</v>
      </c>
      <c r="N981">
        <v>2020</v>
      </c>
      <c r="O981" t="s">
        <v>110</v>
      </c>
      <c r="P981">
        <v>170</v>
      </c>
      <c r="Q981" s="17">
        <v>44030.432034837962</v>
      </c>
      <c r="R981" t="s">
        <v>126</v>
      </c>
    </row>
    <row r="982" spans="1:18" x14ac:dyDescent="0.3">
      <c r="A982">
        <v>9685898</v>
      </c>
      <c r="B982" t="s">
        <v>72</v>
      </c>
      <c r="C982">
        <v>1328694</v>
      </c>
      <c r="D982" t="s">
        <v>108</v>
      </c>
      <c r="E982">
        <v>820</v>
      </c>
      <c r="F982">
        <v>820</v>
      </c>
      <c r="G982" t="s">
        <v>136</v>
      </c>
      <c r="H982" t="s">
        <v>270</v>
      </c>
      <c r="I982" t="s">
        <v>82</v>
      </c>
      <c r="J982" t="s">
        <v>42</v>
      </c>
      <c r="K982" t="s">
        <v>83</v>
      </c>
      <c r="L982" s="25">
        <v>44030</v>
      </c>
      <c r="M982">
        <v>7</v>
      </c>
      <c r="N982">
        <v>2020</v>
      </c>
      <c r="O982" t="s">
        <v>110</v>
      </c>
      <c r="P982">
        <v>170</v>
      </c>
      <c r="Q982" s="17">
        <v>44030.42454201389</v>
      </c>
      <c r="R982" t="s">
        <v>126</v>
      </c>
    </row>
    <row r="983" spans="1:18" x14ac:dyDescent="0.3">
      <c r="A983">
        <v>9687674</v>
      </c>
      <c r="B983" t="s">
        <v>78</v>
      </c>
      <c r="C983">
        <v>1330609</v>
      </c>
      <c r="D983" t="s">
        <v>78</v>
      </c>
      <c r="E983">
        <v>820</v>
      </c>
      <c r="F983">
        <v>820</v>
      </c>
      <c r="G983" t="s">
        <v>136</v>
      </c>
      <c r="H983" t="s">
        <v>250</v>
      </c>
      <c r="I983" t="s">
        <v>78</v>
      </c>
      <c r="J983" t="s">
        <v>42</v>
      </c>
      <c r="K983" t="s">
        <v>83</v>
      </c>
      <c r="L983" s="25">
        <v>44030</v>
      </c>
      <c r="M983">
        <v>7</v>
      </c>
      <c r="N983">
        <v>2020</v>
      </c>
      <c r="O983" t="s">
        <v>110</v>
      </c>
      <c r="P983">
        <v>170</v>
      </c>
      <c r="Q983" s="17">
        <v>44030.493105092595</v>
      </c>
      <c r="R983" t="s">
        <v>126</v>
      </c>
    </row>
    <row r="984" spans="1:18" x14ac:dyDescent="0.3">
      <c r="A984">
        <v>9687031</v>
      </c>
      <c r="B984" t="s">
        <v>80</v>
      </c>
      <c r="C984">
        <v>1330266</v>
      </c>
      <c r="D984" t="s">
        <v>122</v>
      </c>
      <c r="E984" t="s">
        <v>146</v>
      </c>
      <c r="F984" t="s">
        <v>17</v>
      </c>
      <c r="G984" t="s">
        <v>153</v>
      </c>
      <c r="H984" t="s">
        <v>228</v>
      </c>
      <c r="I984" t="s">
        <v>84</v>
      </c>
      <c r="J984" t="s">
        <v>85</v>
      </c>
      <c r="K984" t="s">
        <v>87</v>
      </c>
      <c r="L984" s="25">
        <v>44030</v>
      </c>
      <c r="M984">
        <v>7</v>
      </c>
      <c r="N984">
        <v>2020</v>
      </c>
      <c r="O984" t="s">
        <v>110</v>
      </c>
      <c r="P984">
        <v>170</v>
      </c>
      <c r="Q984" s="17">
        <v>44030.137771527778</v>
      </c>
      <c r="R984" t="s">
        <v>126</v>
      </c>
    </row>
    <row r="985" spans="1:18" x14ac:dyDescent="0.3">
      <c r="A985">
        <v>9687688</v>
      </c>
      <c r="B985" t="s">
        <v>72</v>
      </c>
      <c r="C985">
        <v>1330716</v>
      </c>
      <c r="D985" t="s">
        <v>108</v>
      </c>
      <c r="E985">
        <v>820</v>
      </c>
      <c r="F985">
        <v>820</v>
      </c>
      <c r="G985" t="s">
        <v>136</v>
      </c>
      <c r="H985" t="s">
        <v>229</v>
      </c>
      <c r="I985" t="s">
        <v>84</v>
      </c>
      <c r="J985" t="s">
        <v>85</v>
      </c>
      <c r="K985" t="s">
        <v>83</v>
      </c>
      <c r="L985" s="25">
        <v>44030</v>
      </c>
      <c r="M985">
        <v>7</v>
      </c>
      <c r="N985">
        <v>2020</v>
      </c>
      <c r="O985" t="s">
        <v>110</v>
      </c>
      <c r="P985">
        <v>170</v>
      </c>
      <c r="Q985" s="17">
        <v>44030.379810300925</v>
      </c>
      <c r="R985" t="s">
        <v>126</v>
      </c>
    </row>
    <row r="986" spans="1:18" x14ac:dyDescent="0.3">
      <c r="A986">
        <v>9685625</v>
      </c>
      <c r="B986" t="s">
        <v>78</v>
      </c>
      <c r="C986">
        <v>1329230</v>
      </c>
      <c r="D986" t="s">
        <v>78</v>
      </c>
      <c r="E986">
        <v>820</v>
      </c>
      <c r="F986">
        <v>820</v>
      </c>
      <c r="G986" t="s">
        <v>136</v>
      </c>
      <c r="H986" t="s">
        <v>249</v>
      </c>
      <c r="I986" t="s">
        <v>78</v>
      </c>
      <c r="J986" t="s">
        <v>42</v>
      </c>
      <c r="K986" t="s">
        <v>83</v>
      </c>
      <c r="L986" s="25">
        <v>44030</v>
      </c>
      <c r="M986">
        <v>7</v>
      </c>
      <c r="N986">
        <v>2020</v>
      </c>
      <c r="O986" t="s">
        <v>110</v>
      </c>
      <c r="P986">
        <v>170</v>
      </c>
      <c r="Q986" s="17">
        <v>44030.456432407409</v>
      </c>
      <c r="R986" t="s">
        <v>126</v>
      </c>
    </row>
    <row r="987" spans="1:18" x14ac:dyDescent="0.3">
      <c r="A987">
        <v>9682771</v>
      </c>
      <c r="B987" t="s">
        <v>72</v>
      </c>
      <c r="C987">
        <v>1331509</v>
      </c>
      <c r="D987" t="s">
        <v>108</v>
      </c>
      <c r="E987" t="s">
        <v>26</v>
      </c>
      <c r="F987" t="s">
        <v>26</v>
      </c>
      <c r="G987" t="s">
        <v>137</v>
      </c>
      <c r="H987" t="s">
        <v>229</v>
      </c>
      <c r="I987" t="s">
        <v>84</v>
      </c>
      <c r="J987" t="s">
        <v>85</v>
      </c>
      <c r="K987" t="s">
        <v>83</v>
      </c>
      <c r="L987" s="25">
        <v>44030</v>
      </c>
      <c r="M987">
        <v>7</v>
      </c>
      <c r="N987">
        <v>2020</v>
      </c>
      <c r="O987" t="s">
        <v>110</v>
      </c>
      <c r="P987">
        <v>170</v>
      </c>
      <c r="Q987" s="17">
        <v>44030.383275347223</v>
      </c>
      <c r="R987" t="s">
        <v>126</v>
      </c>
    </row>
    <row r="988" spans="1:18" x14ac:dyDescent="0.3">
      <c r="A988">
        <v>9686736</v>
      </c>
      <c r="B988" t="s">
        <v>80</v>
      </c>
      <c r="C988">
        <v>1329780</v>
      </c>
      <c r="D988" t="s">
        <v>113</v>
      </c>
      <c r="E988" t="s">
        <v>146</v>
      </c>
      <c r="F988" t="s">
        <v>17</v>
      </c>
      <c r="G988" t="s">
        <v>153</v>
      </c>
      <c r="H988" t="s">
        <v>232</v>
      </c>
      <c r="I988" t="s">
        <v>84</v>
      </c>
      <c r="J988" t="s">
        <v>85</v>
      </c>
      <c r="K988" t="s">
        <v>87</v>
      </c>
      <c r="L988" s="25">
        <v>44030</v>
      </c>
      <c r="M988">
        <v>7</v>
      </c>
      <c r="N988">
        <v>2020</v>
      </c>
      <c r="O988" t="s">
        <v>110</v>
      </c>
      <c r="P988">
        <v>170</v>
      </c>
      <c r="Q988" s="17">
        <v>44030.471465625</v>
      </c>
      <c r="R988" t="s">
        <v>126</v>
      </c>
    </row>
    <row r="989" spans="1:18" x14ac:dyDescent="0.3">
      <c r="A989">
        <v>9685760</v>
      </c>
      <c r="B989" t="s">
        <v>78</v>
      </c>
      <c r="C989">
        <v>1328901</v>
      </c>
      <c r="D989" t="s">
        <v>78</v>
      </c>
      <c r="E989">
        <v>820</v>
      </c>
      <c r="F989">
        <v>820</v>
      </c>
      <c r="G989" t="s">
        <v>136</v>
      </c>
      <c r="H989" t="s">
        <v>250</v>
      </c>
      <c r="I989" t="s">
        <v>78</v>
      </c>
      <c r="J989" t="s">
        <v>42</v>
      </c>
      <c r="K989" t="s">
        <v>83</v>
      </c>
      <c r="L989" s="25">
        <v>44030</v>
      </c>
      <c r="M989">
        <v>7</v>
      </c>
      <c r="N989">
        <v>2020</v>
      </c>
      <c r="O989" t="s">
        <v>110</v>
      </c>
      <c r="P989">
        <v>170</v>
      </c>
      <c r="Q989" s="17">
        <v>44030.439377546296</v>
      </c>
      <c r="R989" t="s">
        <v>126</v>
      </c>
    </row>
    <row r="990" spans="1:18" x14ac:dyDescent="0.3">
      <c r="A990">
        <v>9686144</v>
      </c>
      <c r="B990" t="s">
        <v>80</v>
      </c>
      <c r="C990">
        <v>1329594</v>
      </c>
      <c r="D990" t="s">
        <v>113</v>
      </c>
      <c r="E990" t="s">
        <v>146</v>
      </c>
      <c r="F990" t="s">
        <v>17</v>
      </c>
      <c r="G990" t="s">
        <v>153</v>
      </c>
      <c r="H990" t="s">
        <v>232</v>
      </c>
      <c r="I990" t="s">
        <v>84</v>
      </c>
      <c r="J990" t="s">
        <v>85</v>
      </c>
      <c r="K990" t="s">
        <v>87</v>
      </c>
      <c r="L990" s="25">
        <v>44030</v>
      </c>
      <c r="M990">
        <v>7</v>
      </c>
      <c r="N990">
        <v>2020</v>
      </c>
      <c r="O990" t="s">
        <v>110</v>
      </c>
      <c r="P990">
        <v>170</v>
      </c>
      <c r="Q990" s="17">
        <v>44030.431211226853</v>
      </c>
      <c r="R990" t="s">
        <v>126</v>
      </c>
    </row>
    <row r="991" spans="1:18" x14ac:dyDescent="0.3">
      <c r="A991">
        <v>9678361</v>
      </c>
      <c r="B991" t="s">
        <v>72</v>
      </c>
      <c r="C991">
        <v>1320806</v>
      </c>
      <c r="D991" t="s">
        <v>108</v>
      </c>
      <c r="E991" t="s">
        <v>26</v>
      </c>
      <c r="F991" t="s">
        <v>26</v>
      </c>
      <c r="G991" t="s">
        <v>137</v>
      </c>
      <c r="H991" t="s">
        <v>276</v>
      </c>
      <c r="I991" t="s">
        <v>84</v>
      </c>
      <c r="J991" t="s">
        <v>85</v>
      </c>
      <c r="K991" t="s">
        <v>83</v>
      </c>
      <c r="L991" s="25">
        <v>44030</v>
      </c>
      <c r="M991">
        <v>7</v>
      </c>
      <c r="N991">
        <v>2020</v>
      </c>
      <c r="O991" t="s">
        <v>110</v>
      </c>
      <c r="P991">
        <v>170</v>
      </c>
      <c r="Q991" s="17">
        <v>44030.44280902778</v>
      </c>
      <c r="R991" t="s">
        <v>126</v>
      </c>
    </row>
    <row r="992" spans="1:18" x14ac:dyDescent="0.3">
      <c r="A992">
        <v>9686914</v>
      </c>
      <c r="B992" t="s">
        <v>80</v>
      </c>
      <c r="C992">
        <v>1329837</v>
      </c>
      <c r="D992" t="s">
        <v>113</v>
      </c>
      <c r="E992" t="s">
        <v>146</v>
      </c>
      <c r="F992" t="s">
        <v>17</v>
      </c>
      <c r="G992" t="s">
        <v>153</v>
      </c>
      <c r="H992" t="s">
        <v>232</v>
      </c>
      <c r="I992" t="s">
        <v>84</v>
      </c>
      <c r="J992" t="s">
        <v>85</v>
      </c>
      <c r="K992" t="s">
        <v>87</v>
      </c>
      <c r="L992" s="25">
        <v>44030</v>
      </c>
      <c r="M992">
        <v>7</v>
      </c>
      <c r="N992">
        <v>2020</v>
      </c>
      <c r="O992" t="s">
        <v>110</v>
      </c>
      <c r="P992">
        <v>170</v>
      </c>
      <c r="Q992" s="17">
        <v>44030.480375694446</v>
      </c>
      <c r="R992" t="s">
        <v>126</v>
      </c>
    </row>
    <row r="993" spans="1:18" x14ac:dyDescent="0.3">
      <c r="A993">
        <v>9686705</v>
      </c>
      <c r="B993" t="s">
        <v>78</v>
      </c>
      <c r="C993">
        <v>1329980</v>
      </c>
      <c r="D993" t="s">
        <v>78</v>
      </c>
      <c r="E993" t="s">
        <v>138</v>
      </c>
      <c r="F993" t="s">
        <v>17</v>
      </c>
      <c r="G993" t="s">
        <v>145</v>
      </c>
      <c r="H993" t="s">
        <v>134</v>
      </c>
      <c r="I993" t="s">
        <v>78</v>
      </c>
      <c r="J993" t="s">
        <v>42</v>
      </c>
      <c r="K993" t="s">
        <v>87</v>
      </c>
      <c r="L993" s="25">
        <v>44030</v>
      </c>
      <c r="M993">
        <v>7</v>
      </c>
      <c r="N993">
        <v>2020</v>
      </c>
      <c r="O993" t="s">
        <v>110</v>
      </c>
      <c r="P993">
        <v>170</v>
      </c>
      <c r="Q993" s="17">
        <v>44030.484940277776</v>
      </c>
      <c r="R993" t="s">
        <v>126</v>
      </c>
    </row>
    <row r="994" spans="1:18" x14ac:dyDescent="0.3">
      <c r="A994">
        <v>9689699</v>
      </c>
      <c r="B994" t="s">
        <v>79</v>
      </c>
      <c r="C994">
        <v>1331709</v>
      </c>
      <c r="D994" t="s">
        <v>116</v>
      </c>
      <c r="E994" t="s">
        <v>12</v>
      </c>
      <c r="F994" t="s">
        <v>12</v>
      </c>
      <c r="G994" t="s">
        <v>135</v>
      </c>
      <c r="H994" t="s">
        <v>275</v>
      </c>
      <c r="I994" t="s">
        <v>82</v>
      </c>
      <c r="J994" t="s">
        <v>42</v>
      </c>
      <c r="K994" t="s">
        <v>83</v>
      </c>
      <c r="L994" s="25">
        <v>44030</v>
      </c>
      <c r="M994">
        <v>7</v>
      </c>
      <c r="N994">
        <v>2020</v>
      </c>
      <c r="O994" t="s">
        <v>110</v>
      </c>
      <c r="P994">
        <v>170</v>
      </c>
      <c r="Q994" s="17">
        <v>44031.074771296298</v>
      </c>
      <c r="R994" t="s">
        <v>126</v>
      </c>
    </row>
    <row r="995" spans="1:18" x14ac:dyDescent="0.3">
      <c r="A995">
        <v>21524061</v>
      </c>
      <c r="B995" t="s">
        <v>72</v>
      </c>
      <c r="C995">
        <v>1320563</v>
      </c>
      <c r="D995" t="s">
        <v>108</v>
      </c>
      <c r="E995" t="s">
        <v>26</v>
      </c>
      <c r="F995" t="s">
        <v>26</v>
      </c>
      <c r="G995" t="s">
        <v>137</v>
      </c>
      <c r="H995" t="s">
        <v>276</v>
      </c>
      <c r="I995" t="s">
        <v>84</v>
      </c>
      <c r="J995" t="s">
        <v>85</v>
      </c>
      <c r="K995" t="s">
        <v>83</v>
      </c>
      <c r="L995" s="25">
        <v>44030</v>
      </c>
      <c r="M995">
        <v>7</v>
      </c>
      <c r="N995">
        <v>2020</v>
      </c>
      <c r="O995" t="s">
        <v>110</v>
      </c>
      <c r="P995">
        <v>170</v>
      </c>
      <c r="Q995" s="17">
        <v>44030.442345370371</v>
      </c>
      <c r="R995" t="s">
        <v>126</v>
      </c>
    </row>
    <row r="996" spans="1:18" x14ac:dyDescent="0.3">
      <c r="A996">
        <v>9685735</v>
      </c>
      <c r="B996" t="s">
        <v>78</v>
      </c>
      <c r="C996">
        <v>1329398</v>
      </c>
      <c r="D996" t="s">
        <v>78</v>
      </c>
      <c r="E996">
        <v>820</v>
      </c>
      <c r="F996">
        <v>820</v>
      </c>
      <c r="G996" t="s">
        <v>136</v>
      </c>
      <c r="H996" t="s">
        <v>249</v>
      </c>
      <c r="I996" t="s">
        <v>78</v>
      </c>
      <c r="J996" t="s">
        <v>42</v>
      </c>
      <c r="K996" t="s">
        <v>83</v>
      </c>
      <c r="L996" s="25">
        <v>44030</v>
      </c>
      <c r="M996">
        <v>7</v>
      </c>
      <c r="N996">
        <v>2020</v>
      </c>
      <c r="O996" t="s">
        <v>110</v>
      </c>
      <c r="P996">
        <v>170</v>
      </c>
      <c r="Q996" s="17">
        <v>44030.46835520833</v>
      </c>
      <c r="R996" t="s">
        <v>126</v>
      </c>
    </row>
    <row r="997" spans="1:18" x14ac:dyDescent="0.3">
      <c r="A997">
        <v>245018</v>
      </c>
      <c r="B997" t="s">
        <v>78</v>
      </c>
      <c r="C997">
        <v>1330183</v>
      </c>
      <c r="D997" t="s">
        <v>78</v>
      </c>
      <c r="E997" t="s">
        <v>182</v>
      </c>
      <c r="F997" t="s">
        <v>17</v>
      </c>
      <c r="G997" t="s">
        <v>183</v>
      </c>
      <c r="H997" t="s">
        <v>134</v>
      </c>
      <c r="I997" t="s">
        <v>78</v>
      </c>
      <c r="J997" t="s">
        <v>42</v>
      </c>
      <c r="K997" t="s">
        <v>87</v>
      </c>
      <c r="L997" s="25">
        <v>44030</v>
      </c>
      <c r="M997">
        <v>7</v>
      </c>
      <c r="N997">
        <v>2020</v>
      </c>
      <c r="O997" t="s">
        <v>110</v>
      </c>
      <c r="P997">
        <v>170</v>
      </c>
      <c r="Q997" s="17">
        <v>44030.489700925929</v>
      </c>
      <c r="R997" t="s">
        <v>126</v>
      </c>
    </row>
    <row r="998" spans="1:18" x14ac:dyDescent="0.3">
      <c r="A998">
        <v>9680803</v>
      </c>
      <c r="B998" t="s">
        <v>72</v>
      </c>
      <c r="C998">
        <v>1331505</v>
      </c>
      <c r="D998" t="s">
        <v>108</v>
      </c>
      <c r="E998" t="s">
        <v>12</v>
      </c>
      <c r="F998" t="s">
        <v>12</v>
      </c>
      <c r="G998" t="s">
        <v>135</v>
      </c>
      <c r="H998" t="s">
        <v>98</v>
      </c>
      <c r="I998" t="s">
        <v>82</v>
      </c>
      <c r="J998" t="s">
        <v>42</v>
      </c>
      <c r="K998" t="s">
        <v>83</v>
      </c>
      <c r="L998" s="25">
        <v>44030</v>
      </c>
      <c r="M998">
        <v>7</v>
      </c>
      <c r="N998">
        <v>2020</v>
      </c>
      <c r="O998" t="s">
        <v>110</v>
      </c>
      <c r="P998">
        <v>170</v>
      </c>
      <c r="Q998" s="17">
        <v>44030.488027199077</v>
      </c>
      <c r="R998" t="s">
        <v>126</v>
      </c>
    </row>
    <row r="999" spans="1:18" x14ac:dyDescent="0.3">
      <c r="A999">
        <v>9685776</v>
      </c>
      <c r="B999" t="s">
        <v>78</v>
      </c>
      <c r="C999">
        <v>1329433</v>
      </c>
      <c r="D999" t="s">
        <v>78</v>
      </c>
      <c r="E999">
        <v>820</v>
      </c>
      <c r="F999">
        <v>820</v>
      </c>
      <c r="G999" t="s">
        <v>136</v>
      </c>
      <c r="H999" t="s">
        <v>249</v>
      </c>
      <c r="I999" t="s">
        <v>78</v>
      </c>
      <c r="J999" t="s">
        <v>42</v>
      </c>
      <c r="K999" t="s">
        <v>83</v>
      </c>
      <c r="L999" s="25">
        <v>44030</v>
      </c>
      <c r="M999">
        <v>7</v>
      </c>
      <c r="N999">
        <v>2020</v>
      </c>
      <c r="O999" t="s">
        <v>110</v>
      </c>
      <c r="P999">
        <v>170</v>
      </c>
      <c r="Q999" s="17">
        <v>44030.47107349537</v>
      </c>
      <c r="R999" t="s">
        <v>126</v>
      </c>
    </row>
    <row r="1000" spans="1:18" x14ac:dyDescent="0.3">
      <c r="A1000">
        <v>9686850</v>
      </c>
      <c r="B1000" t="s">
        <v>80</v>
      </c>
      <c r="C1000">
        <v>1329719</v>
      </c>
      <c r="D1000" t="s">
        <v>113</v>
      </c>
      <c r="E1000" t="s">
        <v>146</v>
      </c>
      <c r="F1000" t="s">
        <v>17</v>
      </c>
      <c r="G1000" t="s">
        <v>153</v>
      </c>
      <c r="H1000" t="s">
        <v>232</v>
      </c>
      <c r="I1000" t="s">
        <v>84</v>
      </c>
      <c r="J1000" t="s">
        <v>85</v>
      </c>
      <c r="K1000" t="s">
        <v>87</v>
      </c>
      <c r="L1000" s="25">
        <v>44030</v>
      </c>
      <c r="M1000">
        <v>7</v>
      </c>
      <c r="N1000">
        <v>2020</v>
      </c>
      <c r="O1000" t="s">
        <v>110</v>
      </c>
      <c r="P1000">
        <v>170</v>
      </c>
      <c r="Q1000" s="17">
        <v>44030.462960648147</v>
      </c>
      <c r="R1000" t="s">
        <v>126</v>
      </c>
    </row>
    <row r="1001" spans="1:18" x14ac:dyDescent="0.3">
      <c r="A1001">
        <v>9677215</v>
      </c>
      <c r="B1001" t="s">
        <v>72</v>
      </c>
      <c r="C1001">
        <v>1318401</v>
      </c>
      <c r="D1001" t="s">
        <v>108</v>
      </c>
      <c r="E1001">
        <v>966</v>
      </c>
      <c r="F1001">
        <v>966</v>
      </c>
      <c r="G1001" t="s">
        <v>139</v>
      </c>
      <c r="H1001" t="s">
        <v>229</v>
      </c>
      <c r="I1001" t="s">
        <v>84</v>
      </c>
      <c r="J1001" t="s">
        <v>85</v>
      </c>
      <c r="K1001" t="s">
        <v>87</v>
      </c>
      <c r="L1001" s="25">
        <v>44030</v>
      </c>
      <c r="M1001">
        <v>7</v>
      </c>
      <c r="N1001">
        <v>2020</v>
      </c>
      <c r="O1001" t="s">
        <v>110</v>
      </c>
      <c r="P1001">
        <v>170</v>
      </c>
      <c r="Q1001" s="17">
        <v>44030.429119444445</v>
      </c>
      <c r="R1001" t="s">
        <v>126</v>
      </c>
    </row>
    <row r="1002" spans="1:18" x14ac:dyDescent="0.3">
      <c r="A1002">
        <v>9686932</v>
      </c>
      <c r="B1002" t="s">
        <v>80</v>
      </c>
      <c r="C1002">
        <v>1329819</v>
      </c>
      <c r="D1002" t="s">
        <v>113</v>
      </c>
      <c r="E1002" t="s">
        <v>146</v>
      </c>
      <c r="F1002" t="s">
        <v>17</v>
      </c>
      <c r="G1002" t="s">
        <v>153</v>
      </c>
      <c r="H1002" t="s">
        <v>232</v>
      </c>
      <c r="I1002" t="s">
        <v>84</v>
      </c>
      <c r="J1002" t="s">
        <v>85</v>
      </c>
      <c r="K1002" t="s">
        <v>87</v>
      </c>
      <c r="L1002" s="25">
        <v>44030</v>
      </c>
      <c r="M1002">
        <v>7</v>
      </c>
      <c r="N1002">
        <v>2020</v>
      </c>
      <c r="O1002" t="s">
        <v>110</v>
      </c>
      <c r="P1002">
        <v>170</v>
      </c>
      <c r="Q1002" s="17">
        <v>44030.479711921296</v>
      </c>
      <c r="R1002" t="s">
        <v>126</v>
      </c>
    </row>
    <row r="1003" spans="1:18" x14ac:dyDescent="0.3">
      <c r="A1003">
        <v>9685802</v>
      </c>
      <c r="B1003" t="s">
        <v>78</v>
      </c>
      <c r="C1003">
        <v>1329533</v>
      </c>
      <c r="D1003" t="s">
        <v>78</v>
      </c>
      <c r="E1003">
        <v>820</v>
      </c>
      <c r="F1003">
        <v>820</v>
      </c>
      <c r="G1003" t="s">
        <v>136</v>
      </c>
      <c r="H1003" t="s">
        <v>249</v>
      </c>
      <c r="I1003" t="s">
        <v>78</v>
      </c>
      <c r="J1003" t="s">
        <v>42</v>
      </c>
      <c r="K1003" t="s">
        <v>83</v>
      </c>
      <c r="L1003" s="25">
        <v>44030</v>
      </c>
      <c r="M1003">
        <v>7</v>
      </c>
      <c r="N1003">
        <v>2020</v>
      </c>
      <c r="O1003" t="s">
        <v>110</v>
      </c>
      <c r="P1003">
        <v>170</v>
      </c>
      <c r="Q1003" s="17">
        <v>44030.479289930554</v>
      </c>
      <c r="R1003" t="s">
        <v>126</v>
      </c>
    </row>
    <row r="1004" spans="1:18" x14ac:dyDescent="0.3">
      <c r="A1004">
        <v>9691110</v>
      </c>
      <c r="B1004" t="s">
        <v>78</v>
      </c>
      <c r="C1004">
        <v>1331691</v>
      </c>
      <c r="D1004" t="s">
        <v>78</v>
      </c>
      <c r="E1004">
        <v>845</v>
      </c>
      <c r="F1004">
        <v>845</v>
      </c>
      <c r="G1004" t="s">
        <v>130</v>
      </c>
      <c r="H1004" t="s">
        <v>105</v>
      </c>
      <c r="I1004" t="s">
        <v>78</v>
      </c>
      <c r="J1004" t="s">
        <v>42</v>
      </c>
      <c r="K1004" t="s">
        <v>87</v>
      </c>
      <c r="L1004" s="25">
        <v>44030</v>
      </c>
      <c r="M1004">
        <v>7</v>
      </c>
      <c r="N1004">
        <v>2020</v>
      </c>
      <c r="O1004" t="s">
        <v>110</v>
      </c>
      <c r="P1004">
        <v>170</v>
      </c>
      <c r="Q1004" s="17">
        <v>44030.425897222223</v>
      </c>
      <c r="R1004" t="s">
        <v>126</v>
      </c>
    </row>
    <row r="1005" spans="1:18" x14ac:dyDescent="0.3">
      <c r="A1005">
        <v>9656897</v>
      </c>
      <c r="B1005" t="s">
        <v>72</v>
      </c>
      <c r="C1005">
        <v>1325889</v>
      </c>
      <c r="D1005" t="s">
        <v>108</v>
      </c>
      <c r="E1005" t="s">
        <v>12</v>
      </c>
      <c r="F1005" t="s">
        <v>12</v>
      </c>
      <c r="G1005" t="s">
        <v>135</v>
      </c>
      <c r="H1005" t="s">
        <v>229</v>
      </c>
      <c r="I1005" t="s">
        <v>84</v>
      </c>
      <c r="J1005" t="s">
        <v>85</v>
      </c>
      <c r="K1005" t="s">
        <v>83</v>
      </c>
      <c r="L1005" s="25">
        <v>44030</v>
      </c>
      <c r="M1005">
        <v>7</v>
      </c>
      <c r="N1005">
        <v>2020</v>
      </c>
      <c r="O1005" t="s">
        <v>110</v>
      </c>
      <c r="P1005">
        <v>170</v>
      </c>
      <c r="Q1005" s="17">
        <v>44030.258225925929</v>
      </c>
      <c r="R1005" t="s">
        <v>126</v>
      </c>
    </row>
    <row r="1006" spans="1:18" x14ac:dyDescent="0.3">
      <c r="A1006">
        <v>9685664</v>
      </c>
      <c r="B1006" t="s">
        <v>78</v>
      </c>
      <c r="C1006">
        <v>1328898</v>
      </c>
      <c r="D1006" t="s">
        <v>78</v>
      </c>
      <c r="E1006">
        <v>820</v>
      </c>
      <c r="F1006">
        <v>820</v>
      </c>
      <c r="G1006" t="s">
        <v>136</v>
      </c>
      <c r="H1006" t="s">
        <v>282</v>
      </c>
      <c r="I1006" t="s">
        <v>78</v>
      </c>
      <c r="J1006" t="s">
        <v>42</v>
      </c>
      <c r="K1006" t="s">
        <v>83</v>
      </c>
      <c r="L1006" s="25">
        <v>44030</v>
      </c>
      <c r="M1006">
        <v>7</v>
      </c>
      <c r="N1006">
        <v>2020</v>
      </c>
      <c r="O1006" t="s">
        <v>110</v>
      </c>
      <c r="P1006">
        <v>170</v>
      </c>
      <c r="Q1006" s="17">
        <v>44030.43964571759</v>
      </c>
      <c r="R1006" t="s">
        <v>126</v>
      </c>
    </row>
    <row r="1007" spans="1:18" x14ac:dyDescent="0.3">
      <c r="A1007">
        <v>241193</v>
      </c>
      <c r="B1007" t="s">
        <v>78</v>
      </c>
      <c r="C1007">
        <v>1321696</v>
      </c>
      <c r="D1007" t="s">
        <v>78</v>
      </c>
      <c r="E1007" t="s">
        <v>26</v>
      </c>
      <c r="F1007" t="s">
        <v>26</v>
      </c>
      <c r="G1007" t="s">
        <v>137</v>
      </c>
      <c r="H1007" t="s">
        <v>245</v>
      </c>
      <c r="I1007" t="s">
        <v>78</v>
      </c>
      <c r="J1007" t="s">
        <v>42</v>
      </c>
      <c r="K1007" t="s">
        <v>83</v>
      </c>
      <c r="L1007" s="25">
        <v>44030</v>
      </c>
      <c r="M1007">
        <v>7</v>
      </c>
      <c r="N1007">
        <v>2020</v>
      </c>
      <c r="O1007" t="s">
        <v>110</v>
      </c>
      <c r="P1007">
        <v>170</v>
      </c>
      <c r="Q1007" s="17">
        <v>44030.477550462965</v>
      </c>
      <c r="R1007" t="s">
        <v>126</v>
      </c>
    </row>
    <row r="1008" spans="1:18" x14ac:dyDescent="0.3">
      <c r="A1008">
        <v>9684294</v>
      </c>
      <c r="B1008" t="s">
        <v>72</v>
      </c>
      <c r="C1008">
        <v>1331520</v>
      </c>
      <c r="D1008" t="s">
        <v>108</v>
      </c>
      <c r="E1008" t="s">
        <v>26</v>
      </c>
      <c r="F1008" t="s">
        <v>26</v>
      </c>
      <c r="G1008" t="s">
        <v>137</v>
      </c>
      <c r="H1008" t="s">
        <v>229</v>
      </c>
      <c r="I1008" t="s">
        <v>84</v>
      </c>
      <c r="J1008" t="s">
        <v>85</v>
      </c>
      <c r="K1008" t="s">
        <v>83</v>
      </c>
      <c r="L1008" s="25">
        <v>44030</v>
      </c>
      <c r="M1008">
        <v>7</v>
      </c>
      <c r="N1008">
        <v>2020</v>
      </c>
      <c r="O1008" t="s">
        <v>110</v>
      </c>
      <c r="P1008">
        <v>170</v>
      </c>
      <c r="Q1008" s="17">
        <v>44030.381214120367</v>
      </c>
      <c r="R1008" t="s">
        <v>126</v>
      </c>
    </row>
    <row r="1009" spans="1:18" x14ac:dyDescent="0.3">
      <c r="A1009">
        <v>9681634</v>
      </c>
      <c r="B1009" t="s">
        <v>78</v>
      </c>
      <c r="C1009">
        <v>1326139</v>
      </c>
      <c r="D1009" t="s">
        <v>78</v>
      </c>
      <c r="E1009">
        <v>966</v>
      </c>
      <c r="F1009">
        <v>966</v>
      </c>
      <c r="G1009" t="s">
        <v>139</v>
      </c>
      <c r="H1009" t="s">
        <v>105</v>
      </c>
      <c r="I1009" t="s">
        <v>78</v>
      </c>
      <c r="J1009" t="s">
        <v>42</v>
      </c>
      <c r="K1009" t="s">
        <v>87</v>
      </c>
      <c r="L1009" s="25">
        <v>44030</v>
      </c>
      <c r="M1009">
        <v>7</v>
      </c>
      <c r="N1009">
        <v>2020</v>
      </c>
      <c r="O1009" t="s">
        <v>110</v>
      </c>
      <c r="P1009">
        <v>170</v>
      </c>
      <c r="Q1009" s="17">
        <v>44030.491461921294</v>
      </c>
      <c r="R1009" t="s">
        <v>126</v>
      </c>
    </row>
    <row r="1010" spans="1:18" x14ac:dyDescent="0.3">
      <c r="A1010">
        <v>9685710</v>
      </c>
      <c r="B1010" t="s">
        <v>78</v>
      </c>
      <c r="C1010">
        <v>1329834</v>
      </c>
      <c r="D1010" t="s">
        <v>78</v>
      </c>
      <c r="E1010">
        <v>820</v>
      </c>
      <c r="F1010">
        <v>820</v>
      </c>
      <c r="G1010" t="s">
        <v>136</v>
      </c>
      <c r="H1010" t="s">
        <v>250</v>
      </c>
      <c r="I1010" t="s">
        <v>78</v>
      </c>
      <c r="J1010" t="s">
        <v>42</v>
      </c>
      <c r="K1010" t="s">
        <v>83</v>
      </c>
      <c r="L1010" s="25">
        <v>44030</v>
      </c>
      <c r="M1010">
        <v>7</v>
      </c>
      <c r="N1010">
        <v>2020</v>
      </c>
      <c r="O1010" t="s">
        <v>110</v>
      </c>
      <c r="P1010">
        <v>170</v>
      </c>
      <c r="Q1010" s="17">
        <v>44030.479993287037</v>
      </c>
      <c r="R1010" t="s">
        <v>126</v>
      </c>
    </row>
    <row r="1011" spans="1:18" x14ac:dyDescent="0.3">
      <c r="A1011">
        <v>242115</v>
      </c>
      <c r="B1011" t="s">
        <v>78</v>
      </c>
      <c r="C1011">
        <v>1322581</v>
      </c>
      <c r="D1011" t="s">
        <v>78</v>
      </c>
      <c r="E1011">
        <v>966</v>
      </c>
      <c r="F1011">
        <v>966</v>
      </c>
      <c r="G1011" t="s">
        <v>139</v>
      </c>
      <c r="H1011" t="s">
        <v>105</v>
      </c>
      <c r="I1011" t="s">
        <v>78</v>
      </c>
      <c r="J1011" t="s">
        <v>42</v>
      </c>
      <c r="K1011" t="s">
        <v>87</v>
      </c>
      <c r="L1011" s="25">
        <v>44030</v>
      </c>
      <c r="M1011">
        <v>7</v>
      </c>
      <c r="N1011">
        <v>2020</v>
      </c>
      <c r="O1011" t="s">
        <v>110</v>
      </c>
      <c r="P1011">
        <v>170</v>
      </c>
      <c r="Q1011" s="17">
        <v>44030.451798495371</v>
      </c>
      <c r="R1011" t="s">
        <v>126</v>
      </c>
    </row>
    <row r="1012" spans="1:18" x14ac:dyDescent="0.3">
      <c r="A1012">
        <v>9687010</v>
      </c>
      <c r="B1012" t="s">
        <v>80</v>
      </c>
      <c r="C1012">
        <v>1330269</v>
      </c>
      <c r="D1012" t="s">
        <v>113</v>
      </c>
      <c r="E1012" t="s">
        <v>146</v>
      </c>
      <c r="F1012" t="s">
        <v>17</v>
      </c>
      <c r="G1012" t="s">
        <v>153</v>
      </c>
      <c r="H1012" t="s">
        <v>232</v>
      </c>
      <c r="I1012" t="s">
        <v>84</v>
      </c>
      <c r="J1012" t="s">
        <v>85</v>
      </c>
      <c r="K1012" t="s">
        <v>87</v>
      </c>
      <c r="L1012" s="25">
        <v>44030</v>
      </c>
      <c r="M1012">
        <v>7</v>
      </c>
      <c r="N1012">
        <v>2020</v>
      </c>
      <c r="O1012" t="s">
        <v>110</v>
      </c>
      <c r="P1012">
        <v>170</v>
      </c>
      <c r="Q1012" s="17">
        <v>44030.497524305552</v>
      </c>
      <c r="R1012" t="s">
        <v>126</v>
      </c>
    </row>
    <row r="1013" spans="1:18" x14ac:dyDescent="0.3">
      <c r="A1013">
        <v>9686633</v>
      </c>
      <c r="B1013" t="s">
        <v>78</v>
      </c>
      <c r="C1013">
        <v>1329969</v>
      </c>
      <c r="D1013" t="s">
        <v>78</v>
      </c>
      <c r="E1013" t="s">
        <v>146</v>
      </c>
      <c r="F1013" t="s">
        <v>17</v>
      </c>
      <c r="G1013" t="s">
        <v>153</v>
      </c>
      <c r="H1013" t="s">
        <v>134</v>
      </c>
      <c r="I1013" t="s">
        <v>78</v>
      </c>
      <c r="J1013" t="s">
        <v>42</v>
      </c>
      <c r="K1013" t="s">
        <v>87</v>
      </c>
      <c r="L1013" s="25">
        <v>44030</v>
      </c>
      <c r="M1013">
        <v>7</v>
      </c>
      <c r="N1013">
        <v>2020</v>
      </c>
      <c r="O1013" t="s">
        <v>110</v>
      </c>
      <c r="P1013">
        <v>170</v>
      </c>
      <c r="Q1013" s="17">
        <v>44030.483197800924</v>
      </c>
      <c r="R1013" t="s">
        <v>126</v>
      </c>
    </row>
    <row r="1014" spans="1:18" x14ac:dyDescent="0.3">
      <c r="A1014">
        <v>9687673</v>
      </c>
      <c r="B1014" t="s">
        <v>78</v>
      </c>
      <c r="C1014">
        <v>1330584</v>
      </c>
      <c r="D1014" t="s">
        <v>78</v>
      </c>
      <c r="E1014">
        <v>820</v>
      </c>
      <c r="F1014">
        <v>820</v>
      </c>
      <c r="G1014" t="s">
        <v>136</v>
      </c>
      <c r="H1014" t="s">
        <v>249</v>
      </c>
      <c r="I1014" t="s">
        <v>78</v>
      </c>
      <c r="J1014" t="s">
        <v>42</v>
      </c>
      <c r="K1014" t="s">
        <v>83</v>
      </c>
      <c r="L1014" s="25">
        <v>44030</v>
      </c>
      <c r="M1014">
        <v>7</v>
      </c>
      <c r="N1014">
        <v>2020</v>
      </c>
      <c r="O1014" t="s">
        <v>110</v>
      </c>
      <c r="P1014">
        <v>170</v>
      </c>
      <c r="Q1014" s="17">
        <v>44030.494045949075</v>
      </c>
      <c r="R1014" t="s">
        <v>126</v>
      </c>
    </row>
    <row r="1015" spans="1:18" x14ac:dyDescent="0.3">
      <c r="A1015">
        <v>9686173</v>
      </c>
      <c r="B1015" t="s">
        <v>80</v>
      </c>
      <c r="C1015">
        <v>1329634</v>
      </c>
      <c r="D1015" t="s">
        <v>113</v>
      </c>
      <c r="E1015" t="s">
        <v>146</v>
      </c>
      <c r="F1015" t="s">
        <v>17</v>
      </c>
      <c r="G1015" t="s">
        <v>153</v>
      </c>
      <c r="H1015" t="s">
        <v>232</v>
      </c>
      <c r="I1015" t="s">
        <v>84</v>
      </c>
      <c r="J1015" t="s">
        <v>85</v>
      </c>
      <c r="K1015" t="s">
        <v>87</v>
      </c>
      <c r="L1015" s="25">
        <v>44030</v>
      </c>
      <c r="M1015">
        <v>7</v>
      </c>
      <c r="N1015">
        <v>2020</v>
      </c>
      <c r="O1015" t="s">
        <v>110</v>
      </c>
      <c r="P1015">
        <v>170</v>
      </c>
      <c r="Q1015" s="17">
        <v>44030.440214699076</v>
      </c>
      <c r="R1015" t="s">
        <v>126</v>
      </c>
    </row>
    <row r="1016" spans="1:18" x14ac:dyDescent="0.3">
      <c r="A1016">
        <v>9685288</v>
      </c>
      <c r="B1016" t="s">
        <v>80</v>
      </c>
      <c r="C1016">
        <v>1329185</v>
      </c>
      <c r="D1016" t="s">
        <v>113</v>
      </c>
      <c r="E1016" t="s">
        <v>58</v>
      </c>
      <c r="F1016" t="s">
        <v>58</v>
      </c>
      <c r="G1016" t="s">
        <v>114</v>
      </c>
      <c r="H1016" t="s">
        <v>232</v>
      </c>
      <c r="I1016" t="s">
        <v>84</v>
      </c>
      <c r="J1016" t="s">
        <v>85</v>
      </c>
      <c r="K1016" t="s">
        <v>87</v>
      </c>
      <c r="L1016" s="25">
        <v>44030</v>
      </c>
      <c r="M1016">
        <v>7</v>
      </c>
      <c r="N1016">
        <v>2020</v>
      </c>
      <c r="O1016" t="s">
        <v>110</v>
      </c>
      <c r="P1016">
        <v>170</v>
      </c>
      <c r="Q1016" s="17">
        <v>44030.471644212965</v>
      </c>
      <c r="R1016" t="s">
        <v>121</v>
      </c>
    </row>
    <row r="1017" spans="1:18" x14ac:dyDescent="0.3">
      <c r="A1017">
        <v>244446</v>
      </c>
      <c r="B1017" t="s">
        <v>78</v>
      </c>
      <c r="C1017">
        <v>1329210</v>
      </c>
      <c r="D1017" t="s">
        <v>78</v>
      </c>
      <c r="E1017" t="s">
        <v>117</v>
      </c>
      <c r="F1017" t="s">
        <v>117</v>
      </c>
      <c r="G1017" t="s">
        <v>59</v>
      </c>
      <c r="H1017" t="s">
        <v>230</v>
      </c>
      <c r="I1017" t="s">
        <v>78</v>
      </c>
      <c r="J1017" t="s">
        <v>42</v>
      </c>
      <c r="K1017" t="s">
        <v>91</v>
      </c>
      <c r="L1017" s="25">
        <v>44030</v>
      </c>
      <c r="M1017">
        <v>7</v>
      </c>
      <c r="N1017">
        <v>2020</v>
      </c>
      <c r="O1017" t="s">
        <v>110</v>
      </c>
      <c r="P1017">
        <v>170</v>
      </c>
      <c r="Q1017" s="17">
        <v>44030.441510532408</v>
      </c>
      <c r="R1017" t="s">
        <v>118</v>
      </c>
    </row>
    <row r="1018" spans="1:18" x14ac:dyDescent="0.3">
      <c r="A1018">
        <v>244498</v>
      </c>
      <c r="B1018" t="s">
        <v>80</v>
      </c>
      <c r="C1018">
        <v>1329296</v>
      </c>
      <c r="D1018" t="s">
        <v>113</v>
      </c>
      <c r="E1018" t="s">
        <v>58</v>
      </c>
      <c r="F1018" t="s">
        <v>58</v>
      </c>
      <c r="G1018" t="s">
        <v>114</v>
      </c>
      <c r="H1018" t="s">
        <v>232</v>
      </c>
      <c r="I1018" t="s">
        <v>84</v>
      </c>
      <c r="J1018" t="s">
        <v>85</v>
      </c>
      <c r="K1018" t="s">
        <v>87</v>
      </c>
      <c r="L1018" s="25">
        <v>44030</v>
      </c>
      <c r="M1018">
        <v>7</v>
      </c>
      <c r="N1018">
        <v>2020</v>
      </c>
      <c r="O1018" t="s">
        <v>110</v>
      </c>
      <c r="P1018">
        <v>170</v>
      </c>
      <c r="Q1018" s="17">
        <v>44030.473043865743</v>
      </c>
      <c r="R1018" t="s">
        <v>121</v>
      </c>
    </row>
    <row r="1019" spans="1:18" x14ac:dyDescent="0.3">
      <c r="A1019">
        <v>9686217</v>
      </c>
      <c r="B1019" t="s">
        <v>72</v>
      </c>
      <c r="C1019">
        <v>1329428</v>
      </c>
      <c r="D1019" t="s">
        <v>108</v>
      </c>
      <c r="E1019" t="s">
        <v>57</v>
      </c>
      <c r="F1019" t="s">
        <v>57</v>
      </c>
      <c r="G1019" t="s">
        <v>109</v>
      </c>
      <c r="H1019" t="s">
        <v>229</v>
      </c>
      <c r="I1019" t="s">
        <v>84</v>
      </c>
      <c r="J1019" t="s">
        <v>85</v>
      </c>
      <c r="K1019" t="s">
        <v>87</v>
      </c>
      <c r="L1019" s="25">
        <v>44030</v>
      </c>
      <c r="M1019">
        <v>7</v>
      </c>
      <c r="N1019">
        <v>2020</v>
      </c>
      <c r="O1019" t="s">
        <v>110</v>
      </c>
      <c r="P1019">
        <v>170</v>
      </c>
      <c r="Q1019" s="17">
        <v>44030.464291203702</v>
      </c>
      <c r="R1019" t="s">
        <v>111</v>
      </c>
    </row>
    <row r="1020" spans="1:18" x14ac:dyDescent="0.3">
      <c r="A1020">
        <v>9686522</v>
      </c>
      <c r="B1020" t="s">
        <v>78</v>
      </c>
      <c r="C1020">
        <v>1329478</v>
      </c>
      <c r="D1020" t="s">
        <v>78</v>
      </c>
      <c r="E1020" t="s">
        <v>57</v>
      </c>
      <c r="F1020" t="s">
        <v>57</v>
      </c>
      <c r="G1020" t="s">
        <v>109</v>
      </c>
      <c r="H1020" t="s">
        <v>105</v>
      </c>
      <c r="I1020" t="s">
        <v>78</v>
      </c>
      <c r="J1020" t="s">
        <v>42</v>
      </c>
      <c r="K1020" t="s">
        <v>87</v>
      </c>
      <c r="L1020" s="25">
        <v>44030</v>
      </c>
      <c r="M1020">
        <v>7</v>
      </c>
      <c r="N1020">
        <v>2020</v>
      </c>
      <c r="O1020" t="s">
        <v>110</v>
      </c>
      <c r="P1020">
        <v>170</v>
      </c>
      <c r="Q1020" s="17">
        <v>44030.462762152776</v>
      </c>
      <c r="R1020" t="s">
        <v>111</v>
      </c>
    </row>
    <row r="1021" spans="1:18" x14ac:dyDescent="0.3">
      <c r="A1021">
        <v>9686592</v>
      </c>
      <c r="B1021" t="s">
        <v>78</v>
      </c>
      <c r="C1021">
        <v>1329496</v>
      </c>
      <c r="D1021" t="s">
        <v>78</v>
      </c>
      <c r="E1021" t="s">
        <v>58</v>
      </c>
      <c r="F1021" t="s">
        <v>58</v>
      </c>
      <c r="G1021" t="s">
        <v>114</v>
      </c>
      <c r="H1021" t="s">
        <v>105</v>
      </c>
      <c r="I1021" t="s">
        <v>78</v>
      </c>
      <c r="J1021" t="s">
        <v>42</v>
      </c>
      <c r="K1021" t="s">
        <v>87</v>
      </c>
      <c r="L1021" s="25">
        <v>44030</v>
      </c>
      <c r="M1021">
        <v>7</v>
      </c>
      <c r="N1021">
        <v>2020</v>
      </c>
      <c r="O1021" t="s">
        <v>110</v>
      </c>
      <c r="P1021">
        <v>170</v>
      </c>
      <c r="Q1021" s="17">
        <v>44030.462850810189</v>
      </c>
      <c r="R1021" t="s">
        <v>115</v>
      </c>
    </row>
    <row r="1022" spans="1:18" x14ac:dyDescent="0.3">
      <c r="A1022">
        <v>9686188</v>
      </c>
      <c r="B1022" t="s">
        <v>79</v>
      </c>
      <c r="C1022">
        <v>1329882</v>
      </c>
      <c r="D1022" t="s">
        <v>116</v>
      </c>
      <c r="E1022" t="s">
        <v>58</v>
      </c>
      <c r="F1022" t="s">
        <v>58</v>
      </c>
      <c r="G1022" t="s">
        <v>114</v>
      </c>
      <c r="H1022" t="s">
        <v>233</v>
      </c>
      <c r="I1022" t="s">
        <v>82</v>
      </c>
      <c r="J1022" t="s">
        <v>42</v>
      </c>
      <c r="K1022" t="s">
        <v>87</v>
      </c>
      <c r="L1022" s="25">
        <v>44030</v>
      </c>
      <c r="M1022">
        <v>7</v>
      </c>
      <c r="N1022">
        <v>2020</v>
      </c>
      <c r="O1022" t="s">
        <v>110</v>
      </c>
      <c r="P1022">
        <v>170</v>
      </c>
      <c r="Q1022" s="17">
        <v>44030.464134027781</v>
      </c>
      <c r="R1022" t="s">
        <v>111</v>
      </c>
    </row>
    <row r="1023" spans="1:18" x14ac:dyDescent="0.3">
      <c r="A1023">
        <v>9686539</v>
      </c>
      <c r="B1023" t="s">
        <v>79</v>
      </c>
      <c r="C1023">
        <v>1329989</v>
      </c>
      <c r="D1023" t="s">
        <v>116</v>
      </c>
      <c r="E1023" t="s">
        <v>58</v>
      </c>
      <c r="F1023" t="s">
        <v>58</v>
      </c>
      <c r="G1023" t="s">
        <v>114</v>
      </c>
      <c r="H1023" t="s">
        <v>233</v>
      </c>
      <c r="I1023" t="s">
        <v>82</v>
      </c>
      <c r="J1023" t="s">
        <v>42</v>
      </c>
      <c r="K1023" t="s">
        <v>87</v>
      </c>
      <c r="L1023" s="25">
        <v>44030</v>
      </c>
      <c r="M1023">
        <v>7</v>
      </c>
      <c r="N1023">
        <v>2020</v>
      </c>
      <c r="O1023" t="s">
        <v>110</v>
      </c>
      <c r="P1023">
        <v>170</v>
      </c>
      <c r="Q1023" s="17">
        <v>44030.470650578703</v>
      </c>
      <c r="R1023" t="s">
        <v>111</v>
      </c>
    </row>
    <row r="1024" spans="1:18" x14ac:dyDescent="0.3">
      <c r="A1024">
        <v>9686424</v>
      </c>
      <c r="B1024" t="s">
        <v>79</v>
      </c>
      <c r="C1024">
        <v>1330014</v>
      </c>
      <c r="D1024" t="s">
        <v>116</v>
      </c>
      <c r="E1024" t="s">
        <v>58</v>
      </c>
      <c r="F1024" t="s">
        <v>58</v>
      </c>
      <c r="G1024" t="s">
        <v>114</v>
      </c>
      <c r="H1024" t="s">
        <v>233</v>
      </c>
      <c r="I1024" t="s">
        <v>82</v>
      </c>
      <c r="J1024" t="s">
        <v>42</v>
      </c>
      <c r="K1024" t="s">
        <v>87</v>
      </c>
      <c r="L1024" s="25">
        <v>44030</v>
      </c>
      <c r="M1024">
        <v>7</v>
      </c>
      <c r="N1024">
        <v>2020</v>
      </c>
      <c r="O1024" t="s">
        <v>110</v>
      </c>
      <c r="P1024">
        <v>170</v>
      </c>
      <c r="Q1024" s="17">
        <v>44030.47816446759</v>
      </c>
      <c r="R1024" t="s">
        <v>111</v>
      </c>
    </row>
    <row r="1025" spans="1:18" x14ac:dyDescent="0.3">
      <c r="A1025">
        <v>244688</v>
      </c>
      <c r="B1025" t="s">
        <v>72</v>
      </c>
      <c r="C1025">
        <v>1330096</v>
      </c>
      <c r="D1025" t="s">
        <v>108</v>
      </c>
      <c r="E1025" t="s">
        <v>58</v>
      </c>
      <c r="F1025" t="s">
        <v>58</v>
      </c>
      <c r="G1025" t="s">
        <v>114</v>
      </c>
      <c r="H1025" t="s">
        <v>229</v>
      </c>
      <c r="I1025" t="s">
        <v>84</v>
      </c>
      <c r="J1025" t="s">
        <v>85</v>
      </c>
      <c r="K1025" t="s">
        <v>87</v>
      </c>
      <c r="L1025" s="25">
        <v>44030</v>
      </c>
      <c r="M1025">
        <v>7</v>
      </c>
      <c r="N1025">
        <v>2020</v>
      </c>
      <c r="O1025" t="s">
        <v>110</v>
      </c>
      <c r="P1025">
        <v>170</v>
      </c>
      <c r="Q1025" s="17">
        <v>44030.477089236112</v>
      </c>
      <c r="R1025" t="s">
        <v>111</v>
      </c>
    </row>
    <row r="1026" spans="1:18" x14ac:dyDescent="0.3">
      <c r="A1026">
        <v>244631</v>
      </c>
      <c r="B1026" t="s">
        <v>78</v>
      </c>
      <c r="C1026">
        <v>1330107</v>
      </c>
      <c r="D1026" t="s">
        <v>78</v>
      </c>
      <c r="E1026" t="s">
        <v>58</v>
      </c>
      <c r="F1026" t="s">
        <v>58</v>
      </c>
      <c r="G1026" t="s">
        <v>114</v>
      </c>
      <c r="H1026" t="s">
        <v>105</v>
      </c>
      <c r="I1026" t="s">
        <v>78</v>
      </c>
      <c r="J1026" t="s">
        <v>42</v>
      </c>
      <c r="K1026" t="s">
        <v>87</v>
      </c>
      <c r="L1026" s="25">
        <v>44030</v>
      </c>
      <c r="M1026">
        <v>7</v>
      </c>
      <c r="N1026">
        <v>2020</v>
      </c>
      <c r="O1026" t="s">
        <v>110</v>
      </c>
      <c r="P1026">
        <v>170</v>
      </c>
      <c r="Q1026" s="17">
        <v>44030.477883912034</v>
      </c>
      <c r="R1026" t="s">
        <v>111</v>
      </c>
    </row>
    <row r="1027" spans="1:18" x14ac:dyDescent="0.3">
      <c r="A1027">
        <v>245062</v>
      </c>
      <c r="B1027" t="s">
        <v>72</v>
      </c>
      <c r="C1027">
        <v>1330146</v>
      </c>
      <c r="D1027" t="s">
        <v>108</v>
      </c>
      <c r="E1027" t="s">
        <v>58</v>
      </c>
      <c r="F1027" t="s">
        <v>58</v>
      </c>
      <c r="G1027" t="s">
        <v>114</v>
      </c>
      <c r="H1027" t="s">
        <v>229</v>
      </c>
      <c r="I1027" t="s">
        <v>84</v>
      </c>
      <c r="J1027" t="s">
        <v>85</v>
      </c>
      <c r="K1027" t="s">
        <v>87</v>
      </c>
      <c r="L1027" s="25">
        <v>44030</v>
      </c>
      <c r="M1027">
        <v>7</v>
      </c>
      <c r="N1027">
        <v>2020</v>
      </c>
      <c r="O1027" t="s">
        <v>110</v>
      </c>
      <c r="P1027">
        <v>170</v>
      </c>
      <c r="Q1027" s="17">
        <v>44030.479779861111</v>
      </c>
      <c r="R1027" t="s">
        <v>111</v>
      </c>
    </row>
    <row r="1028" spans="1:18" x14ac:dyDescent="0.3">
      <c r="A1028">
        <v>9687309</v>
      </c>
      <c r="B1028" t="s">
        <v>80</v>
      </c>
      <c r="C1028">
        <v>1330639</v>
      </c>
      <c r="D1028" t="s">
        <v>113</v>
      </c>
      <c r="E1028" t="s">
        <v>57</v>
      </c>
      <c r="F1028" t="s">
        <v>57</v>
      </c>
      <c r="G1028" t="s">
        <v>109</v>
      </c>
      <c r="H1028" t="s">
        <v>232</v>
      </c>
      <c r="I1028" t="s">
        <v>84</v>
      </c>
      <c r="J1028" t="s">
        <v>85</v>
      </c>
      <c r="K1028" t="s">
        <v>87</v>
      </c>
      <c r="L1028" s="25">
        <v>44030</v>
      </c>
      <c r="M1028">
        <v>7</v>
      </c>
      <c r="N1028">
        <v>2020</v>
      </c>
      <c r="O1028" t="s">
        <v>110</v>
      </c>
      <c r="P1028">
        <v>170</v>
      </c>
      <c r="Q1028" s="17">
        <v>44030.492581597224</v>
      </c>
      <c r="R1028" t="s">
        <v>121</v>
      </c>
    </row>
    <row r="1029" spans="1:18" x14ac:dyDescent="0.3">
      <c r="A1029">
        <v>9688581</v>
      </c>
      <c r="B1029" t="s">
        <v>72</v>
      </c>
      <c r="C1029">
        <v>1330725</v>
      </c>
      <c r="D1029" t="s">
        <v>108</v>
      </c>
      <c r="E1029" t="s">
        <v>57</v>
      </c>
      <c r="F1029" t="s">
        <v>57</v>
      </c>
      <c r="G1029" t="s">
        <v>109</v>
      </c>
      <c r="H1029" t="s">
        <v>229</v>
      </c>
      <c r="I1029" t="s">
        <v>84</v>
      </c>
      <c r="J1029" t="s">
        <v>85</v>
      </c>
      <c r="K1029" t="s">
        <v>87</v>
      </c>
      <c r="L1029" s="25">
        <v>44030</v>
      </c>
      <c r="M1029">
        <v>7</v>
      </c>
      <c r="N1029">
        <v>2020</v>
      </c>
      <c r="O1029" t="s">
        <v>110</v>
      </c>
      <c r="P1029">
        <v>170</v>
      </c>
      <c r="Q1029" s="17">
        <v>44030.489221064818</v>
      </c>
      <c r="R1029" t="s">
        <v>112</v>
      </c>
    </row>
    <row r="1030" spans="1:18" x14ac:dyDescent="0.3">
      <c r="A1030">
        <v>9685954</v>
      </c>
      <c r="B1030" t="s">
        <v>78</v>
      </c>
      <c r="C1030">
        <v>1329896</v>
      </c>
      <c r="D1030" t="s">
        <v>78</v>
      </c>
      <c r="E1030">
        <v>820</v>
      </c>
      <c r="F1030">
        <v>820</v>
      </c>
      <c r="G1030" t="s">
        <v>136</v>
      </c>
      <c r="H1030" t="s">
        <v>249</v>
      </c>
      <c r="I1030" t="s">
        <v>78</v>
      </c>
      <c r="J1030" t="s">
        <v>42</v>
      </c>
      <c r="K1030" t="s">
        <v>83</v>
      </c>
      <c r="L1030" s="25">
        <v>44030</v>
      </c>
      <c r="M1030">
        <v>7</v>
      </c>
      <c r="N1030">
        <v>2020</v>
      </c>
      <c r="O1030" t="s">
        <v>110</v>
      </c>
      <c r="P1030">
        <v>170</v>
      </c>
      <c r="Q1030" s="17">
        <v>44030.488430092591</v>
      </c>
      <c r="R1030" t="s">
        <v>126</v>
      </c>
    </row>
    <row r="1031" spans="1:18" x14ac:dyDescent="0.3">
      <c r="A1031">
        <v>21524053</v>
      </c>
      <c r="B1031" t="s">
        <v>78</v>
      </c>
      <c r="C1031">
        <v>1319293</v>
      </c>
      <c r="D1031" t="s">
        <v>78</v>
      </c>
      <c r="E1031">
        <v>966</v>
      </c>
      <c r="F1031">
        <v>966</v>
      </c>
      <c r="G1031" t="s">
        <v>139</v>
      </c>
      <c r="H1031" t="s">
        <v>257</v>
      </c>
      <c r="I1031" t="s">
        <v>78</v>
      </c>
      <c r="J1031" t="s">
        <v>42</v>
      </c>
      <c r="K1031" t="s">
        <v>87</v>
      </c>
      <c r="L1031" s="25">
        <v>44030</v>
      </c>
      <c r="M1031">
        <v>7</v>
      </c>
      <c r="N1031">
        <v>2020</v>
      </c>
      <c r="O1031" t="s">
        <v>110</v>
      </c>
      <c r="P1031">
        <v>170</v>
      </c>
      <c r="Q1031" s="17">
        <v>44030.440436921293</v>
      </c>
      <c r="R1031" t="s">
        <v>126</v>
      </c>
    </row>
    <row r="1032" spans="1:18" x14ac:dyDescent="0.3">
      <c r="A1032">
        <v>9685884</v>
      </c>
      <c r="B1032" t="s">
        <v>78</v>
      </c>
      <c r="C1032">
        <v>1328917</v>
      </c>
      <c r="D1032" t="s">
        <v>78</v>
      </c>
      <c r="E1032">
        <v>820</v>
      </c>
      <c r="F1032">
        <v>820</v>
      </c>
      <c r="G1032" t="s">
        <v>136</v>
      </c>
      <c r="H1032" t="s">
        <v>249</v>
      </c>
      <c r="I1032" t="s">
        <v>78</v>
      </c>
      <c r="J1032" t="s">
        <v>42</v>
      </c>
      <c r="K1032" t="s">
        <v>83</v>
      </c>
      <c r="L1032" s="25">
        <v>44030</v>
      </c>
      <c r="M1032">
        <v>7</v>
      </c>
      <c r="N1032">
        <v>2020</v>
      </c>
      <c r="O1032" t="s">
        <v>110</v>
      </c>
      <c r="P1032">
        <v>170</v>
      </c>
      <c r="Q1032" s="17">
        <v>44030.442086805553</v>
      </c>
      <c r="R1032" t="s">
        <v>126</v>
      </c>
    </row>
    <row r="1033" spans="1:18" x14ac:dyDescent="0.3">
      <c r="A1033">
        <v>9683382</v>
      </c>
      <c r="B1033" t="s">
        <v>72</v>
      </c>
      <c r="C1033">
        <v>1335855</v>
      </c>
      <c r="D1033" t="s">
        <v>108</v>
      </c>
      <c r="E1033" t="s">
        <v>26</v>
      </c>
      <c r="F1033" t="s">
        <v>26</v>
      </c>
      <c r="G1033" t="s">
        <v>137</v>
      </c>
      <c r="H1033" t="s">
        <v>229</v>
      </c>
      <c r="I1033" t="s">
        <v>84</v>
      </c>
      <c r="J1033" t="s">
        <v>85</v>
      </c>
      <c r="K1033" t="s">
        <v>83</v>
      </c>
      <c r="L1033" s="25">
        <v>44030</v>
      </c>
      <c r="M1033">
        <v>7</v>
      </c>
      <c r="N1033">
        <v>2020</v>
      </c>
      <c r="O1033" t="s">
        <v>110</v>
      </c>
      <c r="P1033">
        <v>170</v>
      </c>
      <c r="Q1033" s="17">
        <v>44031.132760069442</v>
      </c>
      <c r="R1033" t="s">
        <v>126</v>
      </c>
    </row>
    <row r="1034" spans="1:18" x14ac:dyDescent="0.3">
      <c r="A1034">
        <v>241157</v>
      </c>
      <c r="B1034" t="s">
        <v>72</v>
      </c>
      <c r="C1034">
        <v>1325962</v>
      </c>
      <c r="D1034" t="s">
        <v>108</v>
      </c>
      <c r="E1034">
        <v>966</v>
      </c>
      <c r="F1034">
        <v>966</v>
      </c>
      <c r="G1034" t="s">
        <v>139</v>
      </c>
      <c r="H1034" t="s">
        <v>261</v>
      </c>
      <c r="I1034" t="s">
        <v>84</v>
      </c>
      <c r="J1034" t="s">
        <v>85</v>
      </c>
      <c r="K1034" t="s">
        <v>87</v>
      </c>
      <c r="L1034" s="25">
        <v>44030</v>
      </c>
      <c r="M1034">
        <v>7</v>
      </c>
      <c r="N1034">
        <v>2020</v>
      </c>
      <c r="O1034" t="s">
        <v>110</v>
      </c>
      <c r="P1034">
        <v>170</v>
      </c>
      <c r="Q1034" s="17">
        <v>44030.490333912036</v>
      </c>
      <c r="R1034" t="s">
        <v>126</v>
      </c>
    </row>
    <row r="1035" spans="1:18" x14ac:dyDescent="0.3">
      <c r="A1035">
        <v>9685730</v>
      </c>
      <c r="B1035" t="s">
        <v>78</v>
      </c>
      <c r="C1035">
        <v>1329838</v>
      </c>
      <c r="D1035" t="s">
        <v>78</v>
      </c>
      <c r="E1035">
        <v>820</v>
      </c>
      <c r="F1035">
        <v>820</v>
      </c>
      <c r="G1035" t="s">
        <v>136</v>
      </c>
      <c r="H1035" t="s">
        <v>249</v>
      </c>
      <c r="I1035" t="s">
        <v>78</v>
      </c>
      <c r="J1035" t="s">
        <v>42</v>
      </c>
      <c r="K1035" t="s">
        <v>83</v>
      </c>
      <c r="L1035" s="25">
        <v>44030</v>
      </c>
      <c r="M1035">
        <v>7</v>
      </c>
      <c r="N1035">
        <v>2020</v>
      </c>
      <c r="O1035" t="s">
        <v>110</v>
      </c>
      <c r="P1035">
        <v>170</v>
      </c>
      <c r="Q1035" s="17">
        <v>44030.483063078704</v>
      </c>
      <c r="R1035" t="s">
        <v>126</v>
      </c>
    </row>
    <row r="1036" spans="1:18" x14ac:dyDescent="0.3">
      <c r="A1036">
        <v>244564</v>
      </c>
      <c r="B1036" t="s">
        <v>78</v>
      </c>
      <c r="C1036">
        <v>1330004</v>
      </c>
      <c r="D1036" t="s">
        <v>78</v>
      </c>
      <c r="E1036" t="s">
        <v>182</v>
      </c>
      <c r="F1036" t="s">
        <v>17</v>
      </c>
      <c r="G1036" t="s">
        <v>183</v>
      </c>
      <c r="H1036" t="s">
        <v>134</v>
      </c>
      <c r="I1036" t="s">
        <v>78</v>
      </c>
      <c r="J1036" t="s">
        <v>42</v>
      </c>
      <c r="K1036" t="s">
        <v>87</v>
      </c>
      <c r="L1036" s="25">
        <v>44030</v>
      </c>
      <c r="M1036">
        <v>7</v>
      </c>
      <c r="N1036">
        <v>2020</v>
      </c>
      <c r="O1036" t="s">
        <v>110</v>
      </c>
      <c r="P1036">
        <v>170</v>
      </c>
      <c r="Q1036" s="17">
        <v>44030.485297222222</v>
      </c>
      <c r="R1036" t="s">
        <v>126</v>
      </c>
    </row>
    <row r="1037" spans="1:18" x14ac:dyDescent="0.3">
      <c r="A1037">
        <v>9681615</v>
      </c>
      <c r="B1037" t="s">
        <v>78</v>
      </c>
      <c r="C1037">
        <v>1323881</v>
      </c>
      <c r="D1037" t="s">
        <v>78</v>
      </c>
      <c r="E1037">
        <v>966</v>
      </c>
      <c r="F1037">
        <v>966</v>
      </c>
      <c r="G1037" t="s">
        <v>139</v>
      </c>
      <c r="H1037" t="s">
        <v>105</v>
      </c>
      <c r="I1037" t="s">
        <v>78</v>
      </c>
      <c r="J1037" t="s">
        <v>42</v>
      </c>
      <c r="K1037" t="s">
        <v>87</v>
      </c>
      <c r="L1037" s="25">
        <v>44030</v>
      </c>
      <c r="M1037">
        <v>7</v>
      </c>
      <c r="N1037">
        <v>2020</v>
      </c>
      <c r="O1037" t="s">
        <v>110</v>
      </c>
      <c r="P1037">
        <v>170</v>
      </c>
      <c r="Q1037" s="17">
        <v>44030.469530671297</v>
      </c>
      <c r="R1037" t="s">
        <v>126</v>
      </c>
    </row>
    <row r="1038" spans="1:18" x14ac:dyDescent="0.3">
      <c r="A1038">
        <v>242596</v>
      </c>
      <c r="B1038" t="s">
        <v>72</v>
      </c>
      <c r="C1038">
        <v>1325753</v>
      </c>
      <c r="D1038" t="s">
        <v>108</v>
      </c>
      <c r="E1038" t="s">
        <v>12</v>
      </c>
      <c r="F1038" t="s">
        <v>12</v>
      </c>
      <c r="G1038" t="s">
        <v>135</v>
      </c>
      <c r="H1038" t="s">
        <v>229</v>
      </c>
      <c r="I1038" t="s">
        <v>84</v>
      </c>
      <c r="J1038" t="s">
        <v>85</v>
      </c>
      <c r="K1038" t="s">
        <v>83</v>
      </c>
      <c r="L1038" s="25">
        <v>44030</v>
      </c>
      <c r="M1038">
        <v>7</v>
      </c>
      <c r="N1038">
        <v>2020</v>
      </c>
      <c r="O1038" t="s">
        <v>110</v>
      </c>
      <c r="P1038">
        <v>170</v>
      </c>
      <c r="Q1038" s="17">
        <v>44030.254095023149</v>
      </c>
      <c r="R1038" t="s">
        <v>126</v>
      </c>
    </row>
    <row r="1039" spans="1:18" x14ac:dyDescent="0.3">
      <c r="A1039">
        <v>9681919</v>
      </c>
      <c r="B1039" t="s">
        <v>72</v>
      </c>
      <c r="C1039">
        <v>1326821</v>
      </c>
      <c r="D1039" t="s">
        <v>108</v>
      </c>
      <c r="E1039">
        <v>820</v>
      </c>
      <c r="F1039">
        <v>820</v>
      </c>
      <c r="G1039" t="s">
        <v>136</v>
      </c>
      <c r="H1039" t="s">
        <v>229</v>
      </c>
      <c r="I1039" t="s">
        <v>84</v>
      </c>
      <c r="J1039" t="s">
        <v>85</v>
      </c>
      <c r="K1039" t="s">
        <v>83</v>
      </c>
      <c r="L1039" s="25">
        <v>44030</v>
      </c>
      <c r="M1039">
        <v>7</v>
      </c>
      <c r="N1039">
        <v>2020</v>
      </c>
      <c r="O1039" t="s">
        <v>110</v>
      </c>
      <c r="P1039">
        <v>170</v>
      </c>
      <c r="Q1039" s="17">
        <v>44030.28445324074</v>
      </c>
      <c r="R1039" t="s">
        <v>126</v>
      </c>
    </row>
    <row r="1040" spans="1:18" x14ac:dyDescent="0.3">
      <c r="A1040">
        <v>9685936</v>
      </c>
      <c r="B1040" t="s">
        <v>78</v>
      </c>
      <c r="C1040">
        <v>1328736</v>
      </c>
      <c r="D1040" t="s">
        <v>78</v>
      </c>
      <c r="E1040">
        <v>820</v>
      </c>
      <c r="F1040">
        <v>820</v>
      </c>
      <c r="G1040" t="s">
        <v>136</v>
      </c>
      <c r="H1040" t="s">
        <v>250</v>
      </c>
      <c r="I1040" t="s">
        <v>78</v>
      </c>
      <c r="J1040" t="s">
        <v>42</v>
      </c>
      <c r="K1040" t="s">
        <v>83</v>
      </c>
      <c r="L1040" s="25">
        <v>44030</v>
      </c>
      <c r="M1040">
        <v>7</v>
      </c>
      <c r="N1040">
        <v>2020</v>
      </c>
      <c r="O1040" t="s">
        <v>110</v>
      </c>
      <c r="P1040">
        <v>170</v>
      </c>
      <c r="Q1040" s="17">
        <v>44030.430581712964</v>
      </c>
      <c r="R1040" t="s">
        <v>126</v>
      </c>
    </row>
    <row r="1041" spans="1:18" x14ac:dyDescent="0.3">
      <c r="A1041">
        <v>9686252</v>
      </c>
      <c r="B1041" t="s">
        <v>80</v>
      </c>
      <c r="C1041">
        <v>1329663</v>
      </c>
      <c r="D1041" t="s">
        <v>113</v>
      </c>
      <c r="E1041" t="s">
        <v>146</v>
      </c>
      <c r="F1041" t="s">
        <v>17</v>
      </c>
      <c r="G1041" t="s">
        <v>153</v>
      </c>
      <c r="H1041" t="s">
        <v>232</v>
      </c>
      <c r="I1041" t="s">
        <v>84</v>
      </c>
      <c r="J1041" t="s">
        <v>85</v>
      </c>
      <c r="K1041" t="s">
        <v>87</v>
      </c>
      <c r="L1041" s="25">
        <v>44030</v>
      </c>
      <c r="M1041">
        <v>7</v>
      </c>
      <c r="N1041">
        <v>2020</v>
      </c>
      <c r="O1041" t="s">
        <v>110</v>
      </c>
      <c r="P1041">
        <v>170</v>
      </c>
      <c r="Q1041" s="17">
        <v>44030.449782407406</v>
      </c>
      <c r="R1041" t="s">
        <v>126</v>
      </c>
    </row>
    <row r="1042" spans="1:18" x14ac:dyDescent="0.3">
      <c r="A1042">
        <v>9686916</v>
      </c>
      <c r="B1042" t="s">
        <v>78</v>
      </c>
      <c r="C1042">
        <v>1330204</v>
      </c>
      <c r="D1042" t="s">
        <v>78</v>
      </c>
      <c r="E1042" t="s">
        <v>146</v>
      </c>
      <c r="F1042" t="s">
        <v>17</v>
      </c>
      <c r="G1042" t="s">
        <v>153</v>
      </c>
      <c r="H1042" t="s">
        <v>134</v>
      </c>
      <c r="I1042" t="s">
        <v>78</v>
      </c>
      <c r="J1042" t="s">
        <v>42</v>
      </c>
      <c r="K1042" t="s">
        <v>87</v>
      </c>
      <c r="L1042" s="25">
        <v>44030</v>
      </c>
      <c r="M1042">
        <v>7</v>
      </c>
      <c r="N1042">
        <v>2020</v>
      </c>
      <c r="O1042" t="s">
        <v>110</v>
      </c>
      <c r="P1042">
        <v>170</v>
      </c>
      <c r="Q1042" s="17">
        <v>44030.492909490742</v>
      </c>
      <c r="R1042" t="s">
        <v>126</v>
      </c>
    </row>
    <row r="1043" spans="1:18" x14ac:dyDescent="0.3">
      <c r="A1043">
        <v>9681855</v>
      </c>
      <c r="B1043" t="s">
        <v>72</v>
      </c>
      <c r="C1043">
        <v>1327625</v>
      </c>
      <c r="D1043" t="s">
        <v>108</v>
      </c>
      <c r="E1043">
        <v>820</v>
      </c>
      <c r="F1043">
        <v>820</v>
      </c>
      <c r="G1043" t="s">
        <v>136</v>
      </c>
      <c r="H1043" t="s">
        <v>229</v>
      </c>
      <c r="I1043" t="s">
        <v>84</v>
      </c>
      <c r="J1043" t="s">
        <v>85</v>
      </c>
      <c r="K1043" t="s">
        <v>83</v>
      </c>
      <c r="L1043" s="25">
        <v>44030</v>
      </c>
      <c r="M1043">
        <v>7</v>
      </c>
      <c r="N1043">
        <v>2020</v>
      </c>
      <c r="O1043" t="s">
        <v>110</v>
      </c>
      <c r="P1043">
        <v>170</v>
      </c>
      <c r="Q1043" s="17">
        <v>44030.294199305557</v>
      </c>
      <c r="R1043" t="s">
        <v>126</v>
      </c>
    </row>
    <row r="1044" spans="1:18" x14ac:dyDescent="0.3">
      <c r="A1044">
        <v>9686291</v>
      </c>
      <c r="B1044" t="s">
        <v>72</v>
      </c>
      <c r="C1044">
        <v>1329463</v>
      </c>
      <c r="D1044" t="s">
        <v>108</v>
      </c>
      <c r="E1044" t="s">
        <v>12</v>
      </c>
      <c r="F1044" t="s">
        <v>12</v>
      </c>
      <c r="G1044" t="s">
        <v>135</v>
      </c>
      <c r="H1044" t="s">
        <v>261</v>
      </c>
      <c r="I1044" t="s">
        <v>84</v>
      </c>
      <c r="J1044" t="s">
        <v>85</v>
      </c>
      <c r="K1044" t="s">
        <v>83</v>
      </c>
      <c r="L1044" s="25">
        <v>44030</v>
      </c>
      <c r="M1044">
        <v>7</v>
      </c>
      <c r="N1044">
        <v>2020</v>
      </c>
      <c r="O1044" t="s">
        <v>110</v>
      </c>
      <c r="P1044">
        <v>170</v>
      </c>
      <c r="Q1044" s="17">
        <v>44030.440679282408</v>
      </c>
      <c r="R1044" t="s">
        <v>126</v>
      </c>
    </row>
    <row r="1045" spans="1:18" x14ac:dyDescent="0.3">
      <c r="A1045">
        <v>9686898</v>
      </c>
      <c r="B1045" t="s">
        <v>80</v>
      </c>
      <c r="C1045">
        <v>1329795</v>
      </c>
      <c r="D1045" t="s">
        <v>113</v>
      </c>
      <c r="E1045" t="s">
        <v>146</v>
      </c>
      <c r="F1045" t="s">
        <v>17</v>
      </c>
      <c r="G1045" t="s">
        <v>153</v>
      </c>
      <c r="H1045" t="s">
        <v>232</v>
      </c>
      <c r="I1045" t="s">
        <v>84</v>
      </c>
      <c r="J1045" t="s">
        <v>85</v>
      </c>
      <c r="K1045" t="s">
        <v>87</v>
      </c>
      <c r="L1045" s="25">
        <v>44030</v>
      </c>
      <c r="M1045">
        <v>7</v>
      </c>
      <c r="N1045">
        <v>2020</v>
      </c>
      <c r="O1045" t="s">
        <v>110</v>
      </c>
      <c r="P1045">
        <v>170</v>
      </c>
      <c r="Q1045" s="17">
        <v>44030.473582754632</v>
      </c>
      <c r="R1045" t="s">
        <v>126</v>
      </c>
    </row>
    <row r="1046" spans="1:18" x14ac:dyDescent="0.3">
      <c r="A1046">
        <v>241580</v>
      </c>
      <c r="B1046" t="s">
        <v>78</v>
      </c>
      <c r="C1046">
        <v>1322418</v>
      </c>
      <c r="D1046" t="s">
        <v>78</v>
      </c>
      <c r="E1046" t="s">
        <v>26</v>
      </c>
      <c r="F1046" t="s">
        <v>26</v>
      </c>
      <c r="G1046" t="s">
        <v>137</v>
      </c>
      <c r="H1046" t="s">
        <v>245</v>
      </c>
      <c r="I1046" t="s">
        <v>78</v>
      </c>
      <c r="J1046" t="s">
        <v>42</v>
      </c>
      <c r="K1046" t="s">
        <v>83</v>
      </c>
      <c r="L1046" s="25">
        <v>44030</v>
      </c>
      <c r="M1046">
        <v>7</v>
      </c>
      <c r="N1046">
        <v>2020</v>
      </c>
      <c r="O1046" t="s">
        <v>110</v>
      </c>
      <c r="P1046">
        <v>170</v>
      </c>
      <c r="Q1046" s="17">
        <v>44030.496208217592</v>
      </c>
      <c r="R1046" t="s">
        <v>126</v>
      </c>
    </row>
    <row r="1047" spans="1:18" x14ac:dyDescent="0.3">
      <c r="A1047">
        <v>9686966</v>
      </c>
      <c r="B1047" t="s">
        <v>78</v>
      </c>
      <c r="C1047">
        <v>1329995</v>
      </c>
      <c r="D1047" t="s">
        <v>78</v>
      </c>
      <c r="E1047" t="s">
        <v>146</v>
      </c>
      <c r="F1047" t="s">
        <v>17</v>
      </c>
      <c r="G1047" t="s">
        <v>153</v>
      </c>
      <c r="H1047" t="s">
        <v>134</v>
      </c>
      <c r="I1047" t="s">
        <v>78</v>
      </c>
      <c r="J1047" t="s">
        <v>42</v>
      </c>
      <c r="K1047" t="s">
        <v>87</v>
      </c>
      <c r="L1047" s="25">
        <v>44030</v>
      </c>
      <c r="M1047">
        <v>7</v>
      </c>
      <c r="N1047">
        <v>2020</v>
      </c>
      <c r="O1047" t="s">
        <v>110</v>
      </c>
      <c r="P1047">
        <v>170</v>
      </c>
      <c r="Q1047" s="17">
        <v>44030.484887615741</v>
      </c>
      <c r="R1047" t="s">
        <v>126</v>
      </c>
    </row>
    <row r="1048" spans="1:18" x14ac:dyDescent="0.3">
      <c r="A1048">
        <v>9685201</v>
      </c>
      <c r="B1048" t="s">
        <v>78</v>
      </c>
      <c r="C1048">
        <v>1329268</v>
      </c>
      <c r="D1048" t="s">
        <v>78</v>
      </c>
      <c r="E1048">
        <v>820</v>
      </c>
      <c r="F1048">
        <v>820</v>
      </c>
      <c r="G1048" t="s">
        <v>136</v>
      </c>
      <c r="H1048" t="s">
        <v>250</v>
      </c>
      <c r="I1048" t="s">
        <v>78</v>
      </c>
      <c r="J1048" t="s">
        <v>42</v>
      </c>
      <c r="K1048" t="s">
        <v>83</v>
      </c>
      <c r="L1048" s="25">
        <v>44030</v>
      </c>
      <c r="M1048">
        <v>7</v>
      </c>
      <c r="N1048">
        <v>2020</v>
      </c>
      <c r="O1048" t="s">
        <v>110</v>
      </c>
      <c r="P1048">
        <v>170</v>
      </c>
      <c r="Q1048" s="17">
        <v>44030.45966458333</v>
      </c>
      <c r="R1048" t="s">
        <v>126</v>
      </c>
    </row>
    <row r="1049" spans="1:18" x14ac:dyDescent="0.3">
      <c r="A1049">
        <v>9686265</v>
      </c>
      <c r="B1049" t="s">
        <v>80</v>
      </c>
      <c r="C1049">
        <v>1329672</v>
      </c>
      <c r="D1049" t="s">
        <v>113</v>
      </c>
      <c r="E1049" t="s">
        <v>146</v>
      </c>
      <c r="F1049" t="s">
        <v>17</v>
      </c>
      <c r="G1049" t="s">
        <v>153</v>
      </c>
      <c r="H1049" t="s">
        <v>232</v>
      </c>
      <c r="I1049" t="s">
        <v>84</v>
      </c>
      <c r="J1049" t="s">
        <v>85</v>
      </c>
      <c r="K1049" t="s">
        <v>87</v>
      </c>
      <c r="L1049" s="25">
        <v>44030</v>
      </c>
      <c r="M1049">
        <v>7</v>
      </c>
      <c r="N1049">
        <v>2020</v>
      </c>
      <c r="O1049" t="s">
        <v>110</v>
      </c>
      <c r="P1049">
        <v>170</v>
      </c>
      <c r="Q1049" s="17">
        <v>44030.452649421299</v>
      </c>
      <c r="R1049" t="s">
        <v>126</v>
      </c>
    </row>
    <row r="1050" spans="1:18" x14ac:dyDescent="0.3">
      <c r="A1050">
        <v>242171</v>
      </c>
      <c r="B1050" t="s">
        <v>78</v>
      </c>
      <c r="C1050">
        <v>1322584</v>
      </c>
      <c r="D1050" t="s">
        <v>78</v>
      </c>
      <c r="E1050" t="s">
        <v>26</v>
      </c>
      <c r="F1050" t="s">
        <v>26</v>
      </c>
      <c r="G1050" t="s">
        <v>137</v>
      </c>
      <c r="H1050" t="s">
        <v>245</v>
      </c>
      <c r="I1050" t="s">
        <v>78</v>
      </c>
      <c r="J1050" t="s">
        <v>42</v>
      </c>
      <c r="K1050" t="s">
        <v>83</v>
      </c>
      <c r="L1050" s="25">
        <v>44030</v>
      </c>
      <c r="M1050">
        <v>7</v>
      </c>
      <c r="N1050">
        <v>2020</v>
      </c>
      <c r="O1050" t="s">
        <v>110</v>
      </c>
      <c r="P1050">
        <v>170</v>
      </c>
      <c r="Q1050" s="17">
        <v>44030.495648958335</v>
      </c>
      <c r="R1050" t="s">
        <v>126</v>
      </c>
    </row>
    <row r="1051" spans="1:18" x14ac:dyDescent="0.3">
      <c r="A1051">
        <v>9685672</v>
      </c>
      <c r="B1051" t="s">
        <v>78</v>
      </c>
      <c r="C1051">
        <v>1328727</v>
      </c>
      <c r="D1051" t="s">
        <v>78</v>
      </c>
      <c r="E1051">
        <v>820</v>
      </c>
      <c r="F1051">
        <v>820</v>
      </c>
      <c r="G1051" t="s">
        <v>136</v>
      </c>
      <c r="H1051" t="s">
        <v>249</v>
      </c>
      <c r="I1051" t="s">
        <v>78</v>
      </c>
      <c r="J1051" t="s">
        <v>42</v>
      </c>
      <c r="K1051" t="s">
        <v>83</v>
      </c>
      <c r="L1051" s="25">
        <v>44030</v>
      </c>
      <c r="M1051">
        <v>7</v>
      </c>
      <c r="N1051">
        <v>2020</v>
      </c>
      <c r="O1051" t="s">
        <v>110</v>
      </c>
      <c r="P1051">
        <v>170</v>
      </c>
      <c r="Q1051" s="17">
        <v>44030.432395023148</v>
      </c>
      <c r="R1051" t="s">
        <v>126</v>
      </c>
    </row>
    <row r="1052" spans="1:18" x14ac:dyDescent="0.3">
      <c r="A1052">
        <v>9686938</v>
      </c>
      <c r="B1052" t="s">
        <v>80</v>
      </c>
      <c r="C1052">
        <v>1329850</v>
      </c>
      <c r="D1052" t="s">
        <v>113</v>
      </c>
      <c r="E1052" t="s">
        <v>146</v>
      </c>
      <c r="F1052" t="s">
        <v>17</v>
      </c>
      <c r="G1052" t="s">
        <v>153</v>
      </c>
      <c r="H1052" t="s">
        <v>232</v>
      </c>
      <c r="I1052" t="s">
        <v>84</v>
      </c>
      <c r="J1052" t="s">
        <v>85</v>
      </c>
      <c r="K1052" t="s">
        <v>87</v>
      </c>
      <c r="L1052" s="25">
        <v>44030</v>
      </c>
      <c r="M1052">
        <v>7</v>
      </c>
      <c r="N1052">
        <v>2020</v>
      </c>
      <c r="O1052" t="s">
        <v>110</v>
      </c>
      <c r="P1052">
        <v>170</v>
      </c>
      <c r="Q1052" s="17">
        <v>44030.480745138892</v>
      </c>
      <c r="R1052" t="s">
        <v>126</v>
      </c>
    </row>
    <row r="1053" spans="1:18" x14ac:dyDescent="0.3">
      <c r="A1053">
        <v>21534357</v>
      </c>
      <c r="B1053" t="s">
        <v>72</v>
      </c>
      <c r="C1053">
        <v>1333093</v>
      </c>
      <c r="D1053" t="s">
        <v>108</v>
      </c>
      <c r="E1053" t="s">
        <v>26</v>
      </c>
      <c r="F1053" t="s">
        <v>26</v>
      </c>
      <c r="G1053" t="s">
        <v>137</v>
      </c>
      <c r="H1053" t="s">
        <v>229</v>
      </c>
      <c r="I1053" t="s">
        <v>84</v>
      </c>
      <c r="J1053" t="s">
        <v>85</v>
      </c>
      <c r="K1053" t="s">
        <v>83</v>
      </c>
      <c r="L1053" s="25">
        <v>44030</v>
      </c>
      <c r="M1053">
        <v>7</v>
      </c>
      <c r="N1053">
        <v>2020</v>
      </c>
      <c r="O1053" t="s">
        <v>110</v>
      </c>
      <c r="P1053">
        <v>170</v>
      </c>
      <c r="Q1053" s="17">
        <v>44031.074468634259</v>
      </c>
      <c r="R1053" t="s">
        <v>126</v>
      </c>
    </row>
    <row r="1054" spans="1:18" x14ac:dyDescent="0.3">
      <c r="A1054">
        <v>9686697</v>
      </c>
      <c r="B1054" t="s">
        <v>80</v>
      </c>
      <c r="C1054">
        <v>1329718</v>
      </c>
      <c r="D1054" t="s">
        <v>113</v>
      </c>
      <c r="E1054" t="s">
        <v>146</v>
      </c>
      <c r="F1054" t="s">
        <v>17</v>
      </c>
      <c r="G1054" t="s">
        <v>153</v>
      </c>
      <c r="H1054" t="s">
        <v>232</v>
      </c>
      <c r="I1054" t="s">
        <v>84</v>
      </c>
      <c r="J1054" t="s">
        <v>85</v>
      </c>
      <c r="K1054" t="s">
        <v>87</v>
      </c>
      <c r="L1054" s="25">
        <v>44030</v>
      </c>
      <c r="M1054">
        <v>7</v>
      </c>
      <c r="N1054">
        <v>2020</v>
      </c>
      <c r="O1054" t="s">
        <v>110</v>
      </c>
      <c r="P1054">
        <v>170</v>
      </c>
      <c r="Q1054" s="17">
        <v>44030.46013634259</v>
      </c>
      <c r="R1054" t="s">
        <v>126</v>
      </c>
    </row>
    <row r="1055" spans="1:18" x14ac:dyDescent="0.3">
      <c r="A1055">
        <v>9686327</v>
      </c>
      <c r="B1055" t="s">
        <v>78</v>
      </c>
      <c r="C1055">
        <v>1329953</v>
      </c>
      <c r="D1055" t="s">
        <v>78</v>
      </c>
      <c r="E1055" t="s">
        <v>124</v>
      </c>
      <c r="F1055" t="s">
        <v>17</v>
      </c>
      <c r="G1055" t="s">
        <v>125</v>
      </c>
      <c r="H1055" t="s">
        <v>134</v>
      </c>
      <c r="I1055" t="s">
        <v>78</v>
      </c>
      <c r="J1055" t="s">
        <v>42</v>
      </c>
      <c r="K1055" t="s">
        <v>87</v>
      </c>
      <c r="L1055" s="25">
        <v>44030</v>
      </c>
      <c r="M1055">
        <v>7</v>
      </c>
      <c r="N1055">
        <v>2020</v>
      </c>
      <c r="O1055" t="s">
        <v>110</v>
      </c>
      <c r="P1055">
        <v>170</v>
      </c>
      <c r="Q1055" s="17">
        <v>44030.482506828703</v>
      </c>
      <c r="R1055" t="s">
        <v>126</v>
      </c>
    </row>
    <row r="1056" spans="1:18" x14ac:dyDescent="0.3">
      <c r="A1056">
        <v>9686260</v>
      </c>
      <c r="B1056" t="s">
        <v>80</v>
      </c>
      <c r="C1056">
        <v>1329667</v>
      </c>
      <c r="D1056" t="s">
        <v>113</v>
      </c>
      <c r="E1056" t="s">
        <v>146</v>
      </c>
      <c r="F1056" t="s">
        <v>17</v>
      </c>
      <c r="G1056" t="s">
        <v>153</v>
      </c>
      <c r="H1056" t="s">
        <v>232</v>
      </c>
      <c r="I1056" t="s">
        <v>84</v>
      </c>
      <c r="J1056" t="s">
        <v>85</v>
      </c>
      <c r="K1056" t="s">
        <v>87</v>
      </c>
      <c r="L1056" s="25">
        <v>44030</v>
      </c>
      <c r="M1056">
        <v>7</v>
      </c>
      <c r="N1056">
        <v>2020</v>
      </c>
      <c r="O1056" t="s">
        <v>110</v>
      </c>
      <c r="P1056">
        <v>170</v>
      </c>
      <c r="Q1056" s="17">
        <v>44030.450759027779</v>
      </c>
      <c r="R1056" t="s">
        <v>126</v>
      </c>
    </row>
    <row r="1057" spans="1:18" x14ac:dyDescent="0.3">
      <c r="A1057">
        <v>9686605</v>
      </c>
      <c r="B1057" t="s">
        <v>78</v>
      </c>
      <c r="C1057">
        <v>1329867</v>
      </c>
      <c r="D1057" t="s">
        <v>78</v>
      </c>
      <c r="E1057" t="s">
        <v>146</v>
      </c>
      <c r="F1057" t="s">
        <v>17</v>
      </c>
      <c r="G1057" t="s">
        <v>147</v>
      </c>
      <c r="H1057" t="s">
        <v>134</v>
      </c>
      <c r="I1057" t="s">
        <v>78</v>
      </c>
      <c r="J1057" t="s">
        <v>42</v>
      </c>
      <c r="K1057" t="s">
        <v>87</v>
      </c>
      <c r="L1057" s="25">
        <v>44030</v>
      </c>
      <c r="M1057">
        <v>7</v>
      </c>
      <c r="N1057">
        <v>2020</v>
      </c>
      <c r="O1057" t="s">
        <v>110</v>
      </c>
      <c r="P1057">
        <v>170</v>
      </c>
      <c r="Q1057" s="17">
        <v>44030.47953113426</v>
      </c>
      <c r="R1057" t="s">
        <v>126</v>
      </c>
    </row>
    <row r="1058" spans="1:18" x14ac:dyDescent="0.3">
      <c r="A1058">
        <v>9685793</v>
      </c>
      <c r="B1058" t="s">
        <v>78</v>
      </c>
      <c r="C1058">
        <v>1329532</v>
      </c>
      <c r="D1058" t="s">
        <v>78</v>
      </c>
      <c r="E1058">
        <v>820</v>
      </c>
      <c r="F1058">
        <v>820</v>
      </c>
      <c r="G1058" t="s">
        <v>136</v>
      </c>
      <c r="H1058" t="s">
        <v>250</v>
      </c>
      <c r="I1058" t="s">
        <v>78</v>
      </c>
      <c r="J1058" t="s">
        <v>42</v>
      </c>
      <c r="K1058" t="s">
        <v>83</v>
      </c>
      <c r="L1058" s="25">
        <v>44030</v>
      </c>
      <c r="M1058">
        <v>7</v>
      </c>
      <c r="N1058">
        <v>2020</v>
      </c>
      <c r="O1058" t="s">
        <v>110</v>
      </c>
      <c r="P1058">
        <v>170</v>
      </c>
      <c r="Q1058" s="17">
        <v>44030.477521875</v>
      </c>
      <c r="R1058" t="s">
        <v>126</v>
      </c>
    </row>
    <row r="1059" spans="1:18" x14ac:dyDescent="0.3">
      <c r="A1059">
        <v>9685888</v>
      </c>
      <c r="B1059" t="s">
        <v>78</v>
      </c>
      <c r="C1059">
        <v>1328782</v>
      </c>
      <c r="D1059" t="s">
        <v>78</v>
      </c>
      <c r="E1059">
        <v>820</v>
      </c>
      <c r="F1059">
        <v>820</v>
      </c>
      <c r="G1059" t="s">
        <v>136</v>
      </c>
      <c r="H1059" t="s">
        <v>249</v>
      </c>
      <c r="I1059" t="s">
        <v>78</v>
      </c>
      <c r="J1059" t="s">
        <v>42</v>
      </c>
      <c r="K1059" t="s">
        <v>83</v>
      </c>
      <c r="L1059" s="25">
        <v>44030</v>
      </c>
      <c r="M1059">
        <v>7</v>
      </c>
      <c r="N1059">
        <v>2020</v>
      </c>
      <c r="O1059" t="s">
        <v>110</v>
      </c>
      <c r="P1059">
        <v>170</v>
      </c>
      <c r="Q1059" s="17">
        <v>44030.436643749999</v>
      </c>
      <c r="R1059" t="s">
        <v>126</v>
      </c>
    </row>
    <row r="1060" spans="1:18" x14ac:dyDescent="0.3">
      <c r="A1060">
        <v>9685847</v>
      </c>
      <c r="B1060" t="s">
        <v>78</v>
      </c>
      <c r="C1060">
        <v>1328914</v>
      </c>
      <c r="D1060" t="s">
        <v>78</v>
      </c>
      <c r="E1060">
        <v>820</v>
      </c>
      <c r="F1060">
        <v>820</v>
      </c>
      <c r="G1060" t="s">
        <v>136</v>
      </c>
      <c r="H1060" t="s">
        <v>250</v>
      </c>
      <c r="I1060" t="s">
        <v>78</v>
      </c>
      <c r="J1060" t="s">
        <v>42</v>
      </c>
      <c r="K1060" t="s">
        <v>83</v>
      </c>
      <c r="L1060" s="25">
        <v>44030</v>
      </c>
      <c r="M1060">
        <v>7</v>
      </c>
      <c r="N1060">
        <v>2020</v>
      </c>
      <c r="O1060" t="s">
        <v>110</v>
      </c>
      <c r="P1060">
        <v>170</v>
      </c>
      <c r="Q1060" s="17">
        <v>44030.440442939813</v>
      </c>
      <c r="R1060" t="s">
        <v>126</v>
      </c>
    </row>
    <row r="1061" spans="1:18" x14ac:dyDescent="0.3">
      <c r="A1061">
        <v>9686465</v>
      </c>
      <c r="B1061" t="s">
        <v>78</v>
      </c>
      <c r="C1061">
        <v>1330050</v>
      </c>
      <c r="D1061" t="s">
        <v>78</v>
      </c>
      <c r="E1061">
        <v>4138</v>
      </c>
      <c r="F1061" t="s">
        <v>17</v>
      </c>
      <c r="G1061" t="s">
        <v>129</v>
      </c>
      <c r="H1061" t="s">
        <v>134</v>
      </c>
      <c r="I1061" t="s">
        <v>78</v>
      </c>
      <c r="J1061" t="s">
        <v>42</v>
      </c>
      <c r="K1061" t="s">
        <v>87</v>
      </c>
      <c r="L1061" s="25">
        <v>44030</v>
      </c>
      <c r="M1061">
        <v>7</v>
      </c>
      <c r="N1061">
        <v>2020</v>
      </c>
      <c r="O1061" t="s">
        <v>110</v>
      </c>
      <c r="P1061">
        <v>170</v>
      </c>
      <c r="Q1061" s="17">
        <v>44030.485854976854</v>
      </c>
      <c r="R1061" t="s">
        <v>126</v>
      </c>
    </row>
    <row r="1062" spans="1:18" x14ac:dyDescent="0.3">
      <c r="A1062">
        <v>9685876</v>
      </c>
      <c r="B1062" t="s">
        <v>78</v>
      </c>
      <c r="C1062">
        <v>1329217</v>
      </c>
      <c r="D1062" t="s">
        <v>78</v>
      </c>
      <c r="E1062">
        <v>820</v>
      </c>
      <c r="F1062">
        <v>820</v>
      </c>
      <c r="G1062" t="s">
        <v>136</v>
      </c>
      <c r="H1062" t="s">
        <v>249</v>
      </c>
      <c r="I1062" t="s">
        <v>78</v>
      </c>
      <c r="J1062" t="s">
        <v>42</v>
      </c>
      <c r="K1062" t="s">
        <v>83</v>
      </c>
      <c r="L1062" s="25">
        <v>44030</v>
      </c>
      <c r="M1062">
        <v>7</v>
      </c>
      <c r="N1062">
        <v>2020</v>
      </c>
      <c r="O1062" t="s">
        <v>110</v>
      </c>
      <c r="P1062">
        <v>170</v>
      </c>
      <c r="Q1062" s="17">
        <v>44030.4550431713</v>
      </c>
      <c r="R1062" t="s">
        <v>126</v>
      </c>
    </row>
    <row r="1063" spans="1:18" x14ac:dyDescent="0.3">
      <c r="A1063">
        <v>9685842</v>
      </c>
      <c r="B1063" t="s">
        <v>78</v>
      </c>
      <c r="C1063">
        <v>1328931</v>
      </c>
      <c r="D1063" t="s">
        <v>78</v>
      </c>
      <c r="E1063">
        <v>820</v>
      </c>
      <c r="F1063">
        <v>820</v>
      </c>
      <c r="G1063" t="s">
        <v>136</v>
      </c>
      <c r="H1063" t="s">
        <v>250</v>
      </c>
      <c r="I1063" t="s">
        <v>78</v>
      </c>
      <c r="J1063" t="s">
        <v>42</v>
      </c>
      <c r="K1063" t="s">
        <v>83</v>
      </c>
      <c r="L1063" s="25">
        <v>44030</v>
      </c>
      <c r="M1063">
        <v>7</v>
      </c>
      <c r="N1063">
        <v>2020</v>
      </c>
      <c r="O1063" t="s">
        <v>110</v>
      </c>
      <c r="P1063">
        <v>170</v>
      </c>
      <c r="Q1063" s="17">
        <v>44030.439420023147</v>
      </c>
      <c r="R1063" t="s">
        <v>126</v>
      </c>
    </row>
    <row r="1064" spans="1:18" x14ac:dyDescent="0.3">
      <c r="A1064">
        <v>9685799</v>
      </c>
      <c r="B1064" t="s">
        <v>72</v>
      </c>
      <c r="C1064">
        <v>1329535</v>
      </c>
      <c r="D1064" t="s">
        <v>108</v>
      </c>
      <c r="E1064">
        <v>820</v>
      </c>
      <c r="F1064">
        <v>820</v>
      </c>
      <c r="G1064" t="s">
        <v>136</v>
      </c>
      <c r="H1064" t="s">
        <v>270</v>
      </c>
      <c r="I1064" t="s">
        <v>82</v>
      </c>
      <c r="J1064" t="s">
        <v>42</v>
      </c>
      <c r="K1064" t="s">
        <v>83</v>
      </c>
      <c r="L1064" s="25">
        <v>44030</v>
      </c>
      <c r="M1064">
        <v>7</v>
      </c>
      <c r="N1064">
        <v>2020</v>
      </c>
      <c r="O1064" t="s">
        <v>110</v>
      </c>
      <c r="P1064">
        <v>170</v>
      </c>
      <c r="Q1064" s="17">
        <v>44030.474157523146</v>
      </c>
      <c r="R1064" t="s">
        <v>126</v>
      </c>
    </row>
    <row r="1065" spans="1:18" x14ac:dyDescent="0.3">
      <c r="A1065">
        <v>9687400</v>
      </c>
      <c r="B1065" t="s">
        <v>78</v>
      </c>
      <c r="C1065">
        <v>1330268</v>
      </c>
      <c r="D1065" t="s">
        <v>78</v>
      </c>
      <c r="E1065" t="s">
        <v>131</v>
      </c>
      <c r="F1065" t="s">
        <v>17</v>
      </c>
      <c r="G1065" t="s">
        <v>132</v>
      </c>
      <c r="H1065" t="s">
        <v>134</v>
      </c>
      <c r="I1065" t="s">
        <v>78</v>
      </c>
      <c r="J1065" t="s">
        <v>42</v>
      </c>
      <c r="K1065" t="s">
        <v>87</v>
      </c>
      <c r="L1065" s="25">
        <v>44030</v>
      </c>
      <c r="M1065">
        <v>7</v>
      </c>
      <c r="N1065">
        <v>2020</v>
      </c>
      <c r="O1065" t="s">
        <v>110</v>
      </c>
      <c r="P1065">
        <v>170</v>
      </c>
      <c r="Q1065" s="17">
        <v>44030.495313657404</v>
      </c>
      <c r="R1065" t="s">
        <v>126</v>
      </c>
    </row>
    <row r="1066" spans="1:18" x14ac:dyDescent="0.3">
      <c r="A1066">
        <v>9680162</v>
      </c>
      <c r="B1066" t="s">
        <v>78</v>
      </c>
      <c r="C1066">
        <v>1321243</v>
      </c>
      <c r="D1066" t="s">
        <v>78</v>
      </c>
      <c r="E1066" t="s">
        <v>26</v>
      </c>
      <c r="F1066" t="s">
        <v>26</v>
      </c>
      <c r="G1066" t="s">
        <v>137</v>
      </c>
      <c r="H1066" t="s">
        <v>260</v>
      </c>
      <c r="I1066" t="s">
        <v>78</v>
      </c>
      <c r="J1066" t="s">
        <v>42</v>
      </c>
      <c r="K1066" t="s">
        <v>83</v>
      </c>
      <c r="L1066" s="25">
        <v>44030</v>
      </c>
      <c r="M1066">
        <v>7</v>
      </c>
      <c r="N1066">
        <v>2020</v>
      </c>
      <c r="O1066" t="s">
        <v>110</v>
      </c>
      <c r="P1066">
        <v>170</v>
      </c>
      <c r="Q1066" s="17">
        <v>44030.45975775463</v>
      </c>
      <c r="R1066" t="s">
        <v>126</v>
      </c>
    </row>
    <row r="1067" spans="1:18" x14ac:dyDescent="0.3">
      <c r="A1067">
        <v>9686186</v>
      </c>
      <c r="B1067" t="s">
        <v>80</v>
      </c>
      <c r="C1067">
        <v>1329650</v>
      </c>
      <c r="D1067" t="s">
        <v>113</v>
      </c>
      <c r="E1067" t="s">
        <v>146</v>
      </c>
      <c r="F1067" t="s">
        <v>17</v>
      </c>
      <c r="G1067" t="s">
        <v>153</v>
      </c>
      <c r="H1067" t="s">
        <v>232</v>
      </c>
      <c r="I1067" t="s">
        <v>84</v>
      </c>
      <c r="J1067" t="s">
        <v>85</v>
      </c>
      <c r="K1067" t="s">
        <v>87</v>
      </c>
      <c r="L1067" s="25">
        <v>44030</v>
      </c>
      <c r="M1067">
        <v>7</v>
      </c>
      <c r="N1067">
        <v>2020</v>
      </c>
      <c r="O1067" t="s">
        <v>110</v>
      </c>
      <c r="P1067">
        <v>170</v>
      </c>
      <c r="Q1067" s="17">
        <v>44030.447468287035</v>
      </c>
      <c r="R1067" t="s">
        <v>126</v>
      </c>
    </row>
    <row r="1068" spans="1:18" x14ac:dyDescent="0.3">
      <c r="A1068">
        <v>9686301</v>
      </c>
      <c r="B1068" t="s">
        <v>79</v>
      </c>
      <c r="C1068">
        <v>1329481</v>
      </c>
      <c r="D1068" t="s">
        <v>116</v>
      </c>
      <c r="E1068" t="s">
        <v>12</v>
      </c>
      <c r="F1068" t="s">
        <v>12</v>
      </c>
      <c r="G1068" t="s">
        <v>135</v>
      </c>
      <c r="H1068" t="s">
        <v>251</v>
      </c>
      <c r="I1068" t="s">
        <v>82</v>
      </c>
      <c r="J1068" t="s">
        <v>42</v>
      </c>
      <c r="K1068" t="s">
        <v>83</v>
      </c>
      <c r="L1068" s="25">
        <v>44030</v>
      </c>
      <c r="M1068">
        <v>7</v>
      </c>
      <c r="N1068">
        <v>2020</v>
      </c>
      <c r="O1068" t="s">
        <v>110</v>
      </c>
      <c r="P1068">
        <v>170</v>
      </c>
      <c r="Q1068" s="17">
        <v>44030.43867048611</v>
      </c>
      <c r="R1068" t="s">
        <v>126</v>
      </c>
    </row>
    <row r="1069" spans="1:18" x14ac:dyDescent="0.3">
      <c r="A1069">
        <v>9686023</v>
      </c>
      <c r="B1069" t="s">
        <v>80</v>
      </c>
      <c r="C1069">
        <v>1329599</v>
      </c>
      <c r="D1069" t="s">
        <v>113</v>
      </c>
      <c r="E1069" t="s">
        <v>146</v>
      </c>
      <c r="F1069" t="s">
        <v>17</v>
      </c>
      <c r="G1069" t="s">
        <v>153</v>
      </c>
      <c r="H1069" t="s">
        <v>232</v>
      </c>
      <c r="I1069" t="s">
        <v>84</v>
      </c>
      <c r="J1069" t="s">
        <v>85</v>
      </c>
      <c r="K1069" t="s">
        <v>87</v>
      </c>
      <c r="L1069" s="25">
        <v>44030</v>
      </c>
      <c r="M1069">
        <v>7</v>
      </c>
      <c r="N1069">
        <v>2020</v>
      </c>
      <c r="O1069" t="s">
        <v>110</v>
      </c>
      <c r="P1069">
        <v>170</v>
      </c>
      <c r="Q1069" s="17">
        <v>44030.431786111112</v>
      </c>
      <c r="R1069" t="s">
        <v>126</v>
      </c>
    </row>
    <row r="1070" spans="1:18" x14ac:dyDescent="0.3">
      <c r="A1070">
        <v>9688596</v>
      </c>
      <c r="B1070" t="s">
        <v>72</v>
      </c>
      <c r="C1070">
        <v>1330947</v>
      </c>
      <c r="D1070" t="s">
        <v>108</v>
      </c>
      <c r="E1070" t="s">
        <v>58</v>
      </c>
      <c r="F1070" t="s">
        <v>58</v>
      </c>
      <c r="G1070" t="s">
        <v>114</v>
      </c>
      <c r="H1070" t="s">
        <v>248</v>
      </c>
      <c r="I1070" t="s">
        <v>84</v>
      </c>
      <c r="J1070" t="s">
        <v>85</v>
      </c>
      <c r="K1070" t="s">
        <v>87</v>
      </c>
      <c r="L1070" s="25">
        <v>44030</v>
      </c>
      <c r="M1070">
        <v>7</v>
      </c>
      <c r="N1070">
        <v>2020</v>
      </c>
      <c r="O1070" t="s">
        <v>110</v>
      </c>
      <c r="P1070">
        <v>170</v>
      </c>
      <c r="Q1070" s="17">
        <v>44030.492698726855</v>
      </c>
      <c r="R1070" t="s">
        <v>111</v>
      </c>
    </row>
    <row r="1071" spans="1:18" x14ac:dyDescent="0.3">
      <c r="A1071">
        <v>9687006</v>
      </c>
      <c r="B1071" t="s">
        <v>80</v>
      </c>
      <c r="C1071">
        <v>1330228</v>
      </c>
      <c r="D1071" t="s">
        <v>113</v>
      </c>
      <c r="E1071" t="s">
        <v>146</v>
      </c>
      <c r="F1071" t="s">
        <v>17</v>
      </c>
      <c r="G1071" t="s">
        <v>153</v>
      </c>
      <c r="H1071" t="s">
        <v>232</v>
      </c>
      <c r="I1071" t="s">
        <v>84</v>
      </c>
      <c r="J1071" t="s">
        <v>85</v>
      </c>
      <c r="K1071" t="s">
        <v>87</v>
      </c>
      <c r="L1071" s="25">
        <v>44030</v>
      </c>
      <c r="M1071">
        <v>7</v>
      </c>
      <c r="N1071">
        <v>2020</v>
      </c>
      <c r="O1071" t="s">
        <v>110</v>
      </c>
      <c r="P1071">
        <v>170</v>
      </c>
      <c r="Q1071" s="17">
        <v>44030.49332199074</v>
      </c>
      <c r="R1071" t="s">
        <v>126</v>
      </c>
    </row>
    <row r="1072" spans="1:18" x14ac:dyDescent="0.3">
      <c r="A1072">
        <v>9687240</v>
      </c>
      <c r="B1072" t="s">
        <v>79</v>
      </c>
      <c r="C1072">
        <v>1330677</v>
      </c>
      <c r="D1072" t="s">
        <v>116</v>
      </c>
      <c r="E1072" t="s">
        <v>12</v>
      </c>
      <c r="F1072" t="s">
        <v>12</v>
      </c>
      <c r="G1072" t="s">
        <v>135</v>
      </c>
      <c r="H1072" t="s">
        <v>251</v>
      </c>
      <c r="I1072" t="s">
        <v>82</v>
      </c>
      <c r="J1072" t="s">
        <v>42</v>
      </c>
      <c r="K1072" t="s">
        <v>83</v>
      </c>
      <c r="L1072" s="25">
        <v>44030</v>
      </c>
      <c r="M1072">
        <v>7</v>
      </c>
      <c r="N1072">
        <v>2020</v>
      </c>
      <c r="O1072" t="s">
        <v>110</v>
      </c>
      <c r="P1072">
        <v>170</v>
      </c>
      <c r="Q1072" s="17">
        <v>44030.481688078704</v>
      </c>
      <c r="R1072" t="s">
        <v>126</v>
      </c>
    </row>
    <row r="1073" spans="1:18" x14ac:dyDescent="0.3">
      <c r="A1073">
        <v>9685827</v>
      </c>
      <c r="B1073" t="s">
        <v>78</v>
      </c>
      <c r="C1073">
        <v>1329326</v>
      </c>
      <c r="D1073" t="s">
        <v>78</v>
      </c>
      <c r="E1073">
        <v>820</v>
      </c>
      <c r="F1073">
        <v>820</v>
      </c>
      <c r="G1073" t="s">
        <v>136</v>
      </c>
      <c r="H1073" t="s">
        <v>249</v>
      </c>
      <c r="I1073" t="s">
        <v>78</v>
      </c>
      <c r="J1073" t="s">
        <v>42</v>
      </c>
      <c r="K1073" t="s">
        <v>83</v>
      </c>
      <c r="L1073" s="25">
        <v>44030</v>
      </c>
      <c r="M1073">
        <v>7</v>
      </c>
      <c r="N1073">
        <v>2020</v>
      </c>
      <c r="O1073" t="s">
        <v>110</v>
      </c>
      <c r="P1073">
        <v>170</v>
      </c>
      <c r="Q1073" s="17">
        <v>44030.46135208333</v>
      </c>
      <c r="R1073" t="s">
        <v>126</v>
      </c>
    </row>
    <row r="1074" spans="1:18" x14ac:dyDescent="0.3">
      <c r="A1074">
        <v>9685604</v>
      </c>
      <c r="B1074" t="s">
        <v>80</v>
      </c>
      <c r="C1074">
        <v>1329541</v>
      </c>
      <c r="D1074" t="s">
        <v>113</v>
      </c>
      <c r="E1074" t="s">
        <v>146</v>
      </c>
      <c r="F1074" t="s">
        <v>17</v>
      </c>
      <c r="G1074" t="s">
        <v>153</v>
      </c>
      <c r="H1074" t="s">
        <v>232</v>
      </c>
      <c r="I1074" t="s">
        <v>84</v>
      </c>
      <c r="J1074" t="s">
        <v>85</v>
      </c>
      <c r="K1074" t="s">
        <v>87</v>
      </c>
      <c r="L1074" s="25">
        <v>44030</v>
      </c>
      <c r="M1074">
        <v>7</v>
      </c>
      <c r="N1074">
        <v>2020</v>
      </c>
      <c r="O1074" t="s">
        <v>110</v>
      </c>
      <c r="P1074">
        <v>170</v>
      </c>
      <c r="Q1074" s="17">
        <v>44030.426465277778</v>
      </c>
      <c r="R1074" t="s">
        <v>126</v>
      </c>
    </row>
    <row r="1075" spans="1:18" x14ac:dyDescent="0.3">
      <c r="A1075">
        <v>9686176</v>
      </c>
      <c r="B1075" t="s">
        <v>80</v>
      </c>
      <c r="C1075">
        <v>1329641</v>
      </c>
      <c r="D1075" t="s">
        <v>113</v>
      </c>
      <c r="E1075" t="s">
        <v>146</v>
      </c>
      <c r="F1075" t="s">
        <v>17</v>
      </c>
      <c r="G1075" t="s">
        <v>153</v>
      </c>
      <c r="H1075" t="s">
        <v>232</v>
      </c>
      <c r="I1075" t="s">
        <v>84</v>
      </c>
      <c r="J1075" t="s">
        <v>85</v>
      </c>
      <c r="K1075" t="s">
        <v>87</v>
      </c>
      <c r="L1075" s="25">
        <v>44030</v>
      </c>
      <c r="M1075">
        <v>7</v>
      </c>
      <c r="N1075">
        <v>2020</v>
      </c>
      <c r="O1075" t="s">
        <v>110</v>
      </c>
      <c r="P1075">
        <v>170</v>
      </c>
      <c r="Q1075" s="17">
        <v>44030.445999537034</v>
      </c>
      <c r="R1075" t="s">
        <v>126</v>
      </c>
    </row>
    <row r="1076" spans="1:18" x14ac:dyDescent="0.3">
      <c r="A1076">
        <v>9687717</v>
      </c>
      <c r="B1076" t="s">
        <v>78</v>
      </c>
      <c r="C1076">
        <v>1330577</v>
      </c>
      <c r="D1076" t="s">
        <v>78</v>
      </c>
      <c r="E1076">
        <v>820</v>
      </c>
      <c r="F1076">
        <v>820</v>
      </c>
      <c r="G1076" t="s">
        <v>136</v>
      </c>
      <c r="H1076" t="s">
        <v>249</v>
      </c>
      <c r="I1076" t="s">
        <v>78</v>
      </c>
      <c r="J1076" t="s">
        <v>42</v>
      </c>
      <c r="K1076" t="s">
        <v>83</v>
      </c>
      <c r="L1076" s="25">
        <v>44030</v>
      </c>
      <c r="M1076">
        <v>7</v>
      </c>
      <c r="N1076">
        <v>2020</v>
      </c>
      <c r="O1076" t="s">
        <v>110</v>
      </c>
      <c r="P1076">
        <v>170</v>
      </c>
      <c r="Q1076" s="17">
        <v>44030.490315740739</v>
      </c>
      <c r="R1076" t="s">
        <v>126</v>
      </c>
    </row>
    <row r="1077" spans="1:18" x14ac:dyDescent="0.3">
      <c r="A1077">
        <v>9679464</v>
      </c>
      <c r="B1077" t="s">
        <v>78</v>
      </c>
      <c r="C1077">
        <v>1321838</v>
      </c>
      <c r="D1077" t="s">
        <v>78</v>
      </c>
      <c r="E1077" t="s">
        <v>26</v>
      </c>
      <c r="F1077" t="s">
        <v>26</v>
      </c>
      <c r="G1077" t="s">
        <v>137</v>
      </c>
      <c r="H1077" t="s">
        <v>245</v>
      </c>
      <c r="I1077" t="s">
        <v>78</v>
      </c>
      <c r="J1077" t="s">
        <v>42</v>
      </c>
      <c r="K1077" t="s">
        <v>83</v>
      </c>
      <c r="L1077" s="25">
        <v>44030</v>
      </c>
      <c r="M1077">
        <v>7</v>
      </c>
      <c r="N1077">
        <v>2020</v>
      </c>
      <c r="O1077" t="s">
        <v>110</v>
      </c>
      <c r="P1077">
        <v>170</v>
      </c>
      <c r="Q1077" s="17">
        <v>44030.473642592595</v>
      </c>
      <c r="R1077" t="s">
        <v>126</v>
      </c>
    </row>
    <row r="1078" spans="1:18" x14ac:dyDescent="0.3">
      <c r="A1078">
        <v>9684648</v>
      </c>
      <c r="B1078" t="s">
        <v>72</v>
      </c>
      <c r="C1078">
        <v>1329575</v>
      </c>
      <c r="D1078" t="s">
        <v>108</v>
      </c>
      <c r="E1078" t="s">
        <v>12</v>
      </c>
      <c r="F1078" t="s">
        <v>12</v>
      </c>
      <c r="G1078" t="s">
        <v>135</v>
      </c>
      <c r="H1078" t="s">
        <v>229</v>
      </c>
      <c r="I1078" t="s">
        <v>84</v>
      </c>
      <c r="J1078" t="s">
        <v>85</v>
      </c>
      <c r="K1078" t="s">
        <v>83</v>
      </c>
      <c r="L1078" s="25">
        <v>44030</v>
      </c>
      <c r="M1078">
        <v>7</v>
      </c>
      <c r="N1078">
        <v>2020</v>
      </c>
      <c r="O1078" t="s">
        <v>110</v>
      </c>
      <c r="P1078">
        <v>170</v>
      </c>
      <c r="Q1078" s="17">
        <v>44030.350019097219</v>
      </c>
      <c r="R1078" t="s">
        <v>126</v>
      </c>
    </row>
    <row r="1079" spans="1:18" x14ac:dyDescent="0.3">
      <c r="A1079">
        <v>21528751</v>
      </c>
      <c r="B1079" t="s">
        <v>72</v>
      </c>
      <c r="C1079">
        <v>1325161</v>
      </c>
      <c r="D1079" t="s">
        <v>108</v>
      </c>
      <c r="E1079">
        <v>966</v>
      </c>
      <c r="F1079">
        <v>966</v>
      </c>
      <c r="G1079" t="s">
        <v>139</v>
      </c>
      <c r="H1079" t="s">
        <v>229</v>
      </c>
      <c r="I1079" t="s">
        <v>84</v>
      </c>
      <c r="J1079" t="s">
        <v>85</v>
      </c>
      <c r="K1079" t="s">
        <v>87</v>
      </c>
      <c r="L1079" s="25">
        <v>44030</v>
      </c>
      <c r="M1079">
        <v>7</v>
      </c>
      <c r="N1079">
        <v>2020</v>
      </c>
      <c r="O1079" t="s">
        <v>110</v>
      </c>
      <c r="P1079">
        <v>170</v>
      </c>
      <c r="Q1079" s="17">
        <v>44030.478122453707</v>
      </c>
      <c r="R1079" t="s">
        <v>126</v>
      </c>
    </row>
    <row r="1080" spans="1:18" x14ac:dyDescent="0.3">
      <c r="A1080">
        <v>9683449</v>
      </c>
      <c r="B1080" t="s">
        <v>72</v>
      </c>
      <c r="C1080">
        <v>1328656</v>
      </c>
      <c r="D1080" t="s">
        <v>108</v>
      </c>
      <c r="E1080" t="s">
        <v>26</v>
      </c>
      <c r="F1080" t="s">
        <v>26</v>
      </c>
      <c r="G1080" t="s">
        <v>137</v>
      </c>
      <c r="H1080" t="s">
        <v>229</v>
      </c>
      <c r="I1080" t="s">
        <v>84</v>
      </c>
      <c r="J1080" t="s">
        <v>85</v>
      </c>
      <c r="K1080" t="s">
        <v>83</v>
      </c>
      <c r="L1080" s="25">
        <v>44030</v>
      </c>
      <c r="M1080">
        <v>7</v>
      </c>
      <c r="N1080">
        <v>2020</v>
      </c>
      <c r="O1080" t="s">
        <v>110</v>
      </c>
      <c r="P1080">
        <v>170</v>
      </c>
      <c r="Q1080" s="17">
        <v>44030.303724189813</v>
      </c>
      <c r="R1080" t="s">
        <v>126</v>
      </c>
    </row>
    <row r="1081" spans="1:18" x14ac:dyDescent="0.3">
      <c r="A1081">
        <v>9685879</v>
      </c>
      <c r="B1081" t="s">
        <v>78</v>
      </c>
      <c r="C1081">
        <v>1329226</v>
      </c>
      <c r="D1081" t="s">
        <v>78</v>
      </c>
      <c r="E1081">
        <v>820</v>
      </c>
      <c r="F1081">
        <v>820</v>
      </c>
      <c r="G1081" t="s">
        <v>136</v>
      </c>
      <c r="H1081" t="s">
        <v>249</v>
      </c>
      <c r="I1081" t="s">
        <v>78</v>
      </c>
      <c r="J1081" t="s">
        <v>42</v>
      </c>
      <c r="K1081" t="s">
        <v>83</v>
      </c>
      <c r="L1081" s="25">
        <v>44030</v>
      </c>
      <c r="M1081">
        <v>7</v>
      </c>
      <c r="N1081">
        <v>2020</v>
      </c>
      <c r="O1081" t="s">
        <v>110</v>
      </c>
      <c r="P1081">
        <v>170</v>
      </c>
      <c r="Q1081" s="17">
        <v>44030.457368518517</v>
      </c>
      <c r="R1081" t="s">
        <v>126</v>
      </c>
    </row>
    <row r="1082" spans="1:18" x14ac:dyDescent="0.3">
      <c r="A1082">
        <v>9684562</v>
      </c>
      <c r="B1082" t="s">
        <v>72</v>
      </c>
      <c r="C1082">
        <v>1329426</v>
      </c>
      <c r="D1082" t="s">
        <v>108</v>
      </c>
      <c r="E1082" t="s">
        <v>12</v>
      </c>
      <c r="F1082" t="s">
        <v>12</v>
      </c>
      <c r="G1082" t="s">
        <v>135</v>
      </c>
      <c r="H1082" t="s">
        <v>261</v>
      </c>
      <c r="I1082" t="s">
        <v>84</v>
      </c>
      <c r="J1082" t="s">
        <v>85</v>
      </c>
      <c r="K1082" t="s">
        <v>83</v>
      </c>
      <c r="L1082" s="25">
        <v>44030</v>
      </c>
      <c r="M1082">
        <v>7</v>
      </c>
      <c r="N1082">
        <v>2020</v>
      </c>
      <c r="O1082" t="s">
        <v>110</v>
      </c>
      <c r="P1082">
        <v>170</v>
      </c>
      <c r="Q1082" s="17">
        <v>44030.43801539352</v>
      </c>
      <c r="R1082" t="s">
        <v>126</v>
      </c>
    </row>
    <row r="1083" spans="1:18" x14ac:dyDescent="0.3">
      <c r="A1083">
        <v>9678995</v>
      </c>
      <c r="B1083" t="s">
        <v>72</v>
      </c>
      <c r="C1083">
        <v>1331547</v>
      </c>
      <c r="D1083" t="s">
        <v>108</v>
      </c>
      <c r="E1083" t="s">
        <v>26</v>
      </c>
      <c r="F1083" t="s">
        <v>26</v>
      </c>
      <c r="G1083" t="s">
        <v>137</v>
      </c>
      <c r="H1083" t="s">
        <v>229</v>
      </c>
      <c r="I1083" t="s">
        <v>84</v>
      </c>
      <c r="J1083" t="s">
        <v>85</v>
      </c>
      <c r="K1083" t="s">
        <v>83</v>
      </c>
      <c r="L1083" s="25">
        <v>44030</v>
      </c>
      <c r="M1083">
        <v>7</v>
      </c>
      <c r="N1083">
        <v>2020</v>
      </c>
      <c r="O1083" t="s">
        <v>110</v>
      </c>
      <c r="P1083">
        <v>170</v>
      </c>
      <c r="Q1083" s="17">
        <v>44030.382178009262</v>
      </c>
      <c r="R1083" t="s">
        <v>126</v>
      </c>
    </row>
    <row r="1084" spans="1:18" x14ac:dyDescent="0.3">
      <c r="A1084">
        <v>9686269</v>
      </c>
      <c r="B1084" t="s">
        <v>80</v>
      </c>
      <c r="C1084">
        <v>1329675</v>
      </c>
      <c r="D1084" t="s">
        <v>113</v>
      </c>
      <c r="E1084" t="s">
        <v>146</v>
      </c>
      <c r="F1084" t="s">
        <v>17</v>
      </c>
      <c r="G1084" t="s">
        <v>153</v>
      </c>
      <c r="H1084" t="s">
        <v>232</v>
      </c>
      <c r="I1084" t="s">
        <v>84</v>
      </c>
      <c r="J1084" t="s">
        <v>85</v>
      </c>
      <c r="K1084" t="s">
        <v>87</v>
      </c>
      <c r="L1084" s="25">
        <v>44030</v>
      </c>
      <c r="M1084">
        <v>7</v>
      </c>
      <c r="N1084">
        <v>2020</v>
      </c>
      <c r="O1084" t="s">
        <v>110</v>
      </c>
      <c r="P1084">
        <v>170</v>
      </c>
      <c r="Q1084" s="17">
        <v>44030.450599537035</v>
      </c>
      <c r="R1084" t="s">
        <v>126</v>
      </c>
    </row>
    <row r="1085" spans="1:18" x14ac:dyDescent="0.3">
      <c r="A1085">
        <v>9681426</v>
      </c>
      <c r="B1085" t="s">
        <v>78</v>
      </c>
      <c r="C1085">
        <v>1325748</v>
      </c>
      <c r="D1085" t="s">
        <v>78</v>
      </c>
      <c r="E1085">
        <v>966</v>
      </c>
      <c r="F1085">
        <v>966</v>
      </c>
      <c r="G1085" t="s">
        <v>139</v>
      </c>
      <c r="H1085" t="s">
        <v>105</v>
      </c>
      <c r="I1085" t="s">
        <v>78</v>
      </c>
      <c r="J1085" t="s">
        <v>42</v>
      </c>
      <c r="K1085" t="s">
        <v>87</v>
      </c>
      <c r="L1085" s="25">
        <v>44030</v>
      </c>
      <c r="M1085">
        <v>7</v>
      </c>
      <c r="N1085">
        <v>2020</v>
      </c>
      <c r="O1085" t="s">
        <v>110</v>
      </c>
      <c r="P1085">
        <v>170</v>
      </c>
      <c r="Q1085" s="17">
        <v>44030.48455601852</v>
      </c>
      <c r="R1085" t="s">
        <v>126</v>
      </c>
    </row>
    <row r="1086" spans="1:18" x14ac:dyDescent="0.3">
      <c r="A1086">
        <v>9685907</v>
      </c>
      <c r="B1086" t="s">
        <v>72</v>
      </c>
      <c r="C1086">
        <v>1329375</v>
      </c>
      <c r="D1086" t="s">
        <v>108</v>
      </c>
      <c r="E1086">
        <v>820</v>
      </c>
      <c r="F1086">
        <v>820</v>
      </c>
      <c r="G1086" t="s">
        <v>136</v>
      </c>
      <c r="H1086" t="s">
        <v>262</v>
      </c>
      <c r="I1086" t="s">
        <v>82</v>
      </c>
      <c r="J1086" t="s">
        <v>42</v>
      </c>
      <c r="K1086" t="s">
        <v>83</v>
      </c>
      <c r="L1086" s="25">
        <v>44030</v>
      </c>
      <c r="M1086">
        <v>7</v>
      </c>
      <c r="N1086">
        <v>2020</v>
      </c>
      <c r="O1086" t="s">
        <v>110</v>
      </c>
      <c r="P1086">
        <v>170</v>
      </c>
      <c r="Q1086" s="17">
        <v>44030.464214699074</v>
      </c>
      <c r="R1086" t="s">
        <v>126</v>
      </c>
    </row>
    <row r="1087" spans="1:18" x14ac:dyDescent="0.3">
      <c r="A1087">
        <v>9686858</v>
      </c>
      <c r="B1087" t="s">
        <v>80</v>
      </c>
      <c r="C1087">
        <v>1329737</v>
      </c>
      <c r="D1087" t="s">
        <v>113</v>
      </c>
      <c r="E1087" t="s">
        <v>146</v>
      </c>
      <c r="F1087" t="s">
        <v>17</v>
      </c>
      <c r="G1087" t="s">
        <v>153</v>
      </c>
      <c r="H1087" t="s">
        <v>232</v>
      </c>
      <c r="I1087" t="s">
        <v>84</v>
      </c>
      <c r="J1087" t="s">
        <v>85</v>
      </c>
      <c r="K1087" t="s">
        <v>87</v>
      </c>
      <c r="L1087" s="25">
        <v>44030</v>
      </c>
      <c r="M1087">
        <v>7</v>
      </c>
      <c r="N1087">
        <v>2020</v>
      </c>
      <c r="O1087" t="s">
        <v>110</v>
      </c>
      <c r="P1087">
        <v>170</v>
      </c>
      <c r="Q1087" s="17">
        <v>44030.460721412041</v>
      </c>
      <c r="R1087" t="s">
        <v>126</v>
      </c>
    </row>
    <row r="1088" spans="1:18" x14ac:dyDescent="0.3">
      <c r="A1088">
        <v>9685756</v>
      </c>
      <c r="B1088" t="s">
        <v>72</v>
      </c>
      <c r="C1088">
        <v>1329880</v>
      </c>
      <c r="D1088" t="s">
        <v>108</v>
      </c>
      <c r="E1088">
        <v>820</v>
      </c>
      <c r="F1088">
        <v>820</v>
      </c>
      <c r="G1088" t="s">
        <v>136</v>
      </c>
      <c r="H1088" t="s">
        <v>270</v>
      </c>
      <c r="I1088" t="s">
        <v>82</v>
      </c>
      <c r="J1088" t="s">
        <v>42</v>
      </c>
      <c r="K1088" t="s">
        <v>83</v>
      </c>
      <c r="L1088" s="25">
        <v>44030</v>
      </c>
      <c r="M1088">
        <v>7</v>
      </c>
      <c r="N1088">
        <v>2020</v>
      </c>
      <c r="O1088" t="s">
        <v>110</v>
      </c>
      <c r="P1088">
        <v>170</v>
      </c>
      <c r="Q1088" s="17">
        <v>44030.483975462965</v>
      </c>
      <c r="R1088" t="s">
        <v>126</v>
      </c>
    </row>
    <row r="1089" spans="1:18" x14ac:dyDescent="0.3">
      <c r="A1089">
        <v>244734</v>
      </c>
      <c r="B1089" t="s">
        <v>78</v>
      </c>
      <c r="C1089">
        <v>1330166</v>
      </c>
      <c r="D1089" t="s">
        <v>78</v>
      </c>
      <c r="E1089" t="s">
        <v>176</v>
      </c>
      <c r="F1089" t="s">
        <v>17</v>
      </c>
      <c r="G1089" t="s">
        <v>177</v>
      </c>
      <c r="H1089" t="s">
        <v>134</v>
      </c>
      <c r="I1089" t="s">
        <v>78</v>
      </c>
      <c r="J1089" t="s">
        <v>42</v>
      </c>
      <c r="K1089" t="s">
        <v>87</v>
      </c>
      <c r="L1089" s="25">
        <v>44030</v>
      </c>
      <c r="M1089">
        <v>7</v>
      </c>
      <c r="N1089">
        <v>2020</v>
      </c>
      <c r="O1089" t="s">
        <v>110</v>
      </c>
      <c r="P1089">
        <v>170</v>
      </c>
      <c r="Q1089" s="17">
        <v>44030.488708680554</v>
      </c>
      <c r="R1089" t="s">
        <v>126</v>
      </c>
    </row>
    <row r="1090" spans="1:18" x14ac:dyDescent="0.3">
      <c r="A1090">
        <v>9686397</v>
      </c>
      <c r="B1090" t="s">
        <v>78</v>
      </c>
      <c r="C1090">
        <v>1330023</v>
      </c>
      <c r="D1090" t="s">
        <v>78</v>
      </c>
      <c r="E1090" t="s">
        <v>158</v>
      </c>
      <c r="F1090" t="s">
        <v>17</v>
      </c>
      <c r="G1090" t="s">
        <v>159</v>
      </c>
      <c r="H1090" t="s">
        <v>134</v>
      </c>
      <c r="I1090" t="s">
        <v>78</v>
      </c>
      <c r="J1090" t="s">
        <v>42</v>
      </c>
      <c r="K1090" t="s">
        <v>87</v>
      </c>
      <c r="L1090" s="25">
        <v>44030</v>
      </c>
      <c r="M1090">
        <v>7</v>
      </c>
      <c r="N1090">
        <v>2020</v>
      </c>
      <c r="O1090" t="s">
        <v>110</v>
      </c>
      <c r="P1090">
        <v>170</v>
      </c>
      <c r="Q1090" s="17">
        <v>44030.485526273151</v>
      </c>
      <c r="R1090" t="s">
        <v>126</v>
      </c>
    </row>
    <row r="1091" spans="1:18" x14ac:dyDescent="0.3">
      <c r="A1091">
        <v>9686933</v>
      </c>
      <c r="B1091" t="s">
        <v>80</v>
      </c>
      <c r="C1091">
        <v>1329823</v>
      </c>
      <c r="D1091" t="s">
        <v>113</v>
      </c>
      <c r="E1091" t="s">
        <v>146</v>
      </c>
      <c r="F1091" t="s">
        <v>17</v>
      </c>
      <c r="G1091" t="s">
        <v>153</v>
      </c>
      <c r="H1091" t="s">
        <v>232</v>
      </c>
      <c r="I1091" t="s">
        <v>84</v>
      </c>
      <c r="J1091" t="s">
        <v>85</v>
      </c>
      <c r="K1091" t="s">
        <v>87</v>
      </c>
      <c r="L1091" s="25">
        <v>44030</v>
      </c>
      <c r="M1091">
        <v>7</v>
      </c>
      <c r="N1091">
        <v>2020</v>
      </c>
      <c r="O1091" t="s">
        <v>110</v>
      </c>
      <c r="P1091">
        <v>170</v>
      </c>
      <c r="Q1091" s="17">
        <v>44030.479543865738</v>
      </c>
      <c r="R1091" t="s">
        <v>126</v>
      </c>
    </row>
    <row r="1092" spans="1:18" x14ac:dyDescent="0.3">
      <c r="A1092">
        <v>9685725</v>
      </c>
      <c r="B1092" t="s">
        <v>72</v>
      </c>
      <c r="C1092">
        <v>1328687</v>
      </c>
      <c r="D1092" t="s">
        <v>108</v>
      </c>
      <c r="E1092">
        <v>820</v>
      </c>
      <c r="F1092">
        <v>820</v>
      </c>
      <c r="G1092" t="s">
        <v>136</v>
      </c>
      <c r="H1092" t="s">
        <v>270</v>
      </c>
      <c r="I1092" t="s">
        <v>82</v>
      </c>
      <c r="J1092" t="s">
        <v>42</v>
      </c>
      <c r="K1092" t="s">
        <v>83</v>
      </c>
      <c r="L1092" s="25">
        <v>44030</v>
      </c>
      <c r="M1092">
        <v>7</v>
      </c>
      <c r="N1092">
        <v>2020</v>
      </c>
      <c r="O1092" t="s">
        <v>110</v>
      </c>
      <c r="P1092">
        <v>170</v>
      </c>
      <c r="Q1092" s="17">
        <v>44030.422706712961</v>
      </c>
      <c r="R1092" t="s">
        <v>126</v>
      </c>
    </row>
    <row r="1093" spans="1:18" x14ac:dyDescent="0.3">
      <c r="A1093">
        <v>9678895</v>
      </c>
      <c r="B1093" t="s">
        <v>78</v>
      </c>
      <c r="C1093">
        <v>1320506</v>
      </c>
      <c r="D1093" t="s">
        <v>78</v>
      </c>
      <c r="E1093" t="s">
        <v>26</v>
      </c>
      <c r="F1093" t="s">
        <v>26</v>
      </c>
      <c r="G1093" t="s">
        <v>137</v>
      </c>
      <c r="H1093" t="s">
        <v>245</v>
      </c>
      <c r="I1093" t="s">
        <v>78</v>
      </c>
      <c r="J1093" t="s">
        <v>42</v>
      </c>
      <c r="K1093" t="s">
        <v>83</v>
      </c>
      <c r="L1093" s="25">
        <v>44030</v>
      </c>
      <c r="M1093">
        <v>7</v>
      </c>
      <c r="N1093">
        <v>2020</v>
      </c>
      <c r="O1093" t="s">
        <v>110</v>
      </c>
      <c r="P1093">
        <v>170</v>
      </c>
      <c r="Q1093" s="17">
        <v>44030.445776388886</v>
      </c>
      <c r="R1093" t="s">
        <v>126</v>
      </c>
    </row>
    <row r="1094" spans="1:18" x14ac:dyDescent="0.3">
      <c r="A1094">
        <v>9685810</v>
      </c>
      <c r="B1094" t="s">
        <v>80</v>
      </c>
      <c r="C1094">
        <v>1329537</v>
      </c>
      <c r="D1094" t="s">
        <v>122</v>
      </c>
      <c r="E1094">
        <v>820</v>
      </c>
      <c r="F1094">
        <v>820</v>
      </c>
      <c r="G1094" t="s">
        <v>136</v>
      </c>
      <c r="H1094" t="s">
        <v>283</v>
      </c>
      <c r="I1094" t="s">
        <v>84</v>
      </c>
      <c r="J1094" t="s">
        <v>85</v>
      </c>
      <c r="K1094" t="s">
        <v>83</v>
      </c>
      <c r="L1094" s="25">
        <v>44030</v>
      </c>
      <c r="M1094">
        <v>7</v>
      </c>
      <c r="N1094">
        <v>2020</v>
      </c>
      <c r="O1094" t="s">
        <v>110</v>
      </c>
      <c r="P1094">
        <v>170</v>
      </c>
      <c r="Q1094" s="17">
        <v>44030.05254340278</v>
      </c>
      <c r="R1094" t="s">
        <v>126</v>
      </c>
    </row>
    <row r="1095" spans="1:18" x14ac:dyDescent="0.3">
      <c r="A1095">
        <v>9686170</v>
      </c>
      <c r="B1095" t="s">
        <v>80</v>
      </c>
      <c r="C1095">
        <v>1329637</v>
      </c>
      <c r="D1095" t="s">
        <v>113</v>
      </c>
      <c r="E1095" t="s">
        <v>146</v>
      </c>
      <c r="F1095" t="s">
        <v>17</v>
      </c>
      <c r="G1095" t="s">
        <v>153</v>
      </c>
      <c r="H1095" t="s">
        <v>232</v>
      </c>
      <c r="I1095" t="s">
        <v>84</v>
      </c>
      <c r="J1095" t="s">
        <v>85</v>
      </c>
      <c r="K1095" t="s">
        <v>87</v>
      </c>
      <c r="L1095" s="25">
        <v>44030</v>
      </c>
      <c r="M1095">
        <v>7</v>
      </c>
      <c r="N1095">
        <v>2020</v>
      </c>
      <c r="O1095" t="s">
        <v>110</v>
      </c>
      <c r="P1095">
        <v>170</v>
      </c>
      <c r="Q1095" s="17">
        <v>44030.441962847224</v>
      </c>
      <c r="R1095" t="s">
        <v>126</v>
      </c>
    </row>
    <row r="1096" spans="1:18" x14ac:dyDescent="0.3">
      <c r="A1096">
        <v>9686993</v>
      </c>
      <c r="B1096" t="s">
        <v>80</v>
      </c>
      <c r="C1096">
        <v>1330230</v>
      </c>
      <c r="D1096" t="s">
        <v>113</v>
      </c>
      <c r="E1096" t="s">
        <v>146</v>
      </c>
      <c r="F1096" t="s">
        <v>17</v>
      </c>
      <c r="G1096" t="s">
        <v>153</v>
      </c>
      <c r="H1096" t="s">
        <v>232</v>
      </c>
      <c r="I1096" t="s">
        <v>84</v>
      </c>
      <c r="J1096" t="s">
        <v>85</v>
      </c>
      <c r="K1096" t="s">
        <v>87</v>
      </c>
      <c r="L1096" s="25">
        <v>44030</v>
      </c>
      <c r="M1096">
        <v>7</v>
      </c>
      <c r="N1096">
        <v>2020</v>
      </c>
      <c r="O1096" t="s">
        <v>110</v>
      </c>
      <c r="P1096">
        <v>170</v>
      </c>
      <c r="Q1096" s="17">
        <v>44030.495628935183</v>
      </c>
      <c r="R1096" t="s">
        <v>126</v>
      </c>
    </row>
    <row r="1097" spans="1:18" x14ac:dyDescent="0.3">
      <c r="A1097">
        <v>9685705</v>
      </c>
      <c r="B1097" t="s">
        <v>78</v>
      </c>
      <c r="C1097">
        <v>1328701</v>
      </c>
      <c r="D1097" t="s">
        <v>78</v>
      </c>
      <c r="E1097">
        <v>820</v>
      </c>
      <c r="F1097">
        <v>820</v>
      </c>
      <c r="G1097" t="s">
        <v>136</v>
      </c>
      <c r="H1097" t="s">
        <v>250</v>
      </c>
      <c r="I1097" t="s">
        <v>78</v>
      </c>
      <c r="J1097" t="s">
        <v>42</v>
      </c>
      <c r="K1097" t="s">
        <v>83</v>
      </c>
      <c r="L1097" s="25">
        <v>44030</v>
      </c>
      <c r="M1097">
        <v>7</v>
      </c>
      <c r="N1097">
        <v>2020</v>
      </c>
      <c r="O1097" t="s">
        <v>110</v>
      </c>
      <c r="P1097">
        <v>170</v>
      </c>
      <c r="Q1097" s="17">
        <v>44030.428695717594</v>
      </c>
      <c r="R1097" t="s">
        <v>126</v>
      </c>
    </row>
    <row r="1098" spans="1:18" x14ac:dyDescent="0.3">
      <c r="A1098">
        <v>9684337</v>
      </c>
      <c r="B1098" t="s">
        <v>78</v>
      </c>
      <c r="C1098">
        <v>1328787</v>
      </c>
      <c r="D1098" t="s">
        <v>78</v>
      </c>
      <c r="E1098">
        <v>820</v>
      </c>
      <c r="F1098">
        <v>820</v>
      </c>
      <c r="G1098" t="s">
        <v>136</v>
      </c>
      <c r="H1098" t="s">
        <v>249</v>
      </c>
      <c r="I1098" t="s">
        <v>78</v>
      </c>
      <c r="J1098" t="s">
        <v>42</v>
      </c>
      <c r="K1098" t="s">
        <v>83</v>
      </c>
      <c r="L1098" s="25">
        <v>44030</v>
      </c>
      <c r="M1098">
        <v>7</v>
      </c>
      <c r="N1098">
        <v>2020</v>
      </c>
      <c r="O1098" t="s">
        <v>110</v>
      </c>
      <c r="P1098">
        <v>170</v>
      </c>
      <c r="Q1098" s="17">
        <v>44030.437810185183</v>
      </c>
      <c r="R1098" t="s">
        <v>126</v>
      </c>
    </row>
    <row r="1099" spans="1:18" x14ac:dyDescent="0.3">
      <c r="A1099">
        <v>21526613</v>
      </c>
      <c r="B1099" t="s">
        <v>78</v>
      </c>
      <c r="C1099">
        <v>1324900</v>
      </c>
      <c r="D1099" t="s">
        <v>78</v>
      </c>
      <c r="E1099" t="s">
        <v>146</v>
      </c>
      <c r="F1099" t="s">
        <v>17</v>
      </c>
      <c r="G1099" t="s">
        <v>147</v>
      </c>
      <c r="H1099" t="s">
        <v>134</v>
      </c>
      <c r="I1099" t="s">
        <v>78</v>
      </c>
      <c r="J1099" t="s">
        <v>42</v>
      </c>
      <c r="K1099" t="s">
        <v>87</v>
      </c>
      <c r="L1099" s="25">
        <v>44030</v>
      </c>
      <c r="M1099">
        <v>7</v>
      </c>
      <c r="N1099">
        <v>2020</v>
      </c>
      <c r="O1099" t="s">
        <v>110</v>
      </c>
      <c r="P1099">
        <v>170</v>
      </c>
      <c r="Q1099" s="17">
        <v>44030.489628935182</v>
      </c>
      <c r="R1099" t="s">
        <v>126</v>
      </c>
    </row>
    <row r="1100" spans="1:18" x14ac:dyDescent="0.3">
      <c r="A1100">
        <v>9687728</v>
      </c>
      <c r="B1100" t="s">
        <v>78</v>
      </c>
      <c r="C1100">
        <v>1330616</v>
      </c>
      <c r="D1100" t="s">
        <v>78</v>
      </c>
      <c r="E1100">
        <v>820</v>
      </c>
      <c r="F1100">
        <v>820</v>
      </c>
      <c r="G1100" t="s">
        <v>136</v>
      </c>
      <c r="H1100" t="s">
        <v>249</v>
      </c>
      <c r="I1100" t="s">
        <v>78</v>
      </c>
      <c r="J1100" t="s">
        <v>42</v>
      </c>
      <c r="K1100" t="s">
        <v>83</v>
      </c>
      <c r="L1100" s="25">
        <v>44030</v>
      </c>
      <c r="M1100">
        <v>7</v>
      </c>
      <c r="N1100">
        <v>2020</v>
      </c>
      <c r="O1100" t="s">
        <v>110</v>
      </c>
      <c r="P1100">
        <v>170</v>
      </c>
      <c r="Q1100" s="17">
        <v>44030.496209953701</v>
      </c>
      <c r="R1100" t="s">
        <v>126</v>
      </c>
    </row>
    <row r="1101" spans="1:18" x14ac:dyDescent="0.3">
      <c r="A1101">
        <v>9685715</v>
      </c>
      <c r="B1101" t="s">
        <v>72</v>
      </c>
      <c r="C1101">
        <v>1328644</v>
      </c>
      <c r="D1101" t="s">
        <v>108</v>
      </c>
      <c r="E1101">
        <v>820</v>
      </c>
      <c r="F1101">
        <v>820</v>
      </c>
      <c r="G1101" t="s">
        <v>136</v>
      </c>
      <c r="H1101" t="s">
        <v>263</v>
      </c>
      <c r="I1101" t="s">
        <v>82</v>
      </c>
      <c r="J1101" t="s">
        <v>42</v>
      </c>
      <c r="K1101" t="s">
        <v>83</v>
      </c>
      <c r="L1101" s="25">
        <v>44030</v>
      </c>
      <c r="M1101">
        <v>7</v>
      </c>
      <c r="N1101">
        <v>2020</v>
      </c>
      <c r="O1101" t="s">
        <v>110</v>
      </c>
      <c r="P1101">
        <v>170</v>
      </c>
      <c r="Q1101" s="17">
        <v>44030.433444444447</v>
      </c>
      <c r="R1101" t="s">
        <v>126</v>
      </c>
    </row>
    <row r="1102" spans="1:18" x14ac:dyDescent="0.3">
      <c r="A1102">
        <v>9685647</v>
      </c>
      <c r="B1102" t="s">
        <v>78</v>
      </c>
      <c r="C1102">
        <v>1329151</v>
      </c>
      <c r="D1102" t="s">
        <v>78</v>
      </c>
      <c r="E1102">
        <v>820</v>
      </c>
      <c r="F1102">
        <v>820</v>
      </c>
      <c r="G1102" t="s">
        <v>136</v>
      </c>
      <c r="H1102" t="s">
        <v>250</v>
      </c>
      <c r="I1102" t="s">
        <v>78</v>
      </c>
      <c r="J1102" t="s">
        <v>42</v>
      </c>
      <c r="K1102" t="s">
        <v>83</v>
      </c>
      <c r="L1102" s="25">
        <v>44030</v>
      </c>
      <c r="M1102">
        <v>7</v>
      </c>
      <c r="N1102">
        <v>2020</v>
      </c>
      <c r="O1102" t="s">
        <v>110</v>
      </c>
      <c r="P1102">
        <v>170</v>
      </c>
      <c r="Q1102" s="17">
        <v>44030.451897800929</v>
      </c>
      <c r="R1102" t="s">
        <v>126</v>
      </c>
    </row>
    <row r="1103" spans="1:18" x14ac:dyDescent="0.3">
      <c r="A1103">
        <v>9685772</v>
      </c>
      <c r="B1103" t="s">
        <v>72</v>
      </c>
      <c r="C1103">
        <v>1329437</v>
      </c>
      <c r="D1103" t="s">
        <v>108</v>
      </c>
      <c r="E1103">
        <v>820</v>
      </c>
      <c r="F1103">
        <v>820</v>
      </c>
      <c r="G1103" t="s">
        <v>136</v>
      </c>
      <c r="H1103" t="s">
        <v>270</v>
      </c>
      <c r="I1103" t="s">
        <v>82</v>
      </c>
      <c r="J1103" t="s">
        <v>42</v>
      </c>
      <c r="K1103" t="s">
        <v>83</v>
      </c>
      <c r="L1103" s="25">
        <v>44030</v>
      </c>
      <c r="M1103">
        <v>7</v>
      </c>
      <c r="N1103">
        <v>2020</v>
      </c>
      <c r="O1103" t="s">
        <v>110</v>
      </c>
      <c r="P1103">
        <v>170</v>
      </c>
      <c r="Q1103" s="17">
        <v>44030.469891435183</v>
      </c>
      <c r="R1103" t="s">
        <v>126</v>
      </c>
    </row>
    <row r="1104" spans="1:18" x14ac:dyDescent="0.3">
      <c r="A1104">
        <v>9680342</v>
      </c>
      <c r="B1104" t="s">
        <v>78</v>
      </c>
      <c r="C1104">
        <v>1323678</v>
      </c>
      <c r="D1104" t="s">
        <v>78</v>
      </c>
      <c r="E1104">
        <v>966</v>
      </c>
      <c r="F1104">
        <v>966</v>
      </c>
      <c r="G1104" t="s">
        <v>139</v>
      </c>
      <c r="H1104" t="s">
        <v>105</v>
      </c>
      <c r="I1104" t="s">
        <v>78</v>
      </c>
      <c r="J1104" t="s">
        <v>42</v>
      </c>
      <c r="K1104" t="s">
        <v>87</v>
      </c>
      <c r="L1104" s="25">
        <v>44030</v>
      </c>
      <c r="M1104">
        <v>7</v>
      </c>
      <c r="N1104">
        <v>2020</v>
      </c>
      <c r="O1104" t="s">
        <v>110</v>
      </c>
      <c r="P1104">
        <v>170</v>
      </c>
      <c r="Q1104" s="17">
        <v>44030.467314814814</v>
      </c>
      <c r="R1104" t="s">
        <v>126</v>
      </c>
    </row>
    <row r="1105" spans="1:18" x14ac:dyDescent="0.3">
      <c r="A1105">
        <v>9680519</v>
      </c>
      <c r="B1105" t="s">
        <v>80</v>
      </c>
      <c r="C1105">
        <v>1324164</v>
      </c>
      <c r="D1105" t="s">
        <v>113</v>
      </c>
      <c r="E1105">
        <v>966</v>
      </c>
      <c r="F1105">
        <v>966</v>
      </c>
      <c r="G1105" t="s">
        <v>139</v>
      </c>
      <c r="H1105" t="s">
        <v>232</v>
      </c>
      <c r="I1105" t="s">
        <v>84</v>
      </c>
      <c r="J1105" t="s">
        <v>85</v>
      </c>
      <c r="K1105" t="s">
        <v>87</v>
      </c>
      <c r="L1105" s="25">
        <v>44030</v>
      </c>
      <c r="M1105">
        <v>7</v>
      </c>
      <c r="N1105">
        <v>2020</v>
      </c>
      <c r="O1105" t="s">
        <v>110</v>
      </c>
      <c r="P1105">
        <v>170</v>
      </c>
      <c r="Q1105" s="17">
        <v>44030.472869907404</v>
      </c>
      <c r="R1105" t="s">
        <v>126</v>
      </c>
    </row>
    <row r="1106" spans="1:18" x14ac:dyDescent="0.3">
      <c r="A1106">
        <v>9667110</v>
      </c>
      <c r="B1106" t="s">
        <v>72</v>
      </c>
      <c r="C1106">
        <v>1334135</v>
      </c>
      <c r="D1106" t="s">
        <v>108</v>
      </c>
      <c r="E1106">
        <v>966</v>
      </c>
      <c r="F1106">
        <v>966</v>
      </c>
      <c r="G1106" t="s">
        <v>139</v>
      </c>
      <c r="H1106" t="s">
        <v>229</v>
      </c>
      <c r="I1106" t="s">
        <v>84</v>
      </c>
      <c r="J1106" t="s">
        <v>85</v>
      </c>
      <c r="K1106" t="s">
        <v>87</v>
      </c>
      <c r="L1106" s="25">
        <v>44030</v>
      </c>
      <c r="M1106">
        <v>7</v>
      </c>
      <c r="N1106">
        <v>2020</v>
      </c>
      <c r="O1106" t="s">
        <v>110</v>
      </c>
      <c r="P1106">
        <v>170</v>
      </c>
      <c r="Q1106" s="17">
        <v>44031.080453472219</v>
      </c>
      <c r="R1106" t="s">
        <v>126</v>
      </c>
    </row>
    <row r="1107" spans="1:18" x14ac:dyDescent="0.3">
      <c r="A1107">
        <v>9679024</v>
      </c>
      <c r="B1107" t="s">
        <v>80</v>
      </c>
      <c r="C1107">
        <v>1325954</v>
      </c>
      <c r="D1107" t="s">
        <v>113</v>
      </c>
      <c r="E1107">
        <v>966</v>
      </c>
      <c r="F1107">
        <v>966</v>
      </c>
      <c r="G1107" t="s">
        <v>139</v>
      </c>
      <c r="H1107" t="s">
        <v>257</v>
      </c>
      <c r="I1107" t="s">
        <v>82</v>
      </c>
      <c r="J1107" t="s">
        <v>42</v>
      </c>
      <c r="K1107" t="s">
        <v>87</v>
      </c>
      <c r="L1107" s="25">
        <v>44030</v>
      </c>
      <c r="M1107">
        <v>7</v>
      </c>
      <c r="N1107">
        <v>2020</v>
      </c>
      <c r="O1107" t="s">
        <v>110</v>
      </c>
      <c r="P1107">
        <v>170</v>
      </c>
      <c r="Q1107" s="17">
        <v>44030.490166898147</v>
      </c>
      <c r="R1107" t="s">
        <v>126</v>
      </c>
    </row>
    <row r="1108" spans="1:18" x14ac:dyDescent="0.3">
      <c r="A1108">
        <v>9685713</v>
      </c>
      <c r="B1108" t="s">
        <v>78</v>
      </c>
      <c r="C1108">
        <v>1329512</v>
      </c>
      <c r="D1108" t="s">
        <v>78</v>
      </c>
      <c r="E1108">
        <v>820</v>
      </c>
      <c r="F1108">
        <v>820</v>
      </c>
      <c r="G1108" t="s">
        <v>136</v>
      </c>
      <c r="H1108" t="s">
        <v>250</v>
      </c>
      <c r="I1108" t="s">
        <v>78</v>
      </c>
      <c r="J1108" t="s">
        <v>42</v>
      </c>
      <c r="K1108" t="s">
        <v>83</v>
      </c>
      <c r="L1108" s="25">
        <v>44030</v>
      </c>
      <c r="M1108">
        <v>7</v>
      </c>
      <c r="N1108">
        <v>2020</v>
      </c>
      <c r="O1108" t="s">
        <v>110</v>
      </c>
      <c r="P1108">
        <v>170</v>
      </c>
      <c r="Q1108" s="17">
        <v>44030.474857870373</v>
      </c>
      <c r="R1108" t="s">
        <v>126</v>
      </c>
    </row>
    <row r="1109" spans="1:18" x14ac:dyDescent="0.3">
      <c r="A1109">
        <v>9683004</v>
      </c>
      <c r="B1109" t="s">
        <v>72</v>
      </c>
      <c r="C1109">
        <v>1326461</v>
      </c>
      <c r="D1109" t="s">
        <v>108</v>
      </c>
      <c r="E1109">
        <v>966</v>
      </c>
      <c r="F1109">
        <v>966</v>
      </c>
      <c r="G1109" t="s">
        <v>139</v>
      </c>
      <c r="H1109" t="s">
        <v>229</v>
      </c>
      <c r="I1109" t="s">
        <v>84</v>
      </c>
      <c r="J1109" t="s">
        <v>85</v>
      </c>
      <c r="K1109" t="s">
        <v>87</v>
      </c>
      <c r="L1109" s="25">
        <v>44030</v>
      </c>
      <c r="M1109">
        <v>7</v>
      </c>
      <c r="N1109">
        <v>2020</v>
      </c>
      <c r="O1109" t="s">
        <v>110</v>
      </c>
      <c r="P1109">
        <v>170</v>
      </c>
      <c r="Q1109" s="17">
        <v>44031.032492824073</v>
      </c>
      <c r="R1109" t="s">
        <v>126</v>
      </c>
    </row>
    <row r="1110" spans="1:18" x14ac:dyDescent="0.3">
      <c r="A1110">
        <v>9685686</v>
      </c>
      <c r="B1110" t="s">
        <v>78</v>
      </c>
      <c r="C1110">
        <v>1329455</v>
      </c>
      <c r="D1110" t="s">
        <v>78</v>
      </c>
      <c r="E1110">
        <v>820</v>
      </c>
      <c r="F1110">
        <v>820</v>
      </c>
      <c r="G1110" t="s">
        <v>136</v>
      </c>
      <c r="H1110" t="s">
        <v>249</v>
      </c>
      <c r="I1110" t="s">
        <v>78</v>
      </c>
      <c r="J1110" t="s">
        <v>42</v>
      </c>
      <c r="K1110" t="s">
        <v>83</v>
      </c>
      <c r="L1110" s="25">
        <v>44030</v>
      </c>
      <c r="M1110">
        <v>7</v>
      </c>
      <c r="N1110">
        <v>2020</v>
      </c>
      <c r="O1110" t="s">
        <v>110</v>
      </c>
      <c r="P1110">
        <v>170</v>
      </c>
      <c r="Q1110" s="17">
        <v>44030.476827893515</v>
      </c>
      <c r="R1110" t="s">
        <v>126</v>
      </c>
    </row>
    <row r="1111" spans="1:18" x14ac:dyDescent="0.3">
      <c r="A1111">
        <v>9685852</v>
      </c>
      <c r="B1111" t="s">
        <v>78</v>
      </c>
      <c r="C1111">
        <v>1329412</v>
      </c>
      <c r="D1111" t="s">
        <v>78</v>
      </c>
      <c r="E1111">
        <v>820</v>
      </c>
      <c r="F1111">
        <v>820</v>
      </c>
      <c r="G1111" t="s">
        <v>136</v>
      </c>
      <c r="H1111" t="s">
        <v>249</v>
      </c>
      <c r="I1111" t="s">
        <v>78</v>
      </c>
      <c r="J1111" t="s">
        <v>42</v>
      </c>
      <c r="K1111" t="s">
        <v>83</v>
      </c>
      <c r="L1111" s="25">
        <v>44030</v>
      </c>
      <c r="M1111">
        <v>7</v>
      </c>
      <c r="N1111">
        <v>2020</v>
      </c>
      <c r="O1111" t="s">
        <v>110</v>
      </c>
      <c r="P1111">
        <v>170</v>
      </c>
      <c r="Q1111" s="17">
        <v>44030.470868402779</v>
      </c>
      <c r="R1111" t="s">
        <v>126</v>
      </c>
    </row>
    <row r="1112" spans="1:18" x14ac:dyDescent="0.3">
      <c r="A1112">
        <v>9686620</v>
      </c>
      <c r="B1112" t="s">
        <v>78</v>
      </c>
      <c r="C1112">
        <v>1330062</v>
      </c>
      <c r="D1112" t="s">
        <v>78</v>
      </c>
      <c r="E1112">
        <v>8416</v>
      </c>
      <c r="F1112" t="s">
        <v>17</v>
      </c>
      <c r="G1112" t="s">
        <v>152</v>
      </c>
      <c r="H1112" t="s">
        <v>134</v>
      </c>
      <c r="I1112" t="s">
        <v>78</v>
      </c>
      <c r="J1112" t="s">
        <v>42</v>
      </c>
      <c r="K1112" t="s">
        <v>87</v>
      </c>
      <c r="L1112" s="25">
        <v>44030</v>
      </c>
      <c r="M1112">
        <v>7</v>
      </c>
      <c r="N1112">
        <v>2020</v>
      </c>
      <c r="O1112" t="s">
        <v>110</v>
      </c>
      <c r="P1112">
        <v>170</v>
      </c>
      <c r="Q1112" s="17">
        <v>44030.488123495372</v>
      </c>
      <c r="R1112" t="s">
        <v>126</v>
      </c>
    </row>
    <row r="1113" spans="1:18" x14ac:dyDescent="0.3">
      <c r="A1113">
        <v>9669772</v>
      </c>
      <c r="B1113" t="s">
        <v>72</v>
      </c>
      <c r="C1113">
        <v>1325911</v>
      </c>
      <c r="D1113" t="s">
        <v>108</v>
      </c>
      <c r="E1113">
        <v>966</v>
      </c>
      <c r="F1113">
        <v>966</v>
      </c>
      <c r="G1113" t="s">
        <v>139</v>
      </c>
      <c r="H1113" t="s">
        <v>277</v>
      </c>
      <c r="I1113" t="s">
        <v>84</v>
      </c>
      <c r="J1113" t="s">
        <v>85</v>
      </c>
      <c r="K1113" t="s">
        <v>87</v>
      </c>
      <c r="L1113" s="25">
        <v>44030</v>
      </c>
      <c r="M1113">
        <v>7</v>
      </c>
      <c r="N1113">
        <v>2020</v>
      </c>
      <c r="O1113" t="s">
        <v>110</v>
      </c>
      <c r="P1113">
        <v>170</v>
      </c>
      <c r="Q1113" s="17">
        <v>44030.485656597222</v>
      </c>
      <c r="R1113" t="s">
        <v>126</v>
      </c>
    </row>
    <row r="1114" spans="1:18" x14ac:dyDescent="0.3">
      <c r="A1114">
        <v>9678323</v>
      </c>
      <c r="B1114" t="s">
        <v>72</v>
      </c>
      <c r="C1114">
        <v>1331384</v>
      </c>
      <c r="D1114" t="s">
        <v>108</v>
      </c>
      <c r="E1114" t="s">
        <v>26</v>
      </c>
      <c r="F1114" t="s">
        <v>26</v>
      </c>
      <c r="G1114" t="s">
        <v>137</v>
      </c>
      <c r="H1114" t="s">
        <v>229</v>
      </c>
      <c r="I1114" t="s">
        <v>84</v>
      </c>
      <c r="J1114" t="s">
        <v>85</v>
      </c>
      <c r="K1114" t="s">
        <v>83</v>
      </c>
      <c r="L1114" s="25">
        <v>44030</v>
      </c>
      <c r="M1114">
        <v>7</v>
      </c>
      <c r="N1114">
        <v>2020</v>
      </c>
      <c r="O1114" t="s">
        <v>110</v>
      </c>
      <c r="P1114">
        <v>170</v>
      </c>
      <c r="Q1114" s="17">
        <v>44030.379978240744</v>
      </c>
      <c r="R1114" t="s">
        <v>126</v>
      </c>
    </row>
    <row r="1115" spans="1:18" x14ac:dyDescent="0.3">
      <c r="A1115">
        <v>9687462</v>
      </c>
      <c r="B1115" t="s">
        <v>78</v>
      </c>
      <c r="C1115">
        <v>1330248</v>
      </c>
      <c r="D1115" t="s">
        <v>78</v>
      </c>
      <c r="E1115" t="s">
        <v>146</v>
      </c>
      <c r="F1115" t="s">
        <v>17</v>
      </c>
      <c r="G1115" t="s">
        <v>153</v>
      </c>
      <c r="H1115" t="s">
        <v>134</v>
      </c>
      <c r="I1115" t="s">
        <v>78</v>
      </c>
      <c r="J1115" t="s">
        <v>42</v>
      </c>
      <c r="K1115" t="s">
        <v>87</v>
      </c>
      <c r="L1115" s="25">
        <v>44030</v>
      </c>
      <c r="M1115">
        <v>7</v>
      </c>
      <c r="N1115">
        <v>2020</v>
      </c>
      <c r="O1115" t="s">
        <v>110</v>
      </c>
      <c r="P1115">
        <v>170</v>
      </c>
      <c r="Q1115" s="17">
        <v>44030.496563310182</v>
      </c>
      <c r="R1115" t="s">
        <v>126</v>
      </c>
    </row>
    <row r="1116" spans="1:18" x14ac:dyDescent="0.3">
      <c r="A1116">
        <v>9685596</v>
      </c>
      <c r="B1116" t="s">
        <v>80</v>
      </c>
      <c r="C1116">
        <v>1329555</v>
      </c>
      <c r="D1116" t="s">
        <v>113</v>
      </c>
      <c r="E1116" t="s">
        <v>146</v>
      </c>
      <c r="F1116" t="s">
        <v>17</v>
      </c>
      <c r="G1116" t="s">
        <v>153</v>
      </c>
      <c r="H1116" t="s">
        <v>232</v>
      </c>
      <c r="I1116" t="s">
        <v>84</v>
      </c>
      <c r="J1116" t="s">
        <v>85</v>
      </c>
      <c r="K1116" t="s">
        <v>87</v>
      </c>
      <c r="L1116" s="25">
        <v>44030</v>
      </c>
      <c r="M1116">
        <v>7</v>
      </c>
      <c r="N1116">
        <v>2020</v>
      </c>
      <c r="O1116" t="s">
        <v>110</v>
      </c>
      <c r="P1116">
        <v>170</v>
      </c>
      <c r="Q1116" s="17">
        <v>44030.425157407408</v>
      </c>
      <c r="R1116" t="s">
        <v>126</v>
      </c>
    </row>
    <row r="1117" spans="1:18" x14ac:dyDescent="0.3">
      <c r="A1117">
        <v>9686244</v>
      </c>
      <c r="B1117" t="s">
        <v>80</v>
      </c>
      <c r="C1117">
        <v>1329655</v>
      </c>
      <c r="D1117" t="s">
        <v>113</v>
      </c>
      <c r="E1117" t="s">
        <v>146</v>
      </c>
      <c r="F1117" t="s">
        <v>17</v>
      </c>
      <c r="G1117" t="s">
        <v>153</v>
      </c>
      <c r="H1117" t="s">
        <v>232</v>
      </c>
      <c r="I1117" t="s">
        <v>84</v>
      </c>
      <c r="J1117" t="s">
        <v>85</v>
      </c>
      <c r="K1117" t="s">
        <v>87</v>
      </c>
      <c r="L1117" s="25">
        <v>44030</v>
      </c>
      <c r="M1117">
        <v>7</v>
      </c>
      <c r="N1117">
        <v>2020</v>
      </c>
      <c r="O1117" t="s">
        <v>110</v>
      </c>
      <c r="P1117">
        <v>170</v>
      </c>
      <c r="Q1117" s="17">
        <v>44030.445288078707</v>
      </c>
      <c r="R1117" t="s">
        <v>126</v>
      </c>
    </row>
    <row r="1118" spans="1:18" x14ac:dyDescent="0.3">
      <c r="A1118">
        <v>9685653</v>
      </c>
      <c r="B1118" t="s">
        <v>72</v>
      </c>
      <c r="C1118">
        <v>1328676</v>
      </c>
      <c r="D1118" t="s">
        <v>108</v>
      </c>
      <c r="E1118">
        <v>820</v>
      </c>
      <c r="F1118">
        <v>820</v>
      </c>
      <c r="G1118" t="s">
        <v>136</v>
      </c>
      <c r="H1118" t="s">
        <v>270</v>
      </c>
      <c r="I1118" t="s">
        <v>82</v>
      </c>
      <c r="J1118" t="s">
        <v>42</v>
      </c>
      <c r="K1118" t="s">
        <v>83</v>
      </c>
      <c r="L1118" s="25">
        <v>44030</v>
      </c>
      <c r="M1118">
        <v>7</v>
      </c>
      <c r="N1118">
        <v>2020</v>
      </c>
      <c r="O1118" t="s">
        <v>110</v>
      </c>
      <c r="P1118">
        <v>170</v>
      </c>
      <c r="Q1118" s="17">
        <v>44030.427163657405</v>
      </c>
      <c r="R1118" t="s">
        <v>126</v>
      </c>
    </row>
    <row r="1119" spans="1:18" x14ac:dyDescent="0.3">
      <c r="A1119">
        <v>240485</v>
      </c>
      <c r="B1119" t="s">
        <v>78</v>
      </c>
      <c r="C1119">
        <v>1318380</v>
      </c>
      <c r="D1119" t="s">
        <v>78</v>
      </c>
      <c r="E1119" t="s">
        <v>188</v>
      </c>
      <c r="F1119" t="s">
        <v>17</v>
      </c>
      <c r="G1119" t="s">
        <v>189</v>
      </c>
      <c r="H1119" t="s">
        <v>134</v>
      </c>
      <c r="I1119" t="s">
        <v>78</v>
      </c>
      <c r="J1119" t="s">
        <v>42</v>
      </c>
      <c r="K1119" t="s">
        <v>87</v>
      </c>
      <c r="L1119" s="25">
        <v>44030</v>
      </c>
      <c r="M1119">
        <v>7</v>
      </c>
      <c r="N1119">
        <v>2020</v>
      </c>
      <c r="O1119" t="s">
        <v>110</v>
      </c>
      <c r="P1119">
        <v>170</v>
      </c>
      <c r="Q1119" s="17">
        <v>44030.485157175928</v>
      </c>
      <c r="R1119" t="s">
        <v>126</v>
      </c>
    </row>
    <row r="1120" spans="1:18" x14ac:dyDescent="0.3">
      <c r="A1120">
        <v>242185</v>
      </c>
      <c r="B1120" t="s">
        <v>72</v>
      </c>
      <c r="C1120">
        <v>1323839</v>
      </c>
      <c r="D1120" t="s">
        <v>108</v>
      </c>
      <c r="E1120">
        <v>966</v>
      </c>
      <c r="F1120">
        <v>966</v>
      </c>
      <c r="G1120" t="s">
        <v>139</v>
      </c>
      <c r="H1120" t="s">
        <v>229</v>
      </c>
      <c r="I1120" t="s">
        <v>84</v>
      </c>
      <c r="J1120" t="s">
        <v>85</v>
      </c>
      <c r="K1120" t="s">
        <v>87</v>
      </c>
      <c r="L1120" s="25">
        <v>44030</v>
      </c>
      <c r="M1120">
        <v>7</v>
      </c>
      <c r="N1120">
        <v>2020</v>
      </c>
      <c r="O1120" t="s">
        <v>110</v>
      </c>
      <c r="P1120">
        <v>170</v>
      </c>
      <c r="Q1120" s="17">
        <v>44030.470142129627</v>
      </c>
      <c r="R1120" t="s">
        <v>126</v>
      </c>
    </row>
    <row r="1121" spans="1:18" x14ac:dyDescent="0.3">
      <c r="A1121">
        <v>244737</v>
      </c>
      <c r="B1121" t="s">
        <v>72</v>
      </c>
      <c r="C1121">
        <v>1330162</v>
      </c>
      <c r="D1121" t="s">
        <v>108</v>
      </c>
      <c r="E1121" t="s">
        <v>142</v>
      </c>
      <c r="F1121" t="s">
        <v>17</v>
      </c>
      <c r="G1121" t="s">
        <v>143</v>
      </c>
      <c r="H1121" t="s">
        <v>263</v>
      </c>
      <c r="I1121" t="s">
        <v>82</v>
      </c>
      <c r="J1121" t="s">
        <v>42</v>
      </c>
      <c r="K1121" t="s">
        <v>87</v>
      </c>
      <c r="L1121" s="25">
        <v>44030</v>
      </c>
      <c r="M1121">
        <v>7</v>
      </c>
      <c r="N1121">
        <v>2020</v>
      </c>
      <c r="O1121" t="s">
        <v>110</v>
      </c>
      <c r="P1121">
        <v>170</v>
      </c>
      <c r="Q1121" s="17">
        <v>44030.489233796296</v>
      </c>
      <c r="R1121" t="s">
        <v>126</v>
      </c>
    </row>
    <row r="1122" spans="1:18" x14ac:dyDescent="0.3">
      <c r="A1122">
        <v>9685692</v>
      </c>
      <c r="B1122" t="s">
        <v>78</v>
      </c>
      <c r="C1122">
        <v>1329255</v>
      </c>
      <c r="D1122" t="s">
        <v>78</v>
      </c>
      <c r="E1122">
        <v>820</v>
      </c>
      <c r="F1122">
        <v>820</v>
      </c>
      <c r="G1122" t="s">
        <v>136</v>
      </c>
      <c r="H1122" t="s">
        <v>250</v>
      </c>
      <c r="I1122" t="s">
        <v>78</v>
      </c>
      <c r="J1122" t="s">
        <v>42</v>
      </c>
      <c r="K1122" t="s">
        <v>83</v>
      </c>
      <c r="L1122" s="25">
        <v>44030</v>
      </c>
      <c r="M1122">
        <v>7</v>
      </c>
      <c r="N1122">
        <v>2020</v>
      </c>
      <c r="O1122" t="s">
        <v>110</v>
      </c>
      <c r="P1122">
        <v>170</v>
      </c>
      <c r="Q1122" s="17">
        <v>44030.457137268517</v>
      </c>
      <c r="R1122" t="s">
        <v>126</v>
      </c>
    </row>
    <row r="1123" spans="1:18" x14ac:dyDescent="0.3">
      <c r="A1123">
        <v>9681363</v>
      </c>
      <c r="B1123" t="s">
        <v>72</v>
      </c>
      <c r="C1123">
        <v>1325411</v>
      </c>
      <c r="D1123" t="s">
        <v>108</v>
      </c>
      <c r="E1123">
        <v>966</v>
      </c>
      <c r="F1123">
        <v>966</v>
      </c>
      <c r="G1123" t="s">
        <v>139</v>
      </c>
      <c r="H1123" t="s">
        <v>229</v>
      </c>
      <c r="I1123" t="s">
        <v>84</v>
      </c>
      <c r="J1123" t="s">
        <v>85</v>
      </c>
      <c r="K1123" t="s">
        <v>87</v>
      </c>
      <c r="L1123" s="25">
        <v>44030</v>
      </c>
      <c r="M1123">
        <v>7</v>
      </c>
      <c r="N1123">
        <v>2020</v>
      </c>
      <c r="O1123" t="s">
        <v>110</v>
      </c>
      <c r="P1123">
        <v>170</v>
      </c>
      <c r="Q1123" s="17">
        <v>44030.482098495369</v>
      </c>
      <c r="R1123" t="s">
        <v>126</v>
      </c>
    </row>
    <row r="1124" spans="1:18" x14ac:dyDescent="0.3">
      <c r="A1124">
        <v>9686253</v>
      </c>
      <c r="B1124" t="s">
        <v>80</v>
      </c>
      <c r="C1124">
        <v>1329662</v>
      </c>
      <c r="D1124" t="s">
        <v>113</v>
      </c>
      <c r="E1124" t="s">
        <v>146</v>
      </c>
      <c r="F1124" t="s">
        <v>17</v>
      </c>
      <c r="G1124" t="s">
        <v>153</v>
      </c>
      <c r="H1124" t="s">
        <v>232</v>
      </c>
      <c r="I1124" t="s">
        <v>84</v>
      </c>
      <c r="J1124" t="s">
        <v>85</v>
      </c>
      <c r="K1124" t="s">
        <v>87</v>
      </c>
      <c r="L1124" s="25">
        <v>44030</v>
      </c>
      <c r="M1124">
        <v>7</v>
      </c>
      <c r="N1124">
        <v>2020</v>
      </c>
      <c r="O1124" t="s">
        <v>110</v>
      </c>
      <c r="P1124">
        <v>170</v>
      </c>
      <c r="Q1124" s="17">
        <v>44030.450040740739</v>
      </c>
      <c r="R1124" t="s">
        <v>126</v>
      </c>
    </row>
    <row r="1125" spans="1:18" x14ac:dyDescent="0.3">
      <c r="A1125">
        <v>9685980</v>
      </c>
      <c r="B1125" t="s">
        <v>72</v>
      </c>
      <c r="C1125">
        <v>1328928</v>
      </c>
      <c r="D1125" t="s">
        <v>108</v>
      </c>
      <c r="E1125">
        <v>820</v>
      </c>
      <c r="F1125">
        <v>820</v>
      </c>
      <c r="G1125" t="s">
        <v>136</v>
      </c>
      <c r="H1125" t="s">
        <v>229</v>
      </c>
      <c r="I1125" t="s">
        <v>84</v>
      </c>
      <c r="J1125" t="s">
        <v>85</v>
      </c>
      <c r="K1125" t="s">
        <v>83</v>
      </c>
      <c r="L1125" s="25">
        <v>44030</v>
      </c>
      <c r="M1125">
        <v>7</v>
      </c>
      <c r="N1125">
        <v>2020</v>
      </c>
      <c r="O1125" t="s">
        <v>110</v>
      </c>
      <c r="P1125">
        <v>170</v>
      </c>
      <c r="Q1125" s="17">
        <v>44030.307579282409</v>
      </c>
      <c r="R1125" t="s">
        <v>126</v>
      </c>
    </row>
    <row r="1126" spans="1:18" x14ac:dyDescent="0.3">
      <c r="A1126">
        <v>244997</v>
      </c>
      <c r="B1126" t="s">
        <v>72</v>
      </c>
      <c r="C1126">
        <v>1330139</v>
      </c>
      <c r="D1126" t="s">
        <v>108</v>
      </c>
      <c r="E1126" t="s">
        <v>124</v>
      </c>
      <c r="F1126" t="s">
        <v>17</v>
      </c>
      <c r="G1126" t="s">
        <v>125</v>
      </c>
      <c r="H1126" t="s">
        <v>263</v>
      </c>
      <c r="I1126" t="s">
        <v>82</v>
      </c>
      <c r="J1126" t="s">
        <v>42</v>
      </c>
      <c r="K1126" t="s">
        <v>87</v>
      </c>
      <c r="L1126" s="25">
        <v>44030</v>
      </c>
      <c r="M1126">
        <v>7</v>
      </c>
      <c r="N1126">
        <v>2020</v>
      </c>
      <c r="O1126" t="s">
        <v>110</v>
      </c>
      <c r="P1126">
        <v>170</v>
      </c>
      <c r="Q1126" s="17">
        <v>44030.48938564815</v>
      </c>
      <c r="R1126" t="s">
        <v>126</v>
      </c>
    </row>
    <row r="1127" spans="1:18" x14ac:dyDescent="0.3">
      <c r="A1127">
        <v>9665266</v>
      </c>
      <c r="B1127" t="s">
        <v>72</v>
      </c>
      <c r="C1127">
        <v>1326452</v>
      </c>
      <c r="D1127" t="s">
        <v>108</v>
      </c>
      <c r="E1127" t="s">
        <v>26</v>
      </c>
      <c r="F1127" t="s">
        <v>26</v>
      </c>
      <c r="G1127" t="s">
        <v>137</v>
      </c>
      <c r="H1127" t="s">
        <v>229</v>
      </c>
      <c r="I1127" t="s">
        <v>84</v>
      </c>
      <c r="J1127" t="s">
        <v>85</v>
      </c>
      <c r="K1127" t="s">
        <v>83</v>
      </c>
      <c r="L1127" s="25">
        <v>44030</v>
      </c>
      <c r="M1127">
        <v>7</v>
      </c>
      <c r="N1127">
        <v>2020</v>
      </c>
      <c r="O1127" t="s">
        <v>110</v>
      </c>
      <c r="P1127">
        <v>170</v>
      </c>
      <c r="Q1127" s="17">
        <v>44030.275908912037</v>
      </c>
      <c r="R1127" t="s">
        <v>126</v>
      </c>
    </row>
    <row r="1128" spans="1:18" x14ac:dyDescent="0.3">
      <c r="A1128">
        <v>9686942</v>
      </c>
      <c r="B1128" t="s">
        <v>78</v>
      </c>
      <c r="C1128">
        <v>1330196</v>
      </c>
      <c r="D1128" t="s">
        <v>78</v>
      </c>
      <c r="E1128" t="s">
        <v>140</v>
      </c>
      <c r="F1128" t="s">
        <v>17</v>
      </c>
      <c r="G1128" t="s">
        <v>141</v>
      </c>
      <c r="H1128" t="s">
        <v>134</v>
      </c>
      <c r="I1128" t="s">
        <v>78</v>
      </c>
      <c r="J1128" t="s">
        <v>42</v>
      </c>
      <c r="K1128" t="s">
        <v>87</v>
      </c>
      <c r="L1128" s="25">
        <v>44030</v>
      </c>
      <c r="M1128">
        <v>7</v>
      </c>
      <c r="N1128">
        <v>2020</v>
      </c>
      <c r="O1128" t="s">
        <v>110</v>
      </c>
      <c r="P1128">
        <v>170</v>
      </c>
      <c r="Q1128" s="17">
        <v>44030.490256134261</v>
      </c>
      <c r="R1128" t="s">
        <v>126</v>
      </c>
    </row>
    <row r="1129" spans="1:18" x14ac:dyDescent="0.3">
      <c r="A1129">
        <v>9685742</v>
      </c>
      <c r="B1129" t="s">
        <v>78</v>
      </c>
      <c r="C1129">
        <v>1329260</v>
      </c>
      <c r="D1129" t="s">
        <v>78</v>
      </c>
      <c r="E1129">
        <v>820</v>
      </c>
      <c r="F1129">
        <v>820</v>
      </c>
      <c r="G1129" t="s">
        <v>136</v>
      </c>
      <c r="H1129" t="s">
        <v>250</v>
      </c>
      <c r="I1129" t="s">
        <v>78</v>
      </c>
      <c r="J1129" t="s">
        <v>42</v>
      </c>
      <c r="K1129" t="s">
        <v>83</v>
      </c>
      <c r="L1129" s="25">
        <v>44030</v>
      </c>
      <c r="M1129">
        <v>7</v>
      </c>
      <c r="N1129">
        <v>2020</v>
      </c>
      <c r="O1129" t="s">
        <v>110</v>
      </c>
      <c r="P1129">
        <v>170</v>
      </c>
      <c r="Q1129" s="17">
        <v>44030.456472453705</v>
      </c>
      <c r="R1129" t="s">
        <v>126</v>
      </c>
    </row>
    <row r="1130" spans="1:18" x14ac:dyDescent="0.3">
      <c r="A1130">
        <v>9686156</v>
      </c>
      <c r="B1130" t="s">
        <v>80</v>
      </c>
      <c r="C1130">
        <v>1329621</v>
      </c>
      <c r="D1130" t="s">
        <v>113</v>
      </c>
      <c r="E1130" t="s">
        <v>146</v>
      </c>
      <c r="F1130" t="s">
        <v>17</v>
      </c>
      <c r="G1130" t="s">
        <v>153</v>
      </c>
      <c r="H1130" t="s">
        <v>232</v>
      </c>
      <c r="I1130" t="s">
        <v>84</v>
      </c>
      <c r="J1130" t="s">
        <v>85</v>
      </c>
      <c r="K1130" t="s">
        <v>87</v>
      </c>
      <c r="L1130" s="25">
        <v>44030</v>
      </c>
      <c r="M1130">
        <v>7</v>
      </c>
      <c r="N1130">
        <v>2020</v>
      </c>
      <c r="O1130" t="s">
        <v>110</v>
      </c>
      <c r="P1130">
        <v>170</v>
      </c>
      <c r="Q1130" s="17">
        <v>44030.438871296297</v>
      </c>
      <c r="R1130" t="s">
        <v>126</v>
      </c>
    </row>
    <row r="1131" spans="1:18" x14ac:dyDescent="0.3">
      <c r="A1131">
        <v>9686401</v>
      </c>
      <c r="B1131" t="s">
        <v>78</v>
      </c>
      <c r="C1131">
        <v>1330007</v>
      </c>
      <c r="D1131" t="s">
        <v>78</v>
      </c>
      <c r="E1131" t="s">
        <v>164</v>
      </c>
      <c r="F1131" t="s">
        <v>17</v>
      </c>
      <c r="G1131" t="s">
        <v>165</v>
      </c>
      <c r="H1131" t="s">
        <v>134</v>
      </c>
      <c r="I1131" t="s">
        <v>78</v>
      </c>
      <c r="J1131" t="s">
        <v>42</v>
      </c>
      <c r="K1131" t="s">
        <v>87</v>
      </c>
      <c r="L1131" s="25">
        <v>44030</v>
      </c>
      <c r="M1131">
        <v>7</v>
      </c>
      <c r="N1131">
        <v>2020</v>
      </c>
      <c r="O1131" t="s">
        <v>110</v>
      </c>
      <c r="P1131">
        <v>170</v>
      </c>
      <c r="Q1131" s="17">
        <v>44030.485201967589</v>
      </c>
      <c r="R1131" t="s">
        <v>126</v>
      </c>
    </row>
    <row r="1132" spans="1:18" x14ac:dyDescent="0.3">
      <c r="A1132">
        <v>240830</v>
      </c>
      <c r="B1132" t="s">
        <v>78</v>
      </c>
      <c r="C1132">
        <v>1319754</v>
      </c>
      <c r="D1132" t="s">
        <v>78</v>
      </c>
      <c r="E1132" t="s">
        <v>26</v>
      </c>
      <c r="F1132" t="s">
        <v>26</v>
      </c>
      <c r="G1132" t="s">
        <v>137</v>
      </c>
      <c r="H1132" t="s">
        <v>260</v>
      </c>
      <c r="I1132" t="s">
        <v>78</v>
      </c>
      <c r="J1132" t="s">
        <v>42</v>
      </c>
      <c r="K1132" t="s">
        <v>83</v>
      </c>
      <c r="L1132" s="25">
        <v>44030</v>
      </c>
      <c r="M1132">
        <v>7</v>
      </c>
      <c r="N1132">
        <v>2020</v>
      </c>
      <c r="O1132" t="s">
        <v>110</v>
      </c>
      <c r="P1132">
        <v>170</v>
      </c>
      <c r="Q1132" s="17">
        <v>44030.429413425925</v>
      </c>
      <c r="R1132" t="s">
        <v>126</v>
      </c>
    </row>
    <row r="1133" spans="1:18" x14ac:dyDescent="0.3">
      <c r="A1133">
        <v>9677465</v>
      </c>
      <c r="B1133" t="s">
        <v>72</v>
      </c>
      <c r="C1133">
        <v>1318907</v>
      </c>
      <c r="D1133" t="s">
        <v>108</v>
      </c>
      <c r="E1133">
        <v>966</v>
      </c>
      <c r="F1133">
        <v>966</v>
      </c>
      <c r="G1133" t="s">
        <v>139</v>
      </c>
      <c r="H1133" t="s">
        <v>229</v>
      </c>
      <c r="I1133" t="s">
        <v>84</v>
      </c>
      <c r="J1133" t="s">
        <v>85</v>
      </c>
      <c r="K1133" t="s">
        <v>87</v>
      </c>
      <c r="L1133" s="25">
        <v>44030</v>
      </c>
      <c r="M1133">
        <v>7</v>
      </c>
      <c r="N1133">
        <v>2020</v>
      </c>
      <c r="O1133" t="s">
        <v>110</v>
      </c>
      <c r="P1133">
        <v>170</v>
      </c>
      <c r="Q1133" s="17">
        <v>44030.433618634263</v>
      </c>
      <c r="R1133" t="s">
        <v>126</v>
      </c>
    </row>
    <row r="1134" spans="1:18" x14ac:dyDescent="0.3">
      <c r="A1134">
        <v>9685699</v>
      </c>
      <c r="B1134" t="s">
        <v>72</v>
      </c>
      <c r="C1134">
        <v>1329335</v>
      </c>
      <c r="D1134" t="s">
        <v>108</v>
      </c>
      <c r="E1134">
        <v>820</v>
      </c>
      <c r="F1134">
        <v>820</v>
      </c>
      <c r="G1134" t="s">
        <v>136</v>
      </c>
      <c r="H1134" t="s">
        <v>270</v>
      </c>
      <c r="I1134" t="s">
        <v>82</v>
      </c>
      <c r="J1134" t="s">
        <v>42</v>
      </c>
      <c r="K1134" t="s">
        <v>83</v>
      </c>
      <c r="L1134" s="25">
        <v>44030</v>
      </c>
      <c r="M1134">
        <v>7</v>
      </c>
      <c r="N1134">
        <v>2020</v>
      </c>
      <c r="O1134" t="s">
        <v>110</v>
      </c>
      <c r="P1134">
        <v>170</v>
      </c>
      <c r="Q1134" s="17">
        <v>44030.459665046299</v>
      </c>
      <c r="R1134" t="s">
        <v>126</v>
      </c>
    </row>
    <row r="1135" spans="1:18" x14ac:dyDescent="0.3">
      <c r="A1135">
        <v>9686927</v>
      </c>
      <c r="B1135" t="s">
        <v>80</v>
      </c>
      <c r="C1135">
        <v>1329821</v>
      </c>
      <c r="D1135" t="s">
        <v>113</v>
      </c>
      <c r="E1135" t="s">
        <v>146</v>
      </c>
      <c r="F1135" t="s">
        <v>17</v>
      </c>
      <c r="G1135" t="s">
        <v>153</v>
      </c>
      <c r="H1135" t="s">
        <v>232</v>
      </c>
      <c r="I1135" t="s">
        <v>84</v>
      </c>
      <c r="J1135" t="s">
        <v>85</v>
      </c>
      <c r="K1135" t="s">
        <v>87</v>
      </c>
      <c r="L1135" s="25">
        <v>44030</v>
      </c>
      <c r="M1135">
        <v>7</v>
      </c>
      <c r="N1135">
        <v>2020</v>
      </c>
      <c r="O1135" t="s">
        <v>110</v>
      </c>
      <c r="P1135">
        <v>170</v>
      </c>
      <c r="Q1135" s="17">
        <v>44030.478532060188</v>
      </c>
      <c r="R1135" t="s">
        <v>126</v>
      </c>
    </row>
    <row r="1136" spans="1:18" x14ac:dyDescent="0.3">
      <c r="A1136">
        <v>9686533</v>
      </c>
      <c r="B1136" t="s">
        <v>72</v>
      </c>
      <c r="C1136">
        <v>1330157</v>
      </c>
      <c r="D1136" t="s">
        <v>108</v>
      </c>
      <c r="E1136" t="s">
        <v>186</v>
      </c>
      <c r="F1136" t="s">
        <v>17</v>
      </c>
      <c r="G1136" t="s">
        <v>187</v>
      </c>
      <c r="H1136" t="s">
        <v>263</v>
      </c>
      <c r="I1136" t="s">
        <v>82</v>
      </c>
      <c r="J1136" t="s">
        <v>42</v>
      </c>
      <c r="K1136" t="s">
        <v>87</v>
      </c>
      <c r="L1136" s="25">
        <v>44030</v>
      </c>
      <c r="M1136">
        <v>7</v>
      </c>
      <c r="N1136">
        <v>2020</v>
      </c>
      <c r="O1136" t="s">
        <v>110</v>
      </c>
      <c r="P1136">
        <v>170</v>
      </c>
      <c r="Q1136" s="17">
        <v>44030.487757291667</v>
      </c>
      <c r="R1136" t="s">
        <v>126</v>
      </c>
    </row>
    <row r="1137" spans="1:18" x14ac:dyDescent="0.3">
      <c r="A1137">
        <v>21528395</v>
      </c>
      <c r="B1137" t="s">
        <v>78</v>
      </c>
      <c r="C1137">
        <v>1325434</v>
      </c>
      <c r="D1137" t="s">
        <v>78</v>
      </c>
      <c r="E1137">
        <v>966</v>
      </c>
      <c r="F1137">
        <v>966</v>
      </c>
      <c r="G1137" t="s">
        <v>139</v>
      </c>
      <c r="H1137" t="s">
        <v>105</v>
      </c>
      <c r="I1137" t="s">
        <v>78</v>
      </c>
      <c r="J1137" t="s">
        <v>42</v>
      </c>
      <c r="K1137" t="s">
        <v>87</v>
      </c>
      <c r="L1137" s="25">
        <v>44030</v>
      </c>
      <c r="M1137">
        <v>7</v>
      </c>
      <c r="N1137">
        <v>2020</v>
      </c>
      <c r="O1137" t="s">
        <v>110</v>
      </c>
      <c r="P1137">
        <v>170</v>
      </c>
      <c r="Q1137" s="17">
        <v>44030.482922106479</v>
      </c>
      <c r="R1137" t="s">
        <v>126</v>
      </c>
    </row>
    <row r="1138" spans="1:18" x14ac:dyDescent="0.3">
      <c r="A1138">
        <v>9684850</v>
      </c>
      <c r="B1138" t="s">
        <v>72</v>
      </c>
      <c r="C1138">
        <v>1329464</v>
      </c>
      <c r="D1138" t="s">
        <v>108</v>
      </c>
      <c r="E1138" t="s">
        <v>12</v>
      </c>
      <c r="F1138" t="s">
        <v>12</v>
      </c>
      <c r="G1138" t="s">
        <v>135</v>
      </c>
      <c r="H1138" t="s">
        <v>261</v>
      </c>
      <c r="I1138" t="s">
        <v>84</v>
      </c>
      <c r="J1138" t="s">
        <v>85</v>
      </c>
      <c r="K1138" t="s">
        <v>83</v>
      </c>
      <c r="L1138" s="25">
        <v>44030</v>
      </c>
      <c r="M1138">
        <v>7</v>
      </c>
      <c r="N1138">
        <v>2020</v>
      </c>
      <c r="O1138" t="s">
        <v>110</v>
      </c>
      <c r="P1138">
        <v>170</v>
      </c>
      <c r="Q1138" s="17">
        <v>44030.446957870372</v>
      </c>
      <c r="R1138" t="s">
        <v>126</v>
      </c>
    </row>
    <row r="1139" spans="1:18" x14ac:dyDescent="0.3">
      <c r="A1139">
        <v>9686894</v>
      </c>
      <c r="B1139" t="s">
        <v>80</v>
      </c>
      <c r="C1139">
        <v>1329796</v>
      </c>
      <c r="D1139" t="s">
        <v>113</v>
      </c>
      <c r="E1139" t="s">
        <v>146</v>
      </c>
      <c r="F1139" t="s">
        <v>17</v>
      </c>
      <c r="G1139" t="s">
        <v>153</v>
      </c>
      <c r="H1139" t="s">
        <v>232</v>
      </c>
      <c r="I1139" t="s">
        <v>84</v>
      </c>
      <c r="J1139" t="s">
        <v>85</v>
      </c>
      <c r="K1139" t="s">
        <v>87</v>
      </c>
      <c r="L1139" s="25">
        <v>44030</v>
      </c>
      <c r="M1139">
        <v>7</v>
      </c>
      <c r="N1139">
        <v>2020</v>
      </c>
      <c r="O1139" t="s">
        <v>110</v>
      </c>
      <c r="P1139">
        <v>170</v>
      </c>
      <c r="Q1139" s="17">
        <v>44030.473834837961</v>
      </c>
      <c r="R1139" t="s">
        <v>126</v>
      </c>
    </row>
    <row r="1140" spans="1:18" x14ac:dyDescent="0.3">
      <c r="A1140">
        <v>9675950</v>
      </c>
      <c r="B1140" t="s">
        <v>72</v>
      </c>
      <c r="C1140">
        <v>1335169</v>
      </c>
      <c r="D1140" t="s">
        <v>108</v>
      </c>
      <c r="E1140" t="s">
        <v>26</v>
      </c>
      <c r="F1140" t="s">
        <v>26</v>
      </c>
      <c r="G1140" t="s">
        <v>137</v>
      </c>
      <c r="H1140" t="s">
        <v>229</v>
      </c>
      <c r="I1140" t="s">
        <v>84</v>
      </c>
      <c r="J1140" t="s">
        <v>85</v>
      </c>
      <c r="K1140" t="s">
        <v>83</v>
      </c>
      <c r="L1140" s="25">
        <v>44030</v>
      </c>
      <c r="M1140">
        <v>7</v>
      </c>
      <c r="N1140">
        <v>2020</v>
      </c>
      <c r="O1140" t="s">
        <v>110</v>
      </c>
      <c r="P1140">
        <v>170</v>
      </c>
      <c r="Q1140" s="17">
        <v>44031.113851620372</v>
      </c>
      <c r="R1140" t="s">
        <v>126</v>
      </c>
    </row>
    <row r="1141" spans="1:18" x14ac:dyDescent="0.3">
      <c r="A1141">
        <v>9686638</v>
      </c>
      <c r="B1141" t="s">
        <v>78</v>
      </c>
      <c r="C1141">
        <v>1330071</v>
      </c>
      <c r="D1141" t="s">
        <v>78</v>
      </c>
      <c r="E1141">
        <v>4138</v>
      </c>
      <c r="F1141" t="s">
        <v>17</v>
      </c>
      <c r="G1141" t="s">
        <v>129</v>
      </c>
      <c r="H1141" t="s">
        <v>284</v>
      </c>
      <c r="I1141" t="s">
        <v>78</v>
      </c>
      <c r="J1141" t="s">
        <v>42</v>
      </c>
      <c r="K1141" t="s">
        <v>87</v>
      </c>
      <c r="L1141" s="25">
        <v>44030</v>
      </c>
      <c r="M1141">
        <v>7</v>
      </c>
      <c r="N1141">
        <v>2020</v>
      </c>
      <c r="O1141" t="s">
        <v>110</v>
      </c>
      <c r="P1141">
        <v>170</v>
      </c>
      <c r="Q1141" s="17">
        <v>44030.49484039352</v>
      </c>
      <c r="R1141" t="s">
        <v>126</v>
      </c>
    </row>
    <row r="1142" spans="1:18" x14ac:dyDescent="0.3">
      <c r="A1142">
        <v>9686166</v>
      </c>
      <c r="B1142" t="s">
        <v>80</v>
      </c>
      <c r="C1142">
        <v>1329629</v>
      </c>
      <c r="D1142" t="s">
        <v>113</v>
      </c>
      <c r="E1142" t="s">
        <v>146</v>
      </c>
      <c r="F1142" t="s">
        <v>17</v>
      </c>
      <c r="G1142" t="s">
        <v>153</v>
      </c>
      <c r="H1142" t="s">
        <v>232</v>
      </c>
      <c r="I1142" t="s">
        <v>84</v>
      </c>
      <c r="J1142" t="s">
        <v>85</v>
      </c>
      <c r="K1142" t="s">
        <v>87</v>
      </c>
      <c r="L1142" s="25">
        <v>44030</v>
      </c>
      <c r="M1142">
        <v>7</v>
      </c>
      <c r="N1142">
        <v>2020</v>
      </c>
      <c r="O1142" t="s">
        <v>110</v>
      </c>
      <c r="P1142">
        <v>170</v>
      </c>
      <c r="Q1142" s="17">
        <v>44030.439447916666</v>
      </c>
      <c r="R1142" t="s">
        <v>126</v>
      </c>
    </row>
    <row r="1143" spans="1:18" x14ac:dyDescent="0.3">
      <c r="A1143">
        <v>9686940</v>
      </c>
      <c r="B1143" t="s">
        <v>80</v>
      </c>
      <c r="C1143">
        <v>1329829</v>
      </c>
      <c r="D1143" t="s">
        <v>113</v>
      </c>
      <c r="E1143" t="s">
        <v>146</v>
      </c>
      <c r="F1143" t="s">
        <v>17</v>
      </c>
      <c r="G1143" t="s">
        <v>153</v>
      </c>
      <c r="H1143" t="s">
        <v>232</v>
      </c>
      <c r="I1143" t="s">
        <v>84</v>
      </c>
      <c r="J1143" t="s">
        <v>85</v>
      </c>
      <c r="K1143" t="s">
        <v>87</v>
      </c>
      <c r="L1143" s="25">
        <v>44030</v>
      </c>
      <c r="M1143">
        <v>7</v>
      </c>
      <c r="N1143">
        <v>2020</v>
      </c>
      <c r="O1143" t="s">
        <v>110</v>
      </c>
      <c r="P1143">
        <v>170</v>
      </c>
      <c r="Q1143" s="17">
        <v>44030.480565972219</v>
      </c>
      <c r="R1143" t="s">
        <v>126</v>
      </c>
    </row>
    <row r="1144" spans="1:18" x14ac:dyDescent="0.3">
      <c r="A1144">
        <v>9676004</v>
      </c>
      <c r="B1144" t="s">
        <v>72</v>
      </c>
      <c r="C1144">
        <v>1331501</v>
      </c>
      <c r="D1144" t="s">
        <v>108</v>
      </c>
      <c r="E1144" t="s">
        <v>12</v>
      </c>
      <c r="F1144" t="s">
        <v>12</v>
      </c>
      <c r="G1144" t="s">
        <v>135</v>
      </c>
      <c r="H1144" t="s">
        <v>229</v>
      </c>
      <c r="I1144" t="s">
        <v>84</v>
      </c>
      <c r="J1144" t="s">
        <v>85</v>
      </c>
      <c r="K1144" t="s">
        <v>83</v>
      </c>
      <c r="L1144" s="25">
        <v>44030</v>
      </c>
      <c r="M1144">
        <v>7</v>
      </c>
      <c r="N1144">
        <v>2020</v>
      </c>
      <c r="O1144" t="s">
        <v>110</v>
      </c>
      <c r="P1144">
        <v>170</v>
      </c>
      <c r="Q1144" s="17">
        <v>44030.384781250003</v>
      </c>
      <c r="R1144" t="s">
        <v>126</v>
      </c>
    </row>
    <row r="1145" spans="1:18" x14ac:dyDescent="0.3">
      <c r="A1145">
        <v>9686199</v>
      </c>
      <c r="B1145" t="s">
        <v>78</v>
      </c>
      <c r="C1145">
        <v>1329592</v>
      </c>
      <c r="D1145" t="s">
        <v>78</v>
      </c>
      <c r="E1145" t="s">
        <v>161</v>
      </c>
      <c r="F1145" t="s">
        <v>17</v>
      </c>
      <c r="G1145" t="s">
        <v>162</v>
      </c>
      <c r="H1145" t="s">
        <v>134</v>
      </c>
      <c r="I1145" t="s">
        <v>78</v>
      </c>
      <c r="J1145" t="s">
        <v>42</v>
      </c>
      <c r="K1145" t="s">
        <v>87</v>
      </c>
      <c r="L1145" s="25">
        <v>44030</v>
      </c>
      <c r="M1145">
        <v>7</v>
      </c>
      <c r="N1145">
        <v>2020</v>
      </c>
      <c r="O1145" t="s">
        <v>110</v>
      </c>
      <c r="P1145">
        <v>170</v>
      </c>
      <c r="Q1145" s="17">
        <v>44030.429194560187</v>
      </c>
      <c r="R1145" t="s">
        <v>126</v>
      </c>
    </row>
    <row r="1146" spans="1:18" x14ac:dyDescent="0.3">
      <c r="A1146">
        <v>9685773</v>
      </c>
      <c r="B1146" t="s">
        <v>78</v>
      </c>
      <c r="C1146">
        <v>1329841</v>
      </c>
      <c r="D1146" t="s">
        <v>78</v>
      </c>
      <c r="E1146">
        <v>820</v>
      </c>
      <c r="F1146">
        <v>820</v>
      </c>
      <c r="G1146" t="s">
        <v>136</v>
      </c>
      <c r="H1146" t="s">
        <v>249</v>
      </c>
      <c r="I1146" t="s">
        <v>78</v>
      </c>
      <c r="J1146" t="s">
        <v>42</v>
      </c>
      <c r="K1146" t="s">
        <v>83</v>
      </c>
      <c r="L1146" s="25">
        <v>44030</v>
      </c>
      <c r="M1146">
        <v>7</v>
      </c>
      <c r="N1146">
        <v>2020</v>
      </c>
      <c r="O1146" t="s">
        <v>110</v>
      </c>
      <c r="P1146">
        <v>170</v>
      </c>
      <c r="Q1146" s="17">
        <v>44030.483714004629</v>
      </c>
      <c r="R1146" t="s">
        <v>126</v>
      </c>
    </row>
    <row r="1147" spans="1:18" x14ac:dyDescent="0.3">
      <c r="A1147">
        <v>9685033</v>
      </c>
      <c r="B1147" t="s">
        <v>72</v>
      </c>
      <c r="C1147">
        <v>1331513</v>
      </c>
      <c r="D1147" t="s">
        <v>108</v>
      </c>
      <c r="E1147" t="s">
        <v>26</v>
      </c>
      <c r="F1147" t="s">
        <v>26</v>
      </c>
      <c r="G1147" t="s">
        <v>137</v>
      </c>
      <c r="H1147" t="s">
        <v>229</v>
      </c>
      <c r="I1147" t="s">
        <v>84</v>
      </c>
      <c r="J1147" t="s">
        <v>85</v>
      </c>
      <c r="K1147" t="s">
        <v>83</v>
      </c>
      <c r="L1147" s="25">
        <v>44030</v>
      </c>
      <c r="M1147">
        <v>7</v>
      </c>
      <c r="N1147">
        <v>2020</v>
      </c>
      <c r="O1147" t="s">
        <v>110</v>
      </c>
      <c r="P1147">
        <v>170</v>
      </c>
      <c r="Q1147" s="17">
        <v>44030.383227893515</v>
      </c>
      <c r="R1147" t="s">
        <v>126</v>
      </c>
    </row>
    <row r="1148" spans="1:18" x14ac:dyDescent="0.3">
      <c r="A1148">
        <v>9686860</v>
      </c>
      <c r="B1148" t="s">
        <v>80</v>
      </c>
      <c r="C1148">
        <v>1329741</v>
      </c>
      <c r="D1148" t="s">
        <v>113</v>
      </c>
      <c r="E1148" t="s">
        <v>146</v>
      </c>
      <c r="F1148" t="s">
        <v>17</v>
      </c>
      <c r="G1148" t="s">
        <v>153</v>
      </c>
      <c r="H1148" t="s">
        <v>232</v>
      </c>
      <c r="I1148" t="s">
        <v>84</v>
      </c>
      <c r="J1148" t="s">
        <v>85</v>
      </c>
      <c r="K1148" t="s">
        <v>87</v>
      </c>
      <c r="L1148" s="25">
        <v>44030</v>
      </c>
      <c r="M1148">
        <v>7</v>
      </c>
      <c r="N1148">
        <v>2020</v>
      </c>
      <c r="O1148" t="s">
        <v>110</v>
      </c>
      <c r="P1148">
        <v>170</v>
      </c>
      <c r="Q1148" s="17">
        <v>44030.464725810183</v>
      </c>
      <c r="R1148" t="s">
        <v>126</v>
      </c>
    </row>
    <row r="1149" spans="1:18" x14ac:dyDescent="0.3">
      <c r="A1149">
        <v>9686987</v>
      </c>
      <c r="B1149" t="s">
        <v>80</v>
      </c>
      <c r="C1149">
        <v>1330262</v>
      </c>
      <c r="D1149" t="s">
        <v>122</v>
      </c>
      <c r="E1149" t="s">
        <v>146</v>
      </c>
      <c r="F1149" t="s">
        <v>17</v>
      </c>
      <c r="G1149" t="s">
        <v>153</v>
      </c>
      <c r="H1149" t="s">
        <v>228</v>
      </c>
      <c r="I1149" t="s">
        <v>84</v>
      </c>
      <c r="J1149" t="s">
        <v>85</v>
      </c>
      <c r="K1149" t="s">
        <v>87</v>
      </c>
      <c r="L1149" s="25">
        <v>44030</v>
      </c>
      <c r="M1149">
        <v>7</v>
      </c>
      <c r="N1149">
        <v>2020</v>
      </c>
      <c r="O1149" t="s">
        <v>110</v>
      </c>
      <c r="P1149">
        <v>170</v>
      </c>
      <c r="Q1149" s="17">
        <v>44030.137771527778</v>
      </c>
      <c r="R1149" t="s">
        <v>126</v>
      </c>
    </row>
    <row r="1150" spans="1:18" x14ac:dyDescent="0.3">
      <c r="A1150">
        <v>9683848</v>
      </c>
      <c r="B1150" t="s">
        <v>72</v>
      </c>
      <c r="C1150">
        <v>1331662</v>
      </c>
      <c r="D1150" t="s">
        <v>108</v>
      </c>
      <c r="E1150" t="s">
        <v>26</v>
      </c>
      <c r="F1150" t="s">
        <v>26</v>
      </c>
      <c r="G1150" t="s">
        <v>137</v>
      </c>
      <c r="H1150" t="s">
        <v>229</v>
      </c>
      <c r="I1150" t="s">
        <v>84</v>
      </c>
      <c r="J1150" t="s">
        <v>85</v>
      </c>
      <c r="K1150" t="s">
        <v>83</v>
      </c>
      <c r="L1150" s="25">
        <v>44030</v>
      </c>
      <c r="M1150">
        <v>7</v>
      </c>
      <c r="N1150">
        <v>2020</v>
      </c>
      <c r="O1150" t="s">
        <v>110</v>
      </c>
      <c r="P1150">
        <v>170</v>
      </c>
      <c r="Q1150" s="17">
        <v>44030.381707638888</v>
      </c>
      <c r="R1150" t="s">
        <v>126</v>
      </c>
    </row>
    <row r="1151" spans="1:18" x14ac:dyDescent="0.3">
      <c r="A1151">
        <v>242785</v>
      </c>
      <c r="B1151" t="s">
        <v>78</v>
      </c>
      <c r="C1151">
        <v>1325797</v>
      </c>
      <c r="D1151" t="s">
        <v>78</v>
      </c>
      <c r="E1151">
        <v>966</v>
      </c>
      <c r="F1151">
        <v>966</v>
      </c>
      <c r="G1151" t="s">
        <v>139</v>
      </c>
      <c r="H1151" t="s">
        <v>257</v>
      </c>
      <c r="I1151" t="s">
        <v>78</v>
      </c>
      <c r="J1151" t="s">
        <v>42</v>
      </c>
      <c r="K1151" t="s">
        <v>87</v>
      </c>
      <c r="L1151" s="25">
        <v>44030</v>
      </c>
      <c r="M1151">
        <v>7</v>
      </c>
      <c r="N1151">
        <v>2020</v>
      </c>
      <c r="O1151" t="s">
        <v>110</v>
      </c>
      <c r="P1151">
        <v>170</v>
      </c>
      <c r="Q1151" s="17">
        <v>44030.488764236114</v>
      </c>
      <c r="R1151" t="s">
        <v>126</v>
      </c>
    </row>
    <row r="1152" spans="1:18" x14ac:dyDescent="0.3">
      <c r="A1152">
        <v>9679666</v>
      </c>
      <c r="B1152" t="s">
        <v>78</v>
      </c>
      <c r="C1152">
        <v>1322104</v>
      </c>
      <c r="D1152" t="s">
        <v>78</v>
      </c>
      <c r="E1152" t="s">
        <v>26</v>
      </c>
      <c r="F1152" t="s">
        <v>26</v>
      </c>
      <c r="G1152" t="s">
        <v>137</v>
      </c>
      <c r="H1152" t="s">
        <v>260</v>
      </c>
      <c r="I1152" t="s">
        <v>78</v>
      </c>
      <c r="J1152" t="s">
        <v>42</v>
      </c>
      <c r="K1152" t="s">
        <v>83</v>
      </c>
      <c r="L1152" s="25">
        <v>44030</v>
      </c>
      <c r="M1152">
        <v>7</v>
      </c>
      <c r="N1152">
        <v>2020</v>
      </c>
      <c r="O1152" t="s">
        <v>110</v>
      </c>
      <c r="P1152">
        <v>170</v>
      </c>
      <c r="Q1152" s="17">
        <v>44030.475236226855</v>
      </c>
      <c r="R1152" t="s">
        <v>126</v>
      </c>
    </row>
    <row r="1153" spans="1:18" x14ac:dyDescent="0.3">
      <c r="A1153">
        <v>9675426</v>
      </c>
      <c r="B1153" t="s">
        <v>72</v>
      </c>
      <c r="C1153">
        <v>1331462</v>
      </c>
      <c r="D1153" t="s">
        <v>108</v>
      </c>
      <c r="E1153" t="s">
        <v>26</v>
      </c>
      <c r="F1153" t="s">
        <v>26</v>
      </c>
      <c r="G1153" t="s">
        <v>137</v>
      </c>
      <c r="H1153" t="s">
        <v>229</v>
      </c>
      <c r="I1153" t="s">
        <v>84</v>
      </c>
      <c r="J1153" t="s">
        <v>85</v>
      </c>
      <c r="K1153" t="s">
        <v>83</v>
      </c>
      <c r="L1153" s="25">
        <v>44030</v>
      </c>
      <c r="M1153">
        <v>7</v>
      </c>
      <c r="N1153">
        <v>2020</v>
      </c>
      <c r="O1153" t="s">
        <v>110</v>
      </c>
      <c r="P1153">
        <v>170</v>
      </c>
      <c r="Q1153" s="17">
        <v>44030.382747916665</v>
      </c>
      <c r="R1153" t="s">
        <v>126</v>
      </c>
    </row>
    <row r="1154" spans="1:18" x14ac:dyDescent="0.3">
      <c r="A1154">
        <v>9685068</v>
      </c>
      <c r="B1154" t="s">
        <v>79</v>
      </c>
      <c r="C1154">
        <v>1329092</v>
      </c>
      <c r="D1154" t="s">
        <v>116</v>
      </c>
      <c r="E1154" t="s">
        <v>12</v>
      </c>
      <c r="F1154" t="s">
        <v>12</v>
      </c>
      <c r="G1154" t="s">
        <v>135</v>
      </c>
      <c r="H1154" t="s">
        <v>275</v>
      </c>
      <c r="I1154" t="s">
        <v>82</v>
      </c>
      <c r="J1154" t="s">
        <v>42</v>
      </c>
      <c r="K1154" t="s">
        <v>83</v>
      </c>
      <c r="L1154" s="25">
        <v>44030</v>
      </c>
      <c r="M1154">
        <v>7</v>
      </c>
      <c r="N1154">
        <v>2020</v>
      </c>
      <c r="O1154" t="s">
        <v>110</v>
      </c>
      <c r="P1154">
        <v>170</v>
      </c>
      <c r="Q1154" s="17">
        <v>44030.424014699071</v>
      </c>
      <c r="R1154" t="s">
        <v>126</v>
      </c>
    </row>
    <row r="1155" spans="1:18" x14ac:dyDescent="0.3">
      <c r="A1155">
        <v>9686477</v>
      </c>
      <c r="B1155" t="s">
        <v>78</v>
      </c>
      <c r="C1155">
        <v>1330028</v>
      </c>
      <c r="D1155" t="s">
        <v>78</v>
      </c>
      <c r="E1155" t="s">
        <v>140</v>
      </c>
      <c r="F1155" t="s">
        <v>17</v>
      </c>
      <c r="G1155" t="s">
        <v>141</v>
      </c>
      <c r="H1155" t="s">
        <v>134</v>
      </c>
      <c r="I1155" t="s">
        <v>78</v>
      </c>
      <c r="J1155" t="s">
        <v>42</v>
      </c>
      <c r="K1155" t="s">
        <v>87</v>
      </c>
      <c r="L1155" s="25">
        <v>44030</v>
      </c>
      <c r="M1155">
        <v>7</v>
      </c>
      <c r="N1155">
        <v>2020</v>
      </c>
      <c r="O1155" t="s">
        <v>110</v>
      </c>
      <c r="P1155">
        <v>170</v>
      </c>
      <c r="Q1155" s="17">
        <v>44030.485356249999</v>
      </c>
      <c r="R1155" t="s">
        <v>126</v>
      </c>
    </row>
    <row r="1156" spans="1:18" x14ac:dyDescent="0.3">
      <c r="A1156">
        <v>21525190</v>
      </c>
      <c r="B1156" t="s">
        <v>80</v>
      </c>
      <c r="C1156">
        <v>1322740</v>
      </c>
      <c r="D1156" t="s">
        <v>122</v>
      </c>
      <c r="E1156" t="s">
        <v>26</v>
      </c>
      <c r="F1156" t="s">
        <v>26</v>
      </c>
      <c r="G1156" t="s">
        <v>137</v>
      </c>
      <c r="H1156" t="s">
        <v>245</v>
      </c>
      <c r="I1156" t="s">
        <v>82</v>
      </c>
      <c r="J1156" t="s">
        <v>42</v>
      </c>
      <c r="K1156" t="s">
        <v>83</v>
      </c>
      <c r="L1156" s="25">
        <v>44030</v>
      </c>
      <c r="M1156">
        <v>7</v>
      </c>
      <c r="N1156">
        <v>2020</v>
      </c>
      <c r="O1156" t="s">
        <v>110</v>
      </c>
      <c r="P1156">
        <v>170</v>
      </c>
      <c r="Q1156" s="17">
        <v>44029.813564004631</v>
      </c>
      <c r="R1156" t="s">
        <v>126</v>
      </c>
    </row>
    <row r="1157" spans="1:18" x14ac:dyDescent="0.3">
      <c r="A1157">
        <v>9684828</v>
      </c>
      <c r="B1157" t="s">
        <v>79</v>
      </c>
      <c r="C1157">
        <v>1329590</v>
      </c>
      <c r="D1157" t="s">
        <v>116</v>
      </c>
      <c r="E1157" t="s">
        <v>12</v>
      </c>
      <c r="F1157" t="s">
        <v>12</v>
      </c>
      <c r="G1157" t="s">
        <v>135</v>
      </c>
      <c r="H1157" t="s">
        <v>275</v>
      </c>
      <c r="I1157" t="s">
        <v>82</v>
      </c>
      <c r="J1157" t="s">
        <v>42</v>
      </c>
      <c r="K1157" t="s">
        <v>83</v>
      </c>
      <c r="L1157" s="25">
        <v>44030</v>
      </c>
      <c r="M1157">
        <v>7</v>
      </c>
      <c r="N1157">
        <v>2020</v>
      </c>
      <c r="O1157" t="s">
        <v>110</v>
      </c>
      <c r="P1157">
        <v>170</v>
      </c>
      <c r="Q1157" s="17">
        <v>44030.442754629628</v>
      </c>
      <c r="R1157" t="s">
        <v>126</v>
      </c>
    </row>
    <row r="1158" spans="1:18" x14ac:dyDescent="0.3">
      <c r="A1158">
        <v>9687263</v>
      </c>
      <c r="B1158" t="s">
        <v>80</v>
      </c>
      <c r="C1158">
        <v>1330626</v>
      </c>
      <c r="D1158" t="s">
        <v>113</v>
      </c>
      <c r="E1158" t="s">
        <v>12</v>
      </c>
      <c r="F1158" t="s">
        <v>12</v>
      </c>
      <c r="G1158" t="s">
        <v>135</v>
      </c>
      <c r="H1158" t="s">
        <v>232</v>
      </c>
      <c r="I1158" t="s">
        <v>84</v>
      </c>
      <c r="J1158" t="s">
        <v>85</v>
      </c>
      <c r="K1158" t="s">
        <v>83</v>
      </c>
      <c r="L1158" s="25">
        <v>44030</v>
      </c>
      <c r="M1158">
        <v>7</v>
      </c>
      <c r="N1158">
        <v>2020</v>
      </c>
      <c r="O1158" t="s">
        <v>110</v>
      </c>
      <c r="P1158">
        <v>170</v>
      </c>
      <c r="Q1158" s="17">
        <v>44030.482399537039</v>
      </c>
      <c r="R1158" t="s">
        <v>126</v>
      </c>
    </row>
    <row r="1159" spans="1:18" x14ac:dyDescent="0.3">
      <c r="A1159">
        <v>21531416</v>
      </c>
      <c r="B1159" t="s">
        <v>72</v>
      </c>
      <c r="C1159">
        <v>1333085</v>
      </c>
      <c r="D1159" t="s">
        <v>108</v>
      </c>
      <c r="E1159" t="s">
        <v>26</v>
      </c>
      <c r="F1159" t="s">
        <v>26</v>
      </c>
      <c r="G1159" t="s">
        <v>137</v>
      </c>
      <c r="H1159" t="s">
        <v>229</v>
      </c>
      <c r="I1159" t="s">
        <v>84</v>
      </c>
      <c r="J1159" t="s">
        <v>85</v>
      </c>
      <c r="K1159" t="s">
        <v>83</v>
      </c>
      <c r="L1159" s="25">
        <v>44030</v>
      </c>
      <c r="M1159">
        <v>7</v>
      </c>
      <c r="N1159">
        <v>2020</v>
      </c>
      <c r="O1159" t="s">
        <v>110</v>
      </c>
      <c r="P1159">
        <v>170</v>
      </c>
      <c r="Q1159" s="17">
        <v>44031.079947800928</v>
      </c>
      <c r="R1159" t="s">
        <v>126</v>
      </c>
    </row>
    <row r="1160" spans="1:18" x14ac:dyDescent="0.3">
      <c r="A1160">
        <v>9685950</v>
      </c>
      <c r="B1160" t="s">
        <v>78</v>
      </c>
      <c r="C1160">
        <v>1329241</v>
      </c>
      <c r="D1160" t="s">
        <v>78</v>
      </c>
      <c r="E1160">
        <v>820</v>
      </c>
      <c r="F1160">
        <v>820</v>
      </c>
      <c r="G1160" t="s">
        <v>136</v>
      </c>
      <c r="H1160" t="s">
        <v>249</v>
      </c>
      <c r="I1160" t="s">
        <v>78</v>
      </c>
      <c r="J1160" t="s">
        <v>42</v>
      </c>
      <c r="K1160" t="s">
        <v>83</v>
      </c>
      <c r="L1160" s="25">
        <v>44030</v>
      </c>
      <c r="M1160">
        <v>7</v>
      </c>
      <c r="N1160">
        <v>2020</v>
      </c>
      <c r="O1160" t="s">
        <v>110</v>
      </c>
      <c r="P1160">
        <v>170</v>
      </c>
      <c r="Q1160" s="17">
        <v>44030.457797337964</v>
      </c>
      <c r="R1160" t="s">
        <v>126</v>
      </c>
    </row>
    <row r="1161" spans="1:18" x14ac:dyDescent="0.3">
      <c r="A1161">
        <v>240984</v>
      </c>
      <c r="B1161" t="s">
        <v>72</v>
      </c>
      <c r="C1161">
        <v>1317960</v>
      </c>
      <c r="D1161" t="s">
        <v>108</v>
      </c>
      <c r="E1161">
        <v>966</v>
      </c>
      <c r="F1161">
        <v>966</v>
      </c>
      <c r="G1161" t="s">
        <v>139</v>
      </c>
      <c r="H1161" t="s">
        <v>229</v>
      </c>
      <c r="I1161" t="s">
        <v>84</v>
      </c>
      <c r="J1161" t="s">
        <v>85</v>
      </c>
      <c r="K1161" t="s">
        <v>87</v>
      </c>
      <c r="L1161" s="25">
        <v>44030</v>
      </c>
      <c r="M1161">
        <v>7</v>
      </c>
      <c r="N1161">
        <v>2020</v>
      </c>
      <c r="O1161" t="s">
        <v>110</v>
      </c>
      <c r="P1161">
        <v>170</v>
      </c>
      <c r="Q1161" s="17">
        <v>44030.427781481485</v>
      </c>
      <c r="R1161" t="s">
        <v>126</v>
      </c>
    </row>
    <row r="1162" spans="1:18" x14ac:dyDescent="0.3">
      <c r="A1162">
        <v>9686364</v>
      </c>
      <c r="B1162" t="s">
        <v>78</v>
      </c>
      <c r="C1162">
        <v>1329690</v>
      </c>
      <c r="D1162" t="s">
        <v>78</v>
      </c>
      <c r="E1162">
        <v>4142</v>
      </c>
      <c r="F1162" t="s">
        <v>17</v>
      </c>
      <c r="G1162" t="s">
        <v>133</v>
      </c>
      <c r="H1162" t="s">
        <v>134</v>
      </c>
      <c r="I1162" t="s">
        <v>78</v>
      </c>
      <c r="J1162" t="s">
        <v>42</v>
      </c>
      <c r="K1162" t="s">
        <v>87</v>
      </c>
      <c r="L1162" s="25">
        <v>44030</v>
      </c>
      <c r="M1162">
        <v>7</v>
      </c>
      <c r="N1162">
        <v>2020</v>
      </c>
      <c r="O1162" t="s">
        <v>110</v>
      </c>
      <c r="P1162">
        <v>170</v>
      </c>
      <c r="Q1162" s="17">
        <v>44030.451568518518</v>
      </c>
      <c r="R1162" t="s">
        <v>126</v>
      </c>
    </row>
    <row r="1163" spans="1:18" x14ac:dyDescent="0.3">
      <c r="A1163">
        <v>9678761</v>
      </c>
      <c r="B1163" t="s">
        <v>72</v>
      </c>
      <c r="C1163">
        <v>1318937</v>
      </c>
      <c r="D1163" t="s">
        <v>108</v>
      </c>
      <c r="E1163">
        <v>966</v>
      </c>
      <c r="F1163">
        <v>966</v>
      </c>
      <c r="G1163" t="s">
        <v>139</v>
      </c>
      <c r="H1163" t="s">
        <v>229</v>
      </c>
      <c r="I1163" t="s">
        <v>84</v>
      </c>
      <c r="J1163" t="s">
        <v>85</v>
      </c>
      <c r="K1163" t="s">
        <v>87</v>
      </c>
      <c r="L1163" s="25">
        <v>44030</v>
      </c>
      <c r="M1163">
        <v>7</v>
      </c>
      <c r="N1163">
        <v>2020</v>
      </c>
      <c r="O1163" t="s">
        <v>110</v>
      </c>
      <c r="P1163">
        <v>170</v>
      </c>
      <c r="Q1163" s="17">
        <v>44030.43776400463</v>
      </c>
      <c r="R1163" t="s">
        <v>126</v>
      </c>
    </row>
    <row r="1164" spans="1:18" x14ac:dyDescent="0.3">
      <c r="A1164">
        <v>9686707</v>
      </c>
      <c r="B1164" t="s">
        <v>80</v>
      </c>
      <c r="C1164">
        <v>1329734</v>
      </c>
      <c r="D1164" t="s">
        <v>113</v>
      </c>
      <c r="E1164" t="s">
        <v>146</v>
      </c>
      <c r="F1164" t="s">
        <v>17</v>
      </c>
      <c r="G1164" t="s">
        <v>153</v>
      </c>
      <c r="H1164" t="s">
        <v>232</v>
      </c>
      <c r="I1164" t="s">
        <v>84</v>
      </c>
      <c r="J1164" t="s">
        <v>85</v>
      </c>
      <c r="K1164" t="s">
        <v>87</v>
      </c>
      <c r="L1164" s="25">
        <v>44030</v>
      </c>
      <c r="M1164">
        <v>7</v>
      </c>
      <c r="N1164">
        <v>2020</v>
      </c>
      <c r="O1164" t="s">
        <v>110</v>
      </c>
      <c r="P1164">
        <v>170</v>
      </c>
      <c r="Q1164" s="17">
        <v>44030.464850462966</v>
      </c>
      <c r="R1164" t="s">
        <v>126</v>
      </c>
    </row>
    <row r="1165" spans="1:18" x14ac:dyDescent="0.3">
      <c r="A1165">
        <v>9690922</v>
      </c>
      <c r="B1165" t="s">
        <v>78</v>
      </c>
      <c r="C1165">
        <v>1331655</v>
      </c>
      <c r="D1165" t="s">
        <v>78</v>
      </c>
      <c r="E1165">
        <v>845</v>
      </c>
      <c r="F1165">
        <v>845</v>
      </c>
      <c r="G1165" t="s">
        <v>130</v>
      </c>
      <c r="H1165" t="s">
        <v>228</v>
      </c>
      <c r="I1165" t="s">
        <v>78</v>
      </c>
      <c r="J1165" t="s">
        <v>42</v>
      </c>
      <c r="K1165" t="s">
        <v>87</v>
      </c>
      <c r="L1165" s="25">
        <v>44030</v>
      </c>
      <c r="M1165">
        <v>7</v>
      </c>
      <c r="N1165">
        <v>2020</v>
      </c>
      <c r="O1165" t="s">
        <v>110</v>
      </c>
      <c r="P1165">
        <v>170</v>
      </c>
      <c r="Q1165" s="17">
        <v>44030.425355092593</v>
      </c>
      <c r="R1165" t="s">
        <v>126</v>
      </c>
    </row>
    <row r="1166" spans="1:18" x14ac:dyDescent="0.3">
      <c r="A1166">
        <v>9685834</v>
      </c>
      <c r="B1166" t="s">
        <v>78</v>
      </c>
      <c r="C1166">
        <v>1329548</v>
      </c>
      <c r="D1166" t="s">
        <v>78</v>
      </c>
      <c r="E1166">
        <v>820</v>
      </c>
      <c r="F1166">
        <v>820</v>
      </c>
      <c r="G1166" t="s">
        <v>136</v>
      </c>
      <c r="H1166" t="s">
        <v>250</v>
      </c>
      <c r="I1166" t="s">
        <v>78</v>
      </c>
      <c r="J1166" t="s">
        <v>42</v>
      </c>
      <c r="K1166" t="s">
        <v>83</v>
      </c>
      <c r="L1166" s="25">
        <v>44030</v>
      </c>
      <c r="M1166">
        <v>7</v>
      </c>
      <c r="N1166">
        <v>2020</v>
      </c>
      <c r="O1166" t="s">
        <v>110</v>
      </c>
      <c r="P1166">
        <v>170</v>
      </c>
      <c r="Q1166" s="17">
        <v>44030.476492361115</v>
      </c>
      <c r="R1166" t="s">
        <v>126</v>
      </c>
    </row>
    <row r="1167" spans="1:18" x14ac:dyDescent="0.3">
      <c r="A1167">
        <v>9687663</v>
      </c>
      <c r="B1167" t="s">
        <v>80</v>
      </c>
      <c r="C1167">
        <v>1330670</v>
      </c>
      <c r="D1167" t="s">
        <v>122</v>
      </c>
      <c r="E1167">
        <v>820</v>
      </c>
      <c r="F1167">
        <v>820</v>
      </c>
      <c r="G1167" t="s">
        <v>136</v>
      </c>
      <c r="H1167" t="s">
        <v>228</v>
      </c>
      <c r="I1167" t="s">
        <v>84</v>
      </c>
      <c r="J1167" t="s">
        <v>85</v>
      </c>
      <c r="K1167" t="s">
        <v>83</v>
      </c>
      <c r="L1167" s="25">
        <v>44030</v>
      </c>
      <c r="M1167">
        <v>7</v>
      </c>
      <c r="N1167">
        <v>2020</v>
      </c>
      <c r="O1167" t="s">
        <v>110</v>
      </c>
      <c r="P1167">
        <v>170</v>
      </c>
      <c r="Q1167" s="17">
        <v>44030.191757291665</v>
      </c>
      <c r="R1167" t="s">
        <v>126</v>
      </c>
    </row>
    <row r="1168" spans="1:18" x14ac:dyDescent="0.3">
      <c r="A1168">
        <v>9687678</v>
      </c>
      <c r="B1168" t="s">
        <v>72</v>
      </c>
      <c r="C1168">
        <v>1330570</v>
      </c>
      <c r="D1168" t="s">
        <v>108</v>
      </c>
      <c r="E1168">
        <v>820</v>
      </c>
      <c r="F1168">
        <v>820</v>
      </c>
      <c r="G1168" t="s">
        <v>136</v>
      </c>
      <c r="H1168" t="s">
        <v>270</v>
      </c>
      <c r="I1168" t="s">
        <v>82</v>
      </c>
      <c r="J1168" t="s">
        <v>42</v>
      </c>
      <c r="K1168" t="s">
        <v>83</v>
      </c>
      <c r="L1168" s="25">
        <v>44030</v>
      </c>
      <c r="M1168">
        <v>7</v>
      </c>
      <c r="N1168">
        <v>2020</v>
      </c>
      <c r="O1168" t="s">
        <v>110</v>
      </c>
      <c r="P1168">
        <v>170</v>
      </c>
      <c r="Q1168" s="17">
        <v>44030.488150462967</v>
      </c>
      <c r="R1168" t="s">
        <v>126</v>
      </c>
    </row>
    <row r="1169" spans="1:18" x14ac:dyDescent="0.3">
      <c r="A1169">
        <v>241250</v>
      </c>
      <c r="B1169" t="s">
        <v>78</v>
      </c>
      <c r="C1169">
        <v>1325303</v>
      </c>
      <c r="D1169" t="s">
        <v>78</v>
      </c>
      <c r="E1169">
        <v>966</v>
      </c>
      <c r="F1169">
        <v>966</v>
      </c>
      <c r="G1169" t="s">
        <v>139</v>
      </c>
      <c r="H1169" t="s">
        <v>105</v>
      </c>
      <c r="I1169" t="s">
        <v>78</v>
      </c>
      <c r="J1169" t="s">
        <v>42</v>
      </c>
      <c r="K1169" t="s">
        <v>87</v>
      </c>
      <c r="L1169" s="25">
        <v>44030</v>
      </c>
      <c r="M1169">
        <v>7</v>
      </c>
      <c r="N1169">
        <v>2020</v>
      </c>
      <c r="O1169" t="s">
        <v>110</v>
      </c>
      <c r="P1169">
        <v>170</v>
      </c>
      <c r="Q1169" s="17">
        <v>44030.47964351852</v>
      </c>
      <c r="R1169" t="s">
        <v>126</v>
      </c>
    </row>
    <row r="1170" spans="1:18" x14ac:dyDescent="0.3">
      <c r="A1170">
        <v>9682994</v>
      </c>
      <c r="B1170" t="s">
        <v>72</v>
      </c>
      <c r="C1170">
        <v>1327212</v>
      </c>
      <c r="D1170" t="s">
        <v>108</v>
      </c>
      <c r="E1170" t="s">
        <v>12</v>
      </c>
      <c r="F1170" t="s">
        <v>12</v>
      </c>
      <c r="G1170" t="s">
        <v>135</v>
      </c>
      <c r="H1170" t="s">
        <v>229</v>
      </c>
      <c r="I1170" t="s">
        <v>84</v>
      </c>
      <c r="J1170" t="s">
        <v>85</v>
      </c>
      <c r="K1170" t="s">
        <v>83</v>
      </c>
      <c r="L1170" s="25">
        <v>44030</v>
      </c>
      <c r="M1170">
        <v>7</v>
      </c>
      <c r="N1170">
        <v>2020</v>
      </c>
      <c r="O1170" t="s">
        <v>110</v>
      </c>
      <c r="P1170">
        <v>170</v>
      </c>
      <c r="Q1170" s="17">
        <v>44030.292370138886</v>
      </c>
      <c r="R1170" t="s">
        <v>126</v>
      </c>
    </row>
    <row r="1171" spans="1:18" x14ac:dyDescent="0.3">
      <c r="A1171">
        <v>9685807</v>
      </c>
      <c r="B1171" t="s">
        <v>78</v>
      </c>
      <c r="C1171">
        <v>1328798</v>
      </c>
      <c r="D1171" t="s">
        <v>78</v>
      </c>
      <c r="E1171">
        <v>820</v>
      </c>
      <c r="F1171">
        <v>820</v>
      </c>
      <c r="G1171" t="s">
        <v>136</v>
      </c>
      <c r="H1171" t="s">
        <v>249</v>
      </c>
      <c r="I1171" t="s">
        <v>78</v>
      </c>
      <c r="J1171" t="s">
        <v>42</v>
      </c>
      <c r="K1171" t="s">
        <v>83</v>
      </c>
      <c r="L1171" s="25">
        <v>44030</v>
      </c>
      <c r="M1171">
        <v>7</v>
      </c>
      <c r="N1171">
        <v>2020</v>
      </c>
      <c r="O1171" t="s">
        <v>110</v>
      </c>
      <c r="P1171">
        <v>170</v>
      </c>
      <c r="Q1171" s="17">
        <v>44030.435918750001</v>
      </c>
      <c r="R1171" t="s">
        <v>126</v>
      </c>
    </row>
    <row r="1172" spans="1:18" x14ac:dyDescent="0.3">
      <c r="A1172">
        <v>9685974</v>
      </c>
      <c r="B1172" t="s">
        <v>78</v>
      </c>
      <c r="C1172">
        <v>1329033</v>
      </c>
      <c r="D1172" t="s">
        <v>78</v>
      </c>
      <c r="E1172">
        <v>820</v>
      </c>
      <c r="F1172">
        <v>820</v>
      </c>
      <c r="G1172" t="s">
        <v>136</v>
      </c>
      <c r="H1172" t="s">
        <v>250</v>
      </c>
      <c r="I1172" t="s">
        <v>78</v>
      </c>
      <c r="J1172" t="s">
        <v>42</v>
      </c>
      <c r="K1172" t="s">
        <v>83</v>
      </c>
      <c r="L1172" s="25">
        <v>44030</v>
      </c>
      <c r="M1172">
        <v>7</v>
      </c>
      <c r="N1172">
        <v>2020</v>
      </c>
      <c r="O1172" t="s">
        <v>110</v>
      </c>
      <c r="P1172">
        <v>170</v>
      </c>
      <c r="Q1172" s="17">
        <v>44030.449597106483</v>
      </c>
      <c r="R1172" t="s">
        <v>126</v>
      </c>
    </row>
    <row r="1173" spans="1:18" x14ac:dyDescent="0.3">
      <c r="A1173">
        <v>9685745</v>
      </c>
      <c r="B1173" t="s">
        <v>78</v>
      </c>
      <c r="C1173">
        <v>1329233</v>
      </c>
      <c r="D1173" t="s">
        <v>78</v>
      </c>
      <c r="E1173">
        <v>820</v>
      </c>
      <c r="F1173">
        <v>820</v>
      </c>
      <c r="G1173" t="s">
        <v>136</v>
      </c>
      <c r="H1173" t="s">
        <v>250</v>
      </c>
      <c r="I1173" t="s">
        <v>78</v>
      </c>
      <c r="J1173" t="s">
        <v>42</v>
      </c>
      <c r="K1173" t="s">
        <v>83</v>
      </c>
      <c r="L1173" s="25">
        <v>44030</v>
      </c>
      <c r="M1173">
        <v>7</v>
      </c>
      <c r="N1173">
        <v>2020</v>
      </c>
      <c r="O1173" t="s">
        <v>110</v>
      </c>
      <c r="P1173">
        <v>170</v>
      </c>
      <c r="Q1173" s="17">
        <v>44030.454298495373</v>
      </c>
      <c r="R1173" t="s">
        <v>126</v>
      </c>
    </row>
    <row r="1174" spans="1:18" x14ac:dyDescent="0.3">
      <c r="A1174">
        <v>9686280</v>
      </c>
      <c r="B1174" t="s">
        <v>80</v>
      </c>
      <c r="C1174">
        <v>1329683</v>
      </c>
      <c r="D1174" t="s">
        <v>113</v>
      </c>
      <c r="E1174" t="s">
        <v>146</v>
      </c>
      <c r="F1174" t="s">
        <v>17</v>
      </c>
      <c r="G1174" t="s">
        <v>153</v>
      </c>
      <c r="H1174" t="s">
        <v>232</v>
      </c>
      <c r="I1174" t="s">
        <v>84</v>
      </c>
      <c r="J1174" t="s">
        <v>85</v>
      </c>
      <c r="K1174" t="s">
        <v>87</v>
      </c>
      <c r="L1174" s="25">
        <v>44030</v>
      </c>
      <c r="M1174">
        <v>7</v>
      </c>
      <c r="N1174">
        <v>2020</v>
      </c>
      <c r="O1174" t="s">
        <v>110</v>
      </c>
      <c r="P1174">
        <v>170</v>
      </c>
      <c r="Q1174" s="17">
        <v>44030.450609837964</v>
      </c>
      <c r="R1174" t="s">
        <v>126</v>
      </c>
    </row>
    <row r="1175" spans="1:18" x14ac:dyDescent="0.3">
      <c r="A1175">
        <v>9685754</v>
      </c>
      <c r="B1175" t="s">
        <v>78</v>
      </c>
      <c r="C1175">
        <v>1328733</v>
      </c>
      <c r="D1175" t="s">
        <v>78</v>
      </c>
      <c r="E1175">
        <v>820</v>
      </c>
      <c r="F1175">
        <v>820</v>
      </c>
      <c r="G1175" t="s">
        <v>136</v>
      </c>
      <c r="H1175" t="s">
        <v>250</v>
      </c>
      <c r="I1175" t="s">
        <v>78</v>
      </c>
      <c r="J1175" t="s">
        <v>42</v>
      </c>
      <c r="K1175" t="s">
        <v>83</v>
      </c>
      <c r="L1175" s="25">
        <v>44030</v>
      </c>
      <c r="M1175">
        <v>7</v>
      </c>
      <c r="N1175">
        <v>2020</v>
      </c>
      <c r="O1175" t="s">
        <v>110</v>
      </c>
      <c r="P1175">
        <v>170</v>
      </c>
      <c r="Q1175" s="17">
        <v>44030.431158564817</v>
      </c>
      <c r="R1175" t="s">
        <v>126</v>
      </c>
    </row>
    <row r="1176" spans="1:18" x14ac:dyDescent="0.3">
      <c r="A1176">
        <v>21524673</v>
      </c>
      <c r="B1176" t="s">
        <v>72</v>
      </c>
      <c r="C1176">
        <v>1320460</v>
      </c>
      <c r="D1176" t="s">
        <v>108</v>
      </c>
      <c r="E1176" t="s">
        <v>26</v>
      </c>
      <c r="F1176" t="s">
        <v>26</v>
      </c>
      <c r="G1176" t="s">
        <v>137</v>
      </c>
      <c r="H1176" t="s">
        <v>229</v>
      </c>
      <c r="I1176" t="s">
        <v>84</v>
      </c>
      <c r="J1176" t="s">
        <v>85</v>
      </c>
      <c r="K1176" t="s">
        <v>83</v>
      </c>
      <c r="L1176" s="25">
        <v>44030</v>
      </c>
      <c r="M1176">
        <v>7</v>
      </c>
      <c r="N1176">
        <v>2020</v>
      </c>
      <c r="O1176" t="s">
        <v>110</v>
      </c>
      <c r="P1176">
        <v>170</v>
      </c>
      <c r="Q1176" s="17">
        <v>44030.436402662039</v>
      </c>
      <c r="R1176" t="s">
        <v>126</v>
      </c>
    </row>
    <row r="1177" spans="1:18" x14ac:dyDescent="0.3">
      <c r="A1177">
        <v>9687312</v>
      </c>
      <c r="B1177" t="s">
        <v>78</v>
      </c>
      <c r="C1177">
        <v>1330084</v>
      </c>
      <c r="D1177" t="s">
        <v>78</v>
      </c>
      <c r="E1177">
        <v>4138</v>
      </c>
      <c r="F1177" t="s">
        <v>17</v>
      </c>
      <c r="G1177" t="s">
        <v>129</v>
      </c>
      <c r="H1177" t="s">
        <v>228</v>
      </c>
      <c r="I1177" t="s">
        <v>78</v>
      </c>
      <c r="J1177" t="s">
        <v>42</v>
      </c>
      <c r="K1177" t="s">
        <v>87</v>
      </c>
      <c r="L1177" s="25">
        <v>44030</v>
      </c>
      <c r="M1177">
        <v>7</v>
      </c>
      <c r="N1177">
        <v>2020</v>
      </c>
      <c r="O1177" t="s">
        <v>110</v>
      </c>
      <c r="P1177">
        <v>170</v>
      </c>
      <c r="Q1177" s="17">
        <v>44030.487634027777</v>
      </c>
      <c r="R1177" t="s">
        <v>126</v>
      </c>
    </row>
    <row r="1178" spans="1:18" x14ac:dyDescent="0.3">
      <c r="A1178">
        <v>9685723</v>
      </c>
      <c r="B1178" t="s">
        <v>78</v>
      </c>
      <c r="C1178">
        <v>1329434</v>
      </c>
      <c r="D1178" t="s">
        <v>78</v>
      </c>
      <c r="E1178">
        <v>820</v>
      </c>
      <c r="F1178">
        <v>820</v>
      </c>
      <c r="G1178" t="s">
        <v>136</v>
      </c>
      <c r="H1178" t="s">
        <v>250</v>
      </c>
      <c r="I1178" t="s">
        <v>78</v>
      </c>
      <c r="J1178" t="s">
        <v>42</v>
      </c>
      <c r="K1178" t="s">
        <v>83</v>
      </c>
      <c r="L1178" s="25">
        <v>44030</v>
      </c>
      <c r="M1178">
        <v>7</v>
      </c>
      <c r="N1178">
        <v>2020</v>
      </c>
      <c r="O1178" t="s">
        <v>110</v>
      </c>
      <c r="P1178">
        <v>170</v>
      </c>
      <c r="Q1178" s="17">
        <v>44030.469126736112</v>
      </c>
      <c r="R1178" t="s">
        <v>126</v>
      </c>
    </row>
    <row r="1179" spans="1:18" x14ac:dyDescent="0.3">
      <c r="A1179">
        <v>9684385</v>
      </c>
      <c r="B1179" t="s">
        <v>79</v>
      </c>
      <c r="C1179">
        <v>1329248</v>
      </c>
      <c r="D1179" t="s">
        <v>116</v>
      </c>
      <c r="E1179" t="s">
        <v>12</v>
      </c>
      <c r="F1179" t="s">
        <v>12</v>
      </c>
      <c r="G1179" t="s">
        <v>135</v>
      </c>
      <c r="H1179" t="s">
        <v>251</v>
      </c>
      <c r="I1179" t="s">
        <v>82</v>
      </c>
      <c r="J1179" t="s">
        <v>42</v>
      </c>
      <c r="K1179" t="s">
        <v>83</v>
      </c>
      <c r="L1179" s="25">
        <v>44030</v>
      </c>
      <c r="M1179">
        <v>7</v>
      </c>
      <c r="N1179">
        <v>2020</v>
      </c>
      <c r="O1179" t="s">
        <v>110</v>
      </c>
      <c r="P1179">
        <v>170</v>
      </c>
      <c r="Q1179" s="17">
        <v>44030.435246412038</v>
      </c>
      <c r="R1179" t="s">
        <v>126</v>
      </c>
    </row>
    <row r="1180" spans="1:18" x14ac:dyDescent="0.3">
      <c r="A1180">
        <v>9686887</v>
      </c>
      <c r="B1180" t="s">
        <v>80</v>
      </c>
      <c r="C1180">
        <v>1329783</v>
      </c>
      <c r="D1180" t="s">
        <v>113</v>
      </c>
      <c r="E1180" t="s">
        <v>146</v>
      </c>
      <c r="F1180" t="s">
        <v>17</v>
      </c>
      <c r="G1180" t="s">
        <v>153</v>
      </c>
      <c r="H1180" t="s">
        <v>232</v>
      </c>
      <c r="I1180" t="s">
        <v>84</v>
      </c>
      <c r="J1180" t="s">
        <v>85</v>
      </c>
      <c r="K1180" t="s">
        <v>87</v>
      </c>
      <c r="L1180" s="25">
        <v>44030</v>
      </c>
      <c r="M1180">
        <v>7</v>
      </c>
      <c r="N1180">
        <v>2020</v>
      </c>
      <c r="O1180" t="s">
        <v>110</v>
      </c>
      <c r="P1180">
        <v>170</v>
      </c>
      <c r="Q1180" s="17">
        <v>44030.476276157409</v>
      </c>
      <c r="R1180" t="s">
        <v>126</v>
      </c>
    </row>
    <row r="1181" spans="1:18" x14ac:dyDescent="0.3">
      <c r="A1181">
        <v>9679537</v>
      </c>
      <c r="B1181" t="s">
        <v>72</v>
      </c>
      <c r="C1181">
        <v>1321844</v>
      </c>
      <c r="D1181" t="s">
        <v>108</v>
      </c>
      <c r="E1181" t="s">
        <v>26</v>
      </c>
      <c r="F1181" t="s">
        <v>26</v>
      </c>
      <c r="G1181" t="s">
        <v>137</v>
      </c>
      <c r="H1181" t="s">
        <v>229</v>
      </c>
      <c r="I1181" t="s">
        <v>84</v>
      </c>
      <c r="J1181" t="s">
        <v>85</v>
      </c>
      <c r="K1181" t="s">
        <v>83</v>
      </c>
      <c r="L1181" s="25">
        <v>44030</v>
      </c>
      <c r="M1181">
        <v>7</v>
      </c>
      <c r="N1181">
        <v>2020</v>
      </c>
      <c r="O1181" t="s">
        <v>110</v>
      </c>
      <c r="P1181">
        <v>170</v>
      </c>
      <c r="Q1181" s="17">
        <v>44030.475242939814</v>
      </c>
      <c r="R1181" t="s">
        <v>126</v>
      </c>
    </row>
    <row r="1182" spans="1:18" x14ac:dyDescent="0.3">
      <c r="A1182">
        <v>9686078</v>
      </c>
      <c r="B1182" t="s">
        <v>78</v>
      </c>
      <c r="C1182">
        <v>1329132</v>
      </c>
      <c r="D1182" t="s">
        <v>78</v>
      </c>
      <c r="E1182">
        <v>820</v>
      </c>
      <c r="F1182">
        <v>820</v>
      </c>
      <c r="G1182" t="s">
        <v>136</v>
      </c>
      <c r="H1182" t="s">
        <v>250</v>
      </c>
      <c r="I1182" t="s">
        <v>78</v>
      </c>
      <c r="J1182" t="s">
        <v>42</v>
      </c>
      <c r="K1182" t="s">
        <v>83</v>
      </c>
      <c r="L1182" s="25">
        <v>44030</v>
      </c>
      <c r="M1182">
        <v>7</v>
      </c>
      <c r="N1182">
        <v>2020</v>
      </c>
      <c r="O1182" t="s">
        <v>110</v>
      </c>
      <c r="P1182">
        <v>170</v>
      </c>
      <c r="Q1182" s="17">
        <v>44030.449404050923</v>
      </c>
      <c r="R1182" t="s">
        <v>126</v>
      </c>
    </row>
    <row r="1183" spans="1:18" x14ac:dyDescent="0.3">
      <c r="A1183">
        <v>244465</v>
      </c>
      <c r="B1183" t="s">
        <v>72</v>
      </c>
      <c r="C1183">
        <v>1329281</v>
      </c>
      <c r="D1183" t="s">
        <v>108</v>
      </c>
      <c r="E1183" t="s">
        <v>12</v>
      </c>
      <c r="F1183" t="s">
        <v>12</v>
      </c>
      <c r="G1183" t="s">
        <v>135</v>
      </c>
      <c r="H1183" t="s">
        <v>98</v>
      </c>
      <c r="I1183" t="s">
        <v>82</v>
      </c>
      <c r="J1183" t="s">
        <v>42</v>
      </c>
      <c r="K1183" t="s">
        <v>83</v>
      </c>
      <c r="L1183" s="25">
        <v>44030</v>
      </c>
      <c r="M1183">
        <v>7</v>
      </c>
      <c r="N1183">
        <v>2020</v>
      </c>
      <c r="O1183" t="s">
        <v>110</v>
      </c>
      <c r="P1183">
        <v>170</v>
      </c>
      <c r="Q1183" s="17">
        <v>44030.436728935187</v>
      </c>
      <c r="R1183" t="s">
        <v>126</v>
      </c>
    </row>
    <row r="1184" spans="1:18" x14ac:dyDescent="0.3">
      <c r="A1184">
        <v>241711</v>
      </c>
      <c r="B1184" t="s">
        <v>72</v>
      </c>
      <c r="C1184">
        <v>1322397</v>
      </c>
      <c r="D1184" t="s">
        <v>108</v>
      </c>
      <c r="E1184" t="s">
        <v>26</v>
      </c>
      <c r="F1184" t="s">
        <v>26</v>
      </c>
      <c r="G1184" t="s">
        <v>137</v>
      </c>
      <c r="H1184" t="s">
        <v>276</v>
      </c>
      <c r="I1184" t="s">
        <v>84</v>
      </c>
      <c r="J1184" t="s">
        <v>85</v>
      </c>
      <c r="K1184" t="s">
        <v>83</v>
      </c>
      <c r="L1184" s="25">
        <v>44030</v>
      </c>
      <c r="M1184">
        <v>7</v>
      </c>
      <c r="N1184">
        <v>2020</v>
      </c>
      <c r="O1184" t="s">
        <v>110</v>
      </c>
      <c r="P1184">
        <v>170</v>
      </c>
      <c r="Q1184" s="17">
        <v>44030.485959837963</v>
      </c>
      <c r="R1184" t="s">
        <v>126</v>
      </c>
    </row>
    <row r="1185" spans="1:18" x14ac:dyDescent="0.3">
      <c r="A1185">
        <v>9683664</v>
      </c>
      <c r="B1185" t="s">
        <v>78</v>
      </c>
      <c r="C1185">
        <v>1328663</v>
      </c>
      <c r="D1185" t="s">
        <v>78</v>
      </c>
      <c r="E1185">
        <v>820</v>
      </c>
      <c r="F1185">
        <v>820</v>
      </c>
      <c r="G1185" t="s">
        <v>136</v>
      </c>
      <c r="H1185" t="s">
        <v>250</v>
      </c>
      <c r="I1185" t="s">
        <v>78</v>
      </c>
      <c r="J1185" t="s">
        <v>42</v>
      </c>
      <c r="K1185" t="s">
        <v>83</v>
      </c>
      <c r="L1185" s="25">
        <v>44030</v>
      </c>
      <c r="M1185">
        <v>7</v>
      </c>
      <c r="N1185">
        <v>2020</v>
      </c>
      <c r="O1185" t="s">
        <v>110</v>
      </c>
      <c r="P1185">
        <v>170</v>
      </c>
      <c r="Q1185" s="17">
        <v>44030.424839236111</v>
      </c>
      <c r="R1185" t="s">
        <v>126</v>
      </c>
    </row>
    <row r="1186" spans="1:18" x14ac:dyDescent="0.3">
      <c r="A1186">
        <v>9687290</v>
      </c>
      <c r="B1186" t="s">
        <v>78</v>
      </c>
      <c r="C1186">
        <v>1330085</v>
      </c>
      <c r="D1186" t="s">
        <v>78</v>
      </c>
      <c r="E1186">
        <v>4138</v>
      </c>
      <c r="F1186" t="s">
        <v>17</v>
      </c>
      <c r="G1186" t="s">
        <v>129</v>
      </c>
      <c r="H1186" t="s">
        <v>134</v>
      </c>
      <c r="I1186" t="s">
        <v>78</v>
      </c>
      <c r="J1186" t="s">
        <v>42</v>
      </c>
      <c r="K1186" t="s">
        <v>87</v>
      </c>
      <c r="L1186" s="25">
        <v>44030</v>
      </c>
      <c r="M1186">
        <v>7</v>
      </c>
      <c r="N1186">
        <v>2020</v>
      </c>
      <c r="O1186" t="s">
        <v>110</v>
      </c>
      <c r="P1186">
        <v>170</v>
      </c>
      <c r="Q1186" s="17">
        <v>44030.487223148149</v>
      </c>
      <c r="R1186" t="s">
        <v>126</v>
      </c>
    </row>
    <row r="1187" spans="1:18" x14ac:dyDescent="0.3">
      <c r="A1187">
        <v>9686270</v>
      </c>
      <c r="B1187" t="s">
        <v>79</v>
      </c>
      <c r="C1187">
        <v>1329467</v>
      </c>
      <c r="D1187" t="s">
        <v>116</v>
      </c>
      <c r="E1187" t="s">
        <v>12</v>
      </c>
      <c r="F1187" t="s">
        <v>12</v>
      </c>
      <c r="G1187" t="s">
        <v>135</v>
      </c>
      <c r="H1187" t="s">
        <v>275</v>
      </c>
      <c r="I1187" t="s">
        <v>82</v>
      </c>
      <c r="J1187" t="s">
        <v>42</v>
      </c>
      <c r="K1187" t="s">
        <v>83</v>
      </c>
      <c r="L1187" s="25">
        <v>44030</v>
      </c>
      <c r="M1187">
        <v>7</v>
      </c>
      <c r="N1187">
        <v>2020</v>
      </c>
      <c r="O1187" t="s">
        <v>110</v>
      </c>
      <c r="P1187">
        <v>170</v>
      </c>
      <c r="Q1187" s="17">
        <v>44030.45353726852</v>
      </c>
      <c r="R1187" t="s">
        <v>126</v>
      </c>
    </row>
    <row r="1188" spans="1:18" x14ac:dyDescent="0.3">
      <c r="A1188">
        <v>9670993</v>
      </c>
      <c r="B1188" t="s">
        <v>72</v>
      </c>
      <c r="C1188">
        <v>1329450</v>
      </c>
      <c r="D1188" t="s">
        <v>108</v>
      </c>
      <c r="E1188" t="s">
        <v>12</v>
      </c>
      <c r="F1188" t="s">
        <v>12</v>
      </c>
      <c r="G1188" t="s">
        <v>135</v>
      </c>
      <c r="H1188" t="s">
        <v>98</v>
      </c>
      <c r="I1188" t="s">
        <v>82</v>
      </c>
      <c r="J1188" t="s">
        <v>42</v>
      </c>
      <c r="K1188" t="s">
        <v>83</v>
      </c>
      <c r="L1188" s="25">
        <v>44030</v>
      </c>
      <c r="M1188">
        <v>7</v>
      </c>
      <c r="N1188">
        <v>2020</v>
      </c>
      <c r="O1188" t="s">
        <v>110</v>
      </c>
      <c r="P1188">
        <v>170</v>
      </c>
      <c r="Q1188" s="17">
        <v>44030.450066666664</v>
      </c>
      <c r="R1188" t="s">
        <v>126</v>
      </c>
    </row>
    <row r="1189" spans="1:18" x14ac:dyDescent="0.3">
      <c r="A1189">
        <v>9680476</v>
      </c>
      <c r="B1189" t="s">
        <v>72</v>
      </c>
      <c r="C1189">
        <v>1321979</v>
      </c>
      <c r="D1189" t="s">
        <v>108</v>
      </c>
      <c r="E1189">
        <v>966</v>
      </c>
      <c r="F1189">
        <v>966</v>
      </c>
      <c r="G1189" t="s">
        <v>139</v>
      </c>
      <c r="H1189" t="s">
        <v>229</v>
      </c>
      <c r="I1189" t="s">
        <v>84</v>
      </c>
      <c r="J1189" t="s">
        <v>85</v>
      </c>
      <c r="K1189" t="s">
        <v>87</v>
      </c>
      <c r="L1189" s="25">
        <v>44030</v>
      </c>
      <c r="M1189">
        <v>7</v>
      </c>
      <c r="N1189">
        <v>2020</v>
      </c>
      <c r="O1189" t="s">
        <v>110</v>
      </c>
      <c r="P1189">
        <v>170</v>
      </c>
      <c r="Q1189" s="17">
        <v>44030.444842708333</v>
      </c>
      <c r="R1189" t="s">
        <v>126</v>
      </c>
    </row>
    <row r="1190" spans="1:18" x14ac:dyDescent="0.3">
      <c r="A1190">
        <v>9686897</v>
      </c>
      <c r="B1190" t="s">
        <v>80</v>
      </c>
      <c r="C1190">
        <v>1329799</v>
      </c>
      <c r="D1190" t="s">
        <v>113</v>
      </c>
      <c r="E1190" t="s">
        <v>146</v>
      </c>
      <c r="F1190" t="s">
        <v>17</v>
      </c>
      <c r="G1190" t="s">
        <v>153</v>
      </c>
      <c r="H1190" t="s">
        <v>232</v>
      </c>
      <c r="I1190" t="s">
        <v>84</v>
      </c>
      <c r="J1190" t="s">
        <v>85</v>
      </c>
      <c r="K1190" t="s">
        <v>87</v>
      </c>
      <c r="L1190" s="25">
        <v>44030</v>
      </c>
      <c r="M1190">
        <v>7</v>
      </c>
      <c r="N1190">
        <v>2020</v>
      </c>
      <c r="O1190" t="s">
        <v>110</v>
      </c>
      <c r="P1190">
        <v>170</v>
      </c>
      <c r="Q1190" s="17">
        <v>44030.47597777778</v>
      </c>
      <c r="R1190" t="s">
        <v>126</v>
      </c>
    </row>
    <row r="1191" spans="1:18" x14ac:dyDescent="0.3">
      <c r="A1191">
        <v>241431</v>
      </c>
      <c r="B1191" t="s">
        <v>72</v>
      </c>
      <c r="C1191">
        <v>1319975</v>
      </c>
      <c r="D1191" t="s">
        <v>108</v>
      </c>
      <c r="E1191" t="s">
        <v>124</v>
      </c>
      <c r="F1191" t="s">
        <v>17</v>
      </c>
      <c r="G1191" t="s">
        <v>125</v>
      </c>
      <c r="H1191" t="s">
        <v>263</v>
      </c>
      <c r="I1191" t="s">
        <v>82</v>
      </c>
      <c r="J1191" t="s">
        <v>42</v>
      </c>
      <c r="K1191" t="s">
        <v>87</v>
      </c>
      <c r="L1191" s="25">
        <v>44030</v>
      </c>
      <c r="M1191">
        <v>7</v>
      </c>
      <c r="N1191">
        <v>2020</v>
      </c>
      <c r="O1191" t="s">
        <v>110</v>
      </c>
      <c r="P1191">
        <v>170</v>
      </c>
      <c r="Q1191" s="17">
        <v>44030.425263541663</v>
      </c>
      <c r="R1191" t="s">
        <v>126</v>
      </c>
    </row>
    <row r="1192" spans="1:18" x14ac:dyDescent="0.3">
      <c r="A1192">
        <v>9677887</v>
      </c>
      <c r="B1192" t="s">
        <v>72</v>
      </c>
      <c r="C1192">
        <v>1331740</v>
      </c>
      <c r="D1192" t="s">
        <v>108</v>
      </c>
      <c r="E1192" t="s">
        <v>12</v>
      </c>
      <c r="F1192" t="s">
        <v>12</v>
      </c>
      <c r="G1192" t="s">
        <v>135</v>
      </c>
      <c r="H1192" t="s">
        <v>229</v>
      </c>
      <c r="I1192" t="s">
        <v>84</v>
      </c>
      <c r="J1192" t="s">
        <v>85</v>
      </c>
      <c r="K1192" t="s">
        <v>83</v>
      </c>
      <c r="L1192" s="25">
        <v>44030</v>
      </c>
      <c r="M1192">
        <v>7</v>
      </c>
      <c r="N1192">
        <v>2020</v>
      </c>
      <c r="O1192" t="s">
        <v>110</v>
      </c>
      <c r="P1192">
        <v>170</v>
      </c>
      <c r="Q1192" s="17">
        <v>44030.384821064814</v>
      </c>
      <c r="R1192" t="s">
        <v>126</v>
      </c>
    </row>
    <row r="1193" spans="1:18" x14ac:dyDescent="0.3">
      <c r="A1193">
        <v>21530841</v>
      </c>
      <c r="B1193" t="s">
        <v>72</v>
      </c>
      <c r="C1193">
        <v>1334147</v>
      </c>
      <c r="D1193" t="s">
        <v>108</v>
      </c>
      <c r="E1193" t="s">
        <v>172</v>
      </c>
      <c r="F1193" t="s">
        <v>172</v>
      </c>
      <c r="G1193" t="s">
        <v>173</v>
      </c>
      <c r="H1193" t="s">
        <v>229</v>
      </c>
      <c r="I1193" t="s">
        <v>84</v>
      </c>
      <c r="J1193" t="s">
        <v>85</v>
      </c>
      <c r="K1193" t="s">
        <v>87</v>
      </c>
      <c r="L1193" s="25">
        <v>44030</v>
      </c>
      <c r="M1193">
        <v>7</v>
      </c>
      <c r="N1193">
        <v>2020</v>
      </c>
      <c r="O1193" t="s">
        <v>110</v>
      </c>
      <c r="P1193">
        <v>170</v>
      </c>
      <c r="Q1193" s="17">
        <v>44031.082795138886</v>
      </c>
      <c r="R1193" t="s">
        <v>126</v>
      </c>
    </row>
    <row r="1194" spans="1:18" x14ac:dyDescent="0.3">
      <c r="A1194">
        <v>9686886</v>
      </c>
      <c r="B1194" t="s">
        <v>80</v>
      </c>
      <c r="C1194">
        <v>1329782</v>
      </c>
      <c r="D1194" t="s">
        <v>113</v>
      </c>
      <c r="E1194" t="s">
        <v>146</v>
      </c>
      <c r="F1194" t="s">
        <v>17</v>
      </c>
      <c r="G1194" t="s">
        <v>153</v>
      </c>
      <c r="H1194" t="s">
        <v>232</v>
      </c>
      <c r="I1194" t="s">
        <v>84</v>
      </c>
      <c r="J1194" t="s">
        <v>85</v>
      </c>
      <c r="K1194" t="s">
        <v>87</v>
      </c>
      <c r="L1194" s="25">
        <v>44030</v>
      </c>
      <c r="M1194">
        <v>7</v>
      </c>
      <c r="N1194">
        <v>2020</v>
      </c>
      <c r="O1194" t="s">
        <v>110</v>
      </c>
      <c r="P1194">
        <v>170</v>
      </c>
      <c r="Q1194" s="17">
        <v>44030.472541319446</v>
      </c>
      <c r="R1194" t="s">
        <v>126</v>
      </c>
    </row>
    <row r="1195" spans="1:18" x14ac:dyDescent="0.3">
      <c r="A1195">
        <v>9686290</v>
      </c>
      <c r="B1195" t="s">
        <v>78</v>
      </c>
      <c r="C1195">
        <v>1329868</v>
      </c>
      <c r="D1195" t="s">
        <v>78</v>
      </c>
      <c r="E1195" t="s">
        <v>12</v>
      </c>
      <c r="F1195" t="s">
        <v>12</v>
      </c>
      <c r="G1195" t="s">
        <v>135</v>
      </c>
      <c r="H1195" t="s">
        <v>105</v>
      </c>
      <c r="I1195" t="s">
        <v>78</v>
      </c>
      <c r="J1195" t="s">
        <v>42</v>
      </c>
      <c r="K1195" t="s">
        <v>83</v>
      </c>
      <c r="L1195" s="25">
        <v>44030</v>
      </c>
      <c r="M1195">
        <v>7</v>
      </c>
      <c r="N1195">
        <v>2020</v>
      </c>
      <c r="O1195" t="s">
        <v>110</v>
      </c>
      <c r="P1195">
        <v>170</v>
      </c>
      <c r="Q1195" s="17">
        <v>44030.461293402775</v>
      </c>
      <c r="R1195" t="s">
        <v>126</v>
      </c>
    </row>
    <row r="1196" spans="1:18" x14ac:dyDescent="0.3">
      <c r="A1196">
        <v>9687388</v>
      </c>
      <c r="B1196" t="s">
        <v>78</v>
      </c>
      <c r="C1196">
        <v>1330217</v>
      </c>
      <c r="D1196" t="s">
        <v>78</v>
      </c>
      <c r="E1196" t="s">
        <v>146</v>
      </c>
      <c r="F1196" t="s">
        <v>17</v>
      </c>
      <c r="G1196" t="s">
        <v>147</v>
      </c>
      <c r="H1196" t="s">
        <v>134</v>
      </c>
      <c r="I1196" t="s">
        <v>78</v>
      </c>
      <c r="J1196" t="s">
        <v>42</v>
      </c>
      <c r="K1196" t="s">
        <v>87</v>
      </c>
      <c r="L1196" s="25">
        <v>44030</v>
      </c>
      <c r="M1196">
        <v>7</v>
      </c>
      <c r="N1196">
        <v>2020</v>
      </c>
      <c r="O1196" t="s">
        <v>110</v>
      </c>
      <c r="P1196">
        <v>170</v>
      </c>
      <c r="Q1196" s="17">
        <v>44030.490659722222</v>
      </c>
      <c r="R1196" t="s">
        <v>126</v>
      </c>
    </row>
    <row r="1197" spans="1:18" x14ac:dyDescent="0.3">
      <c r="A1197">
        <v>9685731</v>
      </c>
      <c r="B1197" t="s">
        <v>78</v>
      </c>
      <c r="C1197">
        <v>1329399</v>
      </c>
      <c r="D1197" t="s">
        <v>78</v>
      </c>
      <c r="E1197">
        <v>820</v>
      </c>
      <c r="F1197">
        <v>820</v>
      </c>
      <c r="G1197" t="s">
        <v>136</v>
      </c>
      <c r="H1197" t="s">
        <v>228</v>
      </c>
      <c r="I1197" t="s">
        <v>78</v>
      </c>
      <c r="J1197" t="s">
        <v>42</v>
      </c>
      <c r="K1197" t="s">
        <v>83</v>
      </c>
      <c r="L1197" s="25">
        <v>44030</v>
      </c>
      <c r="M1197">
        <v>7</v>
      </c>
      <c r="N1197">
        <v>2020</v>
      </c>
      <c r="O1197" t="s">
        <v>110</v>
      </c>
      <c r="P1197">
        <v>170</v>
      </c>
      <c r="Q1197" s="17">
        <v>44030.467187615737</v>
      </c>
      <c r="R1197" t="s">
        <v>126</v>
      </c>
    </row>
    <row r="1198" spans="1:18" x14ac:dyDescent="0.3">
      <c r="A1198">
        <v>21532540</v>
      </c>
      <c r="B1198" t="s">
        <v>72</v>
      </c>
      <c r="C1198">
        <v>1336083</v>
      </c>
      <c r="D1198" t="s">
        <v>108</v>
      </c>
      <c r="E1198">
        <v>966</v>
      </c>
      <c r="F1198">
        <v>966</v>
      </c>
      <c r="G1198" t="s">
        <v>139</v>
      </c>
      <c r="H1198" t="s">
        <v>229</v>
      </c>
      <c r="I1198" t="s">
        <v>84</v>
      </c>
      <c r="J1198" t="s">
        <v>85</v>
      </c>
      <c r="K1198" t="s">
        <v>87</v>
      </c>
      <c r="L1198" s="25">
        <v>44030</v>
      </c>
      <c r="M1198">
        <v>7</v>
      </c>
      <c r="N1198">
        <v>2020</v>
      </c>
      <c r="O1198" t="s">
        <v>110</v>
      </c>
      <c r="P1198">
        <v>170</v>
      </c>
      <c r="Q1198" s="17">
        <v>44031.136643055557</v>
      </c>
      <c r="R1198" t="s">
        <v>126</v>
      </c>
    </row>
    <row r="1199" spans="1:18" x14ac:dyDescent="0.3">
      <c r="A1199">
        <v>9686868</v>
      </c>
      <c r="B1199" t="s">
        <v>80</v>
      </c>
      <c r="C1199">
        <v>1329753</v>
      </c>
      <c r="D1199" t="s">
        <v>113</v>
      </c>
      <c r="E1199" t="s">
        <v>146</v>
      </c>
      <c r="F1199" t="s">
        <v>17</v>
      </c>
      <c r="G1199" t="s">
        <v>153</v>
      </c>
      <c r="H1199" t="s">
        <v>232</v>
      </c>
      <c r="I1199" t="s">
        <v>84</v>
      </c>
      <c r="J1199" t="s">
        <v>85</v>
      </c>
      <c r="K1199" t="s">
        <v>87</v>
      </c>
      <c r="L1199" s="25">
        <v>44030</v>
      </c>
      <c r="M1199">
        <v>7</v>
      </c>
      <c r="N1199">
        <v>2020</v>
      </c>
      <c r="O1199" t="s">
        <v>110</v>
      </c>
      <c r="P1199">
        <v>170</v>
      </c>
      <c r="Q1199" s="17">
        <v>44030.469708217592</v>
      </c>
      <c r="R1199" t="s">
        <v>126</v>
      </c>
    </row>
    <row r="1200" spans="1:18" x14ac:dyDescent="0.3">
      <c r="A1200">
        <v>9679021</v>
      </c>
      <c r="B1200" t="s">
        <v>72</v>
      </c>
      <c r="C1200">
        <v>1320104</v>
      </c>
      <c r="D1200" t="s">
        <v>108</v>
      </c>
      <c r="E1200" t="s">
        <v>26</v>
      </c>
      <c r="F1200" t="s">
        <v>26</v>
      </c>
      <c r="G1200" t="s">
        <v>137</v>
      </c>
      <c r="H1200" t="s">
        <v>276</v>
      </c>
      <c r="I1200" t="s">
        <v>84</v>
      </c>
      <c r="J1200" t="s">
        <v>85</v>
      </c>
      <c r="K1200" t="s">
        <v>83</v>
      </c>
      <c r="L1200" s="25">
        <v>44030</v>
      </c>
      <c r="M1200">
        <v>7</v>
      </c>
      <c r="N1200">
        <v>2020</v>
      </c>
      <c r="O1200" t="s">
        <v>110</v>
      </c>
      <c r="P1200">
        <v>170</v>
      </c>
      <c r="Q1200" s="17">
        <v>44030.424921180558</v>
      </c>
      <c r="R1200" t="s">
        <v>126</v>
      </c>
    </row>
    <row r="1201" spans="1:18" x14ac:dyDescent="0.3">
      <c r="A1201">
        <v>9686019</v>
      </c>
      <c r="B1201" t="s">
        <v>78</v>
      </c>
      <c r="C1201">
        <v>1329939</v>
      </c>
      <c r="D1201" t="s">
        <v>78</v>
      </c>
      <c r="E1201">
        <v>4142</v>
      </c>
      <c r="F1201" t="s">
        <v>17</v>
      </c>
      <c r="G1201" t="s">
        <v>133</v>
      </c>
      <c r="H1201" t="s">
        <v>134</v>
      </c>
      <c r="I1201" t="s">
        <v>78</v>
      </c>
      <c r="J1201" t="s">
        <v>42</v>
      </c>
      <c r="K1201" t="s">
        <v>87</v>
      </c>
      <c r="L1201" s="25">
        <v>44030</v>
      </c>
      <c r="M1201">
        <v>7</v>
      </c>
      <c r="N1201">
        <v>2020</v>
      </c>
      <c r="O1201" t="s">
        <v>110</v>
      </c>
      <c r="P1201">
        <v>170</v>
      </c>
      <c r="Q1201" s="17">
        <v>44030.482665625001</v>
      </c>
      <c r="R1201" t="s">
        <v>126</v>
      </c>
    </row>
    <row r="1202" spans="1:18" x14ac:dyDescent="0.3">
      <c r="A1202">
        <v>9687734</v>
      </c>
      <c r="B1202" t="s">
        <v>79</v>
      </c>
      <c r="C1202">
        <v>1331611</v>
      </c>
      <c r="D1202" t="s">
        <v>122</v>
      </c>
      <c r="E1202" t="s">
        <v>12</v>
      </c>
      <c r="F1202" t="s">
        <v>12</v>
      </c>
      <c r="G1202" t="s">
        <v>135</v>
      </c>
      <c r="H1202" t="s">
        <v>228</v>
      </c>
      <c r="I1202" t="s">
        <v>84</v>
      </c>
      <c r="J1202" t="s">
        <v>85</v>
      </c>
      <c r="K1202" t="s">
        <v>83</v>
      </c>
      <c r="L1202" s="25">
        <v>44030</v>
      </c>
      <c r="M1202">
        <v>7</v>
      </c>
      <c r="N1202">
        <v>2020</v>
      </c>
      <c r="O1202" t="s">
        <v>110</v>
      </c>
      <c r="P1202">
        <v>170</v>
      </c>
      <c r="Q1202" s="17">
        <v>44030.29312303241</v>
      </c>
      <c r="R1202" t="s">
        <v>126</v>
      </c>
    </row>
    <row r="1203" spans="1:18" x14ac:dyDescent="0.3">
      <c r="A1203">
        <v>21528755</v>
      </c>
      <c r="B1203" t="s">
        <v>80</v>
      </c>
      <c r="C1203">
        <v>1325477</v>
      </c>
      <c r="D1203" t="s">
        <v>113</v>
      </c>
      <c r="E1203">
        <v>966</v>
      </c>
      <c r="F1203">
        <v>966</v>
      </c>
      <c r="G1203" t="s">
        <v>139</v>
      </c>
      <c r="H1203" t="s">
        <v>232</v>
      </c>
      <c r="I1203" t="s">
        <v>84</v>
      </c>
      <c r="J1203" t="s">
        <v>85</v>
      </c>
      <c r="K1203" t="s">
        <v>87</v>
      </c>
      <c r="L1203" s="25">
        <v>44030</v>
      </c>
      <c r="M1203">
        <v>7</v>
      </c>
      <c r="N1203">
        <v>2020</v>
      </c>
      <c r="O1203" t="s">
        <v>110</v>
      </c>
      <c r="P1203">
        <v>170</v>
      </c>
      <c r="Q1203" s="17">
        <v>44030.492873726849</v>
      </c>
      <c r="R1203" t="s">
        <v>126</v>
      </c>
    </row>
    <row r="1204" spans="1:18" x14ac:dyDescent="0.3">
      <c r="A1204">
        <v>9686199</v>
      </c>
      <c r="B1204" t="s">
        <v>78</v>
      </c>
      <c r="C1204">
        <v>1329596</v>
      </c>
      <c r="D1204" t="s">
        <v>78</v>
      </c>
      <c r="E1204" t="s">
        <v>131</v>
      </c>
      <c r="F1204" t="s">
        <v>17</v>
      </c>
      <c r="G1204" t="s">
        <v>132</v>
      </c>
      <c r="H1204" t="s">
        <v>134</v>
      </c>
      <c r="I1204" t="s">
        <v>78</v>
      </c>
      <c r="J1204" t="s">
        <v>42</v>
      </c>
      <c r="K1204" t="s">
        <v>87</v>
      </c>
      <c r="L1204" s="25">
        <v>44030</v>
      </c>
      <c r="M1204">
        <v>7</v>
      </c>
      <c r="N1204">
        <v>2020</v>
      </c>
      <c r="O1204" t="s">
        <v>110</v>
      </c>
      <c r="P1204">
        <v>170</v>
      </c>
      <c r="Q1204" s="17">
        <v>44030.429411921294</v>
      </c>
      <c r="R1204" t="s">
        <v>126</v>
      </c>
    </row>
    <row r="1205" spans="1:18" x14ac:dyDescent="0.3">
      <c r="A1205">
        <v>9685875</v>
      </c>
      <c r="B1205" t="s">
        <v>78</v>
      </c>
      <c r="C1205">
        <v>1329553</v>
      </c>
      <c r="D1205" t="s">
        <v>78</v>
      </c>
      <c r="E1205">
        <v>820</v>
      </c>
      <c r="F1205">
        <v>820</v>
      </c>
      <c r="G1205" t="s">
        <v>136</v>
      </c>
      <c r="H1205" t="s">
        <v>249</v>
      </c>
      <c r="I1205" t="s">
        <v>78</v>
      </c>
      <c r="J1205" t="s">
        <v>42</v>
      </c>
      <c r="K1205" t="s">
        <v>83</v>
      </c>
      <c r="L1205" s="25">
        <v>44030</v>
      </c>
      <c r="M1205">
        <v>7</v>
      </c>
      <c r="N1205">
        <v>2020</v>
      </c>
      <c r="O1205" t="s">
        <v>110</v>
      </c>
      <c r="P1205">
        <v>170</v>
      </c>
      <c r="Q1205" s="17">
        <v>44030.478507523148</v>
      </c>
      <c r="R1205" t="s">
        <v>126</v>
      </c>
    </row>
    <row r="1206" spans="1:18" x14ac:dyDescent="0.3">
      <c r="A1206">
        <v>9689704</v>
      </c>
      <c r="B1206" t="s">
        <v>72</v>
      </c>
      <c r="C1206">
        <v>1331668</v>
      </c>
      <c r="D1206" t="s">
        <v>108</v>
      </c>
      <c r="E1206" t="s">
        <v>12</v>
      </c>
      <c r="F1206" t="s">
        <v>12</v>
      </c>
      <c r="G1206" t="s">
        <v>135</v>
      </c>
      <c r="H1206" t="s">
        <v>252</v>
      </c>
      <c r="I1206" t="s">
        <v>84</v>
      </c>
      <c r="J1206" t="s">
        <v>85</v>
      </c>
      <c r="K1206" t="s">
        <v>83</v>
      </c>
      <c r="L1206" s="25">
        <v>44030</v>
      </c>
      <c r="M1206">
        <v>7</v>
      </c>
      <c r="N1206">
        <v>2020</v>
      </c>
      <c r="O1206" t="s">
        <v>110</v>
      </c>
      <c r="P1206">
        <v>170</v>
      </c>
      <c r="Q1206" s="17">
        <v>44030.49220173611</v>
      </c>
      <c r="R1206" t="s">
        <v>126</v>
      </c>
    </row>
    <row r="1207" spans="1:18" x14ac:dyDescent="0.3">
      <c r="A1207">
        <v>9686859</v>
      </c>
      <c r="B1207" t="s">
        <v>80</v>
      </c>
      <c r="C1207">
        <v>1329739</v>
      </c>
      <c r="D1207" t="s">
        <v>113</v>
      </c>
      <c r="E1207" t="s">
        <v>146</v>
      </c>
      <c r="F1207" t="s">
        <v>17</v>
      </c>
      <c r="G1207" t="s">
        <v>153</v>
      </c>
      <c r="H1207" t="s">
        <v>232</v>
      </c>
      <c r="I1207" t="s">
        <v>84</v>
      </c>
      <c r="J1207" t="s">
        <v>85</v>
      </c>
      <c r="K1207" t="s">
        <v>87</v>
      </c>
      <c r="L1207" s="25">
        <v>44030</v>
      </c>
      <c r="M1207">
        <v>7</v>
      </c>
      <c r="N1207">
        <v>2020</v>
      </c>
      <c r="O1207" t="s">
        <v>110</v>
      </c>
      <c r="P1207">
        <v>170</v>
      </c>
      <c r="Q1207" s="17">
        <v>44030.475303935185</v>
      </c>
      <c r="R1207" t="s">
        <v>126</v>
      </c>
    </row>
    <row r="1208" spans="1:18" x14ac:dyDescent="0.3">
      <c r="A1208">
        <v>9685833</v>
      </c>
      <c r="B1208" t="s">
        <v>78</v>
      </c>
      <c r="C1208">
        <v>1329221</v>
      </c>
      <c r="D1208" t="s">
        <v>78</v>
      </c>
      <c r="E1208">
        <v>820</v>
      </c>
      <c r="F1208">
        <v>820</v>
      </c>
      <c r="G1208" t="s">
        <v>136</v>
      </c>
      <c r="H1208" t="s">
        <v>249</v>
      </c>
      <c r="I1208" t="s">
        <v>78</v>
      </c>
      <c r="J1208" t="s">
        <v>42</v>
      </c>
      <c r="K1208" t="s">
        <v>83</v>
      </c>
      <c r="L1208" s="25">
        <v>44030</v>
      </c>
      <c r="M1208">
        <v>7</v>
      </c>
      <c r="N1208">
        <v>2020</v>
      </c>
      <c r="O1208" t="s">
        <v>110</v>
      </c>
      <c r="P1208">
        <v>170</v>
      </c>
      <c r="Q1208" s="17">
        <v>44030.454165162038</v>
      </c>
      <c r="R1208" t="s">
        <v>126</v>
      </c>
    </row>
    <row r="1209" spans="1:18" x14ac:dyDescent="0.3">
      <c r="A1209">
        <v>241294</v>
      </c>
      <c r="B1209" t="s">
        <v>72</v>
      </c>
      <c r="C1209">
        <v>1320579</v>
      </c>
      <c r="D1209" t="s">
        <v>108</v>
      </c>
      <c r="E1209" t="s">
        <v>26</v>
      </c>
      <c r="F1209" t="s">
        <v>26</v>
      </c>
      <c r="G1209" t="s">
        <v>137</v>
      </c>
      <c r="H1209" t="s">
        <v>229</v>
      </c>
      <c r="I1209" t="s">
        <v>84</v>
      </c>
      <c r="J1209" t="s">
        <v>85</v>
      </c>
      <c r="K1209" t="s">
        <v>83</v>
      </c>
      <c r="L1209" s="25">
        <v>44030</v>
      </c>
      <c r="M1209">
        <v>7</v>
      </c>
      <c r="N1209">
        <v>2020</v>
      </c>
      <c r="O1209" t="s">
        <v>110</v>
      </c>
      <c r="P1209">
        <v>170</v>
      </c>
      <c r="Q1209" s="17">
        <v>44030.4404931713</v>
      </c>
      <c r="R1209" t="s">
        <v>126</v>
      </c>
    </row>
    <row r="1210" spans="1:18" x14ac:dyDescent="0.3">
      <c r="A1210">
        <v>9680244</v>
      </c>
      <c r="B1210" t="s">
        <v>78</v>
      </c>
      <c r="C1210">
        <v>1321333</v>
      </c>
      <c r="D1210" t="s">
        <v>78</v>
      </c>
      <c r="E1210" t="s">
        <v>26</v>
      </c>
      <c r="F1210" t="s">
        <v>26</v>
      </c>
      <c r="G1210" t="s">
        <v>137</v>
      </c>
      <c r="H1210" t="s">
        <v>260</v>
      </c>
      <c r="I1210" t="s">
        <v>78</v>
      </c>
      <c r="J1210" t="s">
        <v>42</v>
      </c>
      <c r="K1210" t="s">
        <v>83</v>
      </c>
      <c r="L1210" s="25">
        <v>44030</v>
      </c>
      <c r="M1210">
        <v>7</v>
      </c>
      <c r="N1210">
        <v>2020</v>
      </c>
      <c r="O1210" t="s">
        <v>110</v>
      </c>
      <c r="P1210">
        <v>170</v>
      </c>
      <c r="Q1210" s="17">
        <v>44030.457538425922</v>
      </c>
      <c r="R1210" t="s">
        <v>126</v>
      </c>
    </row>
    <row r="1211" spans="1:18" x14ac:dyDescent="0.3">
      <c r="A1211">
        <v>9685915</v>
      </c>
      <c r="B1211" t="s">
        <v>72</v>
      </c>
      <c r="C1211">
        <v>1328735</v>
      </c>
      <c r="D1211" t="s">
        <v>108</v>
      </c>
      <c r="E1211">
        <v>820</v>
      </c>
      <c r="F1211">
        <v>820</v>
      </c>
      <c r="G1211" t="s">
        <v>136</v>
      </c>
      <c r="H1211" t="s">
        <v>270</v>
      </c>
      <c r="I1211" t="s">
        <v>82</v>
      </c>
      <c r="J1211" t="s">
        <v>42</v>
      </c>
      <c r="K1211" t="s">
        <v>83</v>
      </c>
      <c r="L1211" s="25">
        <v>44030</v>
      </c>
      <c r="M1211">
        <v>7</v>
      </c>
      <c r="N1211">
        <v>2020</v>
      </c>
      <c r="O1211" t="s">
        <v>110</v>
      </c>
      <c r="P1211">
        <v>170</v>
      </c>
      <c r="Q1211" s="17">
        <v>44030.432313078702</v>
      </c>
      <c r="R1211" t="s">
        <v>126</v>
      </c>
    </row>
    <row r="1212" spans="1:18" x14ac:dyDescent="0.3">
      <c r="A1212">
        <v>9685843</v>
      </c>
      <c r="B1212" t="s">
        <v>78</v>
      </c>
      <c r="C1212">
        <v>1329021</v>
      </c>
      <c r="D1212" t="s">
        <v>78</v>
      </c>
      <c r="E1212">
        <v>820</v>
      </c>
      <c r="F1212">
        <v>820</v>
      </c>
      <c r="G1212" t="s">
        <v>136</v>
      </c>
      <c r="H1212" t="s">
        <v>249</v>
      </c>
      <c r="I1212" t="s">
        <v>78</v>
      </c>
      <c r="J1212" t="s">
        <v>42</v>
      </c>
      <c r="K1212" t="s">
        <v>83</v>
      </c>
      <c r="L1212" s="25">
        <v>44030</v>
      </c>
      <c r="M1212">
        <v>7</v>
      </c>
      <c r="N1212">
        <v>2020</v>
      </c>
      <c r="O1212" t="s">
        <v>110</v>
      </c>
      <c r="P1212">
        <v>170</v>
      </c>
      <c r="Q1212" s="17">
        <v>44030.450590277775</v>
      </c>
      <c r="R1212" t="s">
        <v>126</v>
      </c>
    </row>
    <row r="1213" spans="1:18" x14ac:dyDescent="0.3">
      <c r="A1213">
        <v>9685829</v>
      </c>
      <c r="B1213" t="s">
        <v>72</v>
      </c>
      <c r="C1213">
        <v>1329539</v>
      </c>
      <c r="D1213" t="s">
        <v>108</v>
      </c>
      <c r="E1213">
        <v>820</v>
      </c>
      <c r="F1213">
        <v>820</v>
      </c>
      <c r="G1213" t="s">
        <v>136</v>
      </c>
      <c r="H1213" t="s">
        <v>270</v>
      </c>
      <c r="I1213" t="s">
        <v>82</v>
      </c>
      <c r="J1213" t="s">
        <v>42</v>
      </c>
      <c r="K1213" t="s">
        <v>83</v>
      </c>
      <c r="L1213" s="25">
        <v>44030</v>
      </c>
      <c r="M1213">
        <v>7</v>
      </c>
      <c r="N1213">
        <v>2020</v>
      </c>
      <c r="O1213" t="s">
        <v>110</v>
      </c>
      <c r="P1213">
        <v>170</v>
      </c>
      <c r="Q1213" s="17">
        <v>44030.475685648147</v>
      </c>
      <c r="R1213" t="s">
        <v>126</v>
      </c>
    </row>
    <row r="1214" spans="1:18" x14ac:dyDescent="0.3">
      <c r="A1214">
        <v>245000</v>
      </c>
      <c r="B1214" t="s">
        <v>72</v>
      </c>
      <c r="C1214">
        <v>1330132</v>
      </c>
      <c r="D1214" t="s">
        <v>108</v>
      </c>
      <c r="E1214" t="s">
        <v>176</v>
      </c>
      <c r="F1214" t="s">
        <v>17</v>
      </c>
      <c r="G1214" t="s">
        <v>177</v>
      </c>
      <c r="H1214" t="s">
        <v>263</v>
      </c>
      <c r="I1214" t="s">
        <v>82</v>
      </c>
      <c r="J1214" t="s">
        <v>42</v>
      </c>
      <c r="K1214" t="s">
        <v>87</v>
      </c>
      <c r="L1214" s="25">
        <v>44030</v>
      </c>
      <c r="M1214">
        <v>7</v>
      </c>
      <c r="N1214">
        <v>2020</v>
      </c>
      <c r="O1214" t="s">
        <v>110</v>
      </c>
      <c r="P1214">
        <v>170</v>
      </c>
      <c r="Q1214" s="17">
        <v>44030.488513657408</v>
      </c>
      <c r="R1214" t="s">
        <v>126</v>
      </c>
    </row>
    <row r="1215" spans="1:18" x14ac:dyDescent="0.3">
      <c r="A1215">
        <v>9685989</v>
      </c>
      <c r="B1215" t="s">
        <v>78</v>
      </c>
      <c r="C1215">
        <v>1329353</v>
      </c>
      <c r="D1215" t="s">
        <v>78</v>
      </c>
      <c r="E1215">
        <v>820</v>
      </c>
      <c r="F1215">
        <v>820</v>
      </c>
      <c r="G1215" t="s">
        <v>136</v>
      </c>
      <c r="H1215" t="s">
        <v>250</v>
      </c>
      <c r="I1215" t="s">
        <v>78</v>
      </c>
      <c r="J1215" t="s">
        <v>42</v>
      </c>
      <c r="K1215" t="s">
        <v>83</v>
      </c>
      <c r="L1215" s="25">
        <v>44030</v>
      </c>
      <c r="M1215">
        <v>7</v>
      </c>
      <c r="N1215">
        <v>2020</v>
      </c>
      <c r="O1215" t="s">
        <v>110</v>
      </c>
      <c r="P1215">
        <v>170</v>
      </c>
      <c r="Q1215" s="17">
        <v>44030.461622569448</v>
      </c>
      <c r="R1215" t="s">
        <v>126</v>
      </c>
    </row>
    <row r="1216" spans="1:18" x14ac:dyDescent="0.3">
      <c r="A1216">
        <v>241937</v>
      </c>
      <c r="B1216" t="s">
        <v>72</v>
      </c>
      <c r="C1216">
        <v>1322469</v>
      </c>
      <c r="D1216" t="s">
        <v>108</v>
      </c>
      <c r="E1216">
        <v>966</v>
      </c>
      <c r="F1216">
        <v>966</v>
      </c>
      <c r="G1216" t="s">
        <v>139</v>
      </c>
      <c r="H1216" t="s">
        <v>229</v>
      </c>
      <c r="I1216" t="s">
        <v>84</v>
      </c>
      <c r="J1216" t="s">
        <v>85</v>
      </c>
      <c r="K1216" t="s">
        <v>87</v>
      </c>
      <c r="L1216" s="25">
        <v>44030</v>
      </c>
      <c r="M1216">
        <v>7</v>
      </c>
      <c r="N1216">
        <v>2020</v>
      </c>
      <c r="O1216" t="s">
        <v>110</v>
      </c>
      <c r="P1216">
        <v>170</v>
      </c>
      <c r="Q1216" s="17">
        <v>44030.453503240744</v>
      </c>
      <c r="R1216" t="s">
        <v>126</v>
      </c>
    </row>
    <row r="1217" spans="1:18" x14ac:dyDescent="0.3">
      <c r="A1217">
        <v>9686273</v>
      </c>
      <c r="B1217" t="s">
        <v>80</v>
      </c>
      <c r="C1217">
        <v>1329680</v>
      </c>
      <c r="D1217" t="s">
        <v>113</v>
      </c>
      <c r="E1217" t="s">
        <v>146</v>
      </c>
      <c r="F1217" t="s">
        <v>17</v>
      </c>
      <c r="G1217" t="s">
        <v>153</v>
      </c>
      <c r="H1217" t="s">
        <v>232</v>
      </c>
      <c r="I1217" t="s">
        <v>84</v>
      </c>
      <c r="J1217" t="s">
        <v>85</v>
      </c>
      <c r="K1217" t="s">
        <v>87</v>
      </c>
      <c r="L1217" s="25">
        <v>44030</v>
      </c>
      <c r="M1217">
        <v>7</v>
      </c>
      <c r="N1217">
        <v>2020</v>
      </c>
      <c r="O1217" t="s">
        <v>110</v>
      </c>
      <c r="P1217">
        <v>170</v>
      </c>
      <c r="Q1217" s="17">
        <v>44030.449586458337</v>
      </c>
      <c r="R1217" t="s">
        <v>126</v>
      </c>
    </row>
    <row r="1218" spans="1:18" x14ac:dyDescent="0.3">
      <c r="A1218">
        <v>9684350</v>
      </c>
      <c r="B1218" t="s">
        <v>72</v>
      </c>
      <c r="C1218">
        <v>1331595</v>
      </c>
      <c r="D1218" t="s">
        <v>108</v>
      </c>
      <c r="E1218" t="s">
        <v>12</v>
      </c>
      <c r="F1218" t="s">
        <v>12</v>
      </c>
      <c r="G1218" t="s">
        <v>135</v>
      </c>
      <c r="H1218" t="s">
        <v>261</v>
      </c>
      <c r="I1218" t="s">
        <v>84</v>
      </c>
      <c r="J1218" t="s">
        <v>85</v>
      </c>
      <c r="K1218" t="s">
        <v>83</v>
      </c>
      <c r="L1218" s="25">
        <v>44030</v>
      </c>
      <c r="M1218">
        <v>7</v>
      </c>
      <c r="N1218">
        <v>2020</v>
      </c>
      <c r="O1218" t="s">
        <v>110</v>
      </c>
      <c r="P1218">
        <v>170</v>
      </c>
      <c r="Q1218" s="17">
        <v>44030.491552777778</v>
      </c>
      <c r="R1218" t="s">
        <v>126</v>
      </c>
    </row>
    <row r="1219" spans="1:18" x14ac:dyDescent="0.3">
      <c r="A1219">
        <v>9685764</v>
      </c>
      <c r="B1219" t="s">
        <v>78</v>
      </c>
      <c r="C1219">
        <v>1329480</v>
      </c>
      <c r="D1219" t="s">
        <v>78</v>
      </c>
      <c r="E1219">
        <v>820</v>
      </c>
      <c r="F1219">
        <v>820</v>
      </c>
      <c r="G1219" t="s">
        <v>136</v>
      </c>
      <c r="H1219" t="s">
        <v>250</v>
      </c>
      <c r="I1219" t="s">
        <v>78</v>
      </c>
      <c r="J1219" t="s">
        <v>42</v>
      </c>
      <c r="K1219" t="s">
        <v>83</v>
      </c>
      <c r="L1219" s="25">
        <v>44030</v>
      </c>
      <c r="M1219">
        <v>7</v>
      </c>
      <c r="N1219">
        <v>2020</v>
      </c>
      <c r="O1219" t="s">
        <v>110</v>
      </c>
      <c r="P1219">
        <v>170</v>
      </c>
      <c r="Q1219" s="17">
        <v>44030.469717245367</v>
      </c>
      <c r="R1219" t="s">
        <v>126</v>
      </c>
    </row>
    <row r="1220" spans="1:18" x14ac:dyDescent="0.3">
      <c r="A1220">
        <v>9686691</v>
      </c>
      <c r="B1220" t="s">
        <v>80</v>
      </c>
      <c r="C1220">
        <v>1329723</v>
      </c>
      <c r="D1220" t="s">
        <v>113</v>
      </c>
      <c r="E1220" t="s">
        <v>146</v>
      </c>
      <c r="F1220" t="s">
        <v>17</v>
      </c>
      <c r="G1220" t="s">
        <v>153</v>
      </c>
      <c r="H1220" t="s">
        <v>232</v>
      </c>
      <c r="I1220" t="s">
        <v>84</v>
      </c>
      <c r="J1220" t="s">
        <v>85</v>
      </c>
      <c r="K1220" t="s">
        <v>87</v>
      </c>
      <c r="L1220" s="25">
        <v>44030</v>
      </c>
      <c r="M1220">
        <v>7</v>
      </c>
      <c r="N1220">
        <v>2020</v>
      </c>
      <c r="O1220" t="s">
        <v>110</v>
      </c>
      <c r="P1220">
        <v>170</v>
      </c>
      <c r="Q1220" s="17">
        <v>44030.463475462966</v>
      </c>
      <c r="R1220" t="s">
        <v>126</v>
      </c>
    </row>
    <row r="1221" spans="1:18" x14ac:dyDescent="0.3">
      <c r="A1221">
        <v>9685906</v>
      </c>
      <c r="B1221" t="s">
        <v>78</v>
      </c>
      <c r="C1221">
        <v>1329380</v>
      </c>
      <c r="D1221" t="s">
        <v>78</v>
      </c>
      <c r="E1221">
        <v>820</v>
      </c>
      <c r="F1221">
        <v>820</v>
      </c>
      <c r="G1221" t="s">
        <v>136</v>
      </c>
      <c r="H1221" t="s">
        <v>250</v>
      </c>
      <c r="I1221" t="s">
        <v>78</v>
      </c>
      <c r="J1221" t="s">
        <v>42</v>
      </c>
      <c r="K1221" t="s">
        <v>83</v>
      </c>
      <c r="L1221" s="25">
        <v>44030</v>
      </c>
      <c r="M1221">
        <v>7</v>
      </c>
      <c r="N1221">
        <v>2020</v>
      </c>
      <c r="O1221" t="s">
        <v>110</v>
      </c>
      <c r="P1221">
        <v>170</v>
      </c>
      <c r="Q1221" s="17">
        <v>44030.464593865741</v>
      </c>
      <c r="R1221" t="s">
        <v>126</v>
      </c>
    </row>
    <row r="1222" spans="1:18" x14ac:dyDescent="0.3">
      <c r="A1222">
        <v>21531600</v>
      </c>
      <c r="B1222" t="s">
        <v>72</v>
      </c>
      <c r="C1222">
        <v>1333145</v>
      </c>
      <c r="D1222" t="s">
        <v>108</v>
      </c>
      <c r="E1222" t="s">
        <v>26</v>
      </c>
      <c r="F1222" t="s">
        <v>26</v>
      </c>
      <c r="G1222" t="s">
        <v>137</v>
      </c>
      <c r="H1222" t="s">
        <v>229</v>
      </c>
      <c r="I1222" t="s">
        <v>84</v>
      </c>
      <c r="J1222" t="s">
        <v>85</v>
      </c>
      <c r="K1222" t="s">
        <v>83</v>
      </c>
      <c r="L1222" s="25">
        <v>44030</v>
      </c>
      <c r="M1222">
        <v>7</v>
      </c>
      <c r="N1222">
        <v>2020</v>
      </c>
      <c r="O1222" t="s">
        <v>110</v>
      </c>
      <c r="P1222">
        <v>170</v>
      </c>
      <c r="Q1222" s="17">
        <v>44031.073741319444</v>
      </c>
      <c r="R1222" t="s">
        <v>126</v>
      </c>
    </row>
    <row r="1223" spans="1:18" x14ac:dyDescent="0.3">
      <c r="A1223">
        <v>9686905</v>
      </c>
      <c r="B1223" t="s">
        <v>80</v>
      </c>
      <c r="C1223">
        <v>1329802</v>
      </c>
      <c r="D1223" t="s">
        <v>113</v>
      </c>
      <c r="E1223" t="s">
        <v>146</v>
      </c>
      <c r="F1223" t="s">
        <v>17</v>
      </c>
      <c r="G1223" t="s">
        <v>153</v>
      </c>
      <c r="H1223" t="s">
        <v>232</v>
      </c>
      <c r="I1223" t="s">
        <v>84</v>
      </c>
      <c r="J1223" t="s">
        <v>85</v>
      </c>
      <c r="K1223" t="s">
        <v>87</v>
      </c>
      <c r="L1223" s="25">
        <v>44030</v>
      </c>
      <c r="M1223">
        <v>7</v>
      </c>
      <c r="N1223">
        <v>2020</v>
      </c>
      <c r="O1223" t="s">
        <v>110</v>
      </c>
      <c r="P1223">
        <v>170</v>
      </c>
      <c r="Q1223" s="17">
        <v>44030.475747800927</v>
      </c>
      <c r="R1223" t="s">
        <v>126</v>
      </c>
    </row>
    <row r="1224" spans="1:18" x14ac:dyDescent="0.3">
      <c r="A1224">
        <v>9687015</v>
      </c>
      <c r="B1224" t="s">
        <v>80</v>
      </c>
      <c r="C1224">
        <v>1330251</v>
      </c>
      <c r="D1224" t="s">
        <v>113</v>
      </c>
      <c r="E1224" t="s">
        <v>146</v>
      </c>
      <c r="F1224" t="s">
        <v>17</v>
      </c>
      <c r="G1224" t="s">
        <v>153</v>
      </c>
      <c r="H1224" t="s">
        <v>232</v>
      </c>
      <c r="I1224" t="s">
        <v>84</v>
      </c>
      <c r="J1224" t="s">
        <v>85</v>
      </c>
      <c r="K1224" t="s">
        <v>87</v>
      </c>
      <c r="L1224" s="25">
        <v>44030</v>
      </c>
      <c r="M1224">
        <v>7</v>
      </c>
      <c r="N1224">
        <v>2020</v>
      </c>
      <c r="O1224" t="s">
        <v>110</v>
      </c>
      <c r="P1224">
        <v>170</v>
      </c>
      <c r="Q1224" s="17">
        <v>44030.497265509257</v>
      </c>
      <c r="R1224" t="s">
        <v>126</v>
      </c>
    </row>
    <row r="1225" spans="1:18" x14ac:dyDescent="0.3">
      <c r="A1225">
        <v>9685931</v>
      </c>
      <c r="B1225" t="s">
        <v>78</v>
      </c>
      <c r="C1225">
        <v>1329301</v>
      </c>
      <c r="D1225" t="s">
        <v>78</v>
      </c>
      <c r="E1225">
        <v>820</v>
      </c>
      <c r="F1225">
        <v>820</v>
      </c>
      <c r="G1225" t="s">
        <v>136</v>
      </c>
      <c r="H1225" t="s">
        <v>250</v>
      </c>
      <c r="I1225" t="s">
        <v>78</v>
      </c>
      <c r="J1225" t="s">
        <v>42</v>
      </c>
      <c r="K1225" t="s">
        <v>83</v>
      </c>
      <c r="L1225" s="25">
        <v>44030</v>
      </c>
      <c r="M1225">
        <v>7</v>
      </c>
      <c r="N1225">
        <v>2020</v>
      </c>
      <c r="O1225" t="s">
        <v>110</v>
      </c>
      <c r="P1225">
        <v>170</v>
      </c>
      <c r="Q1225" s="17">
        <v>44030.458348842592</v>
      </c>
      <c r="R1225" t="s">
        <v>126</v>
      </c>
    </row>
    <row r="1226" spans="1:18" x14ac:dyDescent="0.3">
      <c r="A1226">
        <v>9677503</v>
      </c>
      <c r="B1226" t="s">
        <v>72</v>
      </c>
      <c r="C1226">
        <v>1318919</v>
      </c>
      <c r="D1226" t="s">
        <v>108</v>
      </c>
      <c r="E1226">
        <v>966</v>
      </c>
      <c r="F1226">
        <v>966</v>
      </c>
      <c r="G1226" t="s">
        <v>139</v>
      </c>
      <c r="H1226" t="s">
        <v>229</v>
      </c>
      <c r="I1226" t="s">
        <v>84</v>
      </c>
      <c r="J1226" t="s">
        <v>85</v>
      </c>
      <c r="K1226" t="s">
        <v>87</v>
      </c>
      <c r="L1226" s="25">
        <v>44030</v>
      </c>
      <c r="M1226">
        <v>7</v>
      </c>
      <c r="N1226">
        <v>2020</v>
      </c>
      <c r="O1226" t="s">
        <v>110</v>
      </c>
      <c r="P1226">
        <v>170</v>
      </c>
      <c r="Q1226" s="17">
        <v>44030.435648611114</v>
      </c>
      <c r="R1226" t="s">
        <v>126</v>
      </c>
    </row>
    <row r="1227" spans="1:18" x14ac:dyDescent="0.3">
      <c r="A1227">
        <v>9687692</v>
      </c>
      <c r="B1227" t="s">
        <v>78</v>
      </c>
      <c r="C1227">
        <v>1330652</v>
      </c>
      <c r="D1227" t="s">
        <v>78</v>
      </c>
      <c r="E1227">
        <v>820</v>
      </c>
      <c r="F1227">
        <v>820</v>
      </c>
      <c r="G1227" t="s">
        <v>136</v>
      </c>
      <c r="H1227" t="s">
        <v>228</v>
      </c>
      <c r="I1227" t="s">
        <v>78</v>
      </c>
      <c r="J1227" t="s">
        <v>42</v>
      </c>
      <c r="K1227" t="s">
        <v>83</v>
      </c>
      <c r="L1227" s="25">
        <v>44030</v>
      </c>
      <c r="M1227">
        <v>7</v>
      </c>
      <c r="N1227">
        <v>2020</v>
      </c>
      <c r="O1227" t="s">
        <v>110</v>
      </c>
      <c r="P1227">
        <v>170</v>
      </c>
      <c r="Q1227" s="17">
        <v>44031.073322453703</v>
      </c>
      <c r="R1227" t="s">
        <v>126</v>
      </c>
    </row>
    <row r="1228" spans="1:18" x14ac:dyDescent="0.3">
      <c r="A1228">
        <v>9686155</v>
      </c>
      <c r="B1228" t="s">
        <v>80</v>
      </c>
      <c r="C1228">
        <v>1329616</v>
      </c>
      <c r="D1228" t="s">
        <v>113</v>
      </c>
      <c r="E1228" t="s">
        <v>146</v>
      </c>
      <c r="F1228" t="s">
        <v>17</v>
      </c>
      <c r="G1228" t="s">
        <v>153</v>
      </c>
      <c r="H1228" t="s">
        <v>232</v>
      </c>
      <c r="I1228" t="s">
        <v>84</v>
      </c>
      <c r="J1228" t="s">
        <v>85</v>
      </c>
      <c r="K1228" t="s">
        <v>87</v>
      </c>
      <c r="L1228" s="25">
        <v>44030</v>
      </c>
      <c r="M1228">
        <v>7</v>
      </c>
      <c r="N1228">
        <v>2020</v>
      </c>
      <c r="O1228" t="s">
        <v>110</v>
      </c>
      <c r="P1228">
        <v>170</v>
      </c>
      <c r="Q1228" s="17">
        <v>44030.43574212963</v>
      </c>
      <c r="R1228" t="s">
        <v>126</v>
      </c>
    </row>
    <row r="1229" spans="1:18" x14ac:dyDescent="0.3">
      <c r="A1229">
        <v>9685655</v>
      </c>
      <c r="B1229" t="s">
        <v>78</v>
      </c>
      <c r="C1229">
        <v>1329516</v>
      </c>
      <c r="D1229" t="s">
        <v>78</v>
      </c>
      <c r="E1229">
        <v>820</v>
      </c>
      <c r="F1229">
        <v>820</v>
      </c>
      <c r="G1229" t="s">
        <v>136</v>
      </c>
      <c r="H1229" t="s">
        <v>250</v>
      </c>
      <c r="I1229" t="s">
        <v>78</v>
      </c>
      <c r="J1229" t="s">
        <v>42</v>
      </c>
      <c r="K1229" t="s">
        <v>83</v>
      </c>
      <c r="L1229" s="25">
        <v>44030</v>
      </c>
      <c r="M1229">
        <v>7</v>
      </c>
      <c r="N1229">
        <v>2020</v>
      </c>
      <c r="O1229" t="s">
        <v>110</v>
      </c>
      <c r="P1229">
        <v>170</v>
      </c>
      <c r="Q1229" s="17">
        <v>44030.472203819445</v>
      </c>
      <c r="R1229" t="s">
        <v>126</v>
      </c>
    </row>
    <row r="1230" spans="1:18" x14ac:dyDescent="0.3">
      <c r="A1230">
        <v>9686536</v>
      </c>
      <c r="B1230" t="s">
        <v>78</v>
      </c>
      <c r="C1230">
        <v>1330151</v>
      </c>
      <c r="D1230" t="s">
        <v>78</v>
      </c>
      <c r="E1230" t="s">
        <v>146</v>
      </c>
      <c r="F1230" t="s">
        <v>17</v>
      </c>
      <c r="G1230" t="s">
        <v>147</v>
      </c>
      <c r="H1230" t="s">
        <v>134</v>
      </c>
      <c r="I1230" t="s">
        <v>78</v>
      </c>
      <c r="J1230" t="s">
        <v>42</v>
      </c>
      <c r="K1230" t="s">
        <v>87</v>
      </c>
      <c r="L1230" s="25">
        <v>44030</v>
      </c>
      <c r="M1230">
        <v>7</v>
      </c>
      <c r="N1230">
        <v>2020</v>
      </c>
      <c r="O1230" t="s">
        <v>110</v>
      </c>
      <c r="P1230">
        <v>170</v>
      </c>
      <c r="Q1230" s="17">
        <v>44030.488413194442</v>
      </c>
      <c r="R1230" t="s">
        <v>126</v>
      </c>
    </row>
    <row r="1231" spans="1:18" x14ac:dyDescent="0.3">
      <c r="A1231">
        <v>244361</v>
      </c>
      <c r="B1231" t="s">
        <v>78</v>
      </c>
      <c r="C1231">
        <v>1329215</v>
      </c>
      <c r="D1231" t="s">
        <v>78</v>
      </c>
      <c r="E1231" t="s">
        <v>12</v>
      </c>
      <c r="F1231" t="s">
        <v>12</v>
      </c>
      <c r="G1231" t="s">
        <v>135</v>
      </c>
      <c r="H1231" t="s">
        <v>251</v>
      </c>
      <c r="I1231" t="s">
        <v>78</v>
      </c>
      <c r="J1231" t="s">
        <v>42</v>
      </c>
      <c r="K1231" t="s">
        <v>83</v>
      </c>
      <c r="L1231" s="25">
        <v>44030</v>
      </c>
      <c r="M1231">
        <v>7</v>
      </c>
      <c r="N1231">
        <v>2020</v>
      </c>
      <c r="O1231" t="s">
        <v>110</v>
      </c>
      <c r="P1231">
        <v>170</v>
      </c>
      <c r="Q1231" s="17">
        <v>44030.435022916667</v>
      </c>
      <c r="R1231" t="s">
        <v>126</v>
      </c>
    </row>
    <row r="1232" spans="1:18" x14ac:dyDescent="0.3">
      <c r="A1232">
        <v>9685904</v>
      </c>
      <c r="B1232" t="s">
        <v>78</v>
      </c>
      <c r="C1232">
        <v>1329401</v>
      </c>
      <c r="D1232" t="s">
        <v>78</v>
      </c>
      <c r="E1232">
        <v>820</v>
      </c>
      <c r="F1232">
        <v>820</v>
      </c>
      <c r="G1232" t="s">
        <v>136</v>
      </c>
      <c r="H1232" t="s">
        <v>249</v>
      </c>
      <c r="I1232" t="s">
        <v>78</v>
      </c>
      <c r="J1232" t="s">
        <v>42</v>
      </c>
      <c r="K1232" t="s">
        <v>83</v>
      </c>
      <c r="L1232" s="25">
        <v>44030</v>
      </c>
      <c r="M1232">
        <v>7</v>
      </c>
      <c r="N1232">
        <v>2020</v>
      </c>
      <c r="O1232" t="s">
        <v>110</v>
      </c>
      <c r="P1232">
        <v>170</v>
      </c>
      <c r="Q1232" s="17">
        <v>44030.469595601855</v>
      </c>
      <c r="R1232" t="s">
        <v>126</v>
      </c>
    </row>
    <row r="1233" spans="1:18" x14ac:dyDescent="0.3">
      <c r="A1233">
        <v>9685674</v>
      </c>
      <c r="B1233" t="s">
        <v>78</v>
      </c>
      <c r="C1233">
        <v>1329015</v>
      </c>
      <c r="D1233" t="s">
        <v>78</v>
      </c>
      <c r="E1233">
        <v>820</v>
      </c>
      <c r="F1233">
        <v>820</v>
      </c>
      <c r="G1233" t="s">
        <v>136</v>
      </c>
      <c r="H1233" t="s">
        <v>250</v>
      </c>
      <c r="I1233" t="s">
        <v>78</v>
      </c>
      <c r="J1233" t="s">
        <v>42</v>
      </c>
      <c r="K1233" t="s">
        <v>83</v>
      </c>
      <c r="L1233" s="25">
        <v>44030</v>
      </c>
      <c r="M1233">
        <v>7</v>
      </c>
      <c r="N1233">
        <v>2020</v>
      </c>
      <c r="O1233" t="s">
        <v>110</v>
      </c>
      <c r="P1233">
        <v>170</v>
      </c>
      <c r="Q1233" s="17">
        <v>44030.446142592591</v>
      </c>
      <c r="R1233" t="s">
        <v>126</v>
      </c>
    </row>
    <row r="1234" spans="1:18" x14ac:dyDescent="0.3">
      <c r="A1234">
        <v>9686378</v>
      </c>
      <c r="B1234" t="s">
        <v>80</v>
      </c>
      <c r="C1234">
        <v>1330337</v>
      </c>
      <c r="D1234" t="s">
        <v>113</v>
      </c>
      <c r="E1234" t="s">
        <v>12</v>
      </c>
      <c r="F1234" t="s">
        <v>12</v>
      </c>
      <c r="G1234" t="s">
        <v>135</v>
      </c>
      <c r="H1234" t="s">
        <v>232</v>
      </c>
      <c r="I1234" t="s">
        <v>84</v>
      </c>
      <c r="J1234" t="s">
        <v>85</v>
      </c>
      <c r="K1234" t="s">
        <v>83</v>
      </c>
      <c r="L1234" s="25">
        <v>44030</v>
      </c>
      <c r="M1234">
        <v>7</v>
      </c>
      <c r="N1234">
        <v>2020</v>
      </c>
      <c r="O1234" t="s">
        <v>110</v>
      </c>
      <c r="P1234">
        <v>170</v>
      </c>
      <c r="Q1234" s="17">
        <v>44030.489320138891</v>
      </c>
      <c r="R1234" t="s">
        <v>126</v>
      </c>
    </row>
    <row r="1235" spans="1:18" x14ac:dyDescent="0.3">
      <c r="A1235">
        <v>9686534</v>
      </c>
      <c r="B1235" t="s">
        <v>78</v>
      </c>
      <c r="C1235">
        <v>1329702</v>
      </c>
      <c r="D1235" t="s">
        <v>78</v>
      </c>
      <c r="E1235" t="s">
        <v>150</v>
      </c>
      <c r="F1235" t="s">
        <v>17</v>
      </c>
      <c r="G1235" t="s">
        <v>151</v>
      </c>
      <c r="H1235" t="s">
        <v>134</v>
      </c>
      <c r="I1235" t="s">
        <v>78</v>
      </c>
      <c r="J1235" t="s">
        <v>42</v>
      </c>
      <c r="K1235" t="s">
        <v>87</v>
      </c>
      <c r="L1235" s="25">
        <v>44030</v>
      </c>
      <c r="M1235">
        <v>7</v>
      </c>
      <c r="N1235">
        <v>2020</v>
      </c>
      <c r="O1235" t="s">
        <v>110</v>
      </c>
      <c r="P1235">
        <v>170</v>
      </c>
      <c r="Q1235" s="17">
        <v>44030.452463310183</v>
      </c>
      <c r="R1235" t="s">
        <v>126</v>
      </c>
    </row>
    <row r="1236" spans="1:18" x14ac:dyDescent="0.3">
      <c r="A1236">
        <v>9678675</v>
      </c>
      <c r="B1236" t="s">
        <v>72</v>
      </c>
      <c r="C1236">
        <v>1331923</v>
      </c>
      <c r="D1236" t="s">
        <v>108</v>
      </c>
      <c r="E1236" t="s">
        <v>26</v>
      </c>
      <c r="F1236" t="s">
        <v>26</v>
      </c>
      <c r="G1236" t="s">
        <v>137</v>
      </c>
      <c r="H1236" t="s">
        <v>229</v>
      </c>
      <c r="I1236" t="s">
        <v>84</v>
      </c>
      <c r="J1236" t="s">
        <v>85</v>
      </c>
      <c r="K1236" t="s">
        <v>83</v>
      </c>
      <c r="L1236" s="25">
        <v>44030</v>
      </c>
      <c r="M1236">
        <v>7</v>
      </c>
      <c r="N1236">
        <v>2020</v>
      </c>
      <c r="O1236" t="s">
        <v>110</v>
      </c>
      <c r="P1236">
        <v>170</v>
      </c>
      <c r="Q1236" s="17">
        <v>44030.382505324073</v>
      </c>
      <c r="R1236" t="s">
        <v>126</v>
      </c>
    </row>
    <row r="1237" spans="1:18" x14ac:dyDescent="0.3">
      <c r="A1237">
        <v>9678517</v>
      </c>
      <c r="B1237" t="s">
        <v>78</v>
      </c>
      <c r="C1237">
        <v>1321678</v>
      </c>
      <c r="D1237" t="s">
        <v>78</v>
      </c>
      <c r="E1237" t="s">
        <v>26</v>
      </c>
      <c r="F1237" t="s">
        <v>26</v>
      </c>
      <c r="G1237" t="s">
        <v>137</v>
      </c>
      <c r="H1237" t="s">
        <v>260</v>
      </c>
      <c r="I1237" t="s">
        <v>78</v>
      </c>
      <c r="J1237" t="s">
        <v>42</v>
      </c>
      <c r="K1237" t="s">
        <v>83</v>
      </c>
      <c r="L1237" s="25">
        <v>44030</v>
      </c>
      <c r="M1237">
        <v>7</v>
      </c>
      <c r="N1237">
        <v>2020</v>
      </c>
      <c r="O1237" t="s">
        <v>110</v>
      </c>
      <c r="P1237">
        <v>170</v>
      </c>
      <c r="Q1237" s="17">
        <v>44030.466414467592</v>
      </c>
      <c r="R1237" t="s">
        <v>126</v>
      </c>
    </row>
    <row r="1238" spans="1:18" x14ac:dyDescent="0.3">
      <c r="A1238">
        <v>9686473</v>
      </c>
      <c r="B1238" t="s">
        <v>78</v>
      </c>
      <c r="C1238">
        <v>1330051</v>
      </c>
      <c r="D1238" t="s">
        <v>78</v>
      </c>
      <c r="E1238">
        <v>820</v>
      </c>
      <c r="F1238">
        <v>820</v>
      </c>
      <c r="G1238" t="s">
        <v>136</v>
      </c>
      <c r="H1238" t="s">
        <v>250</v>
      </c>
      <c r="I1238" t="s">
        <v>78</v>
      </c>
      <c r="J1238" t="s">
        <v>42</v>
      </c>
      <c r="K1238" t="s">
        <v>83</v>
      </c>
      <c r="L1238" s="25">
        <v>44030</v>
      </c>
      <c r="M1238">
        <v>7</v>
      </c>
      <c r="N1238">
        <v>2020</v>
      </c>
      <c r="O1238" t="s">
        <v>110</v>
      </c>
      <c r="P1238">
        <v>170</v>
      </c>
      <c r="Q1238" s="17">
        <v>44030.48789340278</v>
      </c>
      <c r="R1238" t="s">
        <v>126</v>
      </c>
    </row>
    <row r="1239" spans="1:18" x14ac:dyDescent="0.3">
      <c r="A1239">
        <v>9680540</v>
      </c>
      <c r="B1239" t="s">
        <v>78</v>
      </c>
      <c r="C1239">
        <v>1322619</v>
      </c>
      <c r="D1239" t="s">
        <v>78</v>
      </c>
      <c r="E1239" t="s">
        <v>26</v>
      </c>
      <c r="F1239" t="s">
        <v>26</v>
      </c>
      <c r="G1239" t="s">
        <v>137</v>
      </c>
      <c r="H1239" t="s">
        <v>245</v>
      </c>
      <c r="I1239" t="s">
        <v>78</v>
      </c>
      <c r="J1239" t="s">
        <v>42</v>
      </c>
      <c r="K1239" t="s">
        <v>83</v>
      </c>
      <c r="L1239" s="25">
        <v>44030</v>
      </c>
      <c r="M1239">
        <v>7</v>
      </c>
      <c r="N1239">
        <v>2020</v>
      </c>
      <c r="O1239" t="s">
        <v>110</v>
      </c>
      <c r="P1239">
        <v>170</v>
      </c>
      <c r="Q1239" s="17">
        <v>44031.031575347224</v>
      </c>
      <c r="R1239" t="s">
        <v>126</v>
      </c>
    </row>
    <row r="1240" spans="1:18" x14ac:dyDescent="0.3">
      <c r="A1240">
        <v>9685911</v>
      </c>
      <c r="B1240" t="s">
        <v>78</v>
      </c>
      <c r="C1240">
        <v>1328960</v>
      </c>
      <c r="D1240" t="s">
        <v>78</v>
      </c>
      <c r="E1240">
        <v>820</v>
      </c>
      <c r="F1240">
        <v>820</v>
      </c>
      <c r="G1240" t="s">
        <v>136</v>
      </c>
      <c r="H1240" t="s">
        <v>250</v>
      </c>
      <c r="I1240" t="s">
        <v>78</v>
      </c>
      <c r="J1240" t="s">
        <v>42</v>
      </c>
      <c r="K1240" t="s">
        <v>83</v>
      </c>
      <c r="L1240" s="25">
        <v>44030</v>
      </c>
      <c r="M1240">
        <v>7</v>
      </c>
      <c r="N1240">
        <v>2020</v>
      </c>
      <c r="O1240" t="s">
        <v>110</v>
      </c>
      <c r="P1240">
        <v>170</v>
      </c>
      <c r="Q1240" s="17">
        <v>44030.444902430558</v>
      </c>
      <c r="R1240" t="s">
        <v>126</v>
      </c>
    </row>
    <row r="1241" spans="1:18" x14ac:dyDescent="0.3">
      <c r="A1241">
        <v>9685774</v>
      </c>
      <c r="B1241" t="s">
        <v>78</v>
      </c>
      <c r="C1241">
        <v>1329146</v>
      </c>
      <c r="D1241" t="s">
        <v>78</v>
      </c>
      <c r="E1241">
        <v>820</v>
      </c>
      <c r="F1241">
        <v>820</v>
      </c>
      <c r="G1241" t="s">
        <v>136</v>
      </c>
      <c r="H1241" t="s">
        <v>250</v>
      </c>
      <c r="I1241" t="s">
        <v>78</v>
      </c>
      <c r="J1241" t="s">
        <v>42</v>
      </c>
      <c r="K1241" t="s">
        <v>83</v>
      </c>
      <c r="L1241" s="25">
        <v>44030</v>
      </c>
      <c r="M1241">
        <v>7</v>
      </c>
      <c r="N1241">
        <v>2020</v>
      </c>
      <c r="O1241" t="s">
        <v>110</v>
      </c>
      <c r="P1241">
        <v>170</v>
      </c>
      <c r="Q1241" s="17">
        <v>44030.44943252315</v>
      </c>
      <c r="R1241" t="s">
        <v>126</v>
      </c>
    </row>
    <row r="1242" spans="1:18" x14ac:dyDescent="0.3">
      <c r="A1242">
        <v>242090</v>
      </c>
      <c r="B1242" t="s">
        <v>72</v>
      </c>
      <c r="C1242">
        <v>1322015</v>
      </c>
      <c r="D1242" t="s">
        <v>108</v>
      </c>
      <c r="E1242" t="s">
        <v>26</v>
      </c>
      <c r="F1242" t="s">
        <v>26</v>
      </c>
      <c r="G1242" t="s">
        <v>137</v>
      </c>
      <c r="H1242" t="s">
        <v>276</v>
      </c>
      <c r="I1242" t="s">
        <v>84</v>
      </c>
      <c r="J1242" t="s">
        <v>85</v>
      </c>
      <c r="K1242" t="s">
        <v>83</v>
      </c>
      <c r="L1242" s="25">
        <v>44030</v>
      </c>
      <c r="M1242">
        <v>7</v>
      </c>
      <c r="N1242">
        <v>2020</v>
      </c>
      <c r="O1242" t="s">
        <v>110</v>
      </c>
      <c r="P1242">
        <v>170</v>
      </c>
      <c r="Q1242" s="17">
        <v>44030.474048958335</v>
      </c>
      <c r="R1242" t="s">
        <v>126</v>
      </c>
    </row>
    <row r="1243" spans="1:18" x14ac:dyDescent="0.3">
      <c r="A1243">
        <v>9687684</v>
      </c>
      <c r="B1243" t="s">
        <v>78</v>
      </c>
      <c r="C1243">
        <v>1330614</v>
      </c>
      <c r="D1243" t="s">
        <v>78</v>
      </c>
      <c r="E1243">
        <v>820</v>
      </c>
      <c r="F1243">
        <v>820</v>
      </c>
      <c r="G1243" t="s">
        <v>136</v>
      </c>
      <c r="H1243" t="s">
        <v>250</v>
      </c>
      <c r="I1243" t="s">
        <v>78</v>
      </c>
      <c r="J1243" t="s">
        <v>42</v>
      </c>
      <c r="K1243" t="s">
        <v>83</v>
      </c>
      <c r="L1243" s="25">
        <v>44030</v>
      </c>
      <c r="M1243">
        <v>7</v>
      </c>
      <c r="N1243">
        <v>2020</v>
      </c>
      <c r="O1243" t="s">
        <v>110</v>
      </c>
      <c r="P1243">
        <v>170</v>
      </c>
      <c r="Q1243" s="17">
        <v>44030.493774768518</v>
      </c>
      <c r="R1243" t="s">
        <v>126</v>
      </c>
    </row>
    <row r="1244" spans="1:18" x14ac:dyDescent="0.3">
      <c r="A1244">
        <v>9682801</v>
      </c>
      <c r="B1244" t="s">
        <v>72</v>
      </c>
      <c r="C1244">
        <v>1327517</v>
      </c>
      <c r="D1244" t="s">
        <v>108</v>
      </c>
      <c r="E1244">
        <v>995</v>
      </c>
      <c r="F1244">
        <v>995</v>
      </c>
      <c r="G1244" t="s">
        <v>278</v>
      </c>
      <c r="H1244" t="s">
        <v>229</v>
      </c>
      <c r="I1244" t="s">
        <v>84</v>
      </c>
      <c r="J1244" t="s">
        <v>85</v>
      </c>
      <c r="K1244" t="s">
        <v>87</v>
      </c>
      <c r="L1244" s="25">
        <v>44030</v>
      </c>
      <c r="M1244">
        <v>7</v>
      </c>
      <c r="N1244">
        <v>2020</v>
      </c>
      <c r="O1244" t="s">
        <v>110</v>
      </c>
      <c r="P1244">
        <v>170</v>
      </c>
      <c r="Q1244" s="17">
        <v>44030.292809953702</v>
      </c>
      <c r="R1244" t="s">
        <v>126</v>
      </c>
    </row>
    <row r="1245" spans="1:18" x14ac:dyDescent="0.3">
      <c r="A1245">
        <v>9676908</v>
      </c>
      <c r="B1245" t="s">
        <v>72</v>
      </c>
      <c r="C1245">
        <v>1318918</v>
      </c>
      <c r="D1245" t="s">
        <v>108</v>
      </c>
      <c r="E1245">
        <v>966</v>
      </c>
      <c r="F1245">
        <v>966</v>
      </c>
      <c r="G1245" t="s">
        <v>139</v>
      </c>
      <c r="H1245" t="s">
        <v>229</v>
      </c>
      <c r="I1245" t="s">
        <v>84</v>
      </c>
      <c r="J1245" t="s">
        <v>85</v>
      </c>
      <c r="K1245" t="s">
        <v>87</v>
      </c>
      <c r="L1245" s="25">
        <v>44030</v>
      </c>
      <c r="M1245">
        <v>7</v>
      </c>
      <c r="N1245">
        <v>2020</v>
      </c>
      <c r="O1245" t="s">
        <v>110</v>
      </c>
      <c r="P1245">
        <v>170</v>
      </c>
      <c r="Q1245" s="17">
        <v>44030.437888078704</v>
      </c>
      <c r="R1245" t="s">
        <v>126</v>
      </c>
    </row>
    <row r="1246" spans="1:18" x14ac:dyDescent="0.3">
      <c r="A1246">
        <v>241111</v>
      </c>
      <c r="B1246" t="s">
        <v>78</v>
      </c>
      <c r="C1246">
        <v>1319611</v>
      </c>
      <c r="D1246" t="s">
        <v>78</v>
      </c>
      <c r="E1246">
        <v>966</v>
      </c>
      <c r="F1246">
        <v>966</v>
      </c>
      <c r="G1246" t="s">
        <v>139</v>
      </c>
      <c r="H1246" t="s">
        <v>105</v>
      </c>
      <c r="I1246" t="s">
        <v>78</v>
      </c>
      <c r="J1246" t="s">
        <v>42</v>
      </c>
      <c r="K1246" t="s">
        <v>87</v>
      </c>
      <c r="L1246" s="25">
        <v>44030</v>
      </c>
      <c r="M1246">
        <v>7</v>
      </c>
      <c r="N1246">
        <v>2020</v>
      </c>
      <c r="O1246" t="s">
        <v>110</v>
      </c>
      <c r="P1246">
        <v>170</v>
      </c>
      <c r="Q1246" s="17">
        <v>44030.439033449074</v>
      </c>
      <c r="R1246" t="s">
        <v>126</v>
      </c>
    </row>
    <row r="1247" spans="1:18" x14ac:dyDescent="0.3">
      <c r="A1247">
        <v>9685877</v>
      </c>
      <c r="B1247" t="s">
        <v>78</v>
      </c>
      <c r="C1247">
        <v>1329853</v>
      </c>
      <c r="D1247" t="s">
        <v>78</v>
      </c>
      <c r="E1247">
        <v>820</v>
      </c>
      <c r="F1247">
        <v>820</v>
      </c>
      <c r="G1247" t="s">
        <v>136</v>
      </c>
      <c r="H1247" t="s">
        <v>228</v>
      </c>
      <c r="I1247" t="s">
        <v>78</v>
      </c>
      <c r="J1247" t="s">
        <v>42</v>
      </c>
      <c r="K1247" t="s">
        <v>83</v>
      </c>
      <c r="L1247" s="25">
        <v>44030</v>
      </c>
      <c r="M1247">
        <v>7</v>
      </c>
      <c r="N1247">
        <v>2020</v>
      </c>
      <c r="O1247" t="s">
        <v>110</v>
      </c>
      <c r="P1247">
        <v>170</v>
      </c>
      <c r="Q1247" s="17">
        <v>44030.485280439818</v>
      </c>
      <c r="R1247" t="s">
        <v>126</v>
      </c>
    </row>
    <row r="1248" spans="1:18" x14ac:dyDescent="0.3">
      <c r="A1248">
        <v>21526492</v>
      </c>
      <c r="B1248" t="s">
        <v>78</v>
      </c>
      <c r="C1248">
        <v>1321340</v>
      </c>
      <c r="D1248" t="s">
        <v>78</v>
      </c>
      <c r="E1248" t="s">
        <v>26</v>
      </c>
      <c r="F1248" t="s">
        <v>26</v>
      </c>
      <c r="G1248" t="s">
        <v>137</v>
      </c>
      <c r="H1248" t="s">
        <v>245</v>
      </c>
      <c r="I1248" t="s">
        <v>78</v>
      </c>
      <c r="J1248" t="s">
        <v>42</v>
      </c>
      <c r="K1248" t="s">
        <v>83</v>
      </c>
      <c r="L1248" s="25">
        <v>44030</v>
      </c>
      <c r="M1248">
        <v>7</v>
      </c>
      <c r="N1248">
        <v>2020</v>
      </c>
      <c r="O1248" t="s">
        <v>110</v>
      </c>
      <c r="P1248">
        <v>170</v>
      </c>
      <c r="Q1248" s="17">
        <v>44030.457818171293</v>
      </c>
      <c r="R1248" t="s">
        <v>126</v>
      </c>
    </row>
    <row r="1249" spans="1:18" x14ac:dyDescent="0.3">
      <c r="A1249">
        <v>9686293</v>
      </c>
      <c r="B1249" t="s">
        <v>72</v>
      </c>
      <c r="C1249">
        <v>1329907</v>
      </c>
      <c r="D1249" t="s">
        <v>108</v>
      </c>
      <c r="E1249" t="s">
        <v>180</v>
      </c>
      <c r="F1249" t="s">
        <v>17</v>
      </c>
      <c r="G1249" t="s">
        <v>181</v>
      </c>
      <c r="H1249" t="s">
        <v>263</v>
      </c>
      <c r="I1249" t="s">
        <v>82</v>
      </c>
      <c r="J1249" t="s">
        <v>42</v>
      </c>
      <c r="K1249" t="s">
        <v>87</v>
      </c>
      <c r="L1249" s="25">
        <v>44030</v>
      </c>
      <c r="M1249">
        <v>7</v>
      </c>
      <c r="N1249">
        <v>2020</v>
      </c>
      <c r="O1249" t="s">
        <v>110</v>
      </c>
      <c r="P1249">
        <v>170</v>
      </c>
      <c r="Q1249" s="17">
        <v>44030.482780671293</v>
      </c>
      <c r="R1249" t="s">
        <v>126</v>
      </c>
    </row>
    <row r="1250" spans="1:18" x14ac:dyDescent="0.3">
      <c r="A1250">
        <v>9687016</v>
      </c>
      <c r="B1250" t="s">
        <v>80</v>
      </c>
      <c r="C1250">
        <v>1330239</v>
      </c>
      <c r="D1250" t="s">
        <v>113</v>
      </c>
      <c r="E1250" t="s">
        <v>146</v>
      </c>
      <c r="F1250" t="s">
        <v>17</v>
      </c>
      <c r="G1250" t="s">
        <v>153</v>
      </c>
      <c r="H1250" t="s">
        <v>232</v>
      </c>
      <c r="I1250" t="s">
        <v>84</v>
      </c>
      <c r="J1250" t="s">
        <v>85</v>
      </c>
      <c r="K1250" t="s">
        <v>87</v>
      </c>
      <c r="L1250" s="25">
        <v>44030</v>
      </c>
      <c r="M1250">
        <v>7</v>
      </c>
      <c r="N1250">
        <v>2020</v>
      </c>
      <c r="O1250" t="s">
        <v>110</v>
      </c>
      <c r="P1250">
        <v>170</v>
      </c>
      <c r="Q1250" s="17">
        <v>44030.49763726852</v>
      </c>
      <c r="R1250" t="s">
        <v>126</v>
      </c>
    </row>
    <row r="1251" spans="1:18" x14ac:dyDescent="0.3">
      <c r="A1251">
        <v>9685995</v>
      </c>
      <c r="B1251" t="s">
        <v>78</v>
      </c>
      <c r="C1251">
        <v>1329435</v>
      </c>
      <c r="D1251" t="s">
        <v>78</v>
      </c>
      <c r="E1251">
        <v>820</v>
      </c>
      <c r="F1251">
        <v>820</v>
      </c>
      <c r="G1251" t="s">
        <v>136</v>
      </c>
      <c r="H1251" t="s">
        <v>228</v>
      </c>
      <c r="I1251" t="s">
        <v>78</v>
      </c>
      <c r="J1251" t="s">
        <v>42</v>
      </c>
      <c r="K1251" t="s">
        <v>83</v>
      </c>
      <c r="L1251" s="25">
        <v>44030</v>
      </c>
      <c r="M1251">
        <v>7</v>
      </c>
      <c r="N1251">
        <v>2020</v>
      </c>
      <c r="O1251" t="s">
        <v>110</v>
      </c>
      <c r="P1251">
        <v>170</v>
      </c>
      <c r="Q1251" s="17">
        <v>44030.472090625</v>
      </c>
      <c r="R1251" t="s">
        <v>126</v>
      </c>
    </row>
    <row r="1252" spans="1:18" x14ac:dyDescent="0.3">
      <c r="A1252">
        <v>241058</v>
      </c>
      <c r="B1252" t="s">
        <v>72</v>
      </c>
      <c r="C1252">
        <v>1326495</v>
      </c>
      <c r="D1252" t="s">
        <v>108</v>
      </c>
      <c r="E1252">
        <v>966</v>
      </c>
      <c r="F1252">
        <v>966</v>
      </c>
      <c r="G1252" t="s">
        <v>139</v>
      </c>
      <c r="H1252" t="s">
        <v>229</v>
      </c>
      <c r="I1252" t="s">
        <v>84</v>
      </c>
      <c r="J1252" t="s">
        <v>85</v>
      </c>
      <c r="K1252" t="s">
        <v>87</v>
      </c>
      <c r="L1252" s="25">
        <v>44030</v>
      </c>
      <c r="M1252">
        <v>7</v>
      </c>
      <c r="N1252">
        <v>2020</v>
      </c>
      <c r="O1252" t="s">
        <v>110</v>
      </c>
      <c r="P1252">
        <v>170</v>
      </c>
      <c r="Q1252" s="17">
        <v>44030.379215277775</v>
      </c>
      <c r="R1252" t="s">
        <v>126</v>
      </c>
    </row>
    <row r="1253" spans="1:18" x14ac:dyDescent="0.3">
      <c r="A1253">
        <v>241797</v>
      </c>
      <c r="B1253" t="s">
        <v>78</v>
      </c>
      <c r="C1253">
        <v>1322433</v>
      </c>
      <c r="D1253" t="s">
        <v>78</v>
      </c>
      <c r="E1253" t="s">
        <v>26</v>
      </c>
      <c r="F1253" t="s">
        <v>26</v>
      </c>
      <c r="G1253" t="s">
        <v>137</v>
      </c>
      <c r="H1253" t="s">
        <v>245</v>
      </c>
      <c r="I1253" t="s">
        <v>78</v>
      </c>
      <c r="J1253" t="s">
        <v>42</v>
      </c>
      <c r="K1253" t="s">
        <v>83</v>
      </c>
      <c r="L1253" s="25">
        <v>44030</v>
      </c>
      <c r="M1253">
        <v>7</v>
      </c>
      <c r="N1253">
        <v>2020</v>
      </c>
      <c r="O1253" t="s">
        <v>110</v>
      </c>
      <c r="P1253">
        <v>170</v>
      </c>
      <c r="Q1253" s="17">
        <v>44030.491354282407</v>
      </c>
      <c r="R1253" t="s">
        <v>126</v>
      </c>
    </row>
    <row r="1254" spans="1:18" x14ac:dyDescent="0.3">
      <c r="A1254">
        <v>9686871</v>
      </c>
      <c r="B1254" t="s">
        <v>80</v>
      </c>
      <c r="C1254">
        <v>1329764</v>
      </c>
      <c r="D1254" t="s">
        <v>113</v>
      </c>
      <c r="E1254" t="s">
        <v>146</v>
      </c>
      <c r="F1254" t="s">
        <v>17</v>
      </c>
      <c r="G1254" t="s">
        <v>153</v>
      </c>
      <c r="H1254" t="s">
        <v>232</v>
      </c>
      <c r="I1254" t="s">
        <v>84</v>
      </c>
      <c r="J1254" t="s">
        <v>85</v>
      </c>
      <c r="K1254" t="s">
        <v>87</v>
      </c>
      <c r="L1254" s="25">
        <v>44030</v>
      </c>
      <c r="M1254">
        <v>7</v>
      </c>
      <c r="N1254">
        <v>2020</v>
      </c>
      <c r="O1254" t="s">
        <v>110</v>
      </c>
      <c r="P1254">
        <v>170</v>
      </c>
      <c r="Q1254" s="17">
        <v>44030.476000694442</v>
      </c>
      <c r="R1254" t="s">
        <v>126</v>
      </c>
    </row>
    <row r="1255" spans="1:18" x14ac:dyDescent="0.3">
      <c r="A1255">
        <v>9682577</v>
      </c>
      <c r="B1255" t="s">
        <v>72</v>
      </c>
      <c r="C1255">
        <v>1327649</v>
      </c>
      <c r="D1255" t="s">
        <v>108</v>
      </c>
      <c r="E1255">
        <v>845</v>
      </c>
      <c r="F1255">
        <v>845</v>
      </c>
      <c r="G1255" t="s">
        <v>130</v>
      </c>
      <c r="H1255" t="s">
        <v>229</v>
      </c>
      <c r="I1255" t="s">
        <v>84</v>
      </c>
      <c r="J1255" t="s">
        <v>85</v>
      </c>
      <c r="K1255" t="s">
        <v>87</v>
      </c>
      <c r="L1255" s="25">
        <v>44030</v>
      </c>
      <c r="M1255">
        <v>7</v>
      </c>
      <c r="N1255">
        <v>2020</v>
      </c>
      <c r="O1255" t="s">
        <v>110</v>
      </c>
      <c r="P1255">
        <v>170</v>
      </c>
      <c r="Q1255" s="17">
        <v>44030.294079050924</v>
      </c>
      <c r="R1255" t="s">
        <v>126</v>
      </c>
    </row>
    <row r="1256" spans="1:18" x14ac:dyDescent="0.3">
      <c r="A1256">
        <v>9685688</v>
      </c>
      <c r="B1256" t="s">
        <v>72</v>
      </c>
      <c r="C1256">
        <v>1329521</v>
      </c>
      <c r="D1256" t="s">
        <v>108</v>
      </c>
      <c r="E1256">
        <v>820</v>
      </c>
      <c r="F1256">
        <v>820</v>
      </c>
      <c r="G1256" t="s">
        <v>136</v>
      </c>
      <c r="H1256" t="s">
        <v>270</v>
      </c>
      <c r="I1256" t="s">
        <v>82</v>
      </c>
      <c r="J1256" t="s">
        <v>42</v>
      </c>
      <c r="K1256" t="s">
        <v>83</v>
      </c>
      <c r="L1256" s="25">
        <v>44030</v>
      </c>
      <c r="M1256">
        <v>7</v>
      </c>
      <c r="N1256">
        <v>2020</v>
      </c>
      <c r="O1256" t="s">
        <v>110</v>
      </c>
      <c r="P1256">
        <v>170</v>
      </c>
      <c r="Q1256" s="17">
        <v>44030.471953819448</v>
      </c>
      <c r="R1256" t="s">
        <v>126</v>
      </c>
    </row>
    <row r="1257" spans="1:18" x14ac:dyDescent="0.3">
      <c r="A1257">
        <v>9685859</v>
      </c>
      <c r="B1257" t="s">
        <v>78</v>
      </c>
      <c r="C1257">
        <v>1329141</v>
      </c>
      <c r="D1257" t="s">
        <v>78</v>
      </c>
      <c r="E1257">
        <v>820</v>
      </c>
      <c r="F1257">
        <v>820</v>
      </c>
      <c r="G1257" t="s">
        <v>136</v>
      </c>
      <c r="H1257" t="s">
        <v>249</v>
      </c>
      <c r="I1257" t="s">
        <v>78</v>
      </c>
      <c r="J1257" t="s">
        <v>42</v>
      </c>
      <c r="K1257" t="s">
        <v>83</v>
      </c>
      <c r="L1257" s="25">
        <v>44030</v>
      </c>
      <c r="M1257">
        <v>7</v>
      </c>
      <c r="N1257">
        <v>2020</v>
      </c>
      <c r="O1257" t="s">
        <v>110</v>
      </c>
      <c r="P1257">
        <v>170</v>
      </c>
      <c r="Q1257" s="17">
        <v>44030.452500578707</v>
      </c>
      <c r="R1257" t="s">
        <v>126</v>
      </c>
    </row>
    <row r="1258" spans="1:18" x14ac:dyDescent="0.3">
      <c r="A1258">
        <v>9687234</v>
      </c>
      <c r="B1258" t="s">
        <v>78</v>
      </c>
      <c r="C1258">
        <v>1330211</v>
      </c>
      <c r="D1258" t="s">
        <v>78</v>
      </c>
      <c r="E1258" t="s">
        <v>146</v>
      </c>
      <c r="F1258" t="s">
        <v>17</v>
      </c>
      <c r="G1258" t="s">
        <v>147</v>
      </c>
      <c r="H1258" t="s">
        <v>228</v>
      </c>
      <c r="I1258" t="s">
        <v>78</v>
      </c>
      <c r="J1258" t="s">
        <v>42</v>
      </c>
      <c r="K1258" t="s">
        <v>87</v>
      </c>
      <c r="L1258" s="25">
        <v>44030</v>
      </c>
      <c r="M1258">
        <v>7</v>
      </c>
      <c r="N1258">
        <v>2020</v>
      </c>
      <c r="O1258" t="s">
        <v>110</v>
      </c>
      <c r="P1258">
        <v>170</v>
      </c>
      <c r="Q1258" s="17">
        <v>44030.494942245372</v>
      </c>
      <c r="R1258" t="s">
        <v>126</v>
      </c>
    </row>
    <row r="1259" spans="1:18" x14ac:dyDescent="0.3">
      <c r="A1259">
        <v>21525876</v>
      </c>
      <c r="B1259" t="s">
        <v>80</v>
      </c>
      <c r="C1259">
        <v>1323676</v>
      </c>
      <c r="D1259" t="s">
        <v>113</v>
      </c>
      <c r="E1259">
        <v>966</v>
      </c>
      <c r="F1259">
        <v>966</v>
      </c>
      <c r="G1259" t="s">
        <v>139</v>
      </c>
      <c r="H1259" t="s">
        <v>232</v>
      </c>
      <c r="I1259" t="s">
        <v>84</v>
      </c>
      <c r="J1259" t="s">
        <v>85</v>
      </c>
      <c r="K1259" t="s">
        <v>87</v>
      </c>
      <c r="L1259" s="25">
        <v>44030</v>
      </c>
      <c r="M1259">
        <v>7</v>
      </c>
      <c r="N1259">
        <v>2020</v>
      </c>
      <c r="O1259" t="s">
        <v>110</v>
      </c>
      <c r="P1259">
        <v>170</v>
      </c>
      <c r="Q1259" s="17">
        <v>44030.469106944445</v>
      </c>
      <c r="R1259" t="s">
        <v>126</v>
      </c>
    </row>
    <row r="1260" spans="1:18" x14ac:dyDescent="0.3">
      <c r="A1260">
        <v>9686734</v>
      </c>
      <c r="B1260" t="s">
        <v>80</v>
      </c>
      <c r="C1260">
        <v>1329777</v>
      </c>
      <c r="D1260" t="s">
        <v>113</v>
      </c>
      <c r="E1260" t="s">
        <v>146</v>
      </c>
      <c r="F1260" t="s">
        <v>17</v>
      </c>
      <c r="G1260" t="s">
        <v>153</v>
      </c>
      <c r="H1260" t="s">
        <v>232</v>
      </c>
      <c r="I1260" t="s">
        <v>84</v>
      </c>
      <c r="J1260" t="s">
        <v>85</v>
      </c>
      <c r="K1260" t="s">
        <v>87</v>
      </c>
      <c r="L1260" s="25">
        <v>44030</v>
      </c>
      <c r="M1260">
        <v>7</v>
      </c>
      <c r="N1260">
        <v>2020</v>
      </c>
      <c r="O1260" t="s">
        <v>110</v>
      </c>
      <c r="P1260">
        <v>170</v>
      </c>
      <c r="Q1260" s="17">
        <v>44030.473301273145</v>
      </c>
      <c r="R1260" t="s">
        <v>126</v>
      </c>
    </row>
    <row r="1261" spans="1:18" x14ac:dyDescent="0.3">
      <c r="A1261">
        <v>9686998</v>
      </c>
      <c r="B1261" t="s">
        <v>80</v>
      </c>
      <c r="C1261">
        <v>1330226</v>
      </c>
      <c r="D1261" t="s">
        <v>113</v>
      </c>
      <c r="E1261" t="s">
        <v>146</v>
      </c>
      <c r="F1261" t="s">
        <v>17</v>
      </c>
      <c r="G1261" t="s">
        <v>153</v>
      </c>
      <c r="H1261" t="s">
        <v>232</v>
      </c>
      <c r="I1261" t="s">
        <v>84</v>
      </c>
      <c r="J1261" t="s">
        <v>85</v>
      </c>
      <c r="K1261" t="s">
        <v>87</v>
      </c>
      <c r="L1261" s="25">
        <v>44030</v>
      </c>
      <c r="M1261">
        <v>7</v>
      </c>
      <c r="N1261">
        <v>2020</v>
      </c>
      <c r="O1261" t="s">
        <v>110</v>
      </c>
      <c r="P1261">
        <v>170</v>
      </c>
      <c r="Q1261" s="17">
        <v>44030.492755208332</v>
      </c>
      <c r="R1261" t="s">
        <v>126</v>
      </c>
    </row>
    <row r="1262" spans="1:18" x14ac:dyDescent="0.3">
      <c r="A1262">
        <v>244667</v>
      </c>
      <c r="B1262" t="s">
        <v>72</v>
      </c>
      <c r="C1262">
        <v>1330092</v>
      </c>
      <c r="D1262" t="s">
        <v>108</v>
      </c>
      <c r="E1262">
        <v>4138</v>
      </c>
      <c r="F1262" t="s">
        <v>17</v>
      </c>
      <c r="G1262" t="s">
        <v>129</v>
      </c>
      <c r="H1262" t="s">
        <v>263</v>
      </c>
      <c r="I1262" t="s">
        <v>82</v>
      </c>
      <c r="J1262" t="s">
        <v>42</v>
      </c>
      <c r="K1262" t="s">
        <v>87</v>
      </c>
      <c r="L1262" s="25">
        <v>44030</v>
      </c>
      <c r="M1262">
        <v>7</v>
      </c>
      <c r="N1262">
        <v>2020</v>
      </c>
      <c r="O1262" t="s">
        <v>110</v>
      </c>
      <c r="P1262">
        <v>170</v>
      </c>
      <c r="Q1262" s="17">
        <v>44030.486837500001</v>
      </c>
      <c r="R1262" t="s">
        <v>126</v>
      </c>
    </row>
    <row r="1263" spans="1:18" x14ac:dyDescent="0.3">
      <c r="A1263">
        <v>9679614</v>
      </c>
      <c r="B1263" t="s">
        <v>72</v>
      </c>
      <c r="C1263">
        <v>1321387</v>
      </c>
      <c r="D1263" t="s">
        <v>108</v>
      </c>
      <c r="E1263" t="s">
        <v>26</v>
      </c>
      <c r="F1263" t="s">
        <v>26</v>
      </c>
      <c r="G1263" t="s">
        <v>137</v>
      </c>
      <c r="H1263" t="s">
        <v>265</v>
      </c>
      <c r="I1263" t="s">
        <v>82</v>
      </c>
      <c r="J1263" t="s">
        <v>42</v>
      </c>
      <c r="K1263" t="s">
        <v>83</v>
      </c>
      <c r="L1263" s="25">
        <v>44030</v>
      </c>
      <c r="M1263">
        <v>7</v>
      </c>
      <c r="N1263">
        <v>2020</v>
      </c>
      <c r="O1263" t="s">
        <v>110</v>
      </c>
      <c r="P1263">
        <v>170</v>
      </c>
      <c r="Q1263" s="17">
        <v>44030.457012037034</v>
      </c>
      <c r="R1263" t="s">
        <v>126</v>
      </c>
    </row>
    <row r="1264" spans="1:18" x14ac:dyDescent="0.3">
      <c r="A1264">
        <v>21533575</v>
      </c>
      <c r="B1264" t="s">
        <v>72</v>
      </c>
      <c r="C1264">
        <v>1335908</v>
      </c>
      <c r="D1264" t="s">
        <v>108</v>
      </c>
      <c r="E1264" t="s">
        <v>26</v>
      </c>
      <c r="F1264" t="s">
        <v>26</v>
      </c>
      <c r="G1264" t="s">
        <v>137</v>
      </c>
      <c r="H1264" t="s">
        <v>229</v>
      </c>
      <c r="I1264" t="s">
        <v>84</v>
      </c>
      <c r="J1264" t="s">
        <v>85</v>
      </c>
      <c r="K1264" t="s">
        <v>83</v>
      </c>
      <c r="L1264" s="25">
        <v>44030</v>
      </c>
      <c r="M1264">
        <v>7</v>
      </c>
      <c r="N1264">
        <v>2020</v>
      </c>
      <c r="O1264" t="s">
        <v>110</v>
      </c>
      <c r="P1264">
        <v>170</v>
      </c>
      <c r="Q1264" s="17">
        <v>44031.133432986113</v>
      </c>
      <c r="R1264" t="s">
        <v>126</v>
      </c>
    </row>
    <row r="1265" spans="1:18" x14ac:dyDescent="0.3">
      <c r="A1265">
        <v>9686268</v>
      </c>
      <c r="B1265" t="s">
        <v>80</v>
      </c>
      <c r="C1265">
        <v>1329677</v>
      </c>
      <c r="D1265" t="s">
        <v>113</v>
      </c>
      <c r="E1265" t="s">
        <v>146</v>
      </c>
      <c r="F1265" t="s">
        <v>17</v>
      </c>
      <c r="G1265" t="s">
        <v>153</v>
      </c>
      <c r="H1265" t="s">
        <v>232</v>
      </c>
      <c r="I1265" t="s">
        <v>84</v>
      </c>
      <c r="J1265" t="s">
        <v>85</v>
      </c>
      <c r="K1265" t="s">
        <v>87</v>
      </c>
      <c r="L1265" s="25">
        <v>44030</v>
      </c>
      <c r="M1265">
        <v>7</v>
      </c>
      <c r="N1265">
        <v>2020</v>
      </c>
      <c r="O1265" t="s">
        <v>110</v>
      </c>
      <c r="P1265">
        <v>170</v>
      </c>
      <c r="Q1265" s="17">
        <v>44030.463150925927</v>
      </c>
      <c r="R1265" t="s">
        <v>126</v>
      </c>
    </row>
    <row r="1266" spans="1:18" x14ac:dyDescent="0.3">
      <c r="A1266">
        <v>9686379</v>
      </c>
      <c r="B1266" t="s">
        <v>78</v>
      </c>
      <c r="C1266">
        <v>1329926</v>
      </c>
      <c r="D1266" t="s">
        <v>78</v>
      </c>
      <c r="E1266">
        <v>820</v>
      </c>
      <c r="F1266">
        <v>820</v>
      </c>
      <c r="G1266" t="s">
        <v>136</v>
      </c>
      <c r="H1266" t="s">
        <v>250</v>
      </c>
      <c r="I1266" t="s">
        <v>78</v>
      </c>
      <c r="J1266" t="s">
        <v>42</v>
      </c>
      <c r="K1266" t="s">
        <v>83</v>
      </c>
      <c r="L1266" s="25">
        <v>44030</v>
      </c>
      <c r="M1266">
        <v>7</v>
      </c>
      <c r="N1266">
        <v>2020</v>
      </c>
      <c r="O1266" t="s">
        <v>110</v>
      </c>
      <c r="P1266">
        <v>170</v>
      </c>
      <c r="Q1266" s="17">
        <v>44030.487343749999</v>
      </c>
      <c r="R1266" t="s">
        <v>126</v>
      </c>
    </row>
    <row r="1267" spans="1:18" x14ac:dyDescent="0.3">
      <c r="A1267">
        <v>9685896</v>
      </c>
      <c r="B1267" t="s">
        <v>72</v>
      </c>
      <c r="C1267">
        <v>1329877</v>
      </c>
      <c r="D1267" t="s">
        <v>108</v>
      </c>
      <c r="E1267">
        <v>820</v>
      </c>
      <c r="F1267">
        <v>820</v>
      </c>
      <c r="G1267" t="s">
        <v>136</v>
      </c>
      <c r="H1267" t="s">
        <v>270</v>
      </c>
      <c r="I1267" t="s">
        <v>82</v>
      </c>
      <c r="J1267" t="s">
        <v>42</v>
      </c>
      <c r="K1267" t="s">
        <v>83</v>
      </c>
      <c r="L1267" s="25">
        <v>44030</v>
      </c>
      <c r="M1267">
        <v>7</v>
      </c>
      <c r="N1267">
        <v>2020</v>
      </c>
      <c r="O1267" t="s">
        <v>110</v>
      </c>
      <c r="P1267">
        <v>170</v>
      </c>
      <c r="Q1267" s="17">
        <v>44030.484205324072</v>
      </c>
      <c r="R1267" t="s">
        <v>126</v>
      </c>
    </row>
    <row r="1268" spans="1:18" x14ac:dyDescent="0.3">
      <c r="A1268">
        <v>9675548</v>
      </c>
      <c r="B1268" t="s">
        <v>72</v>
      </c>
      <c r="C1268">
        <v>1331749</v>
      </c>
      <c r="D1268" t="s">
        <v>108</v>
      </c>
      <c r="E1268" t="s">
        <v>26</v>
      </c>
      <c r="F1268" t="s">
        <v>26</v>
      </c>
      <c r="G1268" t="s">
        <v>137</v>
      </c>
      <c r="H1268" t="s">
        <v>229</v>
      </c>
      <c r="I1268" t="s">
        <v>84</v>
      </c>
      <c r="J1268" t="s">
        <v>85</v>
      </c>
      <c r="K1268" t="s">
        <v>83</v>
      </c>
      <c r="L1268" s="25">
        <v>44030</v>
      </c>
      <c r="M1268">
        <v>7</v>
      </c>
      <c r="N1268">
        <v>2020</v>
      </c>
      <c r="O1268" t="s">
        <v>110</v>
      </c>
      <c r="P1268">
        <v>170</v>
      </c>
      <c r="Q1268" s="17">
        <v>44030.38191689815</v>
      </c>
      <c r="R1268" t="s">
        <v>126</v>
      </c>
    </row>
    <row r="1269" spans="1:18" x14ac:dyDescent="0.3">
      <c r="A1269">
        <v>9685690</v>
      </c>
      <c r="B1269" t="s">
        <v>78</v>
      </c>
      <c r="C1269">
        <v>1329156</v>
      </c>
      <c r="D1269" t="s">
        <v>78</v>
      </c>
      <c r="E1269">
        <v>820</v>
      </c>
      <c r="F1269">
        <v>820</v>
      </c>
      <c r="G1269" t="s">
        <v>136</v>
      </c>
      <c r="H1269" t="s">
        <v>228</v>
      </c>
      <c r="I1269" t="s">
        <v>78</v>
      </c>
      <c r="J1269" t="s">
        <v>42</v>
      </c>
      <c r="K1269" t="s">
        <v>83</v>
      </c>
      <c r="L1269" s="25">
        <v>44030</v>
      </c>
      <c r="M1269">
        <v>7</v>
      </c>
      <c r="N1269">
        <v>2020</v>
      </c>
      <c r="O1269" t="s">
        <v>110</v>
      </c>
      <c r="P1269">
        <v>170</v>
      </c>
      <c r="Q1269" s="17">
        <v>44030.45527835648</v>
      </c>
      <c r="R1269" t="s">
        <v>126</v>
      </c>
    </row>
    <row r="1270" spans="1:18" x14ac:dyDescent="0.3">
      <c r="A1270">
        <v>9685669</v>
      </c>
      <c r="B1270" t="s">
        <v>78</v>
      </c>
      <c r="C1270">
        <v>1329456</v>
      </c>
      <c r="D1270" t="s">
        <v>78</v>
      </c>
      <c r="E1270">
        <v>820</v>
      </c>
      <c r="F1270">
        <v>820</v>
      </c>
      <c r="G1270" t="s">
        <v>136</v>
      </c>
      <c r="H1270" t="s">
        <v>250</v>
      </c>
      <c r="I1270" t="s">
        <v>78</v>
      </c>
      <c r="J1270" t="s">
        <v>42</v>
      </c>
      <c r="K1270" t="s">
        <v>83</v>
      </c>
      <c r="L1270" s="25">
        <v>44030</v>
      </c>
      <c r="M1270">
        <v>7</v>
      </c>
      <c r="N1270">
        <v>2020</v>
      </c>
      <c r="O1270" t="s">
        <v>110</v>
      </c>
      <c r="P1270">
        <v>170</v>
      </c>
      <c r="Q1270" s="17">
        <v>44030.469734027778</v>
      </c>
      <c r="R1270" t="s">
        <v>126</v>
      </c>
    </row>
    <row r="1271" spans="1:18" x14ac:dyDescent="0.3">
      <c r="A1271">
        <v>21525873</v>
      </c>
      <c r="B1271" t="s">
        <v>78</v>
      </c>
      <c r="C1271">
        <v>1321353</v>
      </c>
      <c r="D1271" t="s">
        <v>78</v>
      </c>
      <c r="E1271" t="s">
        <v>26</v>
      </c>
      <c r="F1271" t="s">
        <v>26</v>
      </c>
      <c r="G1271" t="s">
        <v>137</v>
      </c>
      <c r="H1271" t="s">
        <v>245</v>
      </c>
      <c r="I1271" t="s">
        <v>78</v>
      </c>
      <c r="J1271" t="s">
        <v>42</v>
      </c>
      <c r="K1271" t="s">
        <v>83</v>
      </c>
      <c r="L1271" s="25">
        <v>44030</v>
      </c>
      <c r="M1271">
        <v>7</v>
      </c>
      <c r="N1271">
        <v>2020</v>
      </c>
      <c r="O1271" t="s">
        <v>110</v>
      </c>
      <c r="P1271">
        <v>170</v>
      </c>
      <c r="Q1271" s="17">
        <v>44030.456070717592</v>
      </c>
      <c r="R1271" t="s">
        <v>126</v>
      </c>
    </row>
    <row r="1272" spans="1:18" x14ac:dyDescent="0.3">
      <c r="A1272">
        <v>21525996</v>
      </c>
      <c r="B1272" t="s">
        <v>78</v>
      </c>
      <c r="C1272">
        <v>1321802</v>
      </c>
      <c r="D1272" t="s">
        <v>78</v>
      </c>
      <c r="E1272" t="s">
        <v>26</v>
      </c>
      <c r="F1272" t="s">
        <v>26</v>
      </c>
      <c r="G1272" t="s">
        <v>137</v>
      </c>
      <c r="H1272" t="s">
        <v>245</v>
      </c>
      <c r="I1272" t="s">
        <v>78</v>
      </c>
      <c r="J1272" t="s">
        <v>42</v>
      </c>
      <c r="K1272" t="s">
        <v>83</v>
      </c>
      <c r="L1272" s="25">
        <v>44030</v>
      </c>
      <c r="M1272">
        <v>7</v>
      </c>
      <c r="N1272">
        <v>2020</v>
      </c>
      <c r="O1272" t="s">
        <v>110</v>
      </c>
      <c r="P1272">
        <v>170</v>
      </c>
      <c r="Q1272" s="17">
        <v>44030.47432465278</v>
      </c>
      <c r="R1272" t="s">
        <v>126</v>
      </c>
    </row>
    <row r="1273" spans="1:18" x14ac:dyDescent="0.3">
      <c r="A1273">
        <v>9685939</v>
      </c>
      <c r="B1273" t="s">
        <v>78</v>
      </c>
      <c r="C1273">
        <v>1329239</v>
      </c>
      <c r="D1273" t="s">
        <v>78</v>
      </c>
      <c r="E1273">
        <v>820</v>
      </c>
      <c r="F1273">
        <v>820</v>
      </c>
      <c r="G1273" t="s">
        <v>136</v>
      </c>
      <c r="H1273" t="s">
        <v>249</v>
      </c>
      <c r="I1273" t="s">
        <v>78</v>
      </c>
      <c r="J1273" t="s">
        <v>42</v>
      </c>
      <c r="K1273" t="s">
        <v>83</v>
      </c>
      <c r="L1273" s="25">
        <v>44030</v>
      </c>
      <c r="M1273">
        <v>7</v>
      </c>
      <c r="N1273">
        <v>2020</v>
      </c>
      <c r="O1273" t="s">
        <v>110</v>
      </c>
      <c r="P1273">
        <v>170</v>
      </c>
      <c r="Q1273" s="17">
        <v>44030.457679861109</v>
      </c>
      <c r="R1273" t="s">
        <v>126</v>
      </c>
    </row>
    <row r="1274" spans="1:18" x14ac:dyDescent="0.3">
      <c r="A1274">
        <v>9686282</v>
      </c>
      <c r="B1274" t="s">
        <v>80</v>
      </c>
      <c r="C1274">
        <v>1329685</v>
      </c>
      <c r="D1274" t="s">
        <v>113</v>
      </c>
      <c r="E1274" t="s">
        <v>146</v>
      </c>
      <c r="F1274" t="s">
        <v>17</v>
      </c>
      <c r="G1274" t="s">
        <v>153</v>
      </c>
      <c r="H1274" t="s">
        <v>232</v>
      </c>
      <c r="I1274" t="s">
        <v>84</v>
      </c>
      <c r="J1274" t="s">
        <v>85</v>
      </c>
      <c r="K1274" t="s">
        <v>87</v>
      </c>
      <c r="L1274" s="25">
        <v>44030</v>
      </c>
      <c r="M1274">
        <v>7</v>
      </c>
      <c r="N1274">
        <v>2020</v>
      </c>
      <c r="O1274" t="s">
        <v>110</v>
      </c>
      <c r="P1274">
        <v>170</v>
      </c>
      <c r="Q1274" s="17">
        <v>44030.454514583333</v>
      </c>
      <c r="R1274" t="s">
        <v>126</v>
      </c>
    </row>
    <row r="1275" spans="1:18" x14ac:dyDescent="0.3">
      <c r="A1275">
        <v>9686742</v>
      </c>
      <c r="B1275" t="s">
        <v>79</v>
      </c>
      <c r="C1275">
        <v>1330186</v>
      </c>
      <c r="D1275" t="s">
        <v>116</v>
      </c>
      <c r="E1275" t="s">
        <v>12</v>
      </c>
      <c r="F1275" t="s">
        <v>12</v>
      </c>
      <c r="G1275" t="s">
        <v>135</v>
      </c>
      <c r="H1275" t="s">
        <v>251</v>
      </c>
      <c r="I1275" t="s">
        <v>82</v>
      </c>
      <c r="J1275" t="s">
        <v>42</v>
      </c>
      <c r="K1275" t="s">
        <v>83</v>
      </c>
      <c r="L1275" s="25">
        <v>44030</v>
      </c>
      <c r="M1275">
        <v>7</v>
      </c>
      <c r="N1275">
        <v>2020</v>
      </c>
      <c r="O1275" t="s">
        <v>110</v>
      </c>
      <c r="P1275">
        <v>170</v>
      </c>
      <c r="Q1275" s="17">
        <v>44030.473856944445</v>
      </c>
      <c r="R1275" t="s">
        <v>126</v>
      </c>
    </row>
    <row r="1276" spans="1:18" x14ac:dyDescent="0.3">
      <c r="A1276">
        <v>241379</v>
      </c>
      <c r="B1276" t="s">
        <v>72</v>
      </c>
      <c r="C1276">
        <v>1320308</v>
      </c>
      <c r="D1276" t="s">
        <v>108</v>
      </c>
      <c r="E1276" t="s">
        <v>26</v>
      </c>
      <c r="F1276" t="s">
        <v>26</v>
      </c>
      <c r="G1276" t="s">
        <v>137</v>
      </c>
      <c r="H1276" t="s">
        <v>276</v>
      </c>
      <c r="I1276" t="s">
        <v>84</v>
      </c>
      <c r="J1276" t="s">
        <v>85</v>
      </c>
      <c r="K1276" t="s">
        <v>83</v>
      </c>
      <c r="L1276" s="25">
        <v>44030</v>
      </c>
      <c r="M1276">
        <v>7</v>
      </c>
      <c r="N1276">
        <v>2020</v>
      </c>
      <c r="O1276" t="s">
        <v>110</v>
      </c>
      <c r="P1276">
        <v>170</v>
      </c>
      <c r="Q1276" s="17">
        <v>44030.427979050924</v>
      </c>
      <c r="R1276" t="s">
        <v>126</v>
      </c>
    </row>
    <row r="1277" spans="1:18" x14ac:dyDescent="0.3">
      <c r="A1277">
        <v>9686899</v>
      </c>
      <c r="B1277" t="s">
        <v>80</v>
      </c>
      <c r="C1277">
        <v>1329800</v>
      </c>
      <c r="D1277" t="s">
        <v>113</v>
      </c>
      <c r="E1277" t="s">
        <v>146</v>
      </c>
      <c r="F1277" t="s">
        <v>17</v>
      </c>
      <c r="G1277" t="s">
        <v>153</v>
      </c>
      <c r="H1277" t="s">
        <v>232</v>
      </c>
      <c r="I1277" t="s">
        <v>84</v>
      </c>
      <c r="J1277" t="s">
        <v>85</v>
      </c>
      <c r="K1277" t="s">
        <v>87</v>
      </c>
      <c r="L1277" s="25">
        <v>44030</v>
      </c>
      <c r="M1277">
        <v>7</v>
      </c>
      <c r="N1277">
        <v>2020</v>
      </c>
      <c r="O1277" t="s">
        <v>110</v>
      </c>
      <c r="P1277">
        <v>170</v>
      </c>
      <c r="Q1277" s="17">
        <v>44030.475676273149</v>
      </c>
      <c r="R1277" t="s">
        <v>126</v>
      </c>
    </row>
    <row r="1278" spans="1:18" x14ac:dyDescent="0.3">
      <c r="A1278">
        <v>9682394</v>
      </c>
      <c r="B1278" t="s">
        <v>72</v>
      </c>
      <c r="C1278">
        <v>1325855</v>
      </c>
      <c r="D1278" t="s">
        <v>108</v>
      </c>
      <c r="E1278">
        <v>966</v>
      </c>
      <c r="F1278">
        <v>966</v>
      </c>
      <c r="G1278" t="s">
        <v>139</v>
      </c>
      <c r="H1278" t="s">
        <v>261</v>
      </c>
      <c r="I1278" t="s">
        <v>84</v>
      </c>
      <c r="J1278" t="s">
        <v>85</v>
      </c>
      <c r="K1278" t="s">
        <v>87</v>
      </c>
      <c r="L1278" s="25">
        <v>44030</v>
      </c>
      <c r="M1278">
        <v>7</v>
      </c>
      <c r="N1278">
        <v>2020</v>
      </c>
      <c r="O1278" t="s">
        <v>110</v>
      </c>
      <c r="P1278">
        <v>170</v>
      </c>
      <c r="Q1278" s="17">
        <v>44030.488251041665</v>
      </c>
      <c r="R1278" t="s">
        <v>126</v>
      </c>
    </row>
    <row r="1279" spans="1:18" x14ac:dyDescent="0.3">
      <c r="A1279">
        <v>241392</v>
      </c>
      <c r="B1279" t="s">
        <v>78</v>
      </c>
      <c r="C1279">
        <v>1322111</v>
      </c>
      <c r="D1279" t="s">
        <v>78</v>
      </c>
      <c r="E1279" t="s">
        <v>26</v>
      </c>
      <c r="F1279" t="s">
        <v>26</v>
      </c>
      <c r="G1279" t="s">
        <v>137</v>
      </c>
      <c r="H1279" t="s">
        <v>260</v>
      </c>
      <c r="I1279" t="s">
        <v>78</v>
      </c>
      <c r="J1279" t="s">
        <v>42</v>
      </c>
      <c r="K1279" t="s">
        <v>83</v>
      </c>
      <c r="L1279" s="25">
        <v>44030</v>
      </c>
      <c r="M1279">
        <v>7</v>
      </c>
      <c r="N1279">
        <v>2020</v>
      </c>
      <c r="O1279" t="s">
        <v>110</v>
      </c>
      <c r="P1279">
        <v>170</v>
      </c>
      <c r="Q1279" s="17">
        <v>44030.478806828702</v>
      </c>
      <c r="R1279" t="s">
        <v>126</v>
      </c>
    </row>
    <row r="1280" spans="1:18" x14ac:dyDescent="0.3">
      <c r="A1280">
        <v>9685881</v>
      </c>
      <c r="B1280" t="s">
        <v>78</v>
      </c>
      <c r="C1280">
        <v>1328646</v>
      </c>
      <c r="D1280" t="s">
        <v>78</v>
      </c>
      <c r="E1280">
        <v>820</v>
      </c>
      <c r="F1280">
        <v>820</v>
      </c>
      <c r="G1280" t="s">
        <v>136</v>
      </c>
      <c r="H1280" t="s">
        <v>249</v>
      </c>
      <c r="I1280" t="s">
        <v>78</v>
      </c>
      <c r="J1280" t="s">
        <v>42</v>
      </c>
      <c r="K1280" t="s">
        <v>83</v>
      </c>
      <c r="L1280" s="25">
        <v>44030</v>
      </c>
      <c r="M1280">
        <v>7</v>
      </c>
      <c r="N1280">
        <v>2020</v>
      </c>
      <c r="O1280" t="s">
        <v>110</v>
      </c>
      <c r="P1280">
        <v>170</v>
      </c>
      <c r="Q1280" s="17">
        <v>44030.426974305556</v>
      </c>
      <c r="R1280" t="s">
        <v>126</v>
      </c>
    </row>
    <row r="1281" spans="1:18" x14ac:dyDescent="0.3">
      <c r="A1281">
        <v>9674544</v>
      </c>
      <c r="B1281" t="s">
        <v>72</v>
      </c>
      <c r="C1281">
        <v>1320039</v>
      </c>
      <c r="D1281" t="s">
        <v>108</v>
      </c>
      <c r="E1281" t="s">
        <v>124</v>
      </c>
      <c r="F1281" t="s">
        <v>17</v>
      </c>
      <c r="G1281" t="s">
        <v>125</v>
      </c>
      <c r="H1281" t="s">
        <v>263</v>
      </c>
      <c r="I1281" t="s">
        <v>82</v>
      </c>
      <c r="J1281" t="s">
        <v>42</v>
      </c>
      <c r="K1281" t="s">
        <v>87</v>
      </c>
      <c r="L1281" s="25">
        <v>44030</v>
      </c>
      <c r="M1281">
        <v>7</v>
      </c>
      <c r="N1281">
        <v>2020</v>
      </c>
      <c r="O1281" t="s">
        <v>110</v>
      </c>
      <c r="P1281">
        <v>170</v>
      </c>
      <c r="Q1281" s="17">
        <v>44030.429633449072</v>
      </c>
      <c r="R1281" t="s">
        <v>126</v>
      </c>
    </row>
    <row r="1282" spans="1:18" x14ac:dyDescent="0.3">
      <c r="A1282">
        <v>9680721</v>
      </c>
      <c r="B1282" t="s">
        <v>72</v>
      </c>
      <c r="C1282">
        <v>1322197</v>
      </c>
      <c r="D1282" t="s">
        <v>108</v>
      </c>
      <c r="E1282">
        <v>966</v>
      </c>
      <c r="F1282">
        <v>966</v>
      </c>
      <c r="G1282" t="s">
        <v>139</v>
      </c>
      <c r="H1282" t="s">
        <v>229</v>
      </c>
      <c r="I1282" t="s">
        <v>84</v>
      </c>
      <c r="J1282" t="s">
        <v>85</v>
      </c>
      <c r="K1282" t="s">
        <v>87</v>
      </c>
      <c r="L1282" s="25">
        <v>44030</v>
      </c>
      <c r="M1282">
        <v>7</v>
      </c>
      <c r="N1282">
        <v>2020</v>
      </c>
      <c r="O1282" t="s">
        <v>110</v>
      </c>
      <c r="P1282">
        <v>170</v>
      </c>
      <c r="Q1282" s="17">
        <v>44030.447795717591</v>
      </c>
      <c r="R1282" t="s">
        <v>126</v>
      </c>
    </row>
    <row r="1283" spans="1:18" x14ac:dyDescent="0.3">
      <c r="A1283">
        <v>9681636</v>
      </c>
      <c r="B1283" t="s">
        <v>72</v>
      </c>
      <c r="C1283">
        <v>1325741</v>
      </c>
      <c r="D1283" t="s">
        <v>108</v>
      </c>
      <c r="E1283">
        <v>845</v>
      </c>
      <c r="F1283">
        <v>845</v>
      </c>
      <c r="G1283" t="s">
        <v>130</v>
      </c>
      <c r="H1283" t="s">
        <v>229</v>
      </c>
      <c r="I1283" t="s">
        <v>84</v>
      </c>
      <c r="J1283" t="s">
        <v>85</v>
      </c>
      <c r="K1283" t="s">
        <v>87</v>
      </c>
      <c r="L1283" s="25">
        <v>44030</v>
      </c>
      <c r="M1283">
        <v>7</v>
      </c>
      <c r="N1283">
        <v>2020</v>
      </c>
      <c r="O1283" t="s">
        <v>110</v>
      </c>
      <c r="P1283">
        <v>170</v>
      </c>
      <c r="Q1283" s="17">
        <v>44030.25179386574</v>
      </c>
      <c r="R1283" t="s">
        <v>126</v>
      </c>
    </row>
    <row r="1284" spans="1:18" x14ac:dyDescent="0.3">
      <c r="A1284">
        <v>241537</v>
      </c>
      <c r="B1284" t="s">
        <v>78</v>
      </c>
      <c r="C1284">
        <v>1322380</v>
      </c>
      <c r="D1284" t="s">
        <v>78</v>
      </c>
      <c r="E1284" t="s">
        <v>26</v>
      </c>
      <c r="F1284" t="s">
        <v>26</v>
      </c>
      <c r="G1284" t="s">
        <v>137</v>
      </c>
      <c r="H1284" t="s">
        <v>245</v>
      </c>
      <c r="I1284" t="s">
        <v>78</v>
      </c>
      <c r="J1284" t="s">
        <v>42</v>
      </c>
      <c r="K1284" t="s">
        <v>83</v>
      </c>
      <c r="L1284" s="25">
        <v>44030</v>
      </c>
      <c r="M1284">
        <v>7</v>
      </c>
      <c r="N1284">
        <v>2020</v>
      </c>
      <c r="O1284" t="s">
        <v>110</v>
      </c>
      <c r="P1284">
        <v>170</v>
      </c>
      <c r="Q1284" s="17">
        <v>44030.487816550929</v>
      </c>
      <c r="R1284" t="s">
        <v>126</v>
      </c>
    </row>
    <row r="1285" spans="1:18" x14ac:dyDescent="0.3">
      <c r="A1285">
        <v>9685883</v>
      </c>
      <c r="B1285" t="s">
        <v>78</v>
      </c>
      <c r="C1285">
        <v>1328732</v>
      </c>
      <c r="D1285" t="s">
        <v>78</v>
      </c>
      <c r="E1285">
        <v>820</v>
      </c>
      <c r="F1285">
        <v>820</v>
      </c>
      <c r="G1285" t="s">
        <v>136</v>
      </c>
      <c r="H1285" t="s">
        <v>249</v>
      </c>
      <c r="I1285" t="s">
        <v>78</v>
      </c>
      <c r="J1285" t="s">
        <v>42</v>
      </c>
      <c r="K1285" t="s">
        <v>83</v>
      </c>
      <c r="L1285" s="25">
        <v>44030</v>
      </c>
      <c r="M1285">
        <v>7</v>
      </c>
      <c r="N1285">
        <v>2020</v>
      </c>
      <c r="O1285" t="s">
        <v>110</v>
      </c>
      <c r="P1285">
        <v>170</v>
      </c>
      <c r="Q1285" s="17">
        <v>44030.434164120372</v>
      </c>
      <c r="R1285" t="s">
        <v>126</v>
      </c>
    </row>
    <row r="1286" spans="1:18" x14ac:dyDescent="0.3">
      <c r="A1286">
        <v>9680162</v>
      </c>
      <c r="B1286" t="s">
        <v>78</v>
      </c>
      <c r="C1286">
        <v>1321244</v>
      </c>
      <c r="D1286" t="s">
        <v>78</v>
      </c>
      <c r="E1286" t="s">
        <v>26</v>
      </c>
      <c r="F1286" t="s">
        <v>26</v>
      </c>
      <c r="G1286" t="s">
        <v>137</v>
      </c>
      <c r="H1286" t="s">
        <v>245</v>
      </c>
      <c r="I1286" t="s">
        <v>78</v>
      </c>
      <c r="J1286" t="s">
        <v>42</v>
      </c>
      <c r="K1286" t="s">
        <v>83</v>
      </c>
      <c r="L1286" s="25">
        <v>44030</v>
      </c>
      <c r="M1286">
        <v>7</v>
      </c>
      <c r="N1286">
        <v>2020</v>
      </c>
      <c r="O1286" t="s">
        <v>110</v>
      </c>
      <c r="P1286">
        <v>170</v>
      </c>
      <c r="Q1286" s="17">
        <v>44030.460415162037</v>
      </c>
      <c r="R1286" t="s">
        <v>126</v>
      </c>
    </row>
    <row r="1287" spans="1:18" x14ac:dyDescent="0.3">
      <c r="A1287">
        <v>9688672</v>
      </c>
      <c r="B1287" t="s">
        <v>78</v>
      </c>
      <c r="C1287">
        <v>1330736</v>
      </c>
      <c r="D1287" t="s">
        <v>78</v>
      </c>
      <c r="E1287">
        <v>845</v>
      </c>
      <c r="F1287">
        <v>845</v>
      </c>
      <c r="G1287" t="s">
        <v>130</v>
      </c>
      <c r="H1287" t="s">
        <v>105</v>
      </c>
      <c r="I1287" t="s">
        <v>78</v>
      </c>
      <c r="J1287" t="s">
        <v>42</v>
      </c>
      <c r="K1287" t="s">
        <v>87</v>
      </c>
      <c r="L1287" s="25">
        <v>44030</v>
      </c>
      <c r="M1287">
        <v>7</v>
      </c>
      <c r="N1287">
        <v>2020</v>
      </c>
      <c r="O1287" t="s">
        <v>110</v>
      </c>
      <c r="P1287">
        <v>170</v>
      </c>
      <c r="Q1287" s="17">
        <v>44030.42341909722</v>
      </c>
      <c r="R1287" t="s">
        <v>126</v>
      </c>
    </row>
    <row r="1288" spans="1:18" x14ac:dyDescent="0.3">
      <c r="A1288">
        <v>244564</v>
      </c>
      <c r="B1288" t="s">
        <v>78</v>
      </c>
      <c r="C1288">
        <v>1330003</v>
      </c>
      <c r="D1288" t="s">
        <v>78</v>
      </c>
      <c r="E1288" t="s">
        <v>182</v>
      </c>
      <c r="F1288" t="s">
        <v>17</v>
      </c>
      <c r="G1288" t="s">
        <v>183</v>
      </c>
      <c r="H1288" t="s">
        <v>134</v>
      </c>
      <c r="I1288" t="s">
        <v>78</v>
      </c>
      <c r="J1288" t="s">
        <v>42</v>
      </c>
      <c r="K1288" t="s">
        <v>87</v>
      </c>
      <c r="L1288" s="25">
        <v>44030</v>
      </c>
      <c r="M1288">
        <v>7</v>
      </c>
      <c r="N1288">
        <v>2020</v>
      </c>
      <c r="O1288" t="s">
        <v>110</v>
      </c>
      <c r="P1288">
        <v>170</v>
      </c>
      <c r="Q1288" s="17">
        <v>44030.484939467591</v>
      </c>
      <c r="R1288" t="s">
        <v>126</v>
      </c>
    </row>
    <row r="1289" spans="1:18" x14ac:dyDescent="0.3">
      <c r="A1289">
        <v>9686259</v>
      </c>
      <c r="B1289" t="s">
        <v>80</v>
      </c>
      <c r="C1289">
        <v>1329668</v>
      </c>
      <c r="D1289" t="s">
        <v>113</v>
      </c>
      <c r="E1289" t="s">
        <v>146</v>
      </c>
      <c r="F1289" t="s">
        <v>17</v>
      </c>
      <c r="G1289" t="s">
        <v>153</v>
      </c>
      <c r="H1289" t="s">
        <v>232</v>
      </c>
      <c r="I1289" t="s">
        <v>84</v>
      </c>
      <c r="J1289" t="s">
        <v>85</v>
      </c>
      <c r="K1289" t="s">
        <v>87</v>
      </c>
      <c r="L1289" s="25">
        <v>44030</v>
      </c>
      <c r="M1289">
        <v>7</v>
      </c>
      <c r="N1289">
        <v>2020</v>
      </c>
      <c r="O1289" t="s">
        <v>110</v>
      </c>
      <c r="P1289">
        <v>170</v>
      </c>
      <c r="Q1289" s="17">
        <v>44030.450809953705</v>
      </c>
      <c r="R1289" t="s">
        <v>126</v>
      </c>
    </row>
    <row r="1290" spans="1:18" x14ac:dyDescent="0.3">
      <c r="A1290">
        <v>9685580</v>
      </c>
      <c r="B1290" t="s">
        <v>72</v>
      </c>
      <c r="C1290">
        <v>1329582</v>
      </c>
      <c r="D1290" t="s">
        <v>108</v>
      </c>
      <c r="E1290">
        <v>4138</v>
      </c>
      <c r="F1290" t="s">
        <v>17</v>
      </c>
      <c r="G1290" t="s">
        <v>129</v>
      </c>
      <c r="H1290" t="s">
        <v>263</v>
      </c>
      <c r="I1290" t="s">
        <v>82</v>
      </c>
      <c r="J1290" t="s">
        <v>42</v>
      </c>
      <c r="K1290" t="s">
        <v>87</v>
      </c>
      <c r="L1290" s="25">
        <v>44030</v>
      </c>
      <c r="M1290">
        <v>7</v>
      </c>
      <c r="N1290">
        <v>2020</v>
      </c>
      <c r="O1290" t="s">
        <v>110</v>
      </c>
      <c r="P1290">
        <v>170</v>
      </c>
      <c r="Q1290" s="17">
        <v>44030.427089236109</v>
      </c>
      <c r="R1290" t="s">
        <v>126</v>
      </c>
    </row>
    <row r="1291" spans="1:18" x14ac:dyDescent="0.3">
      <c r="A1291">
        <v>9686924</v>
      </c>
      <c r="B1291" t="s">
        <v>80</v>
      </c>
      <c r="C1291">
        <v>1329817</v>
      </c>
      <c r="D1291" t="s">
        <v>113</v>
      </c>
      <c r="E1291" t="s">
        <v>146</v>
      </c>
      <c r="F1291" t="s">
        <v>17</v>
      </c>
      <c r="G1291" t="s">
        <v>153</v>
      </c>
      <c r="H1291" t="s">
        <v>232</v>
      </c>
      <c r="I1291" t="s">
        <v>84</v>
      </c>
      <c r="J1291" t="s">
        <v>85</v>
      </c>
      <c r="K1291" t="s">
        <v>87</v>
      </c>
      <c r="L1291" s="25">
        <v>44030</v>
      </c>
      <c r="M1291">
        <v>7</v>
      </c>
      <c r="N1291">
        <v>2020</v>
      </c>
      <c r="O1291" t="s">
        <v>110</v>
      </c>
      <c r="P1291">
        <v>170</v>
      </c>
      <c r="Q1291" s="17">
        <v>44030.479189699072</v>
      </c>
      <c r="R1291" t="s">
        <v>126</v>
      </c>
    </row>
    <row r="1292" spans="1:18" x14ac:dyDescent="0.3">
      <c r="A1292">
        <v>9686261</v>
      </c>
      <c r="B1292" t="s">
        <v>80</v>
      </c>
      <c r="C1292">
        <v>1329671</v>
      </c>
      <c r="D1292" t="s">
        <v>113</v>
      </c>
      <c r="E1292" t="s">
        <v>146</v>
      </c>
      <c r="F1292" t="s">
        <v>17</v>
      </c>
      <c r="G1292" t="s">
        <v>153</v>
      </c>
      <c r="H1292" t="s">
        <v>232</v>
      </c>
      <c r="I1292" t="s">
        <v>84</v>
      </c>
      <c r="J1292" t="s">
        <v>85</v>
      </c>
      <c r="K1292" t="s">
        <v>87</v>
      </c>
      <c r="L1292" s="25">
        <v>44030</v>
      </c>
      <c r="M1292">
        <v>7</v>
      </c>
      <c r="N1292">
        <v>2020</v>
      </c>
      <c r="O1292" t="s">
        <v>110</v>
      </c>
      <c r="P1292">
        <v>170</v>
      </c>
      <c r="Q1292" s="17">
        <v>44030.458621180558</v>
      </c>
      <c r="R1292" t="s">
        <v>126</v>
      </c>
    </row>
    <row r="1293" spans="1:18" x14ac:dyDescent="0.3">
      <c r="A1293">
        <v>9686846</v>
      </c>
      <c r="B1293" t="s">
        <v>80</v>
      </c>
      <c r="C1293">
        <v>1329714</v>
      </c>
      <c r="D1293" t="s">
        <v>113</v>
      </c>
      <c r="E1293" t="s">
        <v>146</v>
      </c>
      <c r="F1293" t="s">
        <v>17</v>
      </c>
      <c r="G1293" t="s">
        <v>153</v>
      </c>
      <c r="H1293" t="s">
        <v>232</v>
      </c>
      <c r="I1293" t="s">
        <v>84</v>
      </c>
      <c r="J1293" t="s">
        <v>85</v>
      </c>
      <c r="K1293" t="s">
        <v>87</v>
      </c>
      <c r="L1293" s="25">
        <v>44030</v>
      </c>
      <c r="M1293">
        <v>7</v>
      </c>
      <c r="N1293">
        <v>2020</v>
      </c>
      <c r="O1293" t="s">
        <v>110</v>
      </c>
      <c r="P1293">
        <v>170</v>
      </c>
      <c r="Q1293" s="17">
        <v>44030.455949074072</v>
      </c>
      <c r="R1293" t="s">
        <v>126</v>
      </c>
    </row>
    <row r="1294" spans="1:18" x14ac:dyDescent="0.3">
      <c r="A1294">
        <v>9686342</v>
      </c>
      <c r="B1294" t="s">
        <v>78</v>
      </c>
      <c r="C1294">
        <v>1329728</v>
      </c>
      <c r="D1294" t="s">
        <v>78</v>
      </c>
      <c r="E1294">
        <v>845</v>
      </c>
      <c r="F1294">
        <v>845</v>
      </c>
      <c r="G1294" t="s">
        <v>130</v>
      </c>
      <c r="H1294" t="s">
        <v>105</v>
      </c>
      <c r="I1294" t="s">
        <v>78</v>
      </c>
      <c r="J1294" t="s">
        <v>42</v>
      </c>
      <c r="K1294" t="s">
        <v>87</v>
      </c>
      <c r="L1294" s="25">
        <v>44030</v>
      </c>
      <c r="M1294">
        <v>7</v>
      </c>
      <c r="N1294">
        <v>2020</v>
      </c>
      <c r="O1294" t="s">
        <v>110</v>
      </c>
      <c r="P1294">
        <v>170</v>
      </c>
      <c r="Q1294" s="17">
        <v>44030.446767824076</v>
      </c>
      <c r="R1294" t="s">
        <v>126</v>
      </c>
    </row>
    <row r="1295" spans="1:18" x14ac:dyDescent="0.3">
      <c r="A1295">
        <v>9686682</v>
      </c>
      <c r="B1295" t="s">
        <v>72</v>
      </c>
      <c r="C1295">
        <v>1329871</v>
      </c>
      <c r="D1295" t="s">
        <v>108</v>
      </c>
      <c r="E1295" t="s">
        <v>161</v>
      </c>
      <c r="F1295" t="s">
        <v>17</v>
      </c>
      <c r="G1295" t="s">
        <v>162</v>
      </c>
      <c r="H1295" t="s">
        <v>263</v>
      </c>
      <c r="I1295" t="s">
        <v>82</v>
      </c>
      <c r="J1295" t="s">
        <v>42</v>
      </c>
      <c r="K1295" t="s">
        <v>87</v>
      </c>
      <c r="L1295" s="25">
        <v>44030</v>
      </c>
      <c r="M1295">
        <v>7</v>
      </c>
      <c r="N1295">
        <v>2020</v>
      </c>
      <c r="O1295" t="s">
        <v>110</v>
      </c>
      <c r="P1295">
        <v>170</v>
      </c>
      <c r="Q1295" s="17">
        <v>44030.478380208333</v>
      </c>
      <c r="R1295" t="s">
        <v>126</v>
      </c>
    </row>
    <row r="1296" spans="1:18" x14ac:dyDescent="0.3">
      <c r="A1296">
        <v>9685757</v>
      </c>
      <c r="B1296" t="s">
        <v>72</v>
      </c>
      <c r="C1296">
        <v>1329528</v>
      </c>
      <c r="D1296" t="s">
        <v>108</v>
      </c>
      <c r="E1296">
        <v>820</v>
      </c>
      <c r="F1296">
        <v>820</v>
      </c>
      <c r="G1296" t="s">
        <v>136</v>
      </c>
      <c r="H1296" t="s">
        <v>270</v>
      </c>
      <c r="I1296" t="s">
        <v>82</v>
      </c>
      <c r="J1296" t="s">
        <v>42</v>
      </c>
      <c r="K1296" t="s">
        <v>83</v>
      </c>
      <c r="L1296" s="25">
        <v>44030</v>
      </c>
      <c r="M1296">
        <v>7</v>
      </c>
      <c r="N1296">
        <v>2020</v>
      </c>
      <c r="O1296" t="s">
        <v>110</v>
      </c>
      <c r="P1296">
        <v>170</v>
      </c>
      <c r="Q1296" s="17">
        <v>44030.47575474537</v>
      </c>
      <c r="R1296" t="s">
        <v>126</v>
      </c>
    </row>
    <row r="1297" spans="1:18" x14ac:dyDescent="0.3">
      <c r="A1297">
        <v>241474</v>
      </c>
      <c r="B1297" t="s">
        <v>72</v>
      </c>
      <c r="C1297">
        <v>1322094</v>
      </c>
      <c r="D1297" t="s">
        <v>108</v>
      </c>
      <c r="E1297" t="s">
        <v>124</v>
      </c>
      <c r="F1297" t="s">
        <v>17</v>
      </c>
      <c r="G1297" t="s">
        <v>125</v>
      </c>
      <c r="H1297" t="s">
        <v>263</v>
      </c>
      <c r="I1297" t="s">
        <v>82</v>
      </c>
      <c r="J1297" t="s">
        <v>42</v>
      </c>
      <c r="K1297" t="s">
        <v>87</v>
      </c>
      <c r="L1297" s="25">
        <v>44030</v>
      </c>
      <c r="M1297">
        <v>7</v>
      </c>
      <c r="N1297">
        <v>2020</v>
      </c>
      <c r="O1297" t="s">
        <v>110</v>
      </c>
      <c r="P1297">
        <v>170</v>
      </c>
      <c r="Q1297" s="17">
        <v>44030.493528240739</v>
      </c>
      <c r="R1297" t="s">
        <v>126</v>
      </c>
    </row>
    <row r="1298" spans="1:18" x14ac:dyDescent="0.3">
      <c r="A1298">
        <v>9687670</v>
      </c>
      <c r="B1298" t="s">
        <v>78</v>
      </c>
      <c r="C1298">
        <v>1330607</v>
      </c>
      <c r="D1298" t="s">
        <v>78</v>
      </c>
      <c r="E1298">
        <v>820</v>
      </c>
      <c r="F1298">
        <v>820</v>
      </c>
      <c r="G1298" t="s">
        <v>136</v>
      </c>
      <c r="H1298" t="s">
        <v>249</v>
      </c>
      <c r="I1298" t="s">
        <v>78</v>
      </c>
      <c r="J1298" t="s">
        <v>42</v>
      </c>
      <c r="K1298" t="s">
        <v>83</v>
      </c>
      <c r="L1298" s="25">
        <v>44030</v>
      </c>
      <c r="M1298">
        <v>7</v>
      </c>
      <c r="N1298">
        <v>2020</v>
      </c>
      <c r="O1298" t="s">
        <v>110</v>
      </c>
      <c r="P1298">
        <v>170</v>
      </c>
      <c r="Q1298" s="17">
        <v>44030.494689699073</v>
      </c>
      <c r="R1298" t="s">
        <v>126</v>
      </c>
    </row>
    <row r="1299" spans="1:18" x14ac:dyDescent="0.3">
      <c r="A1299">
        <v>9686881</v>
      </c>
      <c r="B1299" t="s">
        <v>80</v>
      </c>
      <c r="C1299">
        <v>1329803</v>
      </c>
      <c r="D1299" t="s">
        <v>113</v>
      </c>
      <c r="E1299" t="s">
        <v>146</v>
      </c>
      <c r="F1299" t="s">
        <v>17</v>
      </c>
      <c r="G1299" t="s">
        <v>153</v>
      </c>
      <c r="H1299" t="s">
        <v>232</v>
      </c>
      <c r="I1299" t="s">
        <v>84</v>
      </c>
      <c r="J1299" t="s">
        <v>85</v>
      </c>
      <c r="K1299" t="s">
        <v>87</v>
      </c>
      <c r="L1299" s="25">
        <v>44030</v>
      </c>
      <c r="M1299">
        <v>7</v>
      </c>
      <c r="N1299">
        <v>2020</v>
      </c>
      <c r="O1299" t="s">
        <v>110</v>
      </c>
      <c r="P1299">
        <v>170</v>
      </c>
      <c r="Q1299" s="17">
        <v>44030.480063194445</v>
      </c>
      <c r="R1299" t="s">
        <v>126</v>
      </c>
    </row>
    <row r="1300" spans="1:18" x14ac:dyDescent="0.3">
      <c r="A1300">
        <v>241565</v>
      </c>
      <c r="B1300" t="s">
        <v>78</v>
      </c>
      <c r="C1300">
        <v>1320929</v>
      </c>
      <c r="D1300" t="s">
        <v>78</v>
      </c>
      <c r="E1300" t="s">
        <v>26</v>
      </c>
      <c r="F1300" t="s">
        <v>26</v>
      </c>
      <c r="G1300" t="s">
        <v>137</v>
      </c>
      <c r="H1300" t="s">
        <v>245</v>
      </c>
      <c r="I1300" t="s">
        <v>78</v>
      </c>
      <c r="J1300" t="s">
        <v>42</v>
      </c>
      <c r="K1300" t="s">
        <v>83</v>
      </c>
      <c r="L1300" s="25">
        <v>44030</v>
      </c>
      <c r="M1300">
        <v>7</v>
      </c>
      <c r="N1300">
        <v>2020</v>
      </c>
      <c r="O1300" t="s">
        <v>110</v>
      </c>
      <c r="P1300">
        <v>170</v>
      </c>
      <c r="Q1300" s="17">
        <v>44030.451221064817</v>
      </c>
      <c r="R1300" t="s">
        <v>126</v>
      </c>
    </row>
    <row r="1301" spans="1:18" x14ac:dyDescent="0.3">
      <c r="A1301">
        <v>9686133</v>
      </c>
      <c r="B1301" t="s">
        <v>78</v>
      </c>
      <c r="C1301">
        <v>1329396</v>
      </c>
      <c r="D1301" t="s">
        <v>78</v>
      </c>
      <c r="E1301" t="s">
        <v>12</v>
      </c>
      <c r="F1301" t="s">
        <v>12</v>
      </c>
      <c r="G1301" t="s">
        <v>135</v>
      </c>
      <c r="H1301" t="s">
        <v>251</v>
      </c>
      <c r="I1301" t="s">
        <v>78</v>
      </c>
      <c r="J1301" t="s">
        <v>42</v>
      </c>
      <c r="K1301" t="s">
        <v>83</v>
      </c>
      <c r="L1301" s="25">
        <v>44030</v>
      </c>
      <c r="M1301">
        <v>7</v>
      </c>
      <c r="N1301">
        <v>2020</v>
      </c>
      <c r="O1301" t="s">
        <v>110</v>
      </c>
      <c r="P1301">
        <v>170</v>
      </c>
      <c r="Q1301" s="17">
        <v>44030.43839826389</v>
      </c>
      <c r="R1301" t="s">
        <v>126</v>
      </c>
    </row>
    <row r="1302" spans="1:18" x14ac:dyDescent="0.3">
      <c r="A1302">
        <v>9685727</v>
      </c>
      <c r="B1302" t="s">
        <v>78</v>
      </c>
      <c r="C1302">
        <v>1328778</v>
      </c>
      <c r="D1302" t="s">
        <v>78</v>
      </c>
      <c r="E1302">
        <v>820</v>
      </c>
      <c r="F1302">
        <v>820</v>
      </c>
      <c r="G1302" t="s">
        <v>136</v>
      </c>
      <c r="H1302" t="s">
        <v>249</v>
      </c>
      <c r="I1302" t="s">
        <v>78</v>
      </c>
      <c r="J1302" t="s">
        <v>42</v>
      </c>
      <c r="K1302" t="s">
        <v>83</v>
      </c>
      <c r="L1302" s="25">
        <v>44030</v>
      </c>
      <c r="M1302">
        <v>7</v>
      </c>
      <c r="N1302">
        <v>2020</v>
      </c>
      <c r="O1302" t="s">
        <v>110</v>
      </c>
      <c r="P1302">
        <v>170</v>
      </c>
      <c r="Q1302" s="17">
        <v>44030.435560995371</v>
      </c>
      <c r="R1302" t="s">
        <v>126</v>
      </c>
    </row>
    <row r="1303" spans="1:18" x14ac:dyDescent="0.3">
      <c r="A1303">
        <v>9687404</v>
      </c>
      <c r="B1303" t="s">
        <v>72</v>
      </c>
      <c r="C1303">
        <v>1330246</v>
      </c>
      <c r="D1303" t="s">
        <v>108</v>
      </c>
      <c r="E1303" t="s">
        <v>168</v>
      </c>
      <c r="F1303" t="s">
        <v>17</v>
      </c>
      <c r="G1303" t="s">
        <v>169</v>
      </c>
      <c r="H1303" t="s">
        <v>263</v>
      </c>
      <c r="I1303" t="s">
        <v>82</v>
      </c>
      <c r="J1303" t="s">
        <v>42</v>
      </c>
      <c r="K1303" t="s">
        <v>87</v>
      </c>
      <c r="L1303" s="25">
        <v>44030</v>
      </c>
      <c r="M1303">
        <v>7</v>
      </c>
      <c r="N1303">
        <v>2020</v>
      </c>
      <c r="O1303" t="s">
        <v>110</v>
      </c>
      <c r="P1303">
        <v>170</v>
      </c>
      <c r="Q1303" s="17">
        <v>44030.494074768518</v>
      </c>
      <c r="R1303" t="s">
        <v>126</v>
      </c>
    </row>
    <row r="1304" spans="1:18" x14ac:dyDescent="0.3">
      <c r="A1304">
        <v>9677951</v>
      </c>
      <c r="B1304" t="s">
        <v>80</v>
      </c>
      <c r="C1304">
        <v>1317703</v>
      </c>
      <c r="D1304" t="s">
        <v>113</v>
      </c>
      <c r="E1304">
        <v>966</v>
      </c>
      <c r="F1304">
        <v>966</v>
      </c>
      <c r="G1304" t="s">
        <v>139</v>
      </c>
      <c r="H1304" t="s">
        <v>257</v>
      </c>
      <c r="I1304" t="s">
        <v>82</v>
      </c>
      <c r="J1304" t="s">
        <v>42</v>
      </c>
      <c r="K1304" t="s">
        <v>87</v>
      </c>
      <c r="L1304" s="25">
        <v>44030</v>
      </c>
      <c r="M1304">
        <v>7</v>
      </c>
      <c r="N1304">
        <v>2020</v>
      </c>
      <c r="O1304" t="s">
        <v>110</v>
      </c>
      <c r="P1304">
        <v>170</v>
      </c>
      <c r="Q1304" s="17">
        <v>44030.422521643515</v>
      </c>
      <c r="R1304" t="s">
        <v>126</v>
      </c>
    </row>
    <row r="1305" spans="1:18" x14ac:dyDescent="0.3">
      <c r="A1305">
        <v>21526115</v>
      </c>
      <c r="B1305" t="s">
        <v>78</v>
      </c>
      <c r="C1305">
        <v>1323205</v>
      </c>
      <c r="D1305" t="s">
        <v>78</v>
      </c>
      <c r="E1305">
        <v>966</v>
      </c>
      <c r="F1305">
        <v>966</v>
      </c>
      <c r="G1305" t="s">
        <v>139</v>
      </c>
      <c r="H1305" t="s">
        <v>257</v>
      </c>
      <c r="I1305" t="s">
        <v>78</v>
      </c>
      <c r="J1305" t="s">
        <v>42</v>
      </c>
      <c r="K1305" t="s">
        <v>87</v>
      </c>
      <c r="L1305" s="25">
        <v>44030</v>
      </c>
      <c r="M1305">
        <v>7</v>
      </c>
      <c r="N1305">
        <v>2020</v>
      </c>
      <c r="O1305" t="s">
        <v>110</v>
      </c>
      <c r="P1305">
        <v>170</v>
      </c>
      <c r="Q1305" s="17">
        <v>44030.471581134261</v>
      </c>
      <c r="R1305" t="s">
        <v>126</v>
      </c>
    </row>
    <row r="1306" spans="1:18" x14ac:dyDescent="0.3">
      <c r="A1306">
        <v>9664845</v>
      </c>
      <c r="B1306" t="s">
        <v>72</v>
      </c>
      <c r="C1306">
        <v>1327063</v>
      </c>
      <c r="D1306" t="s">
        <v>108</v>
      </c>
      <c r="E1306" t="s">
        <v>26</v>
      </c>
      <c r="F1306" t="s">
        <v>26</v>
      </c>
      <c r="G1306" t="s">
        <v>137</v>
      </c>
      <c r="H1306" t="s">
        <v>229</v>
      </c>
      <c r="I1306" t="s">
        <v>84</v>
      </c>
      <c r="J1306" t="s">
        <v>85</v>
      </c>
      <c r="K1306" t="s">
        <v>83</v>
      </c>
      <c r="L1306" s="25">
        <v>44030</v>
      </c>
      <c r="M1306">
        <v>7</v>
      </c>
      <c r="N1306">
        <v>2020</v>
      </c>
      <c r="O1306" t="s">
        <v>110</v>
      </c>
      <c r="P1306">
        <v>170</v>
      </c>
      <c r="Q1306" s="17">
        <v>44030.288953356481</v>
      </c>
      <c r="R1306" t="s">
        <v>126</v>
      </c>
    </row>
    <row r="1307" spans="1:18" x14ac:dyDescent="0.3">
      <c r="A1307">
        <v>9685072</v>
      </c>
      <c r="B1307" t="s">
        <v>72</v>
      </c>
      <c r="C1307">
        <v>1329196</v>
      </c>
      <c r="D1307" t="s">
        <v>108</v>
      </c>
      <c r="E1307">
        <v>820</v>
      </c>
      <c r="F1307">
        <v>820</v>
      </c>
      <c r="G1307" t="s">
        <v>136</v>
      </c>
      <c r="H1307" t="s">
        <v>262</v>
      </c>
      <c r="I1307" t="s">
        <v>82</v>
      </c>
      <c r="J1307" t="s">
        <v>42</v>
      </c>
      <c r="K1307" t="s">
        <v>83</v>
      </c>
      <c r="L1307" s="25">
        <v>44030</v>
      </c>
      <c r="M1307">
        <v>7</v>
      </c>
      <c r="N1307">
        <v>2020</v>
      </c>
      <c r="O1307" t="s">
        <v>110</v>
      </c>
      <c r="P1307">
        <v>170</v>
      </c>
      <c r="Q1307" s="17">
        <v>44030.450012037036</v>
      </c>
      <c r="R1307" t="s">
        <v>126</v>
      </c>
    </row>
    <row r="1308" spans="1:18" x14ac:dyDescent="0.3">
      <c r="A1308">
        <v>9687699</v>
      </c>
      <c r="B1308" t="s">
        <v>78</v>
      </c>
      <c r="C1308">
        <v>1330650</v>
      </c>
      <c r="D1308" t="s">
        <v>78</v>
      </c>
      <c r="E1308">
        <v>820</v>
      </c>
      <c r="F1308">
        <v>820</v>
      </c>
      <c r="G1308" t="s">
        <v>136</v>
      </c>
      <c r="H1308" t="s">
        <v>249</v>
      </c>
      <c r="I1308" t="s">
        <v>78</v>
      </c>
      <c r="J1308" t="s">
        <v>42</v>
      </c>
      <c r="K1308" t="s">
        <v>83</v>
      </c>
      <c r="L1308" s="25">
        <v>44030</v>
      </c>
      <c r="M1308">
        <v>7</v>
      </c>
      <c r="N1308">
        <v>2020</v>
      </c>
      <c r="O1308" t="s">
        <v>110</v>
      </c>
      <c r="P1308">
        <v>170</v>
      </c>
      <c r="Q1308" s="17">
        <v>44031.118165162035</v>
      </c>
      <c r="R1308" t="s">
        <v>126</v>
      </c>
    </row>
    <row r="1309" spans="1:18" x14ac:dyDescent="0.3">
      <c r="A1309">
        <v>242660</v>
      </c>
      <c r="B1309" t="s">
        <v>72</v>
      </c>
      <c r="C1309">
        <v>1325770</v>
      </c>
      <c r="D1309" t="s">
        <v>108</v>
      </c>
      <c r="E1309">
        <v>966</v>
      </c>
      <c r="F1309">
        <v>966</v>
      </c>
      <c r="G1309" t="s">
        <v>139</v>
      </c>
      <c r="H1309" t="s">
        <v>229</v>
      </c>
      <c r="I1309" t="s">
        <v>84</v>
      </c>
      <c r="J1309" t="s">
        <v>85</v>
      </c>
      <c r="K1309" t="s">
        <v>87</v>
      </c>
      <c r="L1309" s="25">
        <v>44030</v>
      </c>
      <c r="M1309">
        <v>7</v>
      </c>
      <c r="N1309">
        <v>2020</v>
      </c>
      <c r="O1309" t="s">
        <v>110</v>
      </c>
      <c r="P1309">
        <v>170</v>
      </c>
      <c r="Q1309" s="17">
        <v>44030.484669212965</v>
      </c>
      <c r="R1309" t="s">
        <v>126</v>
      </c>
    </row>
    <row r="1310" spans="1:18" x14ac:dyDescent="0.3">
      <c r="A1310">
        <v>9686922</v>
      </c>
      <c r="B1310" t="s">
        <v>80</v>
      </c>
      <c r="C1310">
        <v>1329816</v>
      </c>
      <c r="D1310" t="s">
        <v>113</v>
      </c>
      <c r="E1310" t="s">
        <v>146</v>
      </c>
      <c r="F1310" t="s">
        <v>17</v>
      </c>
      <c r="G1310" t="s">
        <v>153</v>
      </c>
      <c r="H1310" t="s">
        <v>232</v>
      </c>
      <c r="I1310" t="s">
        <v>84</v>
      </c>
      <c r="J1310" t="s">
        <v>85</v>
      </c>
      <c r="K1310" t="s">
        <v>87</v>
      </c>
      <c r="L1310" s="25">
        <v>44030</v>
      </c>
      <c r="M1310">
        <v>7</v>
      </c>
      <c r="N1310">
        <v>2020</v>
      </c>
      <c r="O1310" t="s">
        <v>110</v>
      </c>
      <c r="P1310">
        <v>170</v>
      </c>
      <c r="Q1310" s="17">
        <v>44030.484001504628</v>
      </c>
      <c r="R1310" t="s">
        <v>126</v>
      </c>
    </row>
    <row r="1311" spans="1:18" x14ac:dyDescent="0.3">
      <c r="A1311">
        <v>9686696</v>
      </c>
      <c r="B1311" t="s">
        <v>80</v>
      </c>
      <c r="C1311">
        <v>1329716</v>
      </c>
      <c r="D1311" t="s">
        <v>113</v>
      </c>
      <c r="E1311" t="s">
        <v>146</v>
      </c>
      <c r="F1311" t="s">
        <v>17</v>
      </c>
      <c r="G1311" t="s">
        <v>153</v>
      </c>
      <c r="H1311" t="s">
        <v>232</v>
      </c>
      <c r="I1311" t="s">
        <v>84</v>
      </c>
      <c r="J1311" t="s">
        <v>85</v>
      </c>
      <c r="K1311" t="s">
        <v>87</v>
      </c>
      <c r="L1311" s="25">
        <v>44030</v>
      </c>
      <c r="M1311">
        <v>7</v>
      </c>
      <c r="N1311">
        <v>2020</v>
      </c>
      <c r="O1311" t="s">
        <v>110</v>
      </c>
      <c r="P1311">
        <v>170</v>
      </c>
      <c r="Q1311" s="17">
        <v>44030.456508101852</v>
      </c>
      <c r="R1311" t="s">
        <v>126</v>
      </c>
    </row>
    <row r="1312" spans="1:18" x14ac:dyDescent="0.3">
      <c r="A1312">
        <v>9683727</v>
      </c>
      <c r="B1312" t="s">
        <v>72</v>
      </c>
      <c r="C1312">
        <v>1331388</v>
      </c>
      <c r="D1312" t="s">
        <v>108</v>
      </c>
      <c r="E1312" t="s">
        <v>26</v>
      </c>
      <c r="F1312" t="s">
        <v>26</v>
      </c>
      <c r="G1312" t="s">
        <v>137</v>
      </c>
      <c r="H1312" t="s">
        <v>229</v>
      </c>
      <c r="I1312" t="s">
        <v>84</v>
      </c>
      <c r="J1312" t="s">
        <v>85</v>
      </c>
      <c r="K1312" t="s">
        <v>83</v>
      </c>
      <c r="L1312" s="25">
        <v>44030</v>
      </c>
      <c r="M1312">
        <v>7</v>
      </c>
      <c r="N1312">
        <v>2020</v>
      </c>
      <c r="O1312" t="s">
        <v>110</v>
      </c>
      <c r="P1312">
        <v>170</v>
      </c>
      <c r="Q1312" s="17">
        <v>44030.379980787038</v>
      </c>
      <c r="R1312" t="s">
        <v>126</v>
      </c>
    </row>
    <row r="1313" spans="1:18" x14ac:dyDescent="0.3">
      <c r="A1313">
        <v>9685935</v>
      </c>
      <c r="B1313" t="s">
        <v>78</v>
      </c>
      <c r="C1313">
        <v>1328780</v>
      </c>
      <c r="D1313" t="s">
        <v>78</v>
      </c>
      <c r="E1313">
        <v>820</v>
      </c>
      <c r="F1313">
        <v>820</v>
      </c>
      <c r="G1313" t="s">
        <v>136</v>
      </c>
      <c r="H1313" t="s">
        <v>249</v>
      </c>
      <c r="I1313" t="s">
        <v>78</v>
      </c>
      <c r="J1313" t="s">
        <v>42</v>
      </c>
      <c r="K1313" t="s">
        <v>83</v>
      </c>
      <c r="L1313" s="25">
        <v>44030</v>
      </c>
      <c r="M1313">
        <v>7</v>
      </c>
      <c r="N1313">
        <v>2020</v>
      </c>
      <c r="O1313" t="s">
        <v>110</v>
      </c>
      <c r="P1313">
        <v>170</v>
      </c>
      <c r="Q1313" s="17">
        <v>44030.437333680558</v>
      </c>
      <c r="R1313" t="s">
        <v>126</v>
      </c>
    </row>
    <row r="1314" spans="1:18" x14ac:dyDescent="0.3">
      <c r="A1314">
        <v>9685909</v>
      </c>
      <c r="B1314" t="s">
        <v>78</v>
      </c>
      <c r="C1314">
        <v>1328966</v>
      </c>
      <c r="D1314" t="s">
        <v>78</v>
      </c>
      <c r="E1314">
        <v>820</v>
      </c>
      <c r="F1314">
        <v>820</v>
      </c>
      <c r="G1314" t="s">
        <v>136</v>
      </c>
      <c r="H1314" t="s">
        <v>228</v>
      </c>
      <c r="I1314" t="s">
        <v>78</v>
      </c>
      <c r="J1314" t="s">
        <v>42</v>
      </c>
      <c r="K1314" t="s">
        <v>83</v>
      </c>
      <c r="L1314" s="25">
        <v>44030</v>
      </c>
      <c r="M1314">
        <v>7</v>
      </c>
      <c r="N1314">
        <v>2020</v>
      </c>
      <c r="O1314" t="s">
        <v>110</v>
      </c>
      <c r="P1314">
        <v>170</v>
      </c>
      <c r="Q1314" s="17">
        <v>44030.448560185185</v>
      </c>
      <c r="R1314" t="s">
        <v>126</v>
      </c>
    </row>
    <row r="1315" spans="1:18" x14ac:dyDescent="0.3">
      <c r="A1315">
        <v>9686312</v>
      </c>
      <c r="B1315" t="s">
        <v>79</v>
      </c>
      <c r="C1315">
        <v>1329951</v>
      </c>
      <c r="D1315" t="s">
        <v>116</v>
      </c>
      <c r="E1315" t="s">
        <v>12</v>
      </c>
      <c r="F1315" t="s">
        <v>12</v>
      </c>
      <c r="G1315" t="s">
        <v>135</v>
      </c>
      <c r="H1315" t="s">
        <v>275</v>
      </c>
      <c r="I1315" t="s">
        <v>82</v>
      </c>
      <c r="J1315" t="s">
        <v>42</v>
      </c>
      <c r="K1315" t="s">
        <v>83</v>
      </c>
      <c r="L1315" s="25">
        <v>44030</v>
      </c>
      <c r="M1315">
        <v>7</v>
      </c>
      <c r="N1315">
        <v>2020</v>
      </c>
      <c r="O1315" t="s">
        <v>110</v>
      </c>
      <c r="P1315">
        <v>170</v>
      </c>
      <c r="Q1315" s="17">
        <v>44030.466276967592</v>
      </c>
      <c r="R1315" t="s">
        <v>126</v>
      </c>
    </row>
    <row r="1316" spans="1:18" x14ac:dyDescent="0.3">
      <c r="A1316">
        <v>9687019</v>
      </c>
      <c r="B1316" t="s">
        <v>80</v>
      </c>
      <c r="C1316">
        <v>1330237</v>
      </c>
      <c r="D1316" t="s">
        <v>113</v>
      </c>
      <c r="E1316" t="s">
        <v>146</v>
      </c>
      <c r="F1316" t="s">
        <v>17</v>
      </c>
      <c r="G1316" t="s">
        <v>153</v>
      </c>
      <c r="H1316" t="s">
        <v>232</v>
      </c>
      <c r="I1316" t="s">
        <v>84</v>
      </c>
      <c r="J1316" t="s">
        <v>85</v>
      </c>
      <c r="K1316" t="s">
        <v>87</v>
      </c>
      <c r="L1316" s="25">
        <v>44030</v>
      </c>
      <c r="M1316">
        <v>7</v>
      </c>
      <c r="N1316">
        <v>2020</v>
      </c>
      <c r="O1316" t="s">
        <v>110</v>
      </c>
      <c r="P1316">
        <v>170</v>
      </c>
      <c r="Q1316" s="17">
        <v>44030.493929282406</v>
      </c>
      <c r="R1316" t="s">
        <v>126</v>
      </c>
    </row>
    <row r="1317" spans="1:18" x14ac:dyDescent="0.3">
      <c r="A1317">
        <v>9685792</v>
      </c>
      <c r="B1317" t="s">
        <v>72</v>
      </c>
      <c r="C1317">
        <v>1328680</v>
      </c>
      <c r="D1317" t="s">
        <v>108</v>
      </c>
      <c r="E1317">
        <v>820</v>
      </c>
      <c r="F1317">
        <v>820</v>
      </c>
      <c r="G1317" t="s">
        <v>136</v>
      </c>
      <c r="H1317" t="s">
        <v>270</v>
      </c>
      <c r="I1317" t="s">
        <v>82</v>
      </c>
      <c r="J1317" t="s">
        <v>42</v>
      </c>
      <c r="K1317" t="s">
        <v>83</v>
      </c>
      <c r="L1317" s="25">
        <v>44030</v>
      </c>
      <c r="M1317">
        <v>7</v>
      </c>
      <c r="N1317">
        <v>2020</v>
      </c>
      <c r="O1317" t="s">
        <v>110</v>
      </c>
      <c r="P1317">
        <v>170</v>
      </c>
      <c r="Q1317" s="17">
        <v>44030.424166666664</v>
      </c>
      <c r="R1317" t="s">
        <v>126</v>
      </c>
    </row>
    <row r="1318" spans="1:18" x14ac:dyDescent="0.3">
      <c r="A1318">
        <v>21531123</v>
      </c>
      <c r="B1318" t="s">
        <v>72</v>
      </c>
      <c r="C1318">
        <v>1336268</v>
      </c>
      <c r="D1318" t="s">
        <v>108</v>
      </c>
      <c r="E1318" t="s">
        <v>26</v>
      </c>
      <c r="F1318" t="s">
        <v>26</v>
      </c>
      <c r="G1318" t="s">
        <v>137</v>
      </c>
      <c r="H1318" t="s">
        <v>229</v>
      </c>
      <c r="I1318" t="s">
        <v>84</v>
      </c>
      <c r="J1318" t="s">
        <v>85</v>
      </c>
      <c r="K1318" t="s">
        <v>83</v>
      </c>
      <c r="L1318" s="25">
        <v>44030</v>
      </c>
      <c r="M1318">
        <v>7</v>
      </c>
      <c r="N1318">
        <v>2020</v>
      </c>
      <c r="O1318" t="s">
        <v>110</v>
      </c>
      <c r="P1318">
        <v>170</v>
      </c>
      <c r="Q1318" s="17">
        <v>44031.143703009257</v>
      </c>
      <c r="R1318" t="s">
        <v>126</v>
      </c>
    </row>
    <row r="1319" spans="1:18" x14ac:dyDescent="0.3">
      <c r="A1319">
        <v>9680010</v>
      </c>
      <c r="B1319" t="s">
        <v>72</v>
      </c>
      <c r="C1319">
        <v>1321928</v>
      </c>
      <c r="D1319" t="s">
        <v>108</v>
      </c>
      <c r="E1319">
        <v>966</v>
      </c>
      <c r="F1319">
        <v>966</v>
      </c>
      <c r="G1319" t="s">
        <v>139</v>
      </c>
      <c r="H1319" t="s">
        <v>229</v>
      </c>
      <c r="I1319" t="s">
        <v>84</v>
      </c>
      <c r="J1319" t="s">
        <v>85</v>
      </c>
      <c r="K1319" t="s">
        <v>87</v>
      </c>
      <c r="L1319" s="25">
        <v>44030</v>
      </c>
      <c r="M1319">
        <v>7</v>
      </c>
      <c r="N1319">
        <v>2020</v>
      </c>
      <c r="O1319" t="s">
        <v>110</v>
      </c>
      <c r="P1319">
        <v>170</v>
      </c>
      <c r="Q1319" s="17">
        <v>44030.444625462966</v>
      </c>
      <c r="R1319" t="s">
        <v>126</v>
      </c>
    </row>
    <row r="1320" spans="1:18" x14ac:dyDescent="0.3">
      <c r="A1320">
        <v>9677486</v>
      </c>
      <c r="B1320" t="s">
        <v>78</v>
      </c>
      <c r="C1320">
        <v>1318370</v>
      </c>
      <c r="D1320" t="s">
        <v>78</v>
      </c>
      <c r="E1320" t="s">
        <v>148</v>
      </c>
      <c r="F1320" t="s">
        <v>17</v>
      </c>
      <c r="G1320" t="s">
        <v>149</v>
      </c>
      <c r="H1320" t="s">
        <v>134</v>
      </c>
      <c r="I1320" t="s">
        <v>78</v>
      </c>
      <c r="J1320" t="s">
        <v>42</v>
      </c>
      <c r="K1320" t="s">
        <v>87</v>
      </c>
      <c r="L1320" s="25">
        <v>44030</v>
      </c>
      <c r="M1320">
        <v>7</v>
      </c>
      <c r="N1320">
        <v>2020</v>
      </c>
      <c r="O1320" t="s">
        <v>110</v>
      </c>
      <c r="P1320">
        <v>170</v>
      </c>
      <c r="Q1320" s="17">
        <v>44030.485423611113</v>
      </c>
      <c r="R1320" t="s">
        <v>126</v>
      </c>
    </row>
    <row r="1321" spans="1:18" x14ac:dyDescent="0.3">
      <c r="A1321">
        <v>9685900</v>
      </c>
      <c r="B1321" t="s">
        <v>78</v>
      </c>
      <c r="C1321">
        <v>1328729</v>
      </c>
      <c r="D1321" t="s">
        <v>78</v>
      </c>
      <c r="E1321">
        <v>820</v>
      </c>
      <c r="F1321">
        <v>820</v>
      </c>
      <c r="G1321" t="s">
        <v>136</v>
      </c>
      <c r="H1321" t="s">
        <v>250</v>
      </c>
      <c r="I1321" t="s">
        <v>78</v>
      </c>
      <c r="J1321" t="s">
        <v>42</v>
      </c>
      <c r="K1321" t="s">
        <v>83</v>
      </c>
      <c r="L1321" s="25">
        <v>44030</v>
      </c>
      <c r="M1321">
        <v>7</v>
      </c>
      <c r="N1321">
        <v>2020</v>
      </c>
      <c r="O1321" t="s">
        <v>110</v>
      </c>
      <c r="P1321">
        <v>170</v>
      </c>
      <c r="Q1321" s="17">
        <v>44030.428819791669</v>
      </c>
      <c r="R1321" t="s">
        <v>126</v>
      </c>
    </row>
    <row r="1322" spans="1:18" x14ac:dyDescent="0.3">
      <c r="A1322">
        <v>9685801</v>
      </c>
      <c r="B1322" t="s">
        <v>78</v>
      </c>
      <c r="C1322">
        <v>1329416</v>
      </c>
      <c r="D1322" t="s">
        <v>78</v>
      </c>
      <c r="E1322">
        <v>820</v>
      </c>
      <c r="F1322">
        <v>820</v>
      </c>
      <c r="G1322" t="s">
        <v>136</v>
      </c>
      <c r="H1322" t="s">
        <v>250</v>
      </c>
      <c r="I1322" t="s">
        <v>78</v>
      </c>
      <c r="J1322" t="s">
        <v>42</v>
      </c>
      <c r="K1322" t="s">
        <v>83</v>
      </c>
      <c r="L1322" s="25">
        <v>44030</v>
      </c>
      <c r="M1322">
        <v>7</v>
      </c>
      <c r="N1322">
        <v>2020</v>
      </c>
      <c r="O1322" t="s">
        <v>110</v>
      </c>
      <c r="P1322">
        <v>170</v>
      </c>
      <c r="Q1322" s="17">
        <v>44030.468310879631</v>
      </c>
      <c r="R1322" t="s">
        <v>126</v>
      </c>
    </row>
    <row r="1323" spans="1:18" x14ac:dyDescent="0.3">
      <c r="A1323">
        <v>9685878</v>
      </c>
      <c r="B1323" t="s">
        <v>78</v>
      </c>
      <c r="C1323">
        <v>1328915</v>
      </c>
      <c r="D1323" t="s">
        <v>78</v>
      </c>
      <c r="E1323">
        <v>820</v>
      </c>
      <c r="F1323">
        <v>820</v>
      </c>
      <c r="G1323" t="s">
        <v>136</v>
      </c>
      <c r="H1323" t="s">
        <v>250</v>
      </c>
      <c r="I1323" t="s">
        <v>78</v>
      </c>
      <c r="J1323" t="s">
        <v>42</v>
      </c>
      <c r="K1323" t="s">
        <v>83</v>
      </c>
      <c r="L1323" s="25">
        <v>44030</v>
      </c>
      <c r="M1323">
        <v>7</v>
      </c>
      <c r="N1323">
        <v>2020</v>
      </c>
      <c r="O1323" t="s">
        <v>110</v>
      </c>
      <c r="P1323">
        <v>170</v>
      </c>
      <c r="Q1323" s="17">
        <v>44030.440272800923</v>
      </c>
      <c r="R1323" t="s">
        <v>126</v>
      </c>
    </row>
    <row r="1324" spans="1:18" x14ac:dyDescent="0.3">
      <c r="A1324">
        <v>9687691</v>
      </c>
      <c r="B1324" t="s">
        <v>78</v>
      </c>
      <c r="C1324">
        <v>1330587</v>
      </c>
      <c r="D1324" t="s">
        <v>78</v>
      </c>
      <c r="E1324">
        <v>820</v>
      </c>
      <c r="F1324">
        <v>820</v>
      </c>
      <c r="G1324" t="s">
        <v>136</v>
      </c>
      <c r="H1324" t="s">
        <v>250</v>
      </c>
      <c r="I1324" t="s">
        <v>78</v>
      </c>
      <c r="J1324" t="s">
        <v>42</v>
      </c>
      <c r="K1324" t="s">
        <v>83</v>
      </c>
      <c r="L1324" s="25">
        <v>44030</v>
      </c>
      <c r="M1324">
        <v>7</v>
      </c>
      <c r="N1324">
        <v>2020</v>
      </c>
      <c r="O1324" t="s">
        <v>110</v>
      </c>
      <c r="P1324">
        <v>170</v>
      </c>
      <c r="Q1324" s="17">
        <v>44030.490247569447</v>
      </c>
      <c r="R1324" t="s">
        <v>126</v>
      </c>
    </row>
    <row r="1325" spans="1:18" x14ac:dyDescent="0.3">
      <c r="A1325">
        <v>9686381</v>
      </c>
      <c r="B1325" t="s">
        <v>72</v>
      </c>
      <c r="C1325">
        <v>1331523</v>
      </c>
      <c r="D1325" t="s">
        <v>108</v>
      </c>
      <c r="E1325" t="s">
        <v>26</v>
      </c>
      <c r="F1325" t="s">
        <v>26</v>
      </c>
      <c r="G1325" t="s">
        <v>137</v>
      </c>
      <c r="H1325" t="s">
        <v>229</v>
      </c>
      <c r="I1325" t="s">
        <v>84</v>
      </c>
      <c r="J1325" t="s">
        <v>85</v>
      </c>
      <c r="K1325" t="s">
        <v>83</v>
      </c>
      <c r="L1325" s="25">
        <v>44030</v>
      </c>
      <c r="M1325">
        <v>7</v>
      </c>
      <c r="N1325">
        <v>2020</v>
      </c>
      <c r="O1325" t="s">
        <v>110</v>
      </c>
      <c r="P1325">
        <v>170</v>
      </c>
      <c r="Q1325" s="17">
        <v>44030.381421759259</v>
      </c>
      <c r="R1325" t="s">
        <v>126</v>
      </c>
    </row>
    <row r="1326" spans="1:18" x14ac:dyDescent="0.3">
      <c r="A1326">
        <v>9685594</v>
      </c>
      <c r="B1326" t="s">
        <v>80</v>
      </c>
      <c r="C1326">
        <v>1329551</v>
      </c>
      <c r="D1326" t="s">
        <v>113</v>
      </c>
      <c r="E1326" t="s">
        <v>146</v>
      </c>
      <c r="F1326" t="s">
        <v>17</v>
      </c>
      <c r="G1326" t="s">
        <v>153</v>
      </c>
      <c r="H1326" t="s">
        <v>232</v>
      </c>
      <c r="I1326" t="s">
        <v>84</v>
      </c>
      <c r="J1326" t="s">
        <v>85</v>
      </c>
      <c r="K1326" t="s">
        <v>87</v>
      </c>
      <c r="L1326" s="25">
        <v>44030</v>
      </c>
      <c r="M1326">
        <v>7</v>
      </c>
      <c r="N1326">
        <v>2020</v>
      </c>
      <c r="O1326" t="s">
        <v>110</v>
      </c>
      <c r="P1326">
        <v>170</v>
      </c>
      <c r="Q1326" s="17">
        <v>44030.425153124997</v>
      </c>
      <c r="R1326" t="s">
        <v>126</v>
      </c>
    </row>
    <row r="1327" spans="1:18" x14ac:dyDescent="0.3">
      <c r="A1327">
        <v>241649</v>
      </c>
      <c r="B1327" t="s">
        <v>78</v>
      </c>
      <c r="C1327">
        <v>1321650</v>
      </c>
      <c r="D1327" t="s">
        <v>78</v>
      </c>
      <c r="E1327" t="s">
        <v>26</v>
      </c>
      <c r="F1327" t="s">
        <v>26</v>
      </c>
      <c r="G1327" t="s">
        <v>137</v>
      </c>
      <c r="H1327" t="s">
        <v>245</v>
      </c>
      <c r="I1327" t="s">
        <v>78</v>
      </c>
      <c r="J1327" t="s">
        <v>42</v>
      </c>
      <c r="K1327" t="s">
        <v>83</v>
      </c>
      <c r="L1327" s="25">
        <v>44030</v>
      </c>
      <c r="M1327">
        <v>7</v>
      </c>
      <c r="N1327">
        <v>2020</v>
      </c>
      <c r="O1327" t="s">
        <v>110</v>
      </c>
      <c r="P1327">
        <v>170</v>
      </c>
      <c r="Q1327" s="17">
        <v>44030.464078356483</v>
      </c>
      <c r="R1327" t="s">
        <v>126</v>
      </c>
    </row>
    <row r="1328" spans="1:18" x14ac:dyDescent="0.3">
      <c r="A1328">
        <v>9686634</v>
      </c>
      <c r="B1328" t="s">
        <v>78</v>
      </c>
      <c r="C1328">
        <v>1330065</v>
      </c>
      <c r="D1328" t="s">
        <v>78</v>
      </c>
      <c r="E1328" t="s">
        <v>170</v>
      </c>
      <c r="F1328" t="s">
        <v>17</v>
      </c>
      <c r="G1328" t="s">
        <v>171</v>
      </c>
      <c r="H1328" t="s">
        <v>134</v>
      </c>
      <c r="I1328" t="s">
        <v>78</v>
      </c>
      <c r="J1328" t="s">
        <v>42</v>
      </c>
      <c r="K1328" t="s">
        <v>87</v>
      </c>
      <c r="L1328" s="25">
        <v>44030</v>
      </c>
      <c r="M1328">
        <v>7</v>
      </c>
      <c r="N1328">
        <v>2020</v>
      </c>
      <c r="O1328" t="s">
        <v>110</v>
      </c>
      <c r="P1328">
        <v>170</v>
      </c>
      <c r="Q1328" s="17">
        <v>44030.486836689815</v>
      </c>
      <c r="R1328" t="s">
        <v>126</v>
      </c>
    </row>
    <row r="1329" spans="1:18" x14ac:dyDescent="0.3">
      <c r="A1329">
        <v>9685908</v>
      </c>
      <c r="B1329" t="s">
        <v>72</v>
      </c>
      <c r="C1329">
        <v>1328734</v>
      </c>
      <c r="D1329" t="s">
        <v>108</v>
      </c>
      <c r="E1329">
        <v>820</v>
      </c>
      <c r="F1329">
        <v>820</v>
      </c>
      <c r="G1329" t="s">
        <v>136</v>
      </c>
      <c r="H1329" t="s">
        <v>270</v>
      </c>
      <c r="I1329" t="s">
        <v>82</v>
      </c>
      <c r="J1329" t="s">
        <v>42</v>
      </c>
      <c r="K1329" t="s">
        <v>83</v>
      </c>
      <c r="L1329" s="25">
        <v>44030</v>
      </c>
      <c r="M1329">
        <v>7</v>
      </c>
      <c r="N1329">
        <v>2020</v>
      </c>
      <c r="O1329" t="s">
        <v>110</v>
      </c>
      <c r="P1329">
        <v>170</v>
      </c>
      <c r="Q1329" s="17">
        <v>44030.43004097222</v>
      </c>
      <c r="R1329" t="s">
        <v>126</v>
      </c>
    </row>
    <row r="1330" spans="1:18" x14ac:dyDescent="0.3">
      <c r="A1330">
        <v>9686169</v>
      </c>
      <c r="B1330" t="s">
        <v>80</v>
      </c>
      <c r="C1330">
        <v>1329636</v>
      </c>
      <c r="D1330" t="s">
        <v>113</v>
      </c>
      <c r="E1330" t="s">
        <v>146</v>
      </c>
      <c r="F1330" t="s">
        <v>17</v>
      </c>
      <c r="G1330" t="s">
        <v>153</v>
      </c>
      <c r="H1330" t="s">
        <v>232</v>
      </c>
      <c r="I1330" t="s">
        <v>84</v>
      </c>
      <c r="J1330" t="s">
        <v>85</v>
      </c>
      <c r="K1330" t="s">
        <v>87</v>
      </c>
      <c r="L1330" s="25">
        <v>44030</v>
      </c>
      <c r="M1330">
        <v>7</v>
      </c>
      <c r="N1330">
        <v>2020</v>
      </c>
      <c r="O1330" t="s">
        <v>110</v>
      </c>
      <c r="P1330">
        <v>170</v>
      </c>
      <c r="Q1330" s="17">
        <v>44030.43890335648</v>
      </c>
      <c r="R1330" t="s">
        <v>126</v>
      </c>
    </row>
    <row r="1331" spans="1:18" x14ac:dyDescent="0.3">
      <c r="A1331">
        <v>9686995</v>
      </c>
      <c r="B1331" t="s">
        <v>80</v>
      </c>
      <c r="C1331">
        <v>1330231</v>
      </c>
      <c r="D1331" t="s">
        <v>113</v>
      </c>
      <c r="E1331" t="s">
        <v>146</v>
      </c>
      <c r="F1331" t="s">
        <v>17</v>
      </c>
      <c r="G1331" t="s">
        <v>153</v>
      </c>
      <c r="H1331" t="s">
        <v>232</v>
      </c>
      <c r="I1331" t="s">
        <v>84</v>
      </c>
      <c r="J1331" t="s">
        <v>85</v>
      </c>
      <c r="K1331" t="s">
        <v>87</v>
      </c>
      <c r="L1331" s="25">
        <v>44030</v>
      </c>
      <c r="M1331">
        <v>7</v>
      </c>
      <c r="N1331">
        <v>2020</v>
      </c>
      <c r="O1331" t="s">
        <v>110</v>
      </c>
      <c r="P1331">
        <v>170</v>
      </c>
      <c r="Q1331" s="17">
        <v>44030.492643055557</v>
      </c>
      <c r="R1331" t="s">
        <v>126</v>
      </c>
    </row>
    <row r="1332" spans="1:18" x14ac:dyDescent="0.3">
      <c r="A1332">
        <v>9686375</v>
      </c>
      <c r="B1332" t="s">
        <v>78</v>
      </c>
      <c r="C1332">
        <v>1329461</v>
      </c>
      <c r="D1332" t="s">
        <v>78</v>
      </c>
      <c r="E1332" t="s">
        <v>12</v>
      </c>
      <c r="F1332" t="s">
        <v>12</v>
      </c>
      <c r="G1332" t="s">
        <v>135</v>
      </c>
      <c r="H1332" t="s">
        <v>275</v>
      </c>
      <c r="I1332" t="s">
        <v>78</v>
      </c>
      <c r="J1332" t="s">
        <v>42</v>
      </c>
      <c r="K1332" t="s">
        <v>83</v>
      </c>
      <c r="L1332" s="25">
        <v>44030</v>
      </c>
      <c r="M1332">
        <v>7</v>
      </c>
      <c r="N1332">
        <v>2020</v>
      </c>
      <c r="O1332" t="s">
        <v>110</v>
      </c>
      <c r="P1332">
        <v>170</v>
      </c>
      <c r="Q1332" s="17">
        <v>44030.442307407407</v>
      </c>
      <c r="R1332" t="s">
        <v>126</v>
      </c>
    </row>
    <row r="1333" spans="1:18" x14ac:dyDescent="0.3">
      <c r="A1333">
        <v>9685673</v>
      </c>
      <c r="B1333" t="s">
        <v>78</v>
      </c>
      <c r="C1333">
        <v>1329504</v>
      </c>
      <c r="D1333" t="s">
        <v>78</v>
      </c>
      <c r="E1333">
        <v>820</v>
      </c>
      <c r="F1333">
        <v>820</v>
      </c>
      <c r="G1333" t="s">
        <v>136</v>
      </c>
      <c r="H1333" t="s">
        <v>250</v>
      </c>
      <c r="I1333" t="s">
        <v>78</v>
      </c>
      <c r="J1333" t="s">
        <v>42</v>
      </c>
      <c r="K1333" t="s">
        <v>83</v>
      </c>
      <c r="L1333" s="25">
        <v>44030</v>
      </c>
      <c r="M1333">
        <v>7</v>
      </c>
      <c r="N1333">
        <v>2020</v>
      </c>
      <c r="O1333" t="s">
        <v>110</v>
      </c>
      <c r="P1333">
        <v>170</v>
      </c>
      <c r="Q1333" s="17">
        <v>44030.471953009263</v>
      </c>
      <c r="R1333" t="s">
        <v>126</v>
      </c>
    </row>
    <row r="1334" spans="1:18" x14ac:dyDescent="0.3">
      <c r="A1334">
        <v>9686632</v>
      </c>
      <c r="B1334" t="s">
        <v>78</v>
      </c>
      <c r="C1334">
        <v>1330074</v>
      </c>
      <c r="D1334" t="s">
        <v>78</v>
      </c>
      <c r="E1334">
        <v>820</v>
      </c>
      <c r="F1334">
        <v>820</v>
      </c>
      <c r="G1334" t="s">
        <v>136</v>
      </c>
      <c r="H1334" t="s">
        <v>250</v>
      </c>
      <c r="I1334" t="s">
        <v>78</v>
      </c>
      <c r="J1334" t="s">
        <v>42</v>
      </c>
      <c r="K1334" t="s">
        <v>83</v>
      </c>
      <c r="L1334" s="25">
        <v>44030</v>
      </c>
      <c r="M1334">
        <v>7</v>
      </c>
      <c r="N1334">
        <v>2020</v>
      </c>
      <c r="O1334" t="s">
        <v>110</v>
      </c>
      <c r="P1334">
        <v>170</v>
      </c>
      <c r="Q1334" s="17">
        <v>44030.487490509258</v>
      </c>
      <c r="R1334" t="s">
        <v>126</v>
      </c>
    </row>
    <row r="1335" spans="1:18" x14ac:dyDescent="0.3">
      <c r="A1335">
        <v>9686257</v>
      </c>
      <c r="B1335" t="s">
        <v>80</v>
      </c>
      <c r="C1335">
        <v>1329670</v>
      </c>
      <c r="D1335" t="s">
        <v>113</v>
      </c>
      <c r="E1335" t="s">
        <v>146</v>
      </c>
      <c r="F1335" t="s">
        <v>17</v>
      </c>
      <c r="G1335" t="s">
        <v>153</v>
      </c>
      <c r="H1335" t="s">
        <v>232</v>
      </c>
      <c r="I1335" t="s">
        <v>84</v>
      </c>
      <c r="J1335" t="s">
        <v>85</v>
      </c>
      <c r="K1335" t="s">
        <v>87</v>
      </c>
      <c r="L1335" s="25">
        <v>44030</v>
      </c>
      <c r="M1335">
        <v>7</v>
      </c>
      <c r="N1335">
        <v>2020</v>
      </c>
      <c r="O1335" t="s">
        <v>110</v>
      </c>
      <c r="P1335">
        <v>170</v>
      </c>
      <c r="Q1335" s="17">
        <v>44030.449954050928</v>
      </c>
      <c r="R1335" t="s">
        <v>126</v>
      </c>
    </row>
    <row r="1336" spans="1:18" x14ac:dyDescent="0.3">
      <c r="A1336">
        <v>9686635</v>
      </c>
      <c r="B1336" t="s">
        <v>78</v>
      </c>
      <c r="C1336">
        <v>1330031</v>
      </c>
      <c r="D1336" t="s">
        <v>78</v>
      </c>
      <c r="E1336">
        <v>4138</v>
      </c>
      <c r="F1336" t="s">
        <v>17</v>
      </c>
      <c r="G1336" t="s">
        <v>129</v>
      </c>
      <c r="H1336" t="s">
        <v>134</v>
      </c>
      <c r="I1336" t="s">
        <v>78</v>
      </c>
      <c r="J1336" t="s">
        <v>42</v>
      </c>
      <c r="K1336" t="s">
        <v>87</v>
      </c>
      <c r="L1336" s="25">
        <v>44030</v>
      </c>
      <c r="M1336">
        <v>7</v>
      </c>
      <c r="N1336">
        <v>2020</v>
      </c>
      <c r="O1336" t="s">
        <v>110</v>
      </c>
      <c r="P1336">
        <v>170</v>
      </c>
      <c r="Q1336" s="17">
        <v>44030.485557523149</v>
      </c>
      <c r="R1336" t="s">
        <v>126</v>
      </c>
    </row>
    <row r="1337" spans="1:18" x14ac:dyDescent="0.3">
      <c r="A1337">
        <v>9685981</v>
      </c>
      <c r="B1337" t="s">
        <v>78</v>
      </c>
      <c r="C1337">
        <v>1328929</v>
      </c>
      <c r="D1337" t="s">
        <v>78</v>
      </c>
      <c r="E1337">
        <v>820</v>
      </c>
      <c r="F1337">
        <v>820</v>
      </c>
      <c r="G1337" t="s">
        <v>136</v>
      </c>
      <c r="H1337" t="s">
        <v>250</v>
      </c>
      <c r="I1337" t="s">
        <v>78</v>
      </c>
      <c r="J1337" t="s">
        <v>42</v>
      </c>
      <c r="K1337" t="s">
        <v>83</v>
      </c>
      <c r="L1337" s="25">
        <v>44030</v>
      </c>
      <c r="M1337">
        <v>7</v>
      </c>
      <c r="N1337">
        <v>2020</v>
      </c>
      <c r="O1337" t="s">
        <v>110</v>
      </c>
      <c r="P1337">
        <v>170</v>
      </c>
      <c r="Q1337" s="17">
        <v>44030.440184722225</v>
      </c>
      <c r="R1337" t="s">
        <v>126</v>
      </c>
    </row>
    <row r="1338" spans="1:18" x14ac:dyDescent="0.3">
      <c r="A1338">
        <v>9680524</v>
      </c>
      <c r="B1338" t="s">
        <v>80</v>
      </c>
      <c r="C1338">
        <v>1323611</v>
      </c>
      <c r="D1338" t="s">
        <v>113</v>
      </c>
      <c r="E1338">
        <v>966</v>
      </c>
      <c r="F1338">
        <v>966</v>
      </c>
      <c r="G1338" t="s">
        <v>139</v>
      </c>
      <c r="H1338" t="s">
        <v>232</v>
      </c>
      <c r="I1338" t="s">
        <v>84</v>
      </c>
      <c r="J1338" t="s">
        <v>85</v>
      </c>
      <c r="K1338" t="s">
        <v>87</v>
      </c>
      <c r="L1338" s="25">
        <v>44030</v>
      </c>
      <c r="M1338">
        <v>7</v>
      </c>
      <c r="N1338">
        <v>2020</v>
      </c>
      <c r="O1338" t="s">
        <v>110</v>
      </c>
      <c r="P1338">
        <v>170</v>
      </c>
      <c r="Q1338" s="17">
        <v>44030.468654745368</v>
      </c>
      <c r="R1338" t="s">
        <v>126</v>
      </c>
    </row>
    <row r="1339" spans="1:18" x14ac:dyDescent="0.3">
      <c r="A1339">
        <v>9686315</v>
      </c>
      <c r="B1339" t="s">
        <v>79</v>
      </c>
      <c r="C1339">
        <v>1330040</v>
      </c>
      <c r="D1339" t="s">
        <v>116</v>
      </c>
      <c r="E1339" t="s">
        <v>12</v>
      </c>
      <c r="F1339" t="s">
        <v>12</v>
      </c>
      <c r="G1339" t="s">
        <v>135</v>
      </c>
      <c r="H1339" t="s">
        <v>275</v>
      </c>
      <c r="I1339" t="s">
        <v>82</v>
      </c>
      <c r="J1339" t="s">
        <v>42</v>
      </c>
      <c r="K1339" t="s">
        <v>83</v>
      </c>
      <c r="L1339" s="25">
        <v>44030</v>
      </c>
      <c r="M1339">
        <v>7</v>
      </c>
      <c r="N1339">
        <v>2020</v>
      </c>
      <c r="O1339" t="s">
        <v>110</v>
      </c>
      <c r="P1339">
        <v>170</v>
      </c>
      <c r="Q1339" s="17">
        <v>44030.446010995372</v>
      </c>
      <c r="R1339" t="s">
        <v>126</v>
      </c>
    </row>
    <row r="1340" spans="1:18" x14ac:dyDescent="0.3">
      <c r="A1340">
        <v>21524091</v>
      </c>
      <c r="B1340" t="s">
        <v>78</v>
      </c>
      <c r="C1340">
        <v>1325317</v>
      </c>
      <c r="D1340" t="s">
        <v>78</v>
      </c>
      <c r="E1340">
        <v>966</v>
      </c>
      <c r="F1340">
        <v>966</v>
      </c>
      <c r="G1340" t="s">
        <v>139</v>
      </c>
      <c r="H1340" t="s">
        <v>105</v>
      </c>
      <c r="I1340" t="s">
        <v>78</v>
      </c>
      <c r="J1340" t="s">
        <v>42</v>
      </c>
      <c r="K1340" t="s">
        <v>87</v>
      </c>
      <c r="L1340" s="25">
        <v>44030</v>
      </c>
      <c r="M1340">
        <v>7</v>
      </c>
      <c r="N1340">
        <v>2020</v>
      </c>
      <c r="O1340" t="s">
        <v>110</v>
      </c>
      <c r="P1340">
        <v>170</v>
      </c>
      <c r="Q1340" s="17">
        <v>44030.480340856484</v>
      </c>
      <c r="R1340" t="s">
        <v>126</v>
      </c>
    </row>
    <row r="1341" spans="1:18" x14ac:dyDescent="0.3">
      <c r="A1341">
        <v>9685771</v>
      </c>
      <c r="B1341" t="s">
        <v>78</v>
      </c>
      <c r="C1341">
        <v>1328904</v>
      </c>
      <c r="D1341" t="s">
        <v>78</v>
      </c>
      <c r="E1341">
        <v>820</v>
      </c>
      <c r="F1341">
        <v>820</v>
      </c>
      <c r="G1341" t="s">
        <v>136</v>
      </c>
      <c r="H1341" t="s">
        <v>250</v>
      </c>
      <c r="I1341" t="s">
        <v>78</v>
      </c>
      <c r="J1341" t="s">
        <v>42</v>
      </c>
      <c r="K1341" t="s">
        <v>83</v>
      </c>
      <c r="L1341" s="25">
        <v>44030</v>
      </c>
      <c r="M1341">
        <v>7</v>
      </c>
      <c r="N1341">
        <v>2020</v>
      </c>
      <c r="O1341" t="s">
        <v>110</v>
      </c>
      <c r="P1341">
        <v>170</v>
      </c>
      <c r="Q1341" s="17">
        <v>44030.438878935187</v>
      </c>
      <c r="R1341" t="s">
        <v>126</v>
      </c>
    </row>
    <row r="1342" spans="1:18" x14ac:dyDescent="0.3">
      <c r="A1342">
        <v>9674788</v>
      </c>
      <c r="B1342" t="s">
        <v>72</v>
      </c>
      <c r="C1342">
        <v>1318399</v>
      </c>
      <c r="D1342" t="s">
        <v>108</v>
      </c>
      <c r="E1342">
        <v>966</v>
      </c>
      <c r="F1342">
        <v>966</v>
      </c>
      <c r="G1342" t="s">
        <v>139</v>
      </c>
      <c r="H1342" t="s">
        <v>229</v>
      </c>
      <c r="I1342" t="s">
        <v>84</v>
      </c>
      <c r="J1342" t="s">
        <v>85</v>
      </c>
      <c r="K1342" t="s">
        <v>87</v>
      </c>
      <c r="L1342" s="25">
        <v>44030</v>
      </c>
      <c r="M1342">
        <v>7</v>
      </c>
      <c r="N1342">
        <v>2020</v>
      </c>
      <c r="O1342" t="s">
        <v>110</v>
      </c>
      <c r="P1342">
        <v>170</v>
      </c>
      <c r="Q1342" s="17">
        <v>44030.428544444447</v>
      </c>
      <c r="R1342" t="s">
        <v>126</v>
      </c>
    </row>
    <row r="1343" spans="1:18" x14ac:dyDescent="0.3">
      <c r="A1343">
        <v>9679326</v>
      </c>
      <c r="B1343" t="s">
        <v>80</v>
      </c>
      <c r="C1343">
        <v>1318433</v>
      </c>
      <c r="D1343" t="s">
        <v>113</v>
      </c>
      <c r="E1343">
        <v>966</v>
      </c>
      <c r="F1343">
        <v>966</v>
      </c>
      <c r="G1343" t="s">
        <v>139</v>
      </c>
      <c r="H1343" t="s">
        <v>257</v>
      </c>
      <c r="I1343" t="s">
        <v>82</v>
      </c>
      <c r="J1343" t="s">
        <v>42</v>
      </c>
      <c r="K1343" t="s">
        <v>87</v>
      </c>
      <c r="L1343" s="25">
        <v>44030</v>
      </c>
      <c r="M1343">
        <v>7</v>
      </c>
      <c r="N1343">
        <v>2020</v>
      </c>
      <c r="O1343" t="s">
        <v>110</v>
      </c>
      <c r="P1343">
        <v>170</v>
      </c>
      <c r="Q1343" s="17">
        <v>44030.429167361108</v>
      </c>
      <c r="R1343" t="s">
        <v>126</v>
      </c>
    </row>
    <row r="1344" spans="1:18" x14ac:dyDescent="0.3">
      <c r="A1344">
        <v>9686699</v>
      </c>
      <c r="B1344" t="s">
        <v>80</v>
      </c>
      <c r="C1344">
        <v>1329721</v>
      </c>
      <c r="D1344" t="s">
        <v>113</v>
      </c>
      <c r="E1344" t="s">
        <v>146</v>
      </c>
      <c r="F1344" t="s">
        <v>17</v>
      </c>
      <c r="G1344" t="s">
        <v>153</v>
      </c>
      <c r="H1344" t="s">
        <v>232</v>
      </c>
      <c r="I1344" t="s">
        <v>84</v>
      </c>
      <c r="J1344" t="s">
        <v>85</v>
      </c>
      <c r="K1344" t="s">
        <v>87</v>
      </c>
      <c r="L1344" s="25">
        <v>44030</v>
      </c>
      <c r="M1344">
        <v>7</v>
      </c>
      <c r="N1344">
        <v>2020</v>
      </c>
      <c r="O1344" t="s">
        <v>110</v>
      </c>
      <c r="P1344">
        <v>170</v>
      </c>
      <c r="Q1344" s="17">
        <v>44030.467252083334</v>
      </c>
      <c r="R1344" t="s">
        <v>126</v>
      </c>
    </row>
    <row r="1345" spans="1:18" x14ac:dyDescent="0.3">
      <c r="A1345">
        <v>9677843</v>
      </c>
      <c r="B1345" t="s">
        <v>72</v>
      </c>
      <c r="C1345">
        <v>1331393</v>
      </c>
      <c r="D1345" t="s">
        <v>108</v>
      </c>
      <c r="E1345" t="s">
        <v>12</v>
      </c>
      <c r="F1345" t="s">
        <v>12</v>
      </c>
      <c r="G1345" t="s">
        <v>135</v>
      </c>
      <c r="H1345" t="s">
        <v>98</v>
      </c>
      <c r="I1345" t="s">
        <v>82</v>
      </c>
      <c r="J1345" t="s">
        <v>42</v>
      </c>
      <c r="K1345" t="s">
        <v>83</v>
      </c>
      <c r="L1345" s="25">
        <v>44030</v>
      </c>
      <c r="M1345">
        <v>7</v>
      </c>
      <c r="N1345">
        <v>2020</v>
      </c>
      <c r="O1345" t="s">
        <v>110</v>
      </c>
      <c r="P1345">
        <v>170</v>
      </c>
      <c r="Q1345" s="17">
        <v>44030.486019444441</v>
      </c>
      <c r="R1345" t="s">
        <v>126</v>
      </c>
    </row>
    <row r="1346" spans="1:18" x14ac:dyDescent="0.3">
      <c r="A1346">
        <v>9686272</v>
      </c>
      <c r="B1346" t="s">
        <v>80</v>
      </c>
      <c r="C1346">
        <v>1329678</v>
      </c>
      <c r="D1346" t="s">
        <v>113</v>
      </c>
      <c r="E1346" t="s">
        <v>146</v>
      </c>
      <c r="F1346" t="s">
        <v>17</v>
      </c>
      <c r="G1346" t="s">
        <v>153</v>
      </c>
      <c r="H1346" t="s">
        <v>232</v>
      </c>
      <c r="I1346" t="s">
        <v>84</v>
      </c>
      <c r="J1346" t="s">
        <v>85</v>
      </c>
      <c r="K1346" t="s">
        <v>87</v>
      </c>
      <c r="L1346" s="25">
        <v>44030</v>
      </c>
      <c r="M1346">
        <v>7</v>
      </c>
      <c r="N1346">
        <v>2020</v>
      </c>
      <c r="O1346" t="s">
        <v>110</v>
      </c>
      <c r="P1346">
        <v>170</v>
      </c>
      <c r="Q1346" s="17">
        <v>44030.450325925929</v>
      </c>
      <c r="R1346" t="s">
        <v>126</v>
      </c>
    </row>
    <row r="1347" spans="1:18" x14ac:dyDescent="0.3">
      <c r="A1347">
        <v>21526485</v>
      </c>
      <c r="B1347" t="s">
        <v>78</v>
      </c>
      <c r="C1347">
        <v>1323037</v>
      </c>
      <c r="D1347" t="s">
        <v>78</v>
      </c>
      <c r="E1347">
        <v>966</v>
      </c>
      <c r="F1347">
        <v>966</v>
      </c>
      <c r="G1347" t="s">
        <v>139</v>
      </c>
      <c r="H1347" t="s">
        <v>105</v>
      </c>
      <c r="I1347" t="s">
        <v>78</v>
      </c>
      <c r="J1347" t="s">
        <v>42</v>
      </c>
      <c r="K1347" t="s">
        <v>87</v>
      </c>
      <c r="L1347" s="25">
        <v>44030</v>
      </c>
      <c r="M1347">
        <v>7</v>
      </c>
      <c r="N1347">
        <v>2020</v>
      </c>
      <c r="O1347" t="s">
        <v>110</v>
      </c>
      <c r="P1347">
        <v>170</v>
      </c>
      <c r="Q1347" s="17">
        <v>44030.455100810184</v>
      </c>
      <c r="R1347" t="s">
        <v>126</v>
      </c>
    </row>
    <row r="1348" spans="1:18" x14ac:dyDescent="0.3">
      <c r="A1348">
        <v>9669991</v>
      </c>
      <c r="B1348" t="s">
        <v>72</v>
      </c>
      <c r="C1348">
        <v>1329564</v>
      </c>
      <c r="D1348" t="s">
        <v>108</v>
      </c>
      <c r="E1348" t="s">
        <v>154</v>
      </c>
      <c r="F1348" t="s">
        <v>17</v>
      </c>
      <c r="G1348" t="s">
        <v>155</v>
      </c>
      <c r="H1348" t="s">
        <v>250</v>
      </c>
      <c r="I1348" t="s">
        <v>82</v>
      </c>
      <c r="J1348" t="s">
        <v>42</v>
      </c>
      <c r="K1348" t="s">
        <v>87</v>
      </c>
      <c r="L1348" s="25">
        <v>44030</v>
      </c>
      <c r="M1348">
        <v>7</v>
      </c>
      <c r="N1348">
        <v>2020</v>
      </c>
      <c r="O1348" t="s">
        <v>110</v>
      </c>
      <c r="P1348">
        <v>170</v>
      </c>
      <c r="Q1348" s="17">
        <v>44030.486756597224</v>
      </c>
      <c r="R1348" t="s">
        <v>126</v>
      </c>
    </row>
    <row r="1349" spans="1:18" x14ac:dyDescent="0.3">
      <c r="A1349">
        <v>21531108</v>
      </c>
      <c r="B1349" t="s">
        <v>72</v>
      </c>
      <c r="C1349">
        <v>1334333</v>
      </c>
      <c r="D1349" t="s">
        <v>108</v>
      </c>
      <c r="E1349" t="s">
        <v>26</v>
      </c>
      <c r="F1349" t="s">
        <v>26</v>
      </c>
      <c r="G1349" t="s">
        <v>137</v>
      </c>
      <c r="H1349" t="s">
        <v>229</v>
      </c>
      <c r="I1349" t="s">
        <v>84</v>
      </c>
      <c r="J1349" t="s">
        <v>85</v>
      </c>
      <c r="K1349" t="s">
        <v>83</v>
      </c>
      <c r="L1349" s="25">
        <v>44030</v>
      </c>
      <c r="M1349">
        <v>7</v>
      </c>
      <c r="N1349">
        <v>2020</v>
      </c>
      <c r="O1349" t="s">
        <v>110</v>
      </c>
      <c r="P1349">
        <v>170</v>
      </c>
      <c r="Q1349" s="17">
        <v>44031.089814699073</v>
      </c>
      <c r="R1349" t="s">
        <v>126</v>
      </c>
    </row>
    <row r="1350" spans="1:18" x14ac:dyDescent="0.3">
      <c r="A1350">
        <v>9686175</v>
      </c>
      <c r="B1350" t="s">
        <v>80</v>
      </c>
      <c r="C1350">
        <v>1329639</v>
      </c>
      <c r="D1350" t="s">
        <v>113</v>
      </c>
      <c r="E1350" t="s">
        <v>146</v>
      </c>
      <c r="F1350" t="s">
        <v>17</v>
      </c>
      <c r="G1350" t="s">
        <v>153</v>
      </c>
      <c r="H1350" t="s">
        <v>232</v>
      </c>
      <c r="I1350" t="s">
        <v>84</v>
      </c>
      <c r="J1350" t="s">
        <v>85</v>
      </c>
      <c r="K1350" t="s">
        <v>87</v>
      </c>
      <c r="L1350" s="25">
        <v>44030</v>
      </c>
      <c r="M1350">
        <v>7</v>
      </c>
      <c r="N1350">
        <v>2020</v>
      </c>
      <c r="O1350" t="s">
        <v>110</v>
      </c>
      <c r="P1350">
        <v>170</v>
      </c>
      <c r="Q1350" s="17">
        <v>44030.442437384256</v>
      </c>
      <c r="R1350" t="s">
        <v>126</v>
      </c>
    </row>
    <row r="1351" spans="1:18" x14ac:dyDescent="0.3">
      <c r="A1351">
        <v>9686618</v>
      </c>
      <c r="B1351" t="s">
        <v>78</v>
      </c>
      <c r="C1351">
        <v>1330057</v>
      </c>
      <c r="D1351" t="s">
        <v>78</v>
      </c>
      <c r="E1351" t="s">
        <v>166</v>
      </c>
      <c r="F1351" t="s">
        <v>17</v>
      </c>
      <c r="G1351" t="s">
        <v>167</v>
      </c>
      <c r="H1351" t="s">
        <v>134</v>
      </c>
      <c r="I1351" t="s">
        <v>78</v>
      </c>
      <c r="J1351" t="s">
        <v>42</v>
      </c>
      <c r="K1351" t="s">
        <v>87</v>
      </c>
      <c r="L1351" s="25">
        <v>44030</v>
      </c>
      <c r="M1351">
        <v>7</v>
      </c>
      <c r="N1351">
        <v>2020</v>
      </c>
      <c r="O1351" t="s">
        <v>110</v>
      </c>
      <c r="P1351">
        <v>170</v>
      </c>
      <c r="Q1351" s="17">
        <v>44030.487004976851</v>
      </c>
      <c r="R1351" t="s">
        <v>126</v>
      </c>
    </row>
    <row r="1352" spans="1:18" x14ac:dyDescent="0.3">
      <c r="A1352">
        <v>21525939</v>
      </c>
      <c r="B1352" t="s">
        <v>72</v>
      </c>
      <c r="C1352">
        <v>1322076</v>
      </c>
      <c r="D1352" t="s">
        <v>108</v>
      </c>
      <c r="E1352" t="s">
        <v>146</v>
      </c>
      <c r="F1352" t="s">
        <v>17</v>
      </c>
      <c r="G1352" t="s">
        <v>147</v>
      </c>
      <c r="H1352" t="s">
        <v>263</v>
      </c>
      <c r="I1352" t="s">
        <v>82</v>
      </c>
      <c r="J1352" t="s">
        <v>42</v>
      </c>
      <c r="K1352" t="s">
        <v>87</v>
      </c>
      <c r="L1352" s="25">
        <v>44030</v>
      </c>
      <c r="M1352">
        <v>7</v>
      </c>
      <c r="N1352">
        <v>2020</v>
      </c>
      <c r="O1352" t="s">
        <v>110</v>
      </c>
      <c r="P1352">
        <v>170</v>
      </c>
      <c r="Q1352" s="17">
        <v>44030.492601504629</v>
      </c>
      <c r="R1352" t="s">
        <v>126</v>
      </c>
    </row>
    <row r="1353" spans="1:18" x14ac:dyDescent="0.3">
      <c r="A1353">
        <v>9687705</v>
      </c>
      <c r="B1353" t="s">
        <v>78</v>
      </c>
      <c r="C1353">
        <v>1330589</v>
      </c>
      <c r="D1353" t="s">
        <v>78</v>
      </c>
      <c r="E1353">
        <v>820</v>
      </c>
      <c r="F1353">
        <v>820</v>
      </c>
      <c r="G1353" t="s">
        <v>136</v>
      </c>
      <c r="H1353" t="s">
        <v>228</v>
      </c>
      <c r="I1353" t="s">
        <v>78</v>
      </c>
      <c r="J1353" t="s">
        <v>42</v>
      </c>
      <c r="K1353" t="s">
        <v>83</v>
      </c>
      <c r="L1353" s="25">
        <v>44030</v>
      </c>
      <c r="M1353">
        <v>7</v>
      </c>
      <c r="N1353">
        <v>2020</v>
      </c>
      <c r="O1353" t="s">
        <v>110</v>
      </c>
      <c r="P1353">
        <v>170</v>
      </c>
      <c r="Q1353" s="17">
        <v>44030.493773379632</v>
      </c>
      <c r="R1353" t="s">
        <v>126</v>
      </c>
    </row>
    <row r="1354" spans="1:18" x14ac:dyDescent="0.3">
      <c r="A1354">
        <v>9684760</v>
      </c>
      <c r="B1354" t="s">
        <v>72</v>
      </c>
      <c r="C1354">
        <v>1331525</v>
      </c>
      <c r="D1354" t="s">
        <v>108</v>
      </c>
      <c r="E1354" t="s">
        <v>26</v>
      </c>
      <c r="F1354" t="s">
        <v>26</v>
      </c>
      <c r="G1354" t="s">
        <v>137</v>
      </c>
      <c r="H1354" t="s">
        <v>229</v>
      </c>
      <c r="I1354" t="s">
        <v>84</v>
      </c>
      <c r="J1354" t="s">
        <v>85</v>
      </c>
      <c r="K1354" t="s">
        <v>83</v>
      </c>
      <c r="L1354" s="25">
        <v>44030</v>
      </c>
      <c r="M1354">
        <v>7</v>
      </c>
      <c r="N1354">
        <v>2020</v>
      </c>
      <c r="O1354" t="s">
        <v>110</v>
      </c>
      <c r="P1354">
        <v>170</v>
      </c>
      <c r="Q1354" s="17">
        <v>44030.383115856479</v>
      </c>
      <c r="R1354" t="s">
        <v>126</v>
      </c>
    </row>
    <row r="1355" spans="1:18" x14ac:dyDescent="0.3">
      <c r="A1355">
        <v>9685733</v>
      </c>
      <c r="B1355" t="s">
        <v>72</v>
      </c>
      <c r="C1355">
        <v>1329410</v>
      </c>
      <c r="D1355" t="s">
        <v>108</v>
      </c>
      <c r="E1355">
        <v>820</v>
      </c>
      <c r="F1355">
        <v>820</v>
      </c>
      <c r="G1355" t="s">
        <v>136</v>
      </c>
      <c r="H1355" t="s">
        <v>270</v>
      </c>
      <c r="I1355" t="s">
        <v>82</v>
      </c>
      <c r="J1355" t="s">
        <v>42</v>
      </c>
      <c r="K1355" t="s">
        <v>83</v>
      </c>
      <c r="L1355" s="25">
        <v>44030</v>
      </c>
      <c r="M1355">
        <v>7</v>
      </c>
      <c r="N1355">
        <v>2020</v>
      </c>
      <c r="O1355" t="s">
        <v>110</v>
      </c>
      <c r="P1355">
        <v>170</v>
      </c>
      <c r="Q1355" s="17">
        <v>44030.465103472219</v>
      </c>
      <c r="R1355" t="s">
        <v>126</v>
      </c>
    </row>
    <row r="1356" spans="1:18" x14ac:dyDescent="0.3">
      <c r="A1356">
        <v>241195</v>
      </c>
      <c r="B1356" t="s">
        <v>72</v>
      </c>
      <c r="C1356">
        <v>1321701</v>
      </c>
      <c r="D1356" t="s">
        <v>108</v>
      </c>
      <c r="E1356" t="s">
        <v>26</v>
      </c>
      <c r="F1356" t="s">
        <v>26</v>
      </c>
      <c r="G1356" t="s">
        <v>137</v>
      </c>
      <c r="H1356" t="s">
        <v>245</v>
      </c>
      <c r="I1356" t="s">
        <v>82</v>
      </c>
      <c r="J1356" t="s">
        <v>42</v>
      </c>
      <c r="K1356" t="s">
        <v>83</v>
      </c>
      <c r="L1356" s="25">
        <v>44030</v>
      </c>
      <c r="M1356">
        <v>7</v>
      </c>
      <c r="N1356">
        <v>2020</v>
      </c>
      <c r="O1356" t="s">
        <v>110</v>
      </c>
      <c r="P1356">
        <v>170</v>
      </c>
      <c r="Q1356" s="17">
        <v>44030.470158564814</v>
      </c>
      <c r="R1356" t="s">
        <v>126</v>
      </c>
    </row>
    <row r="1357" spans="1:18" x14ac:dyDescent="0.3">
      <c r="A1357">
        <v>21525065</v>
      </c>
      <c r="B1357" t="s">
        <v>78</v>
      </c>
      <c r="C1357">
        <v>1320347</v>
      </c>
      <c r="D1357" t="s">
        <v>78</v>
      </c>
      <c r="E1357" t="s">
        <v>26</v>
      </c>
      <c r="F1357" t="s">
        <v>26</v>
      </c>
      <c r="G1357" t="s">
        <v>137</v>
      </c>
      <c r="H1357" t="s">
        <v>260</v>
      </c>
      <c r="I1357" t="s">
        <v>78</v>
      </c>
      <c r="J1357" t="s">
        <v>42</v>
      </c>
      <c r="K1357" t="s">
        <v>83</v>
      </c>
      <c r="L1357" s="25">
        <v>44030</v>
      </c>
      <c r="M1357">
        <v>7</v>
      </c>
      <c r="N1357">
        <v>2020</v>
      </c>
      <c r="O1357" t="s">
        <v>110</v>
      </c>
      <c r="P1357">
        <v>170</v>
      </c>
      <c r="Q1357" s="17">
        <v>44030.432577083331</v>
      </c>
      <c r="R1357" t="s">
        <v>126</v>
      </c>
    </row>
    <row r="1358" spans="1:18" x14ac:dyDescent="0.3">
      <c r="A1358">
        <v>9685709</v>
      </c>
      <c r="B1358" t="s">
        <v>78</v>
      </c>
      <c r="C1358">
        <v>1328703</v>
      </c>
      <c r="D1358" t="s">
        <v>78</v>
      </c>
      <c r="E1358">
        <v>820</v>
      </c>
      <c r="F1358">
        <v>820</v>
      </c>
      <c r="G1358" t="s">
        <v>136</v>
      </c>
      <c r="H1358" t="s">
        <v>250</v>
      </c>
      <c r="I1358" t="s">
        <v>78</v>
      </c>
      <c r="J1358" t="s">
        <v>42</v>
      </c>
      <c r="K1358" t="s">
        <v>83</v>
      </c>
      <c r="L1358" s="25">
        <v>44030</v>
      </c>
      <c r="M1358">
        <v>7</v>
      </c>
      <c r="N1358">
        <v>2020</v>
      </c>
      <c r="O1358" t="s">
        <v>110</v>
      </c>
      <c r="P1358">
        <v>170</v>
      </c>
      <c r="Q1358" s="17">
        <v>44030.428634953707</v>
      </c>
      <c r="R1358" t="s">
        <v>126</v>
      </c>
    </row>
    <row r="1359" spans="1:18" x14ac:dyDescent="0.3">
      <c r="A1359">
        <v>9686989</v>
      </c>
      <c r="B1359" t="s">
        <v>80</v>
      </c>
      <c r="C1359">
        <v>1330257</v>
      </c>
      <c r="D1359" t="s">
        <v>122</v>
      </c>
      <c r="E1359" t="s">
        <v>146</v>
      </c>
      <c r="F1359" t="s">
        <v>17</v>
      </c>
      <c r="G1359" t="s">
        <v>153</v>
      </c>
      <c r="H1359" t="s">
        <v>228</v>
      </c>
      <c r="I1359" t="s">
        <v>84</v>
      </c>
      <c r="J1359" t="s">
        <v>85</v>
      </c>
      <c r="K1359" t="s">
        <v>87</v>
      </c>
      <c r="L1359" s="25">
        <v>44030</v>
      </c>
      <c r="M1359">
        <v>7</v>
      </c>
      <c r="N1359">
        <v>2020</v>
      </c>
      <c r="O1359" t="s">
        <v>110</v>
      </c>
      <c r="P1359">
        <v>170</v>
      </c>
      <c r="Q1359" s="17">
        <v>44030.137771527778</v>
      </c>
      <c r="R1359" t="s">
        <v>126</v>
      </c>
    </row>
    <row r="1360" spans="1:18" x14ac:dyDescent="0.3">
      <c r="A1360">
        <v>21526855</v>
      </c>
      <c r="B1360" t="s">
        <v>78</v>
      </c>
      <c r="C1360">
        <v>1326227</v>
      </c>
      <c r="D1360" t="s">
        <v>78</v>
      </c>
      <c r="E1360">
        <v>966</v>
      </c>
      <c r="F1360">
        <v>966</v>
      </c>
      <c r="G1360" t="s">
        <v>139</v>
      </c>
      <c r="H1360" t="s">
        <v>105</v>
      </c>
      <c r="I1360" t="s">
        <v>78</v>
      </c>
      <c r="J1360" t="s">
        <v>42</v>
      </c>
      <c r="K1360" t="s">
        <v>87</v>
      </c>
      <c r="L1360" s="25">
        <v>44030</v>
      </c>
      <c r="M1360">
        <v>7</v>
      </c>
      <c r="N1360">
        <v>2020</v>
      </c>
      <c r="O1360" t="s">
        <v>110</v>
      </c>
      <c r="P1360">
        <v>170</v>
      </c>
      <c r="Q1360" s="17">
        <v>44030.494071643516</v>
      </c>
      <c r="R1360" t="s">
        <v>126</v>
      </c>
    </row>
    <row r="1361" spans="1:18" x14ac:dyDescent="0.3">
      <c r="A1361">
        <v>9686941</v>
      </c>
      <c r="B1361" t="s">
        <v>80</v>
      </c>
      <c r="C1361">
        <v>1329828</v>
      </c>
      <c r="D1361" t="s">
        <v>113</v>
      </c>
      <c r="E1361" t="s">
        <v>146</v>
      </c>
      <c r="F1361" t="s">
        <v>17</v>
      </c>
      <c r="G1361" t="s">
        <v>153</v>
      </c>
      <c r="H1361" t="s">
        <v>232</v>
      </c>
      <c r="I1361" t="s">
        <v>84</v>
      </c>
      <c r="J1361" t="s">
        <v>85</v>
      </c>
      <c r="K1361" t="s">
        <v>87</v>
      </c>
      <c r="L1361" s="25">
        <v>44030</v>
      </c>
      <c r="M1361">
        <v>7</v>
      </c>
      <c r="N1361">
        <v>2020</v>
      </c>
      <c r="O1361" t="s">
        <v>110</v>
      </c>
      <c r="P1361">
        <v>170</v>
      </c>
      <c r="Q1361" s="17">
        <v>44030.480325694443</v>
      </c>
      <c r="R1361" t="s">
        <v>126</v>
      </c>
    </row>
    <row r="1362" spans="1:18" x14ac:dyDescent="0.3">
      <c r="A1362">
        <v>9684378</v>
      </c>
      <c r="B1362" t="s">
        <v>78</v>
      </c>
      <c r="C1362">
        <v>1328741</v>
      </c>
      <c r="D1362" t="s">
        <v>78</v>
      </c>
      <c r="E1362">
        <v>820</v>
      </c>
      <c r="F1362">
        <v>820</v>
      </c>
      <c r="G1362" t="s">
        <v>136</v>
      </c>
      <c r="H1362" t="s">
        <v>250</v>
      </c>
      <c r="I1362" t="s">
        <v>78</v>
      </c>
      <c r="J1362" t="s">
        <v>42</v>
      </c>
      <c r="K1362" t="s">
        <v>83</v>
      </c>
      <c r="L1362" s="25">
        <v>44030</v>
      </c>
      <c r="M1362">
        <v>7</v>
      </c>
      <c r="N1362">
        <v>2020</v>
      </c>
      <c r="O1362" t="s">
        <v>110</v>
      </c>
      <c r="P1362">
        <v>170</v>
      </c>
      <c r="Q1362" s="17">
        <v>44030.431571990739</v>
      </c>
      <c r="R1362" t="s">
        <v>126</v>
      </c>
    </row>
    <row r="1363" spans="1:18" x14ac:dyDescent="0.3">
      <c r="A1363">
        <v>21527527</v>
      </c>
      <c r="B1363" t="s">
        <v>72</v>
      </c>
      <c r="C1363">
        <v>1324797</v>
      </c>
      <c r="D1363" t="s">
        <v>108</v>
      </c>
      <c r="E1363">
        <v>966</v>
      </c>
      <c r="F1363">
        <v>966</v>
      </c>
      <c r="G1363" t="s">
        <v>139</v>
      </c>
      <c r="H1363" t="s">
        <v>252</v>
      </c>
      <c r="I1363" t="s">
        <v>84</v>
      </c>
      <c r="J1363" t="s">
        <v>85</v>
      </c>
      <c r="K1363" t="s">
        <v>87</v>
      </c>
      <c r="L1363" s="25">
        <v>44030</v>
      </c>
      <c r="M1363">
        <v>7</v>
      </c>
      <c r="N1363">
        <v>2020</v>
      </c>
      <c r="O1363" t="s">
        <v>110</v>
      </c>
      <c r="P1363">
        <v>170</v>
      </c>
      <c r="Q1363" s="17">
        <v>44030.476575925924</v>
      </c>
      <c r="R1363" t="s">
        <v>126</v>
      </c>
    </row>
    <row r="1364" spans="1:18" x14ac:dyDescent="0.3">
      <c r="A1364">
        <v>9682959</v>
      </c>
      <c r="B1364" t="s">
        <v>72</v>
      </c>
      <c r="C1364">
        <v>1331698</v>
      </c>
      <c r="D1364" t="s">
        <v>108</v>
      </c>
      <c r="E1364" t="s">
        <v>12</v>
      </c>
      <c r="F1364" t="s">
        <v>12</v>
      </c>
      <c r="G1364" t="s">
        <v>135</v>
      </c>
      <c r="H1364" t="s">
        <v>252</v>
      </c>
      <c r="I1364" t="s">
        <v>84</v>
      </c>
      <c r="J1364" t="s">
        <v>85</v>
      </c>
      <c r="K1364" t="s">
        <v>83</v>
      </c>
      <c r="L1364" s="25">
        <v>44030</v>
      </c>
      <c r="M1364">
        <v>7</v>
      </c>
      <c r="N1364">
        <v>2020</v>
      </c>
      <c r="O1364" t="s">
        <v>110</v>
      </c>
      <c r="P1364">
        <v>170</v>
      </c>
      <c r="Q1364" s="17">
        <v>44030.497637731482</v>
      </c>
      <c r="R1364" t="s">
        <v>126</v>
      </c>
    </row>
    <row r="1365" spans="1:18" x14ac:dyDescent="0.3">
      <c r="A1365">
        <v>9685891</v>
      </c>
      <c r="B1365" t="s">
        <v>72</v>
      </c>
      <c r="C1365">
        <v>1329892</v>
      </c>
      <c r="D1365" t="s">
        <v>108</v>
      </c>
      <c r="E1365">
        <v>820</v>
      </c>
      <c r="F1365">
        <v>820</v>
      </c>
      <c r="G1365" t="s">
        <v>136</v>
      </c>
      <c r="H1365" t="s">
        <v>270</v>
      </c>
      <c r="I1365" t="s">
        <v>82</v>
      </c>
      <c r="J1365" t="s">
        <v>42</v>
      </c>
      <c r="K1365" t="s">
        <v>83</v>
      </c>
      <c r="L1365" s="25">
        <v>44030</v>
      </c>
      <c r="M1365">
        <v>7</v>
      </c>
      <c r="N1365">
        <v>2020</v>
      </c>
      <c r="O1365" t="s">
        <v>110</v>
      </c>
      <c r="P1365">
        <v>170</v>
      </c>
      <c r="Q1365" s="17">
        <v>44030.484960300928</v>
      </c>
      <c r="R1365" t="s">
        <v>126</v>
      </c>
    </row>
    <row r="1366" spans="1:18" x14ac:dyDescent="0.3">
      <c r="A1366">
        <v>9685815</v>
      </c>
      <c r="B1366" t="s">
        <v>78</v>
      </c>
      <c r="C1366">
        <v>1328956</v>
      </c>
      <c r="D1366" t="s">
        <v>78</v>
      </c>
      <c r="E1366">
        <v>820</v>
      </c>
      <c r="F1366">
        <v>820</v>
      </c>
      <c r="G1366" t="s">
        <v>136</v>
      </c>
      <c r="H1366" t="s">
        <v>250</v>
      </c>
      <c r="I1366" t="s">
        <v>78</v>
      </c>
      <c r="J1366" t="s">
        <v>42</v>
      </c>
      <c r="K1366" t="s">
        <v>83</v>
      </c>
      <c r="L1366" s="25">
        <v>44030</v>
      </c>
      <c r="M1366">
        <v>7</v>
      </c>
      <c r="N1366">
        <v>2020</v>
      </c>
      <c r="O1366" t="s">
        <v>110</v>
      </c>
      <c r="P1366">
        <v>170</v>
      </c>
      <c r="Q1366" s="17">
        <v>44030.444916782406</v>
      </c>
      <c r="R1366" t="s">
        <v>126</v>
      </c>
    </row>
    <row r="1367" spans="1:18" x14ac:dyDescent="0.3">
      <c r="A1367">
        <v>9685554</v>
      </c>
      <c r="B1367" t="s">
        <v>72</v>
      </c>
      <c r="C1367">
        <v>1331498</v>
      </c>
      <c r="D1367" t="s">
        <v>108</v>
      </c>
      <c r="E1367" t="s">
        <v>26</v>
      </c>
      <c r="F1367" t="s">
        <v>26</v>
      </c>
      <c r="G1367" t="s">
        <v>137</v>
      </c>
      <c r="H1367" t="s">
        <v>229</v>
      </c>
      <c r="I1367" t="s">
        <v>84</v>
      </c>
      <c r="J1367" t="s">
        <v>85</v>
      </c>
      <c r="K1367" t="s">
        <v>83</v>
      </c>
      <c r="L1367" s="25">
        <v>44030</v>
      </c>
      <c r="M1367">
        <v>7</v>
      </c>
      <c r="N1367">
        <v>2020</v>
      </c>
      <c r="O1367" t="s">
        <v>110</v>
      </c>
      <c r="P1367">
        <v>170</v>
      </c>
      <c r="Q1367" s="17">
        <v>44030.382505439811</v>
      </c>
      <c r="R1367" t="s">
        <v>126</v>
      </c>
    </row>
    <row r="1368" spans="1:18" x14ac:dyDescent="0.3">
      <c r="A1368">
        <v>9686467</v>
      </c>
      <c r="B1368" t="s">
        <v>80</v>
      </c>
      <c r="C1368">
        <v>1330075</v>
      </c>
      <c r="D1368" t="s">
        <v>113</v>
      </c>
      <c r="E1368" t="s">
        <v>12</v>
      </c>
      <c r="F1368" t="s">
        <v>12</v>
      </c>
      <c r="G1368" t="s">
        <v>135</v>
      </c>
      <c r="H1368" t="s">
        <v>232</v>
      </c>
      <c r="I1368" t="s">
        <v>84</v>
      </c>
      <c r="J1368" t="s">
        <v>85</v>
      </c>
      <c r="K1368" t="s">
        <v>83</v>
      </c>
      <c r="L1368" s="25">
        <v>44030</v>
      </c>
      <c r="M1368">
        <v>7</v>
      </c>
      <c r="N1368">
        <v>2020</v>
      </c>
      <c r="O1368" t="s">
        <v>110</v>
      </c>
      <c r="P1368">
        <v>170</v>
      </c>
      <c r="Q1368" s="17">
        <v>44030.472893981481</v>
      </c>
      <c r="R1368" t="s">
        <v>126</v>
      </c>
    </row>
    <row r="1369" spans="1:18" x14ac:dyDescent="0.3">
      <c r="A1369">
        <v>9686976</v>
      </c>
      <c r="B1369" t="s">
        <v>78</v>
      </c>
      <c r="C1369">
        <v>1329975</v>
      </c>
      <c r="D1369" t="s">
        <v>78</v>
      </c>
      <c r="E1369" t="s">
        <v>138</v>
      </c>
      <c r="F1369" t="s">
        <v>17</v>
      </c>
      <c r="G1369" t="s">
        <v>145</v>
      </c>
      <c r="H1369" t="s">
        <v>134</v>
      </c>
      <c r="I1369" t="s">
        <v>78</v>
      </c>
      <c r="J1369" t="s">
        <v>42</v>
      </c>
      <c r="K1369" t="s">
        <v>87</v>
      </c>
      <c r="L1369" s="25">
        <v>44030</v>
      </c>
      <c r="M1369">
        <v>7</v>
      </c>
      <c r="N1369">
        <v>2020</v>
      </c>
      <c r="O1369" t="s">
        <v>110</v>
      </c>
      <c r="P1369">
        <v>170</v>
      </c>
      <c r="Q1369" s="17">
        <v>44030.484256134259</v>
      </c>
      <c r="R1369" t="s">
        <v>126</v>
      </c>
    </row>
    <row r="1370" spans="1:18" x14ac:dyDescent="0.3">
      <c r="A1370">
        <v>9685640</v>
      </c>
      <c r="B1370" t="s">
        <v>78</v>
      </c>
      <c r="C1370">
        <v>1329526</v>
      </c>
      <c r="D1370" t="s">
        <v>78</v>
      </c>
      <c r="E1370">
        <v>820</v>
      </c>
      <c r="F1370">
        <v>820</v>
      </c>
      <c r="G1370" t="s">
        <v>136</v>
      </c>
      <c r="H1370" t="s">
        <v>250</v>
      </c>
      <c r="I1370" t="s">
        <v>78</v>
      </c>
      <c r="J1370" t="s">
        <v>42</v>
      </c>
      <c r="K1370" t="s">
        <v>83</v>
      </c>
      <c r="L1370" s="25">
        <v>44030</v>
      </c>
      <c r="M1370">
        <v>7</v>
      </c>
      <c r="N1370">
        <v>2020</v>
      </c>
      <c r="O1370" t="s">
        <v>110</v>
      </c>
      <c r="P1370">
        <v>170</v>
      </c>
      <c r="Q1370" s="17">
        <v>44030.475428819445</v>
      </c>
      <c r="R1370" t="s">
        <v>126</v>
      </c>
    </row>
    <row r="1371" spans="1:18" x14ac:dyDescent="0.3">
      <c r="A1371">
        <v>9686730</v>
      </c>
      <c r="B1371" t="s">
        <v>80</v>
      </c>
      <c r="C1371">
        <v>1329775</v>
      </c>
      <c r="D1371" t="s">
        <v>113</v>
      </c>
      <c r="E1371" t="s">
        <v>146</v>
      </c>
      <c r="F1371" t="s">
        <v>17</v>
      </c>
      <c r="G1371" t="s">
        <v>153</v>
      </c>
      <c r="H1371" t="s">
        <v>232</v>
      </c>
      <c r="I1371" t="s">
        <v>84</v>
      </c>
      <c r="J1371" t="s">
        <v>85</v>
      </c>
      <c r="K1371" t="s">
        <v>87</v>
      </c>
      <c r="L1371" s="25">
        <v>44030</v>
      </c>
      <c r="M1371">
        <v>7</v>
      </c>
      <c r="N1371">
        <v>2020</v>
      </c>
      <c r="O1371" t="s">
        <v>110</v>
      </c>
      <c r="P1371">
        <v>170</v>
      </c>
      <c r="Q1371" s="17">
        <v>44030.469599189812</v>
      </c>
      <c r="R1371" t="s">
        <v>126</v>
      </c>
    </row>
    <row r="1372" spans="1:18" x14ac:dyDescent="0.3">
      <c r="A1372">
        <v>9685870</v>
      </c>
      <c r="B1372" t="s">
        <v>78</v>
      </c>
      <c r="C1372">
        <v>1329875</v>
      </c>
      <c r="D1372" t="s">
        <v>78</v>
      </c>
      <c r="E1372">
        <v>820</v>
      </c>
      <c r="F1372">
        <v>820</v>
      </c>
      <c r="G1372" t="s">
        <v>136</v>
      </c>
      <c r="H1372" t="s">
        <v>249</v>
      </c>
      <c r="I1372" t="s">
        <v>78</v>
      </c>
      <c r="J1372" t="s">
        <v>42</v>
      </c>
      <c r="K1372" t="s">
        <v>83</v>
      </c>
      <c r="L1372" s="25">
        <v>44030</v>
      </c>
      <c r="M1372">
        <v>7</v>
      </c>
      <c r="N1372">
        <v>2020</v>
      </c>
      <c r="O1372" t="s">
        <v>110</v>
      </c>
      <c r="P1372">
        <v>170</v>
      </c>
      <c r="Q1372" s="17">
        <v>44030.486232291667</v>
      </c>
      <c r="R1372" t="s">
        <v>126</v>
      </c>
    </row>
    <row r="1373" spans="1:18" x14ac:dyDescent="0.3">
      <c r="A1373">
        <v>9686342</v>
      </c>
      <c r="B1373" t="s">
        <v>78</v>
      </c>
      <c r="C1373">
        <v>1329726</v>
      </c>
      <c r="D1373" t="s">
        <v>116</v>
      </c>
      <c r="E1373" t="s">
        <v>12</v>
      </c>
      <c r="F1373" t="s">
        <v>12</v>
      </c>
      <c r="G1373" t="s">
        <v>135</v>
      </c>
      <c r="H1373" t="s">
        <v>261</v>
      </c>
      <c r="I1373" t="s">
        <v>84</v>
      </c>
      <c r="J1373" t="s">
        <v>85</v>
      </c>
      <c r="K1373" t="s">
        <v>83</v>
      </c>
      <c r="L1373" s="25">
        <v>44030</v>
      </c>
      <c r="M1373">
        <v>7</v>
      </c>
      <c r="N1373">
        <v>2020</v>
      </c>
      <c r="O1373" t="s">
        <v>110</v>
      </c>
      <c r="P1373">
        <v>170</v>
      </c>
      <c r="Q1373" s="17">
        <v>44030.443902430554</v>
      </c>
      <c r="R1373" t="s">
        <v>126</v>
      </c>
    </row>
    <row r="1374" spans="1:18" x14ac:dyDescent="0.3">
      <c r="A1374">
        <v>9687274</v>
      </c>
      <c r="B1374" t="s">
        <v>72</v>
      </c>
      <c r="C1374">
        <v>1331398</v>
      </c>
      <c r="D1374" t="s">
        <v>108</v>
      </c>
      <c r="E1374" t="s">
        <v>12</v>
      </c>
      <c r="F1374" t="s">
        <v>12</v>
      </c>
      <c r="G1374" t="s">
        <v>135</v>
      </c>
      <c r="H1374" t="s">
        <v>98</v>
      </c>
      <c r="I1374" t="s">
        <v>82</v>
      </c>
      <c r="J1374" t="s">
        <v>42</v>
      </c>
      <c r="K1374" t="s">
        <v>83</v>
      </c>
      <c r="L1374" s="25">
        <v>44030</v>
      </c>
      <c r="M1374">
        <v>7</v>
      </c>
      <c r="N1374">
        <v>2020</v>
      </c>
      <c r="O1374" t="s">
        <v>110</v>
      </c>
      <c r="P1374">
        <v>170</v>
      </c>
      <c r="Q1374" s="17">
        <v>44030.48738136574</v>
      </c>
      <c r="R1374" t="s">
        <v>126</v>
      </c>
    </row>
    <row r="1375" spans="1:18" x14ac:dyDescent="0.3">
      <c r="A1375">
        <v>9686039</v>
      </c>
      <c r="B1375" t="s">
        <v>80</v>
      </c>
      <c r="C1375">
        <v>1329626</v>
      </c>
      <c r="D1375" t="s">
        <v>113</v>
      </c>
      <c r="E1375" t="s">
        <v>146</v>
      </c>
      <c r="F1375" t="s">
        <v>17</v>
      </c>
      <c r="G1375" t="s">
        <v>153</v>
      </c>
      <c r="H1375" t="s">
        <v>232</v>
      </c>
      <c r="I1375" t="s">
        <v>84</v>
      </c>
      <c r="J1375" t="s">
        <v>85</v>
      </c>
      <c r="K1375" t="s">
        <v>87</v>
      </c>
      <c r="L1375" s="25">
        <v>44030</v>
      </c>
      <c r="M1375">
        <v>7</v>
      </c>
      <c r="N1375">
        <v>2020</v>
      </c>
      <c r="O1375" t="s">
        <v>110</v>
      </c>
      <c r="P1375">
        <v>170</v>
      </c>
      <c r="Q1375" s="17">
        <v>44030.443684606478</v>
      </c>
      <c r="R1375" t="s">
        <v>126</v>
      </c>
    </row>
    <row r="1376" spans="1:18" x14ac:dyDescent="0.3">
      <c r="A1376">
        <v>241791</v>
      </c>
      <c r="B1376" t="s">
        <v>78</v>
      </c>
      <c r="C1376">
        <v>1321668</v>
      </c>
      <c r="D1376" t="s">
        <v>78</v>
      </c>
      <c r="E1376" t="s">
        <v>26</v>
      </c>
      <c r="F1376" t="s">
        <v>26</v>
      </c>
      <c r="G1376" t="s">
        <v>137</v>
      </c>
      <c r="H1376" t="s">
        <v>245</v>
      </c>
      <c r="I1376" t="s">
        <v>78</v>
      </c>
      <c r="J1376" t="s">
        <v>42</v>
      </c>
      <c r="K1376" t="s">
        <v>83</v>
      </c>
      <c r="L1376" s="25">
        <v>44030</v>
      </c>
      <c r="M1376">
        <v>7</v>
      </c>
      <c r="N1376">
        <v>2020</v>
      </c>
      <c r="O1376" t="s">
        <v>110</v>
      </c>
      <c r="P1376">
        <v>170</v>
      </c>
      <c r="Q1376" s="17">
        <v>44030.463696643521</v>
      </c>
      <c r="R1376" t="s">
        <v>126</v>
      </c>
    </row>
    <row r="1377" spans="1:18" x14ac:dyDescent="0.3">
      <c r="A1377">
        <v>9686935</v>
      </c>
      <c r="B1377" t="s">
        <v>80</v>
      </c>
      <c r="C1377">
        <v>1329826</v>
      </c>
      <c r="D1377" t="s">
        <v>113</v>
      </c>
      <c r="E1377" t="s">
        <v>146</v>
      </c>
      <c r="F1377" t="s">
        <v>17</v>
      </c>
      <c r="G1377" t="s">
        <v>153</v>
      </c>
      <c r="H1377" t="s">
        <v>232</v>
      </c>
      <c r="I1377" t="s">
        <v>84</v>
      </c>
      <c r="J1377" t="s">
        <v>85</v>
      </c>
      <c r="K1377" t="s">
        <v>87</v>
      </c>
      <c r="L1377" s="25">
        <v>44030</v>
      </c>
      <c r="M1377">
        <v>7</v>
      </c>
      <c r="N1377">
        <v>2020</v>
      </c>
      <c r="O1377" t="s">
        <v>110</v>
      </c>
      <c r="P1377">
        <v>170</v>
      </c>
      <c r="Q1377" s="17">
        <v>44030.486159837965</v>
      </c>
      <c r="R1377" t="s">
        <v>126</v>
      </c>
    </row>
    <row r="1378" spans="1:18" x14ac:dyDescent="0.3">
      <c r="A1378">
        <v>244673</v>
      </c>
      <c r="B1378" t="s">
        <v>79</v>
      </c>
      <c r="C1378">
        <v>1329913</v>
      </c>
      <c r="D1378" t="s">
        <v>116</v>
      </c>
      <c r="E1378" t="s">
        <v>58</v>
      </c>
      <c r="F1378" t="s">
        <v>58</v>
      </c>
      <c r="G1378" t="s">
        <v>114</v>
      </c>
      <c r="H1378" t="s">
        <v>233</v>
      </c>
      <c r="I1378" t="s">
        <v>82</v>
      </c>
      <c r="J1378" t="s">
        <v>42</v>
      </c>
      <c r="K1378" t="s">
        <v>87</v>
      </c>
      <c r="L1378" s="25">
        <v>44030</v>
      </c>
      <c r="M1378">
        <v>7</v>
      </c>
      <c r="N1378">
        <v>2020</v>
      </c>
      <c r="O1378" t="s">
        <v>110</v>
      </c>
      <c r="P1378">
        <v>170</v>
      </c>
      <c r="Q1378" s="17">
        <v>44030.468347569447</v>
      </c>
      <c r="R1378" t="s">
        <v>111</v>
      </c>
    </row>
    <row r="1379" spans="1:18" x14ac:dyDescent="0.3">
      <c r="A1379">
        <v>9686462</v>
      </c>
      <c r="B1379" t="s">
        <v>78</v>
      </c>
      <c r="C1379">
        <v>1330047</v>
      </c>
      <c r="D1379" t="s">
        <v>78</v>
      </c>
      <c r="E1379" t="s">
        <v>58</v>
      </c>
      <c r="F1379" t="s">
        <v>58</v>
      </c>
      <c r="G1379" t="s">
        <v>114</v>
      </c>
      <c r="H1379" t="s">
        <v>105</v>
      </c>
      <c r="I1379" t="s">
        <v>78</v>
      </c>
      <c r="J1379" t="s">
        <v>42</v>
      </c>
      <c r="K1379" t="s">
        <v>87</v>
      </c>
      <c r="L1379" s="25">
        <v>44030</v>
      </c>
      <c r="M1379">
        <v>7</v>
      </c>
      <c r="N1379">
        <v>2020</v>
      </c>
      <c r="O1379" t="s">
        <v>110</v>
      </c>
      <c r="P1379">
        <v>170</v>
      </c>
      <c r="Q1379" s="17">
        <v>44030.475359837961</v>
      </c>
      <c r="R1379" t="s">
        <v>111</v>
      </c>
    </row>
    <row r="1380" spans="1:18" x14ac:dyDescent="0.3">
      <c r="A1380">
        <v>9686472</v>
      </c>
      <c r="B1380" t="s">
        <v>78</v>
      </c>
      <c r="C1380">
        <v>1330049</v>
      </c>
      <c r="D1380" t="s">
        <v>78</v>
      </c>
      <c r="E1380" t="s">
        <v>58</v>
      </c>
      <c r="F1380" t="s">
        <v>58</v>
      </c>
      <c r="G1380" t="s">
        <v>114</v>
      </c>
      <c r="H1380" t="s">
        <v>105</v>
      </c>
      <c r="I1380" t="s">
        <v>78</v>
      </c>
      <c r="J1380" t="s">
        <v>42</v>
      </c>
      <c r="K1380" t="s">
        <v>87</v>
      </c>
      <c r="L1380" s="25">
        <v>44030</v>
      </c>
      <c r="M1380">
        <v>7</v>
      </c>
      <c r="N1380">
        <v>2020</v>
      </c>
      <c r="O1380" t="s">
        <v>110</v>
      </c>
      <c r="P1380">
        <v>170</v>
      </c>
      <c r="Q1380" s="17">
        <v>44030.476281365743</v>
      </c>
      <c r="R1380" t="s">
        <v>111</v>
      </c>
    </row>
    <row r="1381" spans="1:18" x14ac:dyDescent="0.3">
      <c r="A1381">
        <v>9687289</v>
      </c>
      <c r="B1381" t="s">
        <v>78</v>
      </c>
      <c r="C1381">
        <v>1330090</v>
      </c>
      <c r="D1381" t="s">
        <v>78</v>
      </c>
      <c r="E1381" t="s">
        <v>57</v>
      </c>
      <c r="F1381" t="s">
        <v>57</v>
      </c>
      <c r="G1381" t="s">
        <v>109</v>
      </c>
      <c r="H1381" t="s">
        <v>105</v>
      </c>
      <c r="I1381" t="s">
        <v>78</v>
      </c>
      <c r="J1381" t="s">
        <v>42</v>
      </c>
      <c r="K1381" t="s">
        <v>87</v>
      </c>
      <c r="L1381" s="25">
        <v>44030</v>
      </c>
      <c r="M1381">
        <v>7</v>
      </c>
      <c r="N1381">
        <v>2020</v>
      </c>
      <c r="O1381" t="s">
        <v>110</v>
      </c>
      <c r="P1381">
        <v>170</v>
      </c>
      <c r="Q1381" s="17">
        <v>44030.476966087961</v>
      </c>
      <c r="R1381" t="s">
        <v>111</v>
      </c>
    </row>
    <row r="1382" spans="1:18" x14ac:dyDescent="0.3">
      <c r="A1382">
        <v>244649</v>
      </c>
      <c r="B1382" t="s">
        <v>72</v>
      </c>
      <c r="C1382">
        <v>1330113</v>
      </c>
      <c r="D1382" t="s">
        <v>108</v>
      </c>
      <c r="E1382" t="s">
        <v>58</v>
      </c>
      <c r="F1382" t="s">
        <v>58</v>
      </c>
      <c r="G1382" t="s">
        <v>114</v>
      </c>
      <c r="H1382" t="s">
        <v>229</v>
      </c>
      <c r="I1382" t="s">
        <v>84</v>
      </c>
      <c r="J1382" t="s">
        <v>85</v>
      </c>
      <c r="K1382" t="s">
        <v>87</v>
      </c>
      <c r="L1382" s="25">
        <v>44030</v>
      </c>
      <c r="M1382">
        <v>7</v>
      </c>
      <c r="N1382">
        <v>2020</v>
      </c>
      <c r="O1382" t="s">
        <v>110</v>
      </c>
      <c r="P1382">
        <v>170</v>
      </c>
      <c r="Q1382" s="17">
        <v>44030.477519791668</v>
      </c>
      <c r="R1382" t="s">
        <v>111</v>
      </c>
    </row>
    <row r="1383" spans="1:18" x14ac:dyDescent="0.3">
      <c r="A1383">
        <v>245060</v>
      </c>
      <c r="B1383" t="s">
        <v>72</v>
      </c>
      <c r="C1383">
        <v>1330154</v>
      </c>
      <c r="D1383" t="s">
        <v>108</v>
      </c>
      <c r="E1383" t="s">
        <v>57</v>
      </c>
      <c r="F1383" t="s">
        <v>57</v>
      </c>
      <c r="G1383" t="s">
        <v>109</v>
      </c>
      <c r="H1383" t="s">
        <v>229</v>
      </c>
      <c r="I1383" t="s">
        <v>84</v>
      </c>
      <c r="J1383" t="s">
        <v>85</v>
      </c>
      <c r="K1383" t="s">
        <v>87</v>
      </c>
      <c r="L1383" s="25">
        <v>44030</v>
      </c>
      <c r="M1383">
        <v>7</v>
      </c>
      <c r="N1383">
        <v>2020</v>
      </c>
      <c r="O1383" t="s">
        <v>110</v>
      </c>
      <c r="P1383">
        <v>170</v>
      </c>
      <c r="Q1383" s="17">
        <v>44030.479635185184</v>
      </c>
      <c r="R1383" t="s">
        <v>111</v>
      </c>
    </row>
    <row r="1384" spans="1:18" x14ac:dyDescent="0.3">
      <c r="A1384">
        <v>245028</v>
      </c>
      <c r="B1384" t="s">
        <v>79</v>
      </c>
      <c r="C1384">
        <v>1330556</v>
      </c>
      <c r="D1384" t="s">
        <v>116</v>
      </c>
      <c r="E1384" t="s">
        <v>58</v>
      </c>
      <c r="F1384" t="s">
        <v>58</v>
      </c>
      <c r="G1384" t="s">
        <v>114</v>
      </c>
      <c r="H1384" t="s">
        <v>233</v>
      </c>
      <c r="I1384" t="s">
        <v>82</v>
      </c>
      <c r="J1384" t="s">
        <v>42</v>
      </c>
      <c r="K1384" t="s">
        <v>87</v>
      </c>
      <c r="L1384" s="25">
        <v>44030</v>
      </c>
      <c r="M1384">
        <v>7</v>
      </c>
      <c r="N1384">
        <v>2020</v>
      </c>
      <c r="O1384" t="s">
        <v>110</v>
      </c>
      <c r="P1384">
        <v>170</v>
      </c>
      <c r="Q1384" s="17">
        <v>44030.483288657408</v>
      </c>
      <c r="R1384" t="s">
        <v>111</v>
      </c>
    </row>
    <row r="1385" spans="1:18" x14ac:dyDescent="0.3">
      <c r="A1385">
        <v>9687406</v>
      </c>
      <c r="B1385" t="s">
        <v>72</v>
      </c>
      <c r="C1385">
        <v>1330649</v>
      </c>
      <c r="D1385" t="s">
        <v>108</v>
      </c>
      <c r="E1385" t="s">
        <v>57</v>
      </c>
      <c r="F1385" t="s">
        <v>57</v>
      </c>
      <c r="G1385" t="s">
        <v>109</v>
      </c>
      <c r="H1385" t="s">
        <v>229</v>
      </c>
      <c r="I1385" t="s">
        <v>84</v>
      </c>
      <c r="J1385" t="s">
        <v>85</v>
      </c>
      <c r="K1385" t="s">
        <v>87</v>
      </c>
      <c r="L1385" s="25">
        <v>44030</v>
      </c>
      <c r="M1385">
        <v>7</v>
      </c>
      <c r="N1385">
        <v>2020</v>
      </c>
      <c r="O1385" t="s">
        <v>110</v>
      </c>
      <c r="P1385">
        <v>170</v>
      </c>
      <c r="Q1385" s="17">
        <v>44030.485252314815</v>
      </c>
      <c r="R1385" t="s">
        <v>111</v>
      </c>
    </row>
    <row r="1386" spans="1:18" x14ac:dyDescent="0.3">
      <c r="A1386">
        <v>9688719</v>
      </c>
      <c r="B1386" t="s">
        <v>80</v>
      </c>
      <c r="C1386">
        <v>1331319</v>
      </c>
      <c r="D1386" t="s">
        <v>113</v>
      </c>
      <c r="E1386" t="s">
        <v>58</v>
      </c>
      <c r="F1386" t="s">
        <v>58</v>
      </c>
      <c r="G1386" t="s">
        <v>114</v>
      </c>
      <c r="H1386" t="s">
        <v>232</v>
      </c>
      <c r="I1386" t="s">
        <v>84</v>
      </c>
      <c r="J1386" t="s">
        <v>85</v>
      </c>
      <c r="K1386" t="s">
        <v>87</v>
      </c>
      <c r="L1386" s="25">
        <v>44030</v>
      </c>
      <c r="M1386">
        <v>7</v>
      </c>
      <c r="N1386">
        <v>2020</v>
      </c>
      <c r="O1386" t="s">
        <v>110</v>
      </c>
      <c r="P1386">
        <v>170</v>
      </c>
      <c r="Q1386" s="17">
        <v>44030.497988773146</v>
      </c>
      <c r="R1386" t="s">
        <v>111</v>
      </c>
    </row>
    <row r="1387" spans="1:18" x14ac:dyDescent="0.3">
      <c r="A1387">
        <v>9689284</v>
      </c>
      <c r="B1387" t="s">
        <v>72</v>
      </c>
      <c r="C1387">
        <v>1331426</v>
      </c>
      <c r="D1387" t="s">
        <v>108</v>
      </c>
      <c r="E1387" t="s">
        <v>57</v>
      </c>
      <c r="F1387" t="s">
        <v>57</v>
      </c>
      <c r="G1387" t="s">
        <v>109</v>
      </c>
      <c r="H1387" t="s">
        <v>229</v>
      </c>
      <c r="I1387" t="s">
        <v>84</v>
      </c>
      <c r="J1387" t="s">
        <v>85</v>
      </c>
      <c r="K1387" t="s">
        <v>87</v>
      </c>
      <c r="L1387" s="25">
        <v>44030</v>
      </c>
      <c r="M1387">
        <v>7</v>
      </c>
      <c r="N1387">
        <v>2020</v>
      </c>
      <c r="O1387" t="s">
        <v>110</v>
      </c>
      <c r="P1387">
        <v>170</v>
      </c>
      <c r="Q1387" s="17">
        <v>44031.032674768518</v>
      </c>
      <c r="R1387" t="s">
        <v>111</v>
      </c>
    </row>
    <row r="1388" spans="1:18" x14ac:dyDescent="0.3">
      <c r="A1388">
        <v>9677487</v>
      </c>
      <c r="B1388" t="s">
        <v>72</v>
      </c>
      <c r="C1388">
        <v>1318915</v>
      </c>
      <c r="D1388" t="s">
        <v>108</v>
      </c>
      <c r="E1388">
        <v>966</v>
      </c>
      <c r="F1388">
        <v>966</v>
      </c>
      <c r="G1388" t="s">
        <v>139</v>
      </c>
      <c r="H1388" t="s">
        <v>261</v>
      </c>
      <c r="I1388" t="s">
        <v>84</v>
      </c>
      <c r="J1388" t="s">
        <v>85</v>
      </c>
      <c r="K1388" t="s">
        <v>87</v>
      </c>
      <c r="L1388" s="25">
        <v>44030</v>
      </c>
      <c r="M1388">
        <v>7</v>
      </c>
      <c r="N1388">
        <v>2020</v>
      </c>
      <c r="O1388" t="s">
        <v>110</v>
      </c>
      <c r="P1388">
        <v>170</v>
      </c>
      <c r="Q1388" s="17">
        <v>44030.435277314813</v>
      </c>
      <c r="R1388" t="s">
        <v>126</v>
      </c>
    </row>
    <row r="1389" spans="1:18" x14ac:dyDescent="0.3">
      <c r="A1389">
        <v>9687687</v>
      </c>
      <c r="B1389" t="s">
        <v>78</v>
      </c>
      <c r="C1389">
        <v>1330583</v>
      </c>
      <c r="D1389" t="s">
        <v>78</v>
      </c>
      <c r="E1389">
        <v>820</v>
      </c>
      <c r="F1389">
        <v>820</v>
      </c>
      <c r="G1389" t="s">
        <v>136</v>
      </c>
      <c r="H1389" t="s">
        <v>250</v>
      </c>
      <c r="I1389" t="s">
        <v>78</v>
      </c>
      <c r="J1389" t="s">
        <v>42</v>
      </c>
      <c r="K1389" t="s">
        <v>83</v>
      </c>
      <c r="L1389" s="25">
        <v>44030</v>
      </c>
      <c r="M1389">
        <v>7</v>
      </c>
      <c r="N1389">
        <v>2020</v>
      </c>
      <c r="O1389" t="s">
        <v>110</v>
      </c>
      <c r="P1389">
        <v>170</v>
      </c>
      <c r="Q1389" s="17">
        <v>44030.490002893515</v>
      </c>
      <c r="R1389" t="s">
        <v>126</v>
      </c>
    </row>
    <row r="1390" spans="1:18" x14ac:dyDescent="0.3">
      <c r="A1390">
        <v>9674903</v>
      </c>
      <c r="B1390" t="s">
        <v>78</v>
      </c>
      <c r="C1390">
        <v>1317779</v>
      </c>
      <c r="D1390" t="s">
        <v>78</v>
      </c>
      <c r="E1390">
        <v>966</v>
      </c>
      <c r="F1390">
        <v>966</v>
      </c>
      <c r="G1390" t="s">
        <v>139</v>
      </c>
      <c r="H1390" t="s">
        <v>105</v>
      </c>
      <c r="I1390" t="s">
        <v>78</v>
      </c>
      <c r="J1390" t="s">
        <v>42</v>
      </c>
      <c r="K1390" t="s">
        <v>87</v>
      </c>
      <c r="L1390" s="25">
        <v>44030</v>
      </c>
      <c r="M1390">
        <v>7</v>
      </c>
      <c r="N1390">
        <v>2020</v>
      </c>
      <c r="O1390" t="s">
        <v>110</v>
      </c>
      <c r="P1390">
        <v>170</v>
      </c>
      <c r="Q1390" s="17">
        <v>44030.424599999998</v>
      </c>
      <c r="R1390" t="s">
        <v>126</v>
      </c>
    </row>
    <row r="1391" spans="1:18" x14ac:dyDescent="0.3">
      <c r="A1391">
        <v>21525150</v>
      </c>
      <c r="B1391" t="s">
        <v>78</v>
      </c>
      <c r="C1391">
        <v>1320289</v>
      </c>
      <c r="D1391" t="s">
        <v>78</v>
      </c>
      <c r="E1391" t="s">
        <v>26</v>
      </c>
      <c r="F1391" t="s">
        <v>26</v>
      </c>
      <c r="G1391" t="s">
        <v>137</v>
      </c>
      <c r="H1391" t="s">
        <v>245</v>
      </c>
      <c r="I1391" t="s">
        <v>78</v>
      </c>
      <c r="J1391" t="s">
        <v>42</v>
      </c>
      <c r="K1391" t="s">
        <v>83</v>
      </c>
      <c r="L1391" s="25">
        <v>44030</v>
      </c>
      <c r="M1391">
        <v>7</v>
      </c>
      <c r="N1391">
        <v>2020</v>
      </c>
      <c r="O1391" t="s">
        <v>110</v>
      </c>
      <c r="P1391">
        <v>170</v>
      </c>
      <c r="Q1391" s="17">
        <v>44030.429972337966</v>
      </c>
      <c r="R1391" t="s">
        <v>126</v>
      </c>
    </row>
    <row r="1392" spans="1:18" x14ac:dyDescent="0.3">
      <c r="A1392">
        <v>9686319</v>
      </c>
      <c r="B1392" t="s">
        <v>72</v>
      </c>
      <c r="C1392">
        <v>1329890</v>
      </c>
      <c r="D1392" t="s">
        <v>108</v>
      </c>
      <c r="E1392" t="s">
        <v>146</v>
      </c>
      <c r="F1392" t="s">
        <v>17</v>
      </c>
      <c r="G1392" t="s">
        <v>153</v>
      </c>
      <c r="H1392" t="s">
        <v>263</v>
      </c>
      <c r="I1392" t="s">
        <v>82</v>
      </c>
      <c r="J1392" t="s">
        <v>42</v>
      </c>
      <c r="K1392" t="s">
        <v>87</v>
      </c>
      <c r="L1392" s="25">
        <v>44030</v>
      </c>
      <c r="M1392">
        <v>7</v>
      </c>
      <c r="N1392">
        <v>2020</v>
      </c>
      <c r="O1392" t="s">
        <v>110</v>
      </c>
      <c r="P1392">
        <v>170</v>
      </c>
      <c r="Q1392" s="17">
        <v>44030.481167013888</v>
      </c>
      <c r="R1392" t="s">
        <v>126</v>
      </c>
    </row>
    <row r="1393" spans="1:18" x14ac:dyDescent="0.3">
      <c r="A1393">
        <v>9685681</v>
      </c>
      <c r="B1393" t="s">
        <v>78</v>
      </c>
      <c r="C1393">
        <v>1328954</v>
      </c>
      <c r="D1393" t="s">
        <v>78</v>
      </c>
      <c r="E1393">
        <v>820</v>
      </c>
      <c r="F1393">
        <v>820</v>
      </c>
      <c r="G1393" t="s">
        <v>136</v>
      </c>
      <c r="H1393" t="s">
        <v>250</v>
      </c>
      <c r="I1393" t="s">
        <v>78</v>
      </c>
      <c r="J1393" t="s">
        <v>42</v>
      </c>
      <c r="K1393" t="s">
        <v>83</v>
      </c>
      <c r="L1393" s="25">
        <v>44030</v>
      </c>
      <c r="M1393">
        <v>7</v>
      </c>
      <c r="N1393">
        <v>2020</v>
      </c>
      <c r="O1393" t="s">
        <v>110</v>
      </c>
      <c r="P1393">
        <v>170</v>
      </c>
      <c r="Q1393" s="17">
        <v>44030.442627314813</v>
      </c>
      <c r="R1393" t="s">
        <v>126</v>
      </c>
    </row>
    <row r="1394" spans="1:18" x14ac:dyDescent="0.3">
      <c r="A1394">
        <v>9685823</v>
      </c>
      <c r="B1394" t="s">
        <v>72</v>
      </c>
      <c r="C1394">
        <v>1329220</v>
      </c>
      <c r="D1394" t="s">
        <v>108</v>
      </c>
      <c r="E1394">
        <v>820</v>
      </c>
      <c r="F1394">
        <v>820</v>
      </c>
      <c r="G1394" t="s">
        <v>136</v>
      </c>
      <c r="H1394" t="s">
        <v>270</v>
      </c>
      <c r="I1394" t="s">
        <v>82</v>
      </c>
      <c r="J1394" t="s">
        <v>42</v>
      </c>
      <c r="K1394" t="s">
        <v>83</v>
      </c>
      <c r="L1394" s="25">
        <v>44030</v>
      </c>
      <c r="M1394">
        <v>7</v>
      </c>
      <c r="N1394">
        <v>2020</v>
      </c>
      <c r="O1394" t="s">
        <v>110</v>
      </c>
      <c r="P1394">
        <v>170</v>
      </c>
      <c r="Q1394" s="17">
        <v>44030.452878356482</v>
      </c>
      <c r="R1394" t="s">
        <v>126</v>
      </c>
    </row>
    <row r="1395" spans="1:18" x14ac:dyDescent="0.3">
      <c r="A1395">
        <v>21526710</v>
      </c>
      <c r="B1395" t="s">
        <v>78</v>
      </c>
      <c r="C1395">
        <v>1323295</v>
      </c>
      <c r="D1395" t="s">
        <v>78</v>
      </c>
      <c r="E1395">
        <v>966</v>
      </c>
      <c r="F1395">
        <v>966</v>
      </c>
      <c r="G1395" t="s">
        <v>139</v>
      </c>
      <c r="H1395" t="s">
        <v>105</v>
      </c>
      <c r="I1395" t="s">
        <v>78</v>
      </c>
      <c r="J1395" t="s">
        <v>42</v>
      </c>
      <c r="K1395" t="s">
        <v>87</v>
      </c>
      <c r="L1395" s="25">
        <v>44030</v>
      </c>
      <c r="M1395">
        <v>7</v>
      </c>
      <c r="N1395">
        <v>2020</v>
      </c>
      <c r="O1395" t="s">
        <v>110</v>
      </c>
      <c r="P1395">
        <v>170</v>
      </c>
      <c r="Q1395" s="17">
        <v>44030.463915972221</v>
      </c>
      <c r="R1395" t="s">
        <v>126</v>
      </c>
    </row>
    <row r="1396" spans="1:18" x14ac:dyDescent="0.3">
      <c r="A1396">
        <v>21534862</v>
      </c>
      <c r="B1396" t="s">
        <v>72</v>
      </c>
      <c r="C1396">
        <v>1334593</v>
      </c>
      <c r="D1396" t="s">
        <v>108</v>
      </c>
      <c r="E1396" t="s">
        <v>26</v>
      </c>
      <c r="F1396" t="s">
        <v>26</v>
      </c>
      <c r="G1396" t="s">
        <v>137</v>
      </c>
      <c r="H1396" t="s">
        <v>229</v>
      </c>
      <c r="I1396" t="s">
        <v>84</v>
      </c>
      <c r="J1396" t="s">
        <v>85</v>
      </c>
      <c r="K1396" t="s">
        <v>83</v>
      </c>
      <c r="L1396" s="25">
        <v>44030</v>
      </c>
      <c r="M1396">
        <v>7</v>
      </c>
      <c r="N1396">
        <v>2020</v>
      </c>
      <c r="O1396" t="s">
        <v>110</v>
      </c>
      <c r="P1396">
        <v>170</v>
      </c>
      <c r="Q1396" s="17">
        <v>44031.092845717591</v>
      </c>
      <c r="R1396" t="s">
        <v>126</v>
      </c>
    </row>
    <row r="1397" spans="1:18" x14ac:dyDescent="0.3">
      <c r="A1397">
        <v>242091</v>
      </c>
      <c r="B1397" t="s">
        <v>72</v>
      </c>
      <c r="C1397">
        <v>1322568</v>
      </c>
      <c r="D1397" t="s">
        <v>108</v>
      </c>
      <c r="E1397" t="s">
        <v>146</v>
      </c>
      <c r="F1397" t="s">
        <v>17</v>
      </c>
      <c r="G1397" t="s">
        <v>147</v>
      </c>
      <c r="H1397" t="s">
        <v>263</v>
      </c>
      <c r="I1397" t="s">
        <v>82</v>
      </c>
      <c r="J1397" t="s">
        <v>42</v>
      </c>
      <c r="K1397" t="s">
        <v>87</v>
      </c>
      <c r="L1397" s="25">
        <v>44030</v>
      </c>
      <c r="M1397">
        <v>7</v>
      </c>
      <c r="N1397">
        <v>2020</v>
      </c>
      <c r="O1397" t="s">
        <v>110</v>
      </c>
      <c r="P1397">
        <v>170</v>
      </c>
      <c r="Q1397" s="17">
        <v>44031.032691319444</v>
      </c>
      <c r="R1397" t="s">
        <v>126</v>
      </c>
    </row>
    <row r="1398" spans="1:18" x14ac:dyDescent="0.3">
      <c r="A1398">
        <v>9686040</v>
      </c>
      <c r="B1398" t="s">
        <v>72</v>
      </c>
      <c r="C1398">
        <v>1334429</v>
      </c>
      <c r="D1398" t="s">
        <v>108</v>
      </c>
      <c r="E1398" t="s">
        <v>26</v>
      </c>
      <c r="F1398" t="s">
        <v>26</v>
      </c>
      <c r="G1398" t="s">
        <v>137</v>
      </c>
      <c r="H1398" t="s">
        <v>229</v>
      </c>
      <c r="I1398" t="s">
        <v>84</v>
      </c>
      <c r="J1398" t="s">
        <v>85</v>
      </c>
      <c r="K1398" t="s">
        <v>83</v>
      </c>
      <c r="L1398" s="25">
        <v>44030</v>
      </c>
      <c r="M1398">
        <v>7</v>
      </c>
      <c r="N1398">
        <v>2020</v>
      </c>
      <c r="O1398" t="s">
        <v>110</v>
      </c>
      <c r="P1398">
        <v>170</v>
      </c>
      <c r="Q1398" s="17">
        <v>44031.089606134257</v>
      </c>
      <c r="R1398" t="s">
        <v>126</v>
      </c>
    </row>
    <row r="1399" spans="1:18" x14ac:dyDescent="0.3">
      <c r="A1399">
        <v>9686704</v>
      </c>
      <c r="B1399" t="s">
        <v>80</v>
      </c>
      <c r="C1399">
        <v>1329735</v>
      </c>
      <c r="D1399" t="s">
        <v>113</v>
      </c>
      <c r="E1399" t="s">
        <v>146</v>
      </c>
      <c r="F1399" t="s">
        <v>17</v>
      </c>
      <c r="G1399" t="s">
        <v>153</v>
      </c>
      <c r="H1399" t="s">
        <v>232</v>
      </c>
      <c r="I1399" t="s">
        <v>84</v>
      </c>
      <c r="J1399" t="s">
        <v>85</v>
      </c>
      <c r="K1399" t="s">
        <v>87</v>
      </c>
      <c r="L1399" s="25">
        <v>44030</v>
      </c>
      <c r="M1399">
        <v>7</v>
      </c>
      <c r="N1399">
        <v>2020</v>
      </c>
      <c r="O1399" t="s">
        <v>110</v>
      </c>
      <c r="P1399">
        <v>170</v>
      </c>
      <c r="Q1399" s="17">
        <v>44030.466515509259</v>
      </c>
      <c r="R1399" t="s">
        <v>126</v>
      </c>
    </row>
    <row r="1400" spans="1:18" x14ac:dyDescent="0.3">
      <c r="A1400">
        <v>9688051</v>
      </c>
      <c r="B1400" t="s">
        <v>72</v>
      </c>
      <c r="C1400">
        <v>1330685</v>
      </c>
      <c r="D1400" t="s">
        <v>108</v>
      </c>
      <c r="E1400">
        <v>966</v>
      </c>
      <c r="F1400">
        <v>966</v>
      </c>
      <c r="G1400" t="s">
        <v>139</v>
      </c>
      <c r="H1400" t="s">
        <v>229</v>
      </c>
      <c r="I1400" t="s">
        <v>84</v>
      </c>
      <c r="J1400" t="s">
        <v>85</v>
      </c>
      <c r="K1400" t="s">
        <v>87</v>
      </c>
      <c r="L1400" s="25">
        <v>44030</v>
      </c>
      <c r="M1400">
        <v>7</v>
      </c>
      <c r="N1400">
        <v>2020</v>
      </c>
      <c r="O1400" t="s">
        <v>110</v>
      </c>
      <c r="P1400">
        <v>170</v>
      </c>
      <c r="Q1400" s="17">
        <v>44030.380363194447</v>
      </c>
      <c r="R1400" t="s">
        <v>126</v>
      </c>
    </row>
    <row r="1401" spans="1:18" x14ac:dyDescent="0.3">
      <c r="A1401">
        <v>9689311</v>
      </c>
      <c r="B1401" t="s">
        <v>78</v>
      </c>
      <c r="C1401">
        <v>1331621</v>
      </c>
      <c r="D1401" t="s">
        <v>78</v>
      </c>
      <c r="E1401">
        <v>845</v>
      </c>
      <c r="F1401">
        <v>845</v>
      </c>
      <c r="G1401" t="s">
        <v>130</v>
      </c>
      <c r="H1401" t="s">
        <v>228</v>
      </c>
      <c r="I1401" t="s">
        <v>78</v>
      </c>
      <c r="J1401" t="s">
        <v>42</v>
      </c>
      <c r="K1401" t="s">
        <v>87</v>
      </c>
      <c r="L1401" s="25">
        <v>44030</v>
      </c>
      <c r="M1401">
        <v>7</v>
      </c>
      <c r="N1401">
        <v>2020</v>
      </c>
      <c r="O1401" t="s">
        <v>110</v>
      </c>
      <c r="P1401">
        <v>170</v>
      </c>
      <c r="Q1401" s="17">
        <v>44030.428771527775</v>
      </c>
      <c r="R1401" t="s">
        <v>126</v>
      </c>
    </row>
    <row r="1402" spans="1:18" x14ac:dyDescent="0.3">
      <c r="A1402">
        <v>242012</v>
      </c>
      <c r="B1402" t="s">
        <v>78</v>
      </c>
      <c r="C1402">
        <v>1323248</v>
      </c>
      <c r="D1402" t="s">
        <v>78</v>
      </c>
      <c r="E1402">
        <v>966</v>
      </c>
      <c r="F1402">
        <v>966</v>
      </c>
      <c r="G1402" t="s">
        <v>139</v>
      </c>
      <c r="H1402" t="s">
        <v>105</v>
      </c>
      <c r="I1402" t="s">
        <v>78</v>
      </c>
      <c r="J1402" t="s">
        <v>42</v>
      </c>
      <c r="K1402" t="s">
        <v>87</v>
      </c>
      <c r="L1402" s="25">
        <v>44030</v>
      </c>
      <c r="M1402">
        <v>7</v>
      </c>
      <c r="N1402">
        <v>2020</v>
      </c>
      <c r="O1402" t="s">
        <v>110</v>
      </c>
      <c r="P1402">
        <v>170</v>
      </c>
      <c r="Q1402" s="17">
        <v>44030.462194791668</v>
      </c>
      <c r="R1402" t="s">
        <v>126</v>
      </c>
    </row>
    <row r="1403" spans="1:18" x14ac:dyDescent="0.3">
      <c r="A1403">
        <v>9679706</v>
      </c>
      <c r="B1403" t="s">
        <v>78</v>
      </c>
      <c r="C1403">
        <v>1321376</v>
      </c>
      <c r="D1403" t="s">
        <v>78</v>
      </c>
      <c r="E1403" t="s">
        <v>26</v>
      </c>
      <c r="F1403" t="s">
        <v>26</v>
      </c>
      <c r="G1403" t="s">
        <v>137</v>
      </c>
      <c r="H1403" t="s">
        <v>260</v>
      </c>
      <c r="I1403" t="s">
        <v>78</v>
      </c>
      <c r="J1403" t="s">
        <v>42</v>
      </c>
      <c r="K1403" t="s">
        <v>83</v>
      </c>
      <c r="L1403" s="25">
        <v>44030</v>
      </c>
      <c r="M1403">
        <v>7</v>
      </c>
      <c r="N1403">
        <v>2020</v>
      </c>
      <c r="O1403" t="s">
        <v>110</v>
      </c>
      <c r="P1403">
        <v>170</v>
      </c>
      <c r="Q1403" s="17">
        <v>44030.460515509258</v>
      </c>
      <c r="R1403" t="s">
        <v>126</v>
      </c>
    </row>
    <row r="1404" spans="1:18" x14ac:dyDescent="0.3">
      <c r="A1404">
        <v>9685736</v>
      </c>
      <c r="B1404" t="s">
        <v>78</v>
      </c>
      <c r="C1404">
        <v>1328681</v>
      </c>
      <c r="D1404" t="s">
        <v>78</v>
      </c>
      <c r="E1404">
        <v>820</v>
      </c>
      <c r="F1404">
        <v>820</v>
      </c>
      <c r="G1404" t="s">
        <v>136</v>
      </c>
      <c r="H1404" t="s">
        <v>249</v>
      </c>
      <c r="I1404" t="s">
        <v>78</v>
      </c>
      <c r="J1404" t="s">
        <v>42</v>
      </c>
      <c r="K1404" t="s">
        <v>83</v>
      </c>
      <c r="L1404" s="25">
        <v>44030</v>
      </c>
      <c r="M1404">
        <v>7</v>
      </c>
      <c r="N1404">
        <v>2020</v>
      </c>
      <c r="O1404" t="s">
        <v>110</v>
      </c>
      <c r="P1404">
        <v>170</v>
      </c>
      <c r="Q1404" s="17">
        <v>44030.426791666665</v>
      </c>
      <c r="R1404" t="s">
        <v>126</v>
      </c>
    </row>
    <row r="1405" spans="1:18" x14ac:dyDescent="0.3">
      <c r="A1405">
        <v>9685651</v>
      </c>
      <c r="B1405" t="s">
        <v>78</v>
      </c>
      <c r="C1405">
        <v>1328799</v>
      </c>
      <c r="D1405" t="s">
        <v>78</v>
      </c>
      <c r="E1405">
        <v>820</v>
      </c>
      <c r="F1405">
        <v>820</v>
      </c>
      <c r="G1405" t="s">
        <v>136</v>
      </c>
      <c r="H1405" t="s">
        <v>250</v>
      </c>
      <c r="I1405" t="s">
        <v>78</v>
      </c>
      <c r="J1405" t="s">
        <v>42</v>
      </c>
      <c r="K1405" t="s">
        <v>83</v>
      </c>
      <c r="L1405" s="25">
        <v>44030</v>
      </c>
      <c r="M1405">
        <v>7</v>
      </c>
      <c r="N1405">
        <v>2020</v>
      </c>
      <c r="O1405" t="s">
        <v>110</v>
      </c>
      <c r="P1405">
        <v>170</v>
      </c>
      <c r="Q1405" s="17">
        <v>44030.433007291664</v>
      </c>
      <c r="R1405" t="s">
        <v>126</v>
      </c>
    </row>
    <row r="1406" spans="1:18" x14ac:dyDescent="0.3">
      <c r="A1406">
        <v>9686991</v>
      </c>
      <c r="B1406" t="s">
        <v>80</v>
      </c>
      <c r="C1406">
        <v>1330267</v>
      </c>
      <c r="D1406" t="s">
        <v>122</v>
      </c>
      <c r="E1406" t="s">
        <v>146</v>
      </c>
      <c r="F1406" t="s">
        <v>17</v>
      </c>
      <c r="G1406" t="s">
        <v>153</v>
      </c>
      <c r="H1406" t="s">
        <v>228</v>
      </c>
      <c r="I1406" t="s">
        <v>84</v>
      </c>
      <c r="J1406" t="s">
        <v>85</v>
      </c>
      <c r="K1406" t="s">
        <v>87</v>
      </c>
      <c r="L1406" s="25">
        <v>44030</v>
      </c>
      <c r="M1406">
        <v>7</v>
      </c>
      <c r="N1406">
        <v>2020</v>
      </c>
      <c r="O1406" t="s">
        <v>110</v>
      </c>
      <c r="P1406">
        <v>170</v>
      </c>
      <c r="Q1406" s="17">
        <v>44030.137771527778</v>
      </c>
      <c r="R1406" t="s">
        <v>126</v>
      </c>
    </row>
    <row r="1407" spans="1:18" x14ac:dyDescent="0.3">
      <c r="A1407">
        <v>9686634</v>
      </c>
      <c r="B1407" t="s">
        <v>78</v>
      </c>
      <c r="C1407">
        <v>1330067</v>
      </c>
      <c r="D1407" t="s">
        <v>78</v>
      </c>
      <c r="E1407" t="s">
        <v>140</v>
      </c>
      <c r="F1407" t="s">
        <v>17</v>
      </c>
      <c r="G1407" t="s">
        <v>141</v>
      </c>
      <c r="H1407" t="s">
        <v>134</v>
      </c>
      <c r="I1407" t="s">
        <v>78</v>
      </c>
      <c r="J1407" t="s">
        <v>42</v>
      </c>
      <c r="K1407" t="s">
        <v>87</v>
      </c>
      <c r="L1407" s="25">
        <v>44030</v>
      </c>
      <c r="M1407">
        <v>7</v>
      </c>
      <c r="N1407">
        <v>2020</v>
      </c>
      <c r="O1407" t="s">
        <v>110</v>
      </c>
      <c r="P1407">
        <v>170</v>
      </c>
      <c r="Q1407" s="17">
        <v>44030.486926041667</v>
      </c>
      <c r="R1407" t="s">
        <v>126</v>
      </c>
    </row>
    <row r="1408" spans="1:18" x14ac:dyDescent="0.3">
      <c r="A1408">
        <v>9687047</v>
      </c>
      <c r="B1408" t="s">
        <v>78</v>
      </c>
      <c r="C1408">
        <v>1330118</v>
      </c>
      <c r="D1408" t="s">
        <v>78</v>
      </c>
      <c r="E1408">
        <v>4142</v>
      </c>
      <c r="F1408" t="s">
        <v>17</v>
      </c>
      <c r="G1408" t="s">
        <v>133</v>
      </c>
      <c r="H1408" t="s">
        <v>134</v>
      </c>
      <c r="I1408" t="s">
        <v>78</v>
      </c>
      <c r="J1408" t="s">
        <v>42</v>
      </c>
      <c r="K1408" t="s">
        <v>87</v>
      </c>
      <c r="L1408" s="25">
        <v>44030</v>
      </c>
      <c r="M1408">
        <v>7</v>
      </c>
      <c r="N1408">
        <v>2020</v>
      </c>
      <c r="O1408" t="s">
        <v>110</v>
      </c>
      <c r="P1408">
        <v>170</v>
      </c>
      <c r="Q1408" s="17">
        <v>44030.487334953701</v>
      </c>
      <c r="R1408" t="s">
        <v>126</v>
      </c>
    </row>
    <row r="1409" spans="1:18" x14ac:dyDescent="0.3">
      <c r="A1409">
        <v>9685796</v>
      </c>
      <c r="B1409" t="s">
        <v>78</v>
      </c>
      <c r="C1409">
        <v>1329400</v>
      </c>
      <c r="D1409" t="s">
        <v>78</v>
      </c>
      <c r="E1409">
        <v>820</v>
      </c>
      <c r="F1409">
        <v>820</v>
      </c>
      <c r="G1409" t="s">
        <v>136</v>
      </c>
      <c r="H1409" t="s">
        <v>250</v>
      </c>
      <c r="I1409" t="s">
        <v>78</v>
      </c>
      <c r="J1409" t="s">
        <v>42</v>
      </c>
      <c r="K1409" t="s">
        <v>83</v>
      </c>
      <c r="L1409" s="25">
        <v>44030</v>
      </c>
      <c r="M1409">
        <v>7</v>
      </c>
      <c r="N1409">
        <v>2020</v>
      </c>
      <c r="O1409" t="s">
        <v>110</v>
      </c>
      <c r="P1409">
        <v>170</v>
      </c>
      <c r="Q1409" s="17">
        <v>44030.466735879629</v>
      </c>
      <c r="R1409" t="s">
        <v>126</v>
      </c>
    </row>
    <row r="1410" spans="1:18" x14ac:dyDescent="0.3">
      <c r="A1410">
        <v>9686849</v>
      </c>
      <c r="B1410" t="s">
        <v>80</v>
      </c>
      <c r="C1410">
        <v>1329732</v>
      </c>
      <c r="D1410" t="s">
        <v>113</v>
      </c>
      <c r="E1410" t="s">
        <v>146</v>
      </c>
      <c r="F1410" t="s">
        <v>17</v>
      </c>
      <c r="G1410" t="s">
        <v>153</v>
      </c>
      <c r="H1410" t="s">
        <v>232</v>
      </c>
      <c r="I1410" t="s">
        <v>84</v>
      </c>
      <c r="J1410" t="s">
        <v>85</v>
      </c>
      <c r="K1410" t="s">
        <v>87</v>
      </c>
      <c r="L1410" s="25">
        <v>44030</v>
      </c>
      <c r="M1410">
        <v>7</v>
      </c>
      <c r="N1410">
        <v>2020</v>
      </c>
      <c r="O1410" t="s">
        <v>110</v>
      </c>
      <c r="P1410">
        <v>170</v>
      </c>
      <c r="Q1410" s="17">
        <v>44030.463732523145</v>
      </c>
      <c r="R1410" t="s">
        <v>126</v>
      </c>
    </row>
    <row r="1411" spans="1:18" x14ac:dyDescent="0.3">
      <c r="A1411">
        <v>9686982</v>
      </c>
      <c r="B1411" t="s">
        <v>80</v>
      </c>
      <c r="C1411">
        <v>1330250</v>
      </c>
      <c r="D1411" t="s">
        <v>113</v>
      </c>
      <c r="E1411" t="s">
        <v>146</v>
      </c>
      <c r="F1411" t="s">
        <v>17</v>
      </c>
      <c r="G1411" t="s">
        <v>153</v>
      </c>
      <c r="H1411" t="s">
        <v>232</v>
      </c>
      <c r="I1411" t="s">
        <v>84</v>
      </c>
      <c r="J1411" t="s">
        <v>85</v>
      </c>
      <c r="K1411" t="s">
        <v>87</v>
      </c>
      <c r="L1411" s="25">
        <v>44030</v>
      </c>
      <c r="M1411">
        <v>7</v>
      </c>
      <c r="N1411">
        <v>2020</v>
      </c>
      <c r="O1411" t="s">
        <v>110</v>
      </c>
      <c r="P1411">
        <v>170</v>
      </c>
      <c r="Q1411" s="17">
        <v>44030.49625358796</v>
      </c>
      <c r="R1411" t="s">
        <v>126</v>
      </c>
    </row>
    <row r="1412" spans="1:18" x14ac:dyDescent="0.3">
      <c r="A1412">
        <v>9685969</v>
      </c>
      <c r="B1412" t="s">
        <v>72</v>
      </c>
      <c r="C1412">
        <v>1329417</v>
      </c>
      <c r="D1412" t="s">
        <v>108</v>
      </c>
      <c r="E1412">
        <v>820</v>
      </c>
      <c r="F1412">
        <v>820</v>
      </c>
      <c r="G1412" t="s">
        <v>136</v>
      </c>
      <c r="H1412" t="s">
        <v>270</v>
      </c>
      <c r="I1412" t="s">
        <v>82</v>
      </c>
      <c r="J1412" t="s">
        <v>42</v>
      </c>
      <c r="K1412" t="s">
        <v>83</v>
      </c>
      <c r="L1412" s="25">
        <v>44030</v>
      </c>
      <c r="M1412">
        <v>7</v>
      </c>
      <c r="N1412">
        <v>2020</v>
      </c>
      <c r="O1412" t="s">
        <v>110</v>
      </c>
      <c r="P1412">
        <v>170</v>
      </c>
      <c r="Q1412" s="17">
        <v>44030.468290625002</v>
      </c>
      <c r="R1412" t="s">
        <v>126</v>
      </c>
    </row>
    <row r="1413" spans="1:18" x14ac:dyDescent="0.3">
      <c r="A1413">
        <v>244660</v>
      </c>
      <c r="B1413" t="s">
        <v>80</v>
      </c>
      <c r="C1413">
        <v>1329949</v>
      </c>
      <c r="D1413" t="s">
        <v>113</v>
      </c>
      <c r="E1413" t="s">
        <v>182</v>
      </c>
      <c r="F1413" t="s">
        <v>17</v>
      </c>
      <c r="G1413" t="s">
        <v>183</v>
      </c>
      <c r="H1413" t="s">
        <v>232</v>
      </c>
      <c r="I1413" t="s">
        <v>84</v>
      </c>
      <c r="J1413" t="s">
        <v>85</v>
      </c>
      <c r="K1413" t="s">
        <v>87</v>
      </c>
      <c r="L1413" s="25">
        <v>44030</v>
      </c>
      <c r="M1413">
        <v>7</v>
      </c>
      <c r="N1413">
        <v>2020</v>
      </c>
      <c r="O1413" t="s">
        <v>110</v>
      </c>
      <c r="P1413">
        <v>170</v>
      </c>
      <c r="Q1413" s="17">
        <v>44030.484452893521</v>
      </c>
      <c r="R1413" t="s">
        <v>126</v>
      </c>
    </row>
    <row r="1414" spans="1:18" x14ac:dyDescent="0.3">
      <c r="A1414">
        <v>9685271</v>
      </c>
      <c r="B1414" t="s">
        <v>78</v>
      </c>
      <c r="C1414">
        <v>1328813</v>
      </c>
      <c r="D1414" t="s">
        <v>78</v>
      </c>
      <c r="E1414">
        <v>820</v>
      </c>
      <c r="F1414">
        <v>820</v>
      </c>
      <c r="G1414" t="s">
        <v>136</v>
      </c>
      <c r="H1414" t="s">
        <v>249</v>
      </c>
      <c r="I1414" t="s">
        <v>78</v>
      </c>
      <c r="J1414" t="s">
        <v>42</v>
      </c>
      <c r="K1414" t="s">
        <v>83</v>
      </c>
      <c r="L1414" s="25">
        <v>44030</v>
      </c>
      <c r="M1414">
        <v>7</v>
      </c>
      <c r="N1414">
        <v>2020</v>
      </c>
      <c r="O1414" t="s">
        <v>110</v>
      </c>
      <c r="P1414">
        <v>170</v>
      </c>
      <c r="Q1414" s="17">
        <v>44030.441504745373</v>
      </c>
      <c r="R1414" t="s">
        <v>126</v>
      </c>
    </row>
    <row r="1415" spans="1:18" x14ac:dyDescent="0.3">
      <c r="A1415">
        <v>9686865</v>
      </c>
      <c r="B1415" t="s">
        <v>80</v>
      </c>
      <c r="C1415">
        <v>1329749</v>
      </c>
      <c r="D1415" t="s">
        <v>113</v>
      </c>
      <c r="E1415" t="s">
        <v>146</v>
      </c>
      <c r="F1415" t="s">
        <v>17</v>
      </c>
      <c r="G1415" t="s">
        <v>153</v>
      </c>
      <c r="H1415" t="s">
        <v>232</v>
      </c>
      <c r="I1415" t="s">
        <v>84</v>
      </c>
      <c r="J1415" t="s">
        <v>85</v>
      </c>
      <c r="K1415" t="s">
        <v>87</v>
      </c>
      <c r="L1415" s="25">
        <v>44030</v>
      </c>
      <c r="M1415">
        <v>7</v>
      </c>
      <c r="N1415">
        <v>2020</v>
      </c>
      <c r="O1415" t="s">
        <v>110</v>
      </c>
      <c r="P1415">
        <v>170</v>
      </c>
      <c r="Q1415" s="17">
        <v>44030.467200694446</v>
      </c>
      <c r="R1415" t="s">
        <v>126</v>
      </c>
    </row>
    <row r="1416" spans="1:18" x14ac:dyDescent="0.3">
      <c r="A1416">
        <v>9686026</v>
      </c>
      <c r="B1416" t="s">
        <v>80</v>
      </c>
      <c r="C1416">
        <v>1329602</v>
      </c>
      <c r="D1416" t="s">
        <v>113</v>
      </c>
      <c r="E1416" t="s">
        <v>146</v>
      </c>
      <c r="F1416" t="s">
        <v>17</v>
      </c>
      <c r="G1416" t="s">
        <v>153</v>
      </c>
      <c r="H1416" t="s">
        <v>232</v>
      </c>
      <c r="I1416" t="s">
        <v>84</v>
      </c>
      <c r="J1416" t="s">
        <v>85</v>
      </c>
      <c r="K1416" t="s">
        <v>87</v>
      </c>
      <c r="L1416" s="25">
        <v>44030</v>
      </c>
      <c r="M1416">
        <v>7</v>
      </c>
      <c r="N1416">
        <v>2020</v>
      </c>
      <c r="O1416" t="s">
        <v>110</v>
      </c>
      <c r="P1416">
        <v>170</v>
      </c>
      <c r="Q1416" s="17">
        <v>44030.433320138887</v>
      </c>
      <c r="R1416" t="s">
        <v>126</v>
      </c>
    </row>
    <row r="1417" spans="1:18" x14ac:dyDescent="0.3">
      <c r="A1417">
        <v>9685678</v>
      </c>
      <c r="B1417" t="s">
        <v>78</v>
      </c>
      <c r="C1417">
        <v>1329316</v>
      </c>
      <c r="D1417" t="s">
        <v>78</v>
      </c>
      <c r="E1417">
        <v>820</v>
      </c>
      <c r="F1417">
        <v>820</v>
      </c>
      <c r="G1417" t="s">
        <v>136</v>
      </c>
      <c r="H1417" t="s">
        <v>250</v>
      </c>
      <c r="I1417" t="s">
        <v>78</v>
      </c>
      <c r="J1417" t="s">
        <v>42</v>
      </c>
      <c r="K1417" t="s">
        <v>83</v>
      </c>
      <c r="L1417" s="25">
        <v>44030</v>
      </c>
      <c r="M1417">
        <v>7</v>
      </c>
      <c r="N1417">
        <v>2020</v>
      </c>
      <c r="O1417" t="s">
        <v>110</v>
      </c>
      <c r="P1417">
        <v>170</v>
      </c>
      <c r="Q1417" s="17">
        <v>44030.459033449071</v>
      </c>
      <c r="R1417" t="s">
        <v>126</v>
      </c>
    </row>
    <row r="1418" spans="1:18" x14ac:dyDescent="0.3">
      <c r="A1418">
        <v>9685927</v>
      </c>
      <c r="B1418" t="s">
        <v>78</v>
      </c>
      <c r="C1418">
        <v>1329365</v>
      </c>
      <c r="D1418" t="s">
        <v>78</v>
      </c>
      <c r="E1418">
        <v>820</v>
      </c>
      <c r="F1418">
        <v>820</v>
      </c>
      <c r="G1418" t="s">
        <v>136</v>
      </c>
      <c r="H1418" t="s">
        <v>228</v>
      </c>
      <c r="I1418" t="s">
        <v>78</v>
      </c>
      <c r="J1418" t="s">
        <v>42</v>
      </c>
      <c r="K1418" t="s">
        <v>83</v>
      </c>
      <c r="L1418" s="25">
        <v>44030</v>
      </c>
      <c r="M1418">
        <v>7</v>
      </c>
      <c r="N1418">
        <v>2020</v>
      </c>
      <c r="O1418" t="s">
        <v>110</v>
      </c>
      <c r="P1418">
        <v>170</v>
      </c>
      <c r="Q1418" s="17">
        <v>44030.464666319443</v>
      </c>
      <c r="R1418" t="s">
        <v>126</v>
      </c>
    </row>
    <row r="1419" spans="1:18" x14ac:dyDescent="0.3">
      <c r="A1419">
        <v>241609</v>
      </c>
      <c r="B1419" t="s">
        <v>78</v>
      </c>
      <c r="C1419">
        <v>1321327</v>
      </c>
      <c r="D1419" t="s">
        <v>78</v>
      </c>
      <c r="E1419" t="s">
        <v>26</v>
      </c>
      <c r="F1419" t="s">
        <v>26</v>
      </c>
      <c r="G1419" t="s">
        <v>137</v>
      </c>
      <c r="H1419" t="s">
        <v>245</v>
      </c>
      <c r="I1419" t="s">
        <v>78</v>
      </c>
      <c r="J1419" t="s">
        <v>42</v>
      </c>
      <c r="K1419" t="s">
        <v>83</v>
      </c>
      <c r="L1419" s="25">
        <v>44030</v>
      </c>
      <c r="M1419">
        <v>7</v>
      </c>
      <c r="N1419">
        <v>2020</v>
      </c>
      <c r="O1419" t="s">
        <v>110</v>
      </c>
      <c r="P1419">
        <v>170</v>
      </c>
      <c r="Q1419" s="17">
        <v>44030.451283796298</v>
      </c>
      <c r="R1419" t="s">
        <v>126</v>
      </c>
    </row>
    <row r="1420" spans="1:18" x14ac:dyDescent="0.3">
      <c r="A1420">
        <v>9686254</v>
      </c>
      <c r="B1420" t="s">
        <v>80</v>
      </c>
      <c r="C1420">
        <v>1329665</v>
      </c>
      <c r="D1420" t="s">
        <v>113</v>
      </c>
      <c r="E1420" t="s">
        <v>146</v>
      </c>
      <c r="F1420" t="s">
        <v>17</v>
      </c>
      <c r="G1420" t="s">
        <v>153</v>
      </c>
      <c r="H1420" t="s">
        <v>232</v>
      </c>
      <c r="I1420" t="s">
        <v>84</v>
      </c>
      <c r="J1420" t="s">
        <v>85</v>
      </c>
      <c r="K1420" t="s">
        <v>87</v>
      </c>
      <c r="L1420" s="25">
        <v>44030</v>
      </c>
      <c r="M1420">
        <v>7</v>
      </c>
      <c r="N1420">
        <v>2020</v>
      </c>
      <c r="O1420" t="s">
        <v>110</v>
      </c>
      <c r="P1420">
        <v>170</v>
      </c>
      <c r="Q1420" s="17">
        <v>44030.458201504633</v>
      </c>
      <c r="R1420" t="s">
        <v>126</v>
      </c>
    </row>
    <row r="1421" spans="1:18" x14ac:dyDescent="0.3">
      <c r="A1421">
        <v>9675301</v>
      </c>
      <c r="B1421" t="s">
        <v>72</v>
      </c>
      <c r="C1421">
        <v>1335181</v>
      </c>
      <c r="D1421" t="s">
        <v>108</v>
      </c>
      <c r="E1421" t="s">
        <v>26</v>
      </c>
      <c r="F1421" t="s">
        <v>26</v>
      </c>
      <c r="G1421" t="s">
        <v>137</v>
      </c>
      <c r="H1421" t="s">
        <v>229</v>
      </c>
      <c r="I1421" t="s">
        <v>84</v>
      </c>
      <c r="J1421" t="s">
        <v>85</v>
      </c>
      <c r="K1421" t="s">
        <v>83</v>
      </c>
      <c r="L1421" s="25">
        <v>44030</v>
      </c>
      <c r="M1421">
        <v>7</v>
      </c>
      <c r="N1421">
        <v>2020</v>
      </c>
      <c r="O1421" t="s">
        <v>110</v>
      </c>
      <c r="P1421">
        <v>170</v>
      </c>
      <c r="Q1421" s="17">
        <v>44031.110544328702</v>
      </c>
      <c r="R1421" t="s">
        <v>126</v>
      </c>
    </row>
    <row r="1422" spans="1:18" x14ac:dyDescent="0.3">
      <c r="A1422">
        <v>9687024</v>
      </c>
      <c r="B1422" t="s">
        <v>80</v>
      </c>
      <c r="C1422">
        <v>1330252</v>
      </c>
      <c r="D1422" t="s">
        <v>113</v>
      </c>
      <c r="E1422" t="s">
        <v>146</v>
      </c>
      <c r="F1422" t="s">
        <v>17</v>
      </c>
      <c r="G1422" t="s">
        <v>153</v>
      </c>
      <c r="H1422" t="s">
        <v>232</v>
      </c>
      <c r="I1422" t="s">
        <v>84</v>
      </c>
      <c r="J1422" t="s">
        <v>85</v>
      </c>
      <c r="K1422" t="s">
        <v>87</v>
      </c>
      <c r="L1422" s="25">
        <v>44030</v>
      </c>
      <c r="M1422">
        <v>7</v>
      </c>
      <c r="N1422">
        <v>2020</v>
      </c>
      <c r="O1422" t="s">
        <v>110</v>
      </c>
      <c r="P1422">
        <v>170</v>
      </c>
      <c r="Q1422" s="17">
        <v>44030.496920833335</v>
      </c>
      <c r="R1422" t="s">
        <v>126</v>
      </c>
    </row>
    <row r="1423" spans="1:18" x14ac:dyDescent="0.3">
      <c r="A1423">
        <v>9686550</v>
      </c>
      <c r="B1423" t="s">
        <v>78</v>
      </c>
      <c r="C1423">
        <v>1329966</v>
      </c>
      <c r="D1423" t="s">
        <v>78</v>
      </c>
      <c r="E1423" t="s">
        <v>178</v>
      </c>
      <c r="F1423" t="s">
        <v>17</v>
      </c>
      <c r="G1423" t="s">
        <v>179</v>
      </c>
      <c r="H1423" t="s">
        <v>283</v>
      </c>
      <c r="I1423" t="s">
        <v>78</v>
      </c>
      <c r="J1423" t="s">
        <v>42</v>
      </c>
      <c r="K1423" t="s">
        <v>87</v>
      </c>
      <c r="L1423" s="25">
        <v>44030</v>
      </c>
      <c r="M1423">
        <v>7</v>
      </c>
      <c r="N1423">
        <v>2020</v>
      </c>
      <c r="O1423" t="s">
        <v>110</v>
      </c>
      <c r="P1423">
        <v>170</v>
      </c>
      <c r="Q1423" s="17">
        <v>44030.488703703704</v>
      </c>
      <c r="R1423" t="s">
        <v>126</v>
      </c>
    </row>
    <row r="1424" spans="1:18" x14ac:dyDescent="0.3">
      <c r="A1424">
        <v>9685601</v>
      </c>
      <c r="B1424" t="s">
        <v>80</v>
      </c>
      <c r="C1424">
        <v>1329565</v>
      </c>
      <c r="D1424" t="s">
        <v>113</v>
      </c>
      <c r="E1424" t="s">
        <v>146</v>
      </c>
      <c r="F1424" t="s">
        <v>17</v>
      </c>
      <c r="G1424" t="s">
        <v>153</v>
      </c>
      <c r="H1424" t="s">
        <v>232</v>
      </c>
      <c r="I1424" t="s">
        <v>84</v>
      </c>
      <c r="J1424" t="s">
        <v>85</v>
      </c>
      <c r="K1424" t="s">
        <v>87</v>
      </c>
      <c r="L1424" s="25">
        <v>44030</v>
      </c>
      <c r="M1424">
        <v>7</v>
      </c>
      <c r="N1424">
        <v>2020</v>
      </c>
      <c r="O1424" t="s">
        <v>110</v>
      </c>
      <c r="P1424">
        <v>170</v>
      </c>
      <c r="Q1424" s="17">
        <v>44030.438276157409</v>
      </c>
      <c r="R1424" t="s">
        <v>126</v>
      </c>
    </row>
    <row r="1425" spans="1:18" x14ac:dyDescent="0.3">
      <c r="A1425">
        <v>9686536</v>
      </c>
      <c r="B1425" t="s">
        <v>78</v>
      </c>
      <c r="C1425">
        <v>1330152</v>
      </c>
      <c r="D1425" t="s">
        <v>78</v>
      </c>
      <c r="E1425" t="s">
        <v>146</v>
      </c>
      <c r="F1425" t="s">
        <v>17</v>
      </c>
      <c r="G1425" t="s">
        <v>153</v>
      </c>
      <c r="H1425" t="s">
        <v>228</v>
      </c>
      <c r="I1425" t="s">
        <v>78</v>
      </c>
      <c r="J1425" t="s">
        <v>42</v>
      </c>
      <c r="K1425" t="s">
        <v>87</v>
      </c>
      <c r="L1425" s="25">
        <v>44030</v>
      </c>
      <c r="M1425">
        <v>7</v>
      </c>
      <c r="N1425">
        <v>2020</v>
      </c>
      <c r="O1425" t="s">
        <v>110</v>
      </c>
      <c r="P1425">
        <v>170</v>
      </c>
      <c r="Q1425" s="17">
        <v>44030.489120601851</v>
      </c>
      <c r="R1425" t="s">
        <v>126</v>
      </c>
    </row>
    <row r="1426" spans="1:18" x14ac:dyDescent="0.3">
      <c r="A1426">
        <v>9685785</v>
      </c>
      <c r="B1426" t="s">
        <v>78</v>
      </c>
      <c r="C1426">
        <v>1329216</v>
      </c>
      <c r="D1426" t="s">
        <v>78</v>
      </c>
      <c r="E1426">
        <v>820</v>
      </c>
      <c r="F1426">
        <v>820</v>
      </c>
      <c r="G1426" t="s">
        <v>136</v>
      </c>
      <c r="H1426" t="s">
        <v>250</v>
      </c>
      <c r="I1426" t="s">
        <v>78</v>
      </c>
      <c r="J1426" t="s">
        <v>42</v>
      </c>
      <c r="K1426" t="s">
        <v>83</v>
      </c>
      <c r="L1426" s="25">
        <v>44030</v>
      </c>
      <c r="M1426">
        <v>7</v>
      </c>
      <c r="N1426">
        <v>2020</v>
      </c>
      <c r="O1426" t="s">
        <v>110</v>
      </c>
      <c r="P1426">
        <v>170</v>
      </c>
      <c r="Q1426" s="17">
        <v>44030.452179976855</v>
      </c>
      <c r="R1426" t="s">
        <v>126</v>
      </c>
    </row>
    <row r="1427" spans="1:18" x14ac:dyDescent="0.3">
      <c r="A1427">
        <v>9686867</v>
      </c>
      <c r="B1427" t="s">
        <v>80</v>
      </c>
      <c r="C1427">
        <v>1329751</v>
      </c>
      <c r="D1427" t="s">
        <v>113</v>
      </c>
      <c r="E1427" t="s">
        <v>146</v>
      </c>
      <c r="F1427" t="s">
        <v>17</v>
      </c>
      <c r="G1427" t="s">
        <v>153</v>
      </c>
      <c r="H1427" t="s">
        <v>232</v>
      </c>
      <c r="I1427" t="s">
        <v>84</v>
      </c>
      <c r="J1427" t="s">
        <v>85</v>
      </c>
      <c r="K1427" t="s">
        <v>87</v>
      </c>
      <c r="L1427" s="25">
        <v>44030</v>
      </c>
      <c r="M1427">
        <v>7</v>
      </c>
      <c r="N1427">
        <v>2020</v>
      </c>
      <c r="O1427" t="s">
        <v>110</v>
      </c>
      <c r="P1427">
        <v>170</v>
      </c>
      <c r="Q1427" s="17">
        <v>44030.466705671293</v>
      </c>
      <c r="R1427" t="s">
        <v>126</v>
      </c>
    </row>
    <row r="1428" spans="1:18" x14ac:dyDescent="0.3">
      <c r="A1428">
        <v>9685621</v>
      </c>
      <c r="B1428" t="s">
        <v>78</v>
      </c>
      <c r="C1428">
        <v>1329851</v>
      </c>
      <c r="D1428" t="s">
        <v>78</v>
      </c>
      <c r="E1428">
        <v>820</v>
      </c>
      <c r="F1428">
        <v>820</v>
      </c>
      <c r="G1428" t="s">
        <v>136</v>
      </c>
      <c r="H1428" t="s">
        <v>250</v>
      </c>
      <c r="I1428" t="s">
        <v>78</v>
      </c>
      <c r="J1428" t="s">
        <v>42</v>
      </c>
      <c r="K1428" t="s">
        <v>83</v>
      </c>
      <c r="L1428" s="25">
        <v>44030</v>
      </c>
      <c r="M1428">
        <v>7</v>
      </c>
      <c r="N1428">
        <v>2020</v>
      </c>
      <c r="O1428" t="s">
        <v>110</v>
      </c>
      <c r="P1428">
        <v>170</v>
      </c>
      <c r="Q1428" s="17">
        <v>44030.482391782411</v>
      </c>
      <c r="R1428" t="s">
        <v>126</v>
      </c>
    </row>
    <row r="1429" spans="1:18" x14ac:dyDescent="0.3">
      <c r="A1429">
        <v>9686238</v>
      </c>
      <c r="B1429" t="s">
        <v>80</v>
      </c>
      <c r="C1429">
        <v>1329651</v>
      </c>
      <c r="D1429" t="s">
        <v>113</v>
      </c>
      <c r="E1429" t="s">
        <v>146</v>
      </c>
      <c r="F1429" t="s">
        <v>17</v>
      </c>
      <c r="G1429" t="s">
        <v>153</v>
      </c>
      <c r="H1429" t="s">
        <v>232</v>
      </c>
      <c r="I1429" t="s">
        <v>84</v>
      </c>
      <c r="J1429" t="s">
        <v>85</v>
      </c>
      <c r="K1429" t="s">
        <v>87</v>
      </c>
      <c r="L1429" s="25">
        <v>44030</v>
      </c>
      <c r="M1429">
        <v>7</v>
      </c>
      <c r="N1429">
        <v>2020</v>
      </c>
      <c r="O1429" t="s">
        <v>110</v>
      </c>
      <c r="P1429">
        <v>170</v>
      </c>
      <c r="Q1429" s="17">
        <v>44030.449586458337</v>
      </c>
      <c r="R1429" t="s">
        <v>126</v>
      </c>
    </row>
    <row r="1430" spans="1:18" x14ac:dyDescent="0.3">
      <c r="A1430">
        <v>9675194</v>
      </c>
      <c r="B1430" t="s">
        <v>72</v>
      </c>
      <c r="C1430">
        <v>1331924</v>
      </c>
      <c r="D1430" t="s">
        <v>108</v>
      </c>
      <c r="E1430" t="s">
        <v>26</v>
      </c>
      <c r="F1430" t="s">
        <v>26</v>
      </c>
      <c r="G1430" t="s">
        <v>137</v>
      </c>
      <c r="H1430" t="s">
        <v>229</v>
      </c>
      <c r="I1430" t="s">
        <v>84</v>
      </c>
      <c r="J1430" t="s">
        <v>85</v>
      </c>
      <c r="K1430" t="s">
        <v>83</v>
      </c>
      <c r="L1430" s="25">
        <v>44030</v>
      </c>
      <c r="M1430">
        <v>7</v>
      </c>
      <c r="N1430">
        <v>2020</v>
      </c>
      <c r="O1430" t="s">
        <v>110</v>
      </c>
      <c r="P1430">
        <v>170</v>
      </c>
      <c r="Q1430" s="17">
        <v>44030.384413888889</v>
      </c>
      <c r="R1430" t="s">
        <v>126</v>
      </c>
    </row>
    <row r="1431" spans="1:18" x14ac:dyDescent="0.3">
      <c r="A1431">
        <v>9680266</v>
      </c>
      <c r="B1431" t="s">
        <v>78</v>
      </c>
      <c r="C1431">
        <v>1322146</v>
      </c>
      <c r="D1431" t="s">
        <v>78</v>
      </c>
      <c r="E1431" t="s">
        <v>26</v>
      </c>
      <c r="F1431" t="s">
        <v>26</v>
      </c>
      <c r="G1431" t="s">
        <v>137</v>
      </c>
      <c r="H1431" t="s">
        <v>260</v>
      </c>
      <c r="I1431" t="s">
        <v>78</v>
      </c>
      <c r="J1431" t="s">
        <v>42</v>
      </c>
      <c r="K1431" t="s">
        <v>83</v>
      </c>
      <c r="L1431" s="25">
        <v>44030</v>
      </c>
      <c r="M1431">
        <v>7</v>
      </c>
      <c r="N1431">
        <v>2020</v>
      </c>
      <c r="O1431" t="s">
        <v>110</v>
      </c>
      <c r="P1431">
        <v>170</v>
      </c>
      <c r="Q1431" s="17">
        <v>44030.483140277778</v>
      </c>
      <c r="R1431" t="s">
        <v>126</v>
      </c>
    </row>
    <row r="1432" spans="1:18" x14ac:dyDescent="0.3">
      <c r="A1432">
        <v>9685808</v>
      </c>
      <c r="B1432" t="s">
        <v>78</v>
      </c>
      <c r="C1432">
        <v>1329534</v>
      </c>
      <c r="D1432" t="s">
        <v>78</v>
      </c>
      <c r="E1432">
        <v>820</v>
      </c>
      <c r="F1432">
        <v>820</v>
      </c>
      <c r="G1432" t="s">
        <v>136</v>
      </c>
      <c r="H1432" t="s">
        <v>250</v>
      </c>
      <c r="I1432" t="s">
        <v>78</v>
      </c>
      <c r="J1432" t="s">
        <v>42</v>
      </c>
      <c r="K1432" t="s">
        <v>83</v>
      </c>
      <c r="L1432" s="25">
        <v>44030</v>
      </c>
      <c r="M1432">
        <v>7</v>
      </c>
      <c r="N1432">
        <v>2020</v>
      </c>
      <c r="O1432" t="s">
        <v>110</v>
      </c>
      <c r="P1432">
        <v>170</v>
      </c>
      <c r="Q1432" s="17">
        <v>44030.476826736114</v>
      </c>
      <c r="R1432" t="s">
        <v>126</v>
      </c>
    </row>
    <row r="1433" spans="1:18" x14ac:dyDescent="0.3">
      <c r="A1433">
        <v>9686138</v>
      </c>
      <c r="B1433" t="s">
        <v>80</v>
      </c>
      <c r="C1433">
        <v>1329583</v>
      </c>
      <c r="D1433" t="s">
        <v>113</v>
      </c>
      <c r="E1433" t="s">
        <v>146</v>
      </c>
      <c r="F1433" t="s">
        <v>17</v>
      </c>
      <c r="G1433" t="s">
        <v>153</v>
      </c>
      <c r="H1433" t="s">
        <v>232</v>
      </c>
      <c r="I1433" t="s">
        <v>84</v>
      </c>
      <c r="J1433" t="s">
        <v>85</v>
      </c>
      <c r="K1433" t="s">
        <v>87</v>
      </c>
      <c r="L1433" s="25">
        <v>44030</v>
      </c>
      <c r="M1433">
        <v>7</v>
      </c>
      <c r="N1433">
        <v>2020</v>
      </c>
      <c r="O1433" t="s">
        <v>110</v>
      </c>
      <c r="P1433">
        <v>170</v>
      </c>
      <c r="Q1433" s="17">
        <v>44030.428679282406</v>
      </c>
      <c r="R1433" t="s">
        <v>126</v>
      </c>
    </row>
    <row r="1434" spans="1:18" x14ac:dyDescent="0.3">
      <c r="A1434">
        <v>9686878</v>
      </c>
      <c r="B1434" t="s">
        <v>80</v>
      </c>
      <c r="C1434">
        <v>1329769</v>
      </c>
      <c r="D1434" t="s">
        <v>113</v>
      </c>
      <c r="E1434" t="s">
        <v>146</v>
      </c>
      <c r="F1434" t="s">
        <v>17</v>
      </c>
      <c r="G1434" t="s">
        <v>153</v>
      </c>
      <c r="H1434" t="s">
        <v>232</v>
      </c>
      <c r="I1434" t="s">
        <v>84</v>
      </c>
      <c r="J1434" t="s">
        <v>85</v>
      </c>
      <c r="K1434" t="s">
        <v>87</v>
      </c>
      <c r="L1434" s="25">
        <v>44030</v>
      </c>
      <c r="M1434">
        <v>7</v>
      </c>
      <c r="N1434">
        <v>2020</v>
      </c>
      <c r="O1434" t="s">
        <v>110</v>
      </c>
      <c r="P1434">
        <v>170</v>
      </c>
      <c r="Q1434" s="17">
        <v>44030.470243981479</v>
      </c>
      <c r="R1434" t="s">
        <v>126</v>
      </c>
    </row>
    <row r="1435" spans="1:18" x14ac:dyDescent="0.3">
      <c r="A1435">
        <v>9685794</v>
      </c>
      <c r="B1435" t="s">
        <v>78</v>
      </c>
      <c r="C1435">
        <v>1329234</v>
      </c>
      <c r="D1435" t="s">
        <v>78</v>
      </c>
      <c r="E1435">
        <v>820</v>
      </c>
      <c r="F1435">
        <v>820</v>
      </c>
      <c r="G1435" t="s">
        <v>136</v>
      </c>
      <c r="H1435" t="s">
        <v>250</v>
      </c>
      <c r="I1435" t="s">
        <v>78</v>
      </c>
      <c r="J1435" t="s">
        <v>42</v>
      </c>
      <c r="K1435" t="s">
        <v>83</v>
      </c>
      <c r="L1435" s="25">
        <v>44030</v>
      </c>
      <c r="M1435">
        <v>7</v>
      </c>
      <c r="N1435">
        <v>2020</v>
      </c>
      <c r="O1435" t="s">
        <v>110</v>
      </c>
      <c r="P1435">
        <v>170</v>
      </c>
      <c r="Q1435" s="17">
        <v>44030.457256365742</v>
      </c>
      <c r="R1435" t="s">
        <v>126</v>
      </c>
    </row>
    <row r="1436" spans="1:18" x14ac:dyDescent="0.3">
      <c r="A1436">
        <v>9685392</v>
      </c>
      <c r="B1436" t="s">
        <v>78</v>
      </c>
      <c r="C1436">
        <v>1329348</v>
      </c>
      <c r="D1436" t="s">
        <v>78</v>
      </c>
      <c r="E1436">
        <v>820</v>
      </c>
      <c r="F1436">
        <v>820</v>
      </c>
      <c r="G1436" t="s">
        <v>136</v>
      </c>
      <c r="H1436" t="s">
        <v>249</v>
      </c>
      <c r="I1436" t="s">
        <v>78</v>
      </c>
      <c r="J1436" t="s">
        <v>42</v>
      </c>
      <c r="K1436" t="s">
        <v>83</v>
      </c>
      <c r="L1436" s="25">
        <v>44030</v>
      </c>
      <c r="M1436">
        <v>7</v>
      </c>
      <c r="N1436">
        <v>2020</v>
      </c>
      <c r="O1436" t="s">
        <v>110</v>
      </c>
      <c r="P1436">
        <v>170</v>
      </c>
      <c r="Q1436" s="17">
        <v>44030.461728009257</v>
      </c>
      <c r="R1436" t="s">
        <v>126</v>
      </c>
    </row>
    <row r="1437" spans="1:18" x14ac:dyDescent="0.3">
      <c r="A1437">
        <v>9679125</v>
      </c>
      <c r="B1437" t="s">
        <v>78</v>
      </c>
      <c r="C1437">
        <v>1317901</v>
      </c>
      <c r="D1437" t="s">
        <v>78</v>
      </c>
      <c r="E1437">
        <v>966</v>
      </c>
      <c r="F1437">
        <v>966</v>
      </c>
      <c r="G1437" t="s">
        <v>139</v>
      </c>
      <c r="H1437" t="s">
        <v>105</v>
      </c>
      <c r="I1437" t="s">
        <v>78</v>
      </c>
      <c r="J1437" t="s">
        <v>42</v>
      </c>
      <c r="K1437" t="s">
        <v>87</v>
      </c>
      <c r="L1437" s="25">
        <v>44030</v>
      </c>
      <c r="M1437">
        <v>7</v>
      </c>
      <c r="N1437">
        <v>2020</v>
      </c>
      <c r="O1437" t="s">
        <v>110</v>
      </c>
      <c r="P1437">
        <v>170</v>
      </c>
      <c r="Q1437" s="17">
        <v>44030.424839467596</v>
      </c>
      <c r="R1437" t="s">
        <v>126</v>
      </c>
    </row>
    <row r="1438" spans="1:18" x14ac:dyDescent="0.3">
      <c r="A1438">
        <v>9687007</v>
      </c>
      <c r="B1438" t="s">
        <v>80</v>
      </c>
      <c r="C1438">
        <v>1330233</v>
      </c>
      <c r="D1438" t="s">
        <v>113</v>
      </c>
      <c r="E1438" t="s">
        <v>146</v>
      </c>
      <c r="F1438" t="s">
        <v>17</v>
      </c>
      <c r="G1438" t="s">
        <v>153</v>
      </c>
      <c r="H1438" t="s">
        <v>232</v>
      </c>
      <c r="I1438" t="s">
        <v>84</v>
      </c>
      <c r="J1438" t="s">
        <v>85</v>
      </c>
      <c r="K1438" t="s">
        <v>87</v>
      </c>
      <c r="L1438" s="25">
        <v>44030</v>
      </c>
      <c r="M1438">
        <v>7</v>
      </c>
      <c r="N1438">
        <v>2020</v>
      </c>
      <c r="O1438" t="s">
        <v>110</v>
      </c>
      <c r="P1438">
        <v>170</v>
      </c>
      <c r="Q1438" s="17">
        <v>44030.493363541667</v>
      </c>
      <c r="R1438" t="s">
        <v>126</v>
      </c>
    </row>
    <row r="1439" spans="1:18" x14ac:dyDescent="0.3">
      <c r="A1439">
        <v>9686945</v>
      </c>
      <c r="B1439" t="s">
        <v>79</v>
      </c>
      <c r="C1439">
        <v>1329984</v>
      </c>
      <c r="D1439" t="s">
        <v>116</v>
      </c>
      <c r="E1439" t="s">
        <v>12</v>
      </c>
      <c r="F1439" t="s">
        <v>12</v>
      </c>
      <c r="G1439" t="s">
        <v>135</v>
      </c>
      <c r="H1439" t="s">
        <v>275</v>
      </c>
      <c r="I1439" t="s">
        <v>82</v>
      </c>
      <c r="J1439" t="s">
        <v>42</v>
      </c>
      <c r="K1439" t="s">
        <v>83</v>
      </c>
      <c r="L1439" s="25">
        <v>44030</v>
      </c>
      <c r="M1439">
        <v>7</v>
      </c>
      <c r="N1439">
        <v>2020</v>
      </c>
      <c r="O1439" t="s">
        <v>110</v>
      </c>
      <c r="P1439">
        <v>170</v>
      </c>
      <c r="Q1439" s="17">
        <v>44030.467020138887</v>
      </c>
      <c r="R1439" t="s">
        <v>126</v>
      </c>
    </row>
    <row r="1440" spans="1:18" x14ac:dyDescent="0.3">
      <c r="A1440">
        <v>9687013</v>
      </c>
      <c r="B1440" t="s">
        <v>80</v>
      </c>
      <c r="C1440">
        <v>1330270</v>
      </c>
      <c r="D1440" t="s">
        <v>113</v>
      </c>
      <c r="E1440" t="s">
        <v>146</v>
      </c>
      <c r="F1440" t="s">
        <v>17</v>
      </c>
      <c r="G1440" t="s">
        <v>153</v>
      </c>
      <c r="H1440" t="s">
        <v>232</v>
      </c>
      <c r="I1440" t="s">
        <v>84</v>
      </c>
      <c r="J1440" t="s">
        <v>85</v>
      </c>
      <c r="K1440" t="s">
        <v>87</v>
      </c>
      <c r="L1440" s="25">
        <v>44030</v>
      </c>
      <c r="M1440">
        <v>7</v>
      </c>
      <c r="N1440">
        <v>2020</v>
      </c>
      <c r="O1440" t="s">
        <v>110</v>
      </c>
      <c r="P1440">
        <v>170</v>
      </c>
      <c r="Q1440" s="17">
        <v>44030.498932175928</v>
      </c>
      <c r="R1440" t="s">
        <v>126</v>
      </c>
    </row>
    <row r="1441" spans="1:18" x14ac:dyDescent="0.3">
      <c r="A1441">
        <v>9685738</v>
      </c>
      <c r="B1441" t="s">
        <v>78</v>
      </c>
      <c r="C1441">
        <v>1328647</v>
      </c>
      <c r="D1441" t="s">
        <v>78</v>
      </c>
      <c r="E1441">
        <v>820</v>
      </c>
      <c r="F1441">
        <v>820</v>
      </c>
      <c r="G1441" t="s">
        <v>136</v>
      </c>
      <c r="H1441" t="s">
        <v>250</v>
      </c>
      <c r="I1441" t="s">
        <v>78</v>
      </c>
      <c r="J1441" t="s">
        <v>42</v>
      </c>
      <c r="K1441" t="s">
        <v>83</v>
      </c>
      <c r="L1441" s="25">
        <v>44030</v>
      </c>
      <c r="M1441">
        <v>7</v>
      </c>
      <c r="N1441">
        <v>2020</v>
      </c>
      <c r="O1441" t="s">
        <v>110</v>
      </c>
      <c r="P1441">
        <v>170</v>
      </c>
      <c r="Q1441" s="17">
        <v>44030.42400324074</v>
      </c>
      <c r="R1441" t="s">
        <v>126</v>
      </c>
    </row>
    <row r="1442" spans="1:18" x14ac:dyDescent="0.3">
      <c r="A1442">
        <v>9683482</v>
      </c>
      <c r="B1442" t="s">
        <v>79</v>
      </c>
      <c r="C1442">
        <v>1328833</v>
      </c>
      <c r="D1442" t="s">
        <v>113</v>
      </c>
      <c r="E1442" t="s">
        <v>12</v>
      </c>
      <c r="F1442" t="s">
        <v>12</v>
      </c>
      <c r="G1442" t="s">
        <v>135</v>
      </c>
      <c r="H1442" t="s">
        <v>232</v>
      </c>
      <c r="I1442" t="s">
        <v>84</v>
      </c>
      <c r="J1442" t="s">
        <v>85</v>
      </c>
      <c r="K1442" t="s">
        <v>83</v>
      </c>
      <c r="L1442" s="25">
        <v>44030</v>
      </c>
      <c r="M1442">
        <v>7</v>
      </c>
      <c r="N1442">
        <v>2020</v>
      </c>
      <c r="O1442" t="s">
        <v>110</v>
      </c>
      <c r="P1442">
        <v>170</v>
      </c>
      <c r="Q1442" s="17">
        <v>44030.431103240742</v>
      </c>
      <c r="R1442" t="s">
        <v>126</v>
      </c>
    </row>
    <row r="1443" spans="1:18" x14ac:dyDescent="0.3">
      <c r="A1443">
        <v>21526147</v>
      </c>
      <c r="B1443" t="s">
        <v>78</v>
      </c>
      <c r="C1443">
        <v>1324903</v>
      </c>
      <c r="D1443" t="s">
        <v>78</v>
      </c>
      <c r="E1443" t="s">
        <v>138</v>
      </c>
      <c r="F1443" t="s">
        <v>17</v>
      </c>
      <c r="G1443" t="s">
        <v>145</v>
      </c>
      <c r="H1443" t="s">
        <v>134</v>
      </c>
      <c r="I1443" t="s">
        <v>78</v>
      </c>
      <c r="J1443" t="s">
        <v>42</v>
      </c>
      <c r="K1443" t="s">
        <v>87</v>
      </c>
      <c r="L1443" s="25">
        <v>44030</v>
      </c>
      <c r="M1443">
        <v>7</v>
      </c>
      <c r="N1443">
        <v>2020</v>
      </c>
      <c r="O1443" t="s">
        <v>110</v>
      </c>
      <c r="P1443">
        <v>170</v>
      </c>
      <c r="Q1443" s="17">
        <v>44030.490627083331</v>
      </c>
      <c r="R1443" t="s">
        <v>126</v>
      </c>
    </row>
    <row r="1444" spans="1:18" x14ac:dyDescent="0.3">
      <c r="A1444">
        <v>9685813</v>
      </c>
      <c r="B1444" t="s">
        <v>78</v>
      </c>
      <c r="C1444">
        <v>1328683</v>
      </c>
      <c r="D1444" t="s">
        <v>78</v>
      </c>
      <c r="E1444">
        <v>820</v>
      </c>
      <c r="F1444">
        <v>820</v>
      </c>
      <c r="G1444" t="s">
        <v>136</v>
      </c>
      <c r="H1444" t="s">
        <v>249</v>
      </c>
      <c r="I1444" t="s">
        <v>78</v>
      </c>
      <c r="J1444" t="s">
        <v>42</v>
      </c>
      <c r="K1444" t="s">
        <v>83</v>
      </c>
      <c r="L1444" s="25">
        <v>44030</v>
      </c>
      <c r="M1444">
        <v>7</v>
      </c>
      <c r="N1444">
        <v>2020</v>
      </c>
      <c r="O1444" t="s">
        <v>110</v>
      </c>
      <c r="P1444">
        <v>170</v>
      </c>
      <c r="Q1444" s="17">
        <v>44030.42721134259</v>
      </c>
      <c r="R1444" t="s">
        <v>126</v>
      </c>
    </row>
    <row r="1445" spans="1:18" x14ac:dyDescent="0.3">
      <c r="A1445">
        <v>9688054</v>
      </c>
      <c r="B1445" t="s">
        <v>79</v>
      </c>
      <c r="C1445">
        <v>1331677</v>
      </c>
      <c r="D1445" t="s">
        <v>116</v>
      </c>
      <c r="E1445" t="s">
        <v>12</v>
      </c>
      <c r="F1445" t="s">
        <v>12</v>
      </c>
      <c r="G1445" t="s">
        <v>135</v>
      </c>
      <c r="H1445" t="s">
        <v>285</v>
      </c>
      <c r="I1445" t="s">
        <v>82</v>
      </c>
      <c r="J1445" t="s">
        <v>42</v>
      </c>
      <c r="K1445" t="s">
        <v>83</v>
      </c>
      <c r="L1445" s="25">
        <v>44030</v>
      </c>
      <c r="M1445">
        <v>7</v>
      </c>
      <c r="N1445">
        <v>2020</v>
      </c>
      <c r="O1445" t="s">
        <v>110</v>
      </c>
      <c r="P1445">
        <v>170</v>
      </c>
      <c r="Q1445" s="17">
        <v>44030.495169675924</v>
      </c>
      <c r="R1445" t="s">
        <v>126</v>
      </c>
    </row>
    <row r="1446" spans="1:18" x14ac:dyDescent="0.3">
      <c r="A1446">
        <v>9683786</v>
      </c>
      <c r="B1446" t="s">
        <v>72</v>
      </c>
      <c r="C1446">
        <v>1329155</v>
      </c>
      <c r="D1446" t="s">
        <v>108</v>
      </c>
      <c r="E1446" t="s">
        <v>12</v>
      </c>
      <c r="F1446" t="s">
        <v>12</v>
      </c>
      <c r="G1446" t="s">
        <v>135</v>
      </c>
      <c r="H1446" t="s">
        <v>98</v>
      </c>
      <c r="I1446" t="s">
        <v>82</v>
      </c>
      <c r="J1446" t="s">
        <v>42</v>
      </c>
      <c r="K1446" t="s">
        <v>83</v>
      </c>
      <c r="L1446" s="25">
        <v>44030</v>
      </c>
      <c r="M1446">
        <v>7</v>
      </c>
      <c r="N1446">
        <v>2020</v>
      </c>
      <c r="O1446" t="s">
        <v>110</v>
      </c>
      <c r="P1446">
        <v>170</v>
      </c>
      <c r="Q1446" s="17">
        <v>44030.433444560185</v>
      </c>
      <c r="R1446" t="s">
        <v>126</v>
      </c>
    </row>
    <row r="1447" spans="1:18" x14ac:dyDescent="0.3">
      <c r="A1447">
        <v>9685830</v>
      </c>
      <c r="B1447" t="s">
        <v>78</v>
      </c>
      <c r="C1447">
        <v>1329848</v>
      </c>
      <c r="D1447" t="s">
        <v>78</v>
      </c>
      <c r="E1447">
        <v>820</v>
      </c>
      <c r="F1447">
        <v>820</v>
      </c>
      <c r="G1447" t="s">
        <v>136</v>
      </c>
      <c r="H1447" t="s">
        <v>249</v>
      </c>
      <c r="I1447" t="s">
        <v>78</v>
      </c>
      <c r="J1447" t="s">
        <v>42</v>
      </c>
      <c r="K1447" t="s">
        <v>83</v>
      </c>
      <c r="L1447" s="25">
        <v>44030</v>
      </c>
      <c r="M1447">
        <v>7</v>
      </c>
      <c r="N1447">
        <v>2020</v>
      </c>
      <c r="O1447" t="s">
        <v>110</v>
      </c>
      <c r="P1447">
        <v>170</v>
      </c>
      <c r="Q1447" s="17">
        <v>44030.486714583334</v>
      </c>
      <c r="R1447" t="s">
        <v>126</v>
      </c>
    </row>
    <row r="1448" spans="1:18" x14ac:dyDescent="0.3">
      <c r="A1448">
        <v>9685207</v>
      </c>
      <c r="B1448" t="s">
        <v>78</v>
      </c>
      <c r="C1448">
        <v>1328726</v>
      </c>
      <c r="D1448" t="s">
        <v>78</v>
      </c>
      <c r="E1448">
        <v>820</v>
      </c>
      <c r="F1448">
        <v>820</v>
      </c>
      <c r="G1448" t="s">
        <v>136</v>
      </c>
      <c r="H1448" t="s">
        <v>249</v>
      </c>
      <c r="I1448" t="s">
        <v>78</v>
      </c>
      <c r="J1448" t="s">
        <v>42</v>
      </c>
      <c r="K1448" t="s">
        <v>83</v>
      </c>
      <c r="L1448" s="25">
        <v>44030</v>
      </c>
      <c r="M1448">
        <v>7</v>
      </c>
      <c r="N1448">
        <v>2020</v>
      </c>
      <c r="O1448" t="s">
        <v>110</v>
      </c>
      <c r="P1448">
        <v>170</v>
      </c>
      <c r="Q1448" s="17">
        <v>44030.430899884261</v>
      </c>
      <c r="R1448" t="s">
        <v>126</v>
      </c>
    </row>
    <row r="1449" spans="1:18" x14ac:dyDescent="0.3">
      <c r="A1449">
        <v>9685872</v>
      </c>
      <c r="B1449" t="s">
        <v>78</v>
      </c>
      <c r="C1449">
        <v>1329026</v>
      </c>
      <c r="D1449" t="s">
        <v>78</v>
      </c>
      <c r="E1449">
        <v>820</v>
      </c>
      <c r="F1449">
        <v>820</v>
      </c>
      <c r="G1449" t="s">
        <v>136</v>
      </c>
      <c r="H1449" t="s">
        <v>250</v>
      </c>
      <c r="I1449" t="s">
        <v>78</v>
      </c>
      <c r="J1449" t="s">
        <v>42</v>
      </c>
      <c r="K1449" t="s">
        <v>83</v>
      </c>
      <c r="L1449" s="25">
        <v>44030</v>
      </c>
      <c r="M1449">
        <v>7</v>
      </c>
      <c r="N1449">
        <v>2020</v>
      </c>
      <c r="O1449" t="s">
        <v>110</v>
      </c>
      <c r="P1449">
        <v>170</v>
      </c>
      <c r="Q1449" s="17">
        <v>44030.445995023147</v>
      </c>
      <c r="R1449" t="s">
        <v>126</v>
      </c>
    </row>
    <row r="1450" spans="1:18" x14ac:dyDescent="0.3">
      <c r="A1450">
        <v>9687716</v>
      </c>
      <c r="B1450" t="s">
        <v>78</v>
      </c>
      <c r="C1450">
        <v>1330598</v>
      </c>
      <c r="D1450" t="s">
        <v>78</v>
      </c>
      <c r="E1450">
        <v>820</v>
      </c>
      <c r="F1450">
        <v>820</v>
      </c>
      <c r="G1450" t="s">
        <v>136</v>
      </c>
      <c r="H1450" t="s">
        <v>249</v>
      </c>
      <c r="I1450" t="s">
        <v>78</v>
      </c>
      <c r="J1450" t="s">
        <v>42</v>
      </c>
      <c r="K1450" t="s">
        <v>83</v>
      </c>
      <c r="L1450" s="25">
        <v>44030</v>
      </c>
      <c r="M1450">
        <v>7</v>
      </c>
      <c r="N1450">
        <v>2020</v>
      </c>
      <c r="O1450" t="s">
        <v>110</v>
      </c>
      <c r="P1450">
        <v>170</v>
      </c>
      <c r="Q1450" s="17">
        <v>44030.49434409722</v>
      </c>
      <c r="R1450" t="s">
        <v>126</v>
      </c>
    </row>
    <row r="1451" spans="1:18" x14ac:dyDescent="0.3">
      <c r="A1451">
        <v>21532566</v>
      </c>
      <c r="B1451" t="s">
        <v>72</v>
      </c>
      <c r="C1451">
        <v>1336214</v>
      </c>
      <c r="D1451" t="s">
        <v>108</v>
      </c>
      <c r="E1451">
        <v>845</v>
      </c>
      <c r="F1451">
        <v>845</v>
      </c>
      <c r="G1451" t="s">
        <v>130</v>
      </c>
      <c r="H1451" t="s">
        <v>229</v>
      </c>
      <c r="I1451" t="s">
        <v>84</v>
      </c>
      <c r="J1451" t="s">
        <v>85</v>
      </c>
      <c r="K1451" t="s">
        <v>87</v>
      </c>
      <c r="L1451" s="25">
        <v>44030</v>
      </c>
      <c r="M1451">
        <v>7</v>
      </c>
      <c r="N1451">
        <v>2020</v>
      </c>
      <c r="O1451" t="s">
        <v>110</v>
      </c>
      <c r="P1451">
        <v>170</v>
      </c>
      <c r="Q1451" s="17">
        <v>44031.141413194448</v>
      </c>
      <c r="R1451" t="s">
        <v>126</v>
      </c>
    </row>
    <row r="1452" spans="1:18" x14ac:dyDescent="0.3">
      <c r="A1452">
        <v>9685976</v>
      </c>
      <c r="B1452" t="s">
        <v>78</v>
      </c>
      <c r="C1452">
        <v>1328926</v>
      </c>
      <c r="D1452" t="s">
        <v>78</v>
      </c>
      <c r="E1452">
        <v>820</v>
      </c>
      <c r="F1452">
        <v>820</v>
      </c>
      <c r="G1452" t="s">
        <v>136</v>
      </c>
      <c r="H1452" t="s">
        <v>249</v>
      </c>
      <c r="I1452" t="s">
        <v>78</v>
      </c>
      <c r="J1452" t="s">
        <v>42</v>
      </c>
      <c r="K1452" t="s">
        <v>83</v>
      </c>
      <c r="L1452" s="25">
        <v>44030</v>
      </c>
      <c r="M1452">
        <v>7</v>
      </c>
      <c r="N1452">
        <v>2020</v>
      </c>
      <c r="O1452" t="s">
        <v>110</v>
      </c>
      <c r="P1452">
        <v>170</v>
      </c>
      <c r="Q1452" s="17">
        <v>44030.443360185185</v>
      </c>
      <c r="R1452" t="s">
        <v>126</v>
      </c>
    </row>
    <row r="1453" spans="1:18" x14ac:dyDescent="0.3">
      <c r="A1453">
        <v>9674517</v>
      </c>
      <c r="B1453" t="s">
        <v>72</v>
      </c>
      <c r="C1453">
        <v>1332856</v>
      </c>
      <c r="D1453" t="s">
        <v>108</v>
      </c>
      <c r="E1453" t="s">
        <v>26</v>
      </c>
      <c r="F1453" t="s">
        <v>26</v>
      </c>
      <c r="G1453" t="s">
        <v>137</v>
      </c>
      <c r="H1453" t="s">
        <v>229</v>
      </c>
      <c r="I1453" t="s">
        <v>84</v>
      </c>
      <c r="J1453" t="s">
        <v>85</v>
      </c>
      <c r="K1453" t="s">
        <v>83</v>
      </c>
      <c r="L1453" s="25">
        <v>44030</v>
      </c>
      <c r="M1453">
        <v>7</v>
      </c>
      <c r="N1453">
        <v>2020</v>
      </c>
      <c r="O1453" t="s">
        <v>110</v>
      </c>
      <c r="P1453">
        <v>170</v>
      </c>
      <c r="Q1453" s="17">
        <v>44030.40919421296</v>
      </c>
      <c r="R1453" t="s">
        <v>126</v>
      </c>
    </row>
    <row r="1454" spans="1:18" x14ac:dyDescent="0.3">
      <c r="A1454">
        <v>9686906</v>
      </c>
      <c r="B1454" t="s">
        <v>80</v>
      </c>
      <c r="C1454">
        <v>1329805</v>
      </c>
      <c r="D1454" t="s">
        <v>113</v>
      </c>
      <c r="E1454" t="s">
        <v>146</v>
      </c>
      <c r="F1454" t="s">
        <v>17</v>
      </c>
      <c r="G1454" t="s">
        <v>153</v>
      </c>
      <c r="H1454" t="s">
        <v>232</v>
      </c>
      <c r="I1454" t="s">
        <v>84</v>
      </c>
      <c r="J1454" t="s">
        <v>85</v>
      </c>
      <c r="K1454" t="s">
        <v>87</v>
      </c>
      <c r="L1454" s="25">
        <v>44030</v>
      </c>
      <c r="M1454">
        <v>7</v>
      </c>
      <c r="N1454">
        <v>2020</v>
      </c>
      <c r="O1454" t="s">
        <v>110</v>
      </c>
      <c r="P1454">
        <v>170</v>
      </c>
      <c r="Q1454" s="17">
        <v>44030.475740856484</v>
      </c>
      <c r="R1454" t="s">
        <v>126</v>
      </c>
    </row>
    <row r="1455" spans="1:18" x14ac:dyDescent="0.3">
      <c r="A1455">
        <v>9679015</v>
      </c>
      <c r="B1455" t="s">
        <v>78</v>
      </c>
      <c r="C1455">
        <v>1321681</v>
      </c>
      <c r="D1455" t="s">
        <v>78</v>
      </c>
      <c r="E1455" t="s">
        <v>124</v>
      </c>
      <c r="F1455" t="s">
        <v>17</v>
      </c>
      <c r="G1455" t="s">
        <v>125</v>
      </c>
      <c r="H1455" t="s">
        <v>134</v>
      </c>
      <c r="I1455" t="s">
        <v>78</v>
      </c>
      <c r="J1455" t="s">
        <v>42</v>
      </c>
      <c r="K1455" t="s">
        <v>87</v>
      </c>
      <c r="L1455" s="25">
        <v>44030</v>
      </c>
      <c r="M1455">
        <v>7</v>
      </c>
      <c r="N1455">
        <v>2020</v>
      </c>
      <c r="O1455" t="s">
        <v>110</v>
      </c>
      <c r="P1455">
        <v>170</v>
      </c>
      <c r="Q1455" s="17">
        <v>44030.490275115742</v>
      </c>
      <c r="R1455" t="s">
        <v>126</v>
      </c>
    </row>
    <row r="1456" spans="1:18" x14ac:dyDescent="0.3">
      <c r="A1456">
        <v>9685783</v>
      </c>
      <c r="B1456" t="s">
        <v>78</v>
      </c>
      <c r="C1456">
        <v>1328912</v>
      </c>
      <c r="D1456" t="s">
        <v>78</v>
      </c>
      <c r="E1456">
        <v>820</v>
      </c>
      <c r="F1456">
        <v>820</v>
      </c>
      <c r="G1456" t="s">
        <v>136</v>
      </c>
      <c r="H1456" t="s">
        <v>250</v>
      </c>
      <c r="I1456" t="s">
        <v>78</v>
      </c>
      <c r="J1456" t="s">
        <v>42</v>
      </c>
      <c r="K1456" t="s">
        <v>83</v>
      </c>
      <c r="L1456" s="25">
        <v>44030</v>
      </c>
      <c r="M1456">
        <v>7</v>
      </c>
      <c r="N1456">
        <v>2020</v>
      </c>
      <c r="O1456" t="s">
        <v>110</v>
      </c>
      <c r="P1456">
        <v>170</v>
      </c>
      <c r="Q1456" s="17">
        <v>44030.442578587965</v>
      </c>
      <c r="R1456" t="s">
        <v>126</v>
      </c>
    </row>
    <row r="1457" spans="1:18" x14ac:dyDescent="0.3">
      <c r="A1457">
        <v>244445</v>
      </c>
      <c r="B1457" t="s">
        <v>72</v>
      </c>
      <c r="C1457">
        <v>1329905</v>
      </c>
      <c r="D1457" t="s">
        <v>108</v>
      </c>
      <c r="E1457" t="s">
        <v>182</v>
      </c>
      <c r="F1457" t="s">
        <v>17</v>
      </c>
      <c r="G1457" t="s">
        <v>183</v>
      </c>
      <c r="H1457" t="s">
        <v>263</v>
      </c>
      <c r="I1457" t="s">
        <v>82</v>
      </c>
      <c r="J1457" t="s">
        <v>42</v>
      </c>
      <c r="K1457" t="s">
        <v>87</v>
      </c>
      <c r="L1457" s="25">
        <v>44030</v>
      </c>
      <c r="M1457">
        <v>7</v>
      </c>
      <c r="N1457">
        <v>2020</v>
      </c>
      <c r="O1457" t="s">
        <v>110</v>
      </c>
      <c r="P1457">
        <v>170</v>
      </c>
      <c r="Q1457" s="17">
        <v>44030.484465856483</v>
      </c>
      <c r="R1457" t="s">
        <v>126</v>
      </c>
    </row>
    <row r="1458" spans="1:18" x14ac:dyDescent="0.3">
      <c r="A1458">
        <v>241328</v>
      </c>
      <c r="B1458" t="s">
        <v>80</v>
      </c>
      <c r="C1458">
        <v>1325311</v>
      </c>
      <c r="D1458" t="s">
        <v>113</v>
      </c>
      <c r="E1458">
        <v>966</v>
      </c>
      <c r="F1458">
        <v>966</v>
      </c>
      <c r="G1458" t="s">
        <v>139</v>
      </c>
      <c r="H1458" t="s">
        <v>232</v>
      </c>
      <c r="I1458" t="s">
        <v>84</v>
      </c>
      <c r="J1458" t="s">
        <v>85</v>
      </c>
      <c r="K1458" t="s">
        <v>87</v>
      </c>
      <c r="L1458" s="25">
        <v>44030</v>
      </c>
      <c r="M1458">
        <v>7</v>
      </c>
      <c r="N1458">
        <v>2020</v>
      </c>
      <c r="O1458" t="s">
        <v>110</v>
      </c>
      <c r="P1458">
        <v>170</v>
      </c>
      <c r="Q1458" s="17">
        <v>44030.493944560185</v>
      </c>
      <c r="R1458" t="s">
        <v>126</v>
      </c>
    </row>
    <row r="1459" spans="1:18" x14ac:dyDescent="0.3">
      <c r="A1459">
        <v>9686726</v>
      </c>
      <c r="B1459" t="s">
        <v>78</v>
      </c>
      <c r="C1459">
        <v>1329762</v>
      </c>
      <c r="D1459" t="s">
        <v>78</v>
      </c>
      <c r="E1459" t="s">
        <v>146</v>
      </c>
      <c r="F1459" t="s">
        <v>17</v>
      </c>
      <c r="G1459" t="s">
        <v>153</v>
      </c>
      <c r="H1459" t="s">
        <v>134</v>
      </c>
      <c r="I1459" t="s">
        <v>78</v>
      </c>
      <c r="J1459" t="s">
        <v>42</v>
      </c>
      <c r="K1459" t="s">
        <v>87</v>
      </c>
      <c r="L1459" s="25">
        <v>44030</v>
      </c>
      <c r="M1459">
        <v>7</v>
      </c>
      <c r="N1459">
        <v>2020</v>
      </c>
      <c r="O1459" t="s">
        <v>110</v>
      </c>
      <c r="P1459">
        <v>170</v>
      </c>
      <c r="Q1459" s="17">
        <v>44030.466975925927</v>
      </c>
      <c r="R1459" t="s">
        <v>126</v>
      </c>
    </row>
    <row r="1460" spans="1:18" x14ac:dyDescent="0.3">
      <c r="A1460">
        <v>9686190</v>
      </c>
      <c r="B1460" t="s">
        <v>72</v>
      </c>
      <c r="C1460">
        <v>1329962</v>
      </c>
      <c r="D1460" t="s">
        <v>108</v>
      </c>
      <c r="E1460" t="s">
        <v>146</v>
      </c>
      <c r="F1460" t="s">
        <v>17</v>
      </c>
      <c r="G1460" t="s">
        <v>153</v>
      </c>
      <c r="H1460" t="s">
        <v>263</v>
      </c>
      <c r="I1460" t="s">
        <v>82</v>
      </c>
      <c r="J1460" t="s">
        <v>42</v>
      </c>
      <c r="K1460" t="s">
        <v>87</v>
      </c>
      <c r="L1460" s="25">
        <v>44030</v>
      </c>
      <c r="M1460">
        <v>7</v>
      </c>
      <c r="N1460">
        <v>2020</v>
      </c>
      <c r="O1460" t="s">
        <v>110</v>
      </c>
      <c r="P1460">
        <v>170</v>
      </c>
      <c r="Q1460" s="17">
        <v>44030.483522222225</v>
      </c>
      <c r="R1460" t="s">
        <v>126</v>
      </c>
    </row>
    <row r="1461" spans="1:18" x14ac:dyDescent="0.3">
      <c r="A1461">
        <v>9686158</v>
      </c>
      <c r="B1461" t="s">
        <v>80</v>
      </c>
      <c r="C1461">
        <v>1329619</v>
      </c>
      <c r="D1461" t="s">
        <v>113</v>
      </c>
      <c r="E1461" t="s">
        <v>146</v>
      </c>
      <c r="F1461" t="s">
        <v>17</v>
      </c>
      <c r="G1461" t="s">
        <v>153</v>
      </c>
      <c r="H1461" t="s">
        <v>232</v>
      </c>
      <c r="I1461" t="s">
        <v>84</v>
      </c>
      <c r="J1461" t="s">
        <v>85</v>
      </c>
      <c r="K1461" t="s">
        <v>87</v>
      </c>
      <c r="L1461" s="25">
        <v>44030</v>
      </c>
      <c r="M1461">
        <v>7</v>
      </c>
      <c r="N1461">
        <v>2020</v>
      </c>
      <c r="O1461" t="s">
        <v>110</v>
      </c>
      <c r="P1461">
        <v>170</v>
      </c>
      <c r="Q1461" s="17">
        <v>44030.441804745373</v>
      </c>
      <c r="R1461" t="s">
        <v>126</v>
      </c>
    </row>
    <row r="1462" spans="1:18" x14ac:dyDescent="0.3">
      <c r="A1462">
        <v>9685951</v>
      </c>
      <c r="B1462" t="s">
        <v>78</v>
      </c>
      <c r="C1462">
        <v>1329139</v>
      </c>
      <c r="D1462" t="s">
        <v>78</v>
      </c>
      <c r="E1462">
        <v>820</v>
      </c>
      <c r="F1462">
        <v>820</v>
      </c>
      <c r="G1462" t="s">
        <v>136</v>
      </c>
      <c r="H1462" t="s">
        <v>249</v>
      </c>
      <c r="I1462" t="s">
        <v>78</v>
      </c>
      <c r="J1462" t="s">
        <v>42</v>
      </c>
      <c r="K1462" t="s">
        <v>83</v>
      </c>
      <c r="L1462" s="25">
        <v>44030</v>
      </c>
      <c r="M1462">
        <v>7</v>
      </c>
      <c r="N1462">
        <v>2020</v>
      </c>
      <c r="O1462" t="s">
        <v>110</v>
      </c>
      <c r="P1462">
        <v>170</v>
      </c>
      <c r="Q1462" s="17">
        <v>44030.45178935185</v>
      </c>
      <c r="R1462" t="s">
        <v>126</v>
      </c>
    </row>
    <row r="1463" spans="1:18" x14ac:dyDescent="0.3">
      <c r="A1463">
        <v>9679392</v>
      </c>
      <c r="B1463" t="s">
        <v>72</v>
      </c>
      <c r="C1463">
        <v>1320217</v>
      </c>
      <c r="D1463" t="s">
        <v>108</v>
      </c>
      <c r="E1463" t="s">
        <v>124</v>
      </c>
      <c r="F1463" t="s">
        <v>17</v>
      </c>
      <c r="G1463" t="s">
        <v>125</v>
      </c>
      <c r="H1463" t="s">
        <v>263</v>
      </c>
      <c r="I1463" t="s">
        <v>82</v>
      </c>
      <c r="J1463" t="s">
        <v>42</v>
      </c>
      <c r="K1463" t="s">
        <v>87</v>
      </c>
      <c r="L1463" s="25">
        <v>44030</v>
      </c>
      <c r="M1463">
        <v>7</v>
      </c>
      <c r="N1463">
        <v>2020</v>
      </c>
      <c r="O1463" t="s">
        <v>110</v>
      </c>
      <c r="P1463">
        <v>170</v>
      </c>
      <c r="Q1463" s="17">
        <v>44030.485979513891</v>
      </c>
      <c r="R1463" t="s">
        <v>126</v>
      </c>
    </row>
    <row r="1464" spans="1:18" x14ac:dyDescent="0.3">
      <c r="A1464">
        <v>9687703</v>
      </c>
      <c r="B1464" t="s">
        <v>78</v>
      </c>
      <c r="C1464">
        <v>1330628</v>
      </c>
      <c r="D1464" t="s">
        <v>78</v>
      </c>
      <c r="E1464">
        <v>820</v>
      </c>
      <c r="F1464">
        <v>820</v>
      </c>
      <c r="G1464" t="s">
        <v>136</v>
      </c>
      <c r="H1464" t="s">
        <v>250</v>
      </c>
      <c r="I1464" t="s">
        <v>78</v>
      </c>
      <c r="J1464" t="s">
        <v>42</v>
      </c>
      <c r="K1464" t="s">
        <v>83</v>
      </c>
      <c r="L1464" s="25">
        <v>44030</v>
      </c>
      <c r="M1464">
        <v>7</v>
      </c>
      <c r="N1464">
        <v>2020</v>
      </c>
      <c r="O1464" t="s">
        <v>110</v>
      </c>
      <c r="P1464">
        <v>170</v>
      </c>
      <c r="Q1464" s="17">
        <v>44030.495156712961</v>
      </c>
      <c r="R1464" t="s">
        <v>126</v>
      </c>
    </row>
    <row r="1465" spans="1:18" x14ac:dyDescent="0.3">
      <c r="A1465">
        <v>9686498</v>
      </c>
      <c r="B1465" t="s">
        <v>80</v>
      </c>
      <c r="C1465">
        <v>1329941</v>
      </c>
      <c r="D1465" t="s">
        <v>113</v>
      </c>
      <c r="E1465" t="s">
        <v>146</v>
      </c>
      <c r="F1465" t="s">
        <v>17</v>
      </c>
      <c r="G1465" t="s">
        <v>153</v>
      </c>
      <c r="H1465" t="s">
        <v>257</v>
      </c>
      <c r="I1465" t="s">
        <v>82</v>
      </c>
      <c r="J1465" t="s">
        <v>42</v>
      </c>
      <c r="K1465" t="s">
        <v>87</v>
      </c>
      <c r="L1465" s="25">
        <v>44030</v>
      </c>
      <c r="M1465">
        <v>7</v>
      </c>
      <c r="N1465">
        <v>2020</v>
      </c>
      <c r="O1465" t="s">
        <v>110</v>
      </c>
      <c r="P1465">
        <v>170</v>
      </c>
      <c r="Q1465" s="17">
        <v>44030.480363773146</v>
      </c>
      <c r="R1465" t="s">
        <v>126</v>
      </c>
    </row>
    <row r="1466" spans="1:18" x14ac:dyDescent="0.3">
      <c r="A1466">
        <v>9686885</v>
      </c>
      <c r="B1466" t="s">
        <v>80</v>
      </c>
      <c r="C1466">
        <v>1329792</v>
      </c>
      <c r="D1466" t="s">
        <v>113</v>
      </c>
      <c r="E1466" t="s">
        <v>146</v>
      </c>
      <c r="F1466" t="s">
        <v>17</v>
      </c>
      <c r="G1466" t="s">
        <v>153</v>
      </c>
      <c r="H1466" t="s">
        <v>232</v>
      </c>
      <c r="I1466" t="s">
        <v>84</v>
      </c>
      <c r="J1466" t="s">
        <v>85</v>
      </c>
      <c r="K1466" t="s">
        <v>87</v>
      </c>
      <c r="L1466" s="25">
        <v>44030</v>
      </c>
      <c r="M1466">
        <v>7</v>
      </c>
      <c r="N1466">
        <v>2020</v>
      </c>
      <c r="O1466" t="s">
        <v>110</v>
      </c>
      <c r="P1466">
        <v>170</v>
      </c>
      <c r="Q1466" s="17">
        <v>44030.4717775463</v>
      </c>
      <c r="R1466" t="s">
        <v>126</v>
      </c>
    </row>
    <row r="1467" spans="1:18" x14ac:dyDescent="0.3">
      <c r="A1467">
        <v>9686278</v>
      </c>
      <c r="B1467" t="s">
        <v>80</v>
      </c>
      <c r="C1467">
        <v>1329692</v>
      </c>
      <c r="D1467" t="s">
        <v>113</v>
      </c>
      <c r="E1467" t="s">
        <v>146</v>
      </c>
      <c r="F1467" t="s">
        <v>17</v>
      </c>
      <c r="G1467" t="s">
        <v>153</v>
      </c>
      <c r="H1467" t="s">
        <v>232</v>
      </c>
      <c r="I1467" t="s">
        <v>84</v>
      </c>
      <c r="J1467" t="s">
        <v>85</v>
      </c>
      <c r="K1467" t="s">
        <v>87</v>
      </c>
      <c r="L1467" s="25">
        <v>44030</v>
      </c>
      <c r="M1467">
        <v>7</v>
      </c>
      <c r="N1467">
        <v>2020</v>
      </c>
      <c r="O1467" t="s">
        <v>110</v>
      </c>
      <c r="P1467">
        <v>170</v>
      </c>
      <c r="Q1467" s="17">
        <v>44030.453509490741</v>
      </c>
      <c r="R1467" t="s">
        <v>126</v>
      </c>
    </row>
    <row r="1468" spans="1:18" x14ac:dyDescent="0.3">
      <c r="A1468">
        <v>21529461</v>
      </c>
      <c r="B1468" t="s">
        <v>72</v>
      </c>
      <c r="C1468">
        <v>1327167</v>
      </c>
      <c r="D1468" t="s">
        <v>108</v>
      </c>
      <c r="E1468" t="s">
        <v>26</v>
      </c>
      <c r="F1468" t="s">
        <v>26</v>
      </c>
      <c r="G1468" t="s">
        <v>137</v>
      </c>
      <c r="H1468" t="s">
        <v>229</v>
      </c>
      <c r="I1468" t="s">
        <v>84</v>
      </c>
      <c r="J1468" t="s">
        <v>85</v>
      </c>
      <c r="K1468" t="s">
        <v>83</v>
      </c>
      <c r="L1468" s="25">
        <v>44030</v>
      </c>
      <c r="M1468">
        <v>7</v>
      </c>
      <c r="N1468">
        <v>2020</v>
      </c>
      <c r="O1468" t="s">
        <v>110</v>
      </c>
      <c r="P1468">
        <v>170</v>
      </c>
      <c r="Q1468" s="17">
        <v>44030.290317129628</v>
      </c>
      <c r="R1468" t="s">
        <v>126</v>
      </c>
    </row>
    <row r="1469" spans="1:18" x14ac:dyDescent="0.3">
      <c r="A1469">
        <v>9686147</v>
      </c>
      <c r="B1469" t="s">
        <v>80</v>
      </c>
      <c r="C1469">
        <v>1329600</v>
      </c>
      <c r="D1469" t="s">
        <v>113</v>
      </c>
      <c r="E1469" t="s">
        <v>146</v>
      </c>
      <c r="F1469" t="s">
        <v>17</v>
      </c>
      <c r="G1469" t="s">
        <v>153</v>
      </c>
      <c r="H1469" t="s">
        <v>232</v>
      </c>
      <c r="I1469" t="s">
        <v>84</v>
      </c>
      <c r="J1469" t="s">
        <v>85</v>
      </c>
      <c r="K1469" t="s">
        <v>87</v>
      </c>
      <c r="L1469" s="25">
        <v>44030</v>
      </c>
      <c r="M1469">
        <v>7</v>
      </c>
      <c r="N1469">
        <v>2020</v>
      </c>
      <c r="O1469" t="s">
        <v>110</v>
      </c>
      <c r="P1469">
        <v>170</v>
      </c>
      <c r="Q1469" s="17">
        <v>44030.435301157406</v>
      </c>
      <c r="R1469" t="s">
        <v>126</v>
      </c>
    </row>
    <row r="1470" spans="1:18" x14ac:dyDescent="0.3">
      <c r="A1470">
        <v>9687707</v>
      </c>
      <c r="B1470" t="s">
        <v>72</v>
      </c>
      <c r="C1470">
        <v>1330668</v>
      </c>
      <c r="D1470" t="s">
        <v>108</v>
      </c>
      <c r="E1470">
        <v>820</v>
      </c>
      <c r="F1470">
        <v>820</v>
      </c>
      <c r="G1470" t="s">
        <v>136</v>
      </c>
      <c r="H1470" t="s">
        <v>270</v>
      </c>
      <c r="I1470" t="s">
        <v>82</v>
      </c>
      <c r="J1470" t="s">
        <v>42</v>
      </c>
      <c r="K1470" t="s">
        <v>83</v>
      </c>
      <c r="L1470" s="25">
        <v>44030</v>
      </c>
      <c r="M1470">
        <v>7</v>
      </c>
      <c r="N1470">
        <v>2020</v>
      </c>
      <c r="O1470" t="s">
        <v>110</v>
      </c>
      <c r="P1470">
        <v>170</v>
      </c>
      <c r="Q1470" s="17">
        <v>44031.031903819443</v>
      </c>
      <c r="R1470" t="s">
        <v>126</v>
      </c>
    </row>
    <row r="1471" spans="1:18" x14ac:dyDescent="0.3">
      <c r="A1471">
        <v>9679499</v>
      </c>
      <c r="B1471" t="s">
        <v>72</v>
      </c>
      <c r="C1471">
        <v>1328982</v>
      </c>
      <c r="D1471" t="s">
        <v>108</v>
      </c>
      <c r="E1471" t="s">
        <v>12</v>
      </c>
      <c r="F1471" t="s">
        <v>12</v>
      </c>
      <c r="G1471" t="s">
        <v>135</v>
      </c>
      <c r="H1471" t="s">
        <v>251</v>
      </c>
      <c r="I1471" t="s">
        <v>82</v>
      </c>
      <c r="J1471" t="s">
        <v>42</v>
      </c>
      <c r="K1471" t="s">
        <v>83</v>
      </c>
      <c r="L1471" s="25">
        <v>44030</v>
      </c>
      <c r="M1471">
        <v>7</v>
      </c>
      <c r="N1471">
        <v>2020</v>
      </c>
      <c r="O1471" t="s">
        <v>110</v>
      </c>
      <c r="P1471">
        <v>170</v>
      </c>
      <c r="Q1471" s="17">
        <v>44030.432281828704</v>
      </c>
      <c r="R1471" t="s">
        <v>126</v>
      </c>
    </row>
    <row r="1472" spans="1:18" x14ac:dyDescent="0.3">
      <c r="A1472">
        <v>9685958</v>
      </c>
      <c r="B1472" t="s">
        <v>78</v>
      </c>
      <c r="C1472">
        <v>1328796</v>
      </c>
      <c r="D1472" t="s">
        <v>78</v>
      </c>
      <c r="E1472">
        <v>820</v>
      </c>
      <c r="F1472">
        <v>820</v>
      </c>
      <c r="G1472" t="s">
        <v>136</v>
      </c>
      <c r="H1472" t="s">
        <v>249</v>
      </c>
      <c r="I1472" t="s">
        <v>78</v>
      </c>
      <c r="J1472" t="s">
        <v>42</v>
      </c>
      <c r="K1472" t="s">
        <v>83</v>
      </c>
      <c r="L1472" s="25">
        <v>44030</v>
      </c>
      <c r="M1472">
        <v>7</v>
      </c>
      <c r="N1472">
        <v>2020</v>
      </c>
      <c r="O1472" t="s">
        <v>110</v>
      </c>
      <c r="P1472">
        <v>170</v>
      </c>
      <c r="Q1472" s="17">
        <v>44030.436718171295</v>
      </c>
      <c r="R1472" t="s">
        <v>126</v>
      </c>
    </row>
    <row r="1473" spans="1:18" x14ac:dyDescent="0.3">
      <c r="A1473">
        <v>9686032</v>
      </c>
      <c r="B1473" t="s">
        <v>80</v>
      </c>
      <c r="C1473">
        <v>1329617</v>
      </c>
      <c r="D1473" t="s">
        <v>113</v>
      </c>
      <c r="E1473" t="s">
        <v>146</v>
      </c>
      <c r="F1473" t="s">
        <v>17</v>
      </c>
      <c r="G1473" t="s">
        <v>153</v>
      </c>
      <c r="H1473" t="s">
        <v>232</v>
      </c>
      <c r="I1473" t="s">
        <v>84</v>
      </c>
      <c r="J1473" t="s">
        <v>85</v>
      </c>
      <c r="K1473" t="s">
        <v>87</v>
      </c>
      <c r="L1473" s="25">
        <v>44030</v>
      </c>
      <c r="M1473">
        <v>7</v>
      </c>
      <c r="N1473">
        <v>2020</v>
      </c>
      <c r="O1473" t="s">
        <v>110</v>
      </c>
      <c r="P1473">
        <v>170</v>
      </c>
      <c r="Q1473" s="17">
        <v>44030.435380787036</v>
      </c>
      <c r="R1473" t="s">
        <v>126</v>
      </c>
    </row>
    <row r="1474" spans="1:18" x14ac:dyDescent="0.3">
      <c r="A1474">
        <v>9685844</v>
      </c>
      <c r="B1474" t="s">
        <v>72</v>
      </c>
      <c r="C1474">
        <v>1329331</v>
      </c>
      <c r="D1474" t="s">
        <v>108</v>
      </c>
      <c r="E1474">
        <v>820</v>
      </c>
      <c r="F1474">
        <v>820</v>
      </c>
      <c r="G1474" t="s">
        <v>136</v>
      </c>
      <c r="H1474" t="s">
        <v>270</v>
      </c>
      <c r="I1474" t="s">
        <v>82</v>
      </c>
      <c r="J1474" t="s">
        <v>42</v>
      </c>
      <c r="K1474" t="s">
        <v>83</v>
      </c>
      <c r="L1474" s="25">
        <v>44030</v>
      </c>
      <c r="M1474">
        <v>7</v>
      </c>
      <c r="N1474">
        <v>2020</v>
      </c>
      <c r="O1474" t="s">
        <v>110</v>
      </c>
      <c r="P1474">
        <v>170</v>
      </c>
      <c r="Q1474" s="17">
        <v>44030.458588425929</v>
      </c>
      <c r="R1474" t="s">
        <v>126</v>
      </c>
    </row>
    <row r="1475" spans="1:18" x14ac:dyDescent="0.3">
      <c r="A1475">
        <v>9679040</v>
      </c>
      <c r="B1475" t="s">
        <v>78</v>
      </c>
      <c r="C1475">
        <v>1320435</v>
      </c>
      <c r="D1475" t="s">
        <v>78</v>
      </c>
      <c r="E1475" t="s">
        <v>26</v>
      </c>
      <c r="F1475" t="s">
        <v>26</v>
      </c>
      <c r="G1475" t="s">
        <v>137</v>
      </c>
      <c r="H1475" t="s">
        <v>245</v>
      </c>
      <c r="I1475" t="s">
        <v>78</v>
      </c>
      <c r="J1475" t="s">
        <v>42</v>
      </c>
      <c r="K1475" t="s">
        <v>83</v>
      </c>
      <c r="L1475" s="25">
        <v>44030</v>
      </c>
      <c r="M1475">
        <v>7</v>
      </c>
      <c r="N1475">
        <v>2020</v>
      </c>
      <c r="O1475" t="s">
        <v>110</v>
      </c>
      <c r="P1475">
        <v>170</v>
      </c>
      <c r="Q1475" s="17">
        <v>44030.436384722219</v>
      </c>
      <c r="R1475" t="s">
        <v>126</v>
      </c>
    </row>
    <row r="1476" spans="1:18" x14ac:dyDescent="0.3">
      <c r="A1476">
        <v>9686618</v>
      </c>
      <c r="B1476" t="s">
        <v>78</v>
      </c>
      <c r="C1476">
        <v>1330059</v>
      </c>
      <c r="D1476" t="s">
        <v>78</v>
      </c>
      <c r="E1476" t="s">
        <v>140</v>
      </c>
      <c r="F1476" t="s">
        <v>17</v>
      </c>
      <c r="G1476" t="s">
        <v>141</v>
      </c>
      <c r="H1476" t="s">
        <v>134</v>
      </c>
      <c r="I1476" t="s">
        <v>78</v>
      </c>
      <c r="J1476" t="s">
        <v>42</v>
      </c>
      <c r="K1476" t="s">
        <v>87</v>
      </c>
      <c r="L1476" s="25">
        <v>44030</v>
      </c>
      <c r="M1476">
        <v>7</v>
      </c>
      <c r="N1476">
        <v>2020</v>
      </c>
      <c r="O1476" t="s">
        <v>110</v>
      </c>
      <c r="P1476">
        <v>170</v>
      </c>
      <c r="Q1476" s="17">
        <v>44030.486124884257</v>
      </c>
      <c r="R1476" t="s">
        <v>126</v>
      </c>
    </row>
    <row r="1477" spans="1:18" x14ac:dyDescent="0.3">
      <c r="A1477">
        <v>9681532</v>
      </c>
      <c r="B1477" t="s">
        <v>78</v>
      </c>
      <c r="C1477">
        <v>1324626</v>
      </c>
      <c r="D1477" t="s">
        <v>78</v>
      </c>
      <c r="E1477" t="s">
        <v>138</v>
      </c>
      <c r="F1477" t="s">
        <v>17</v>
      </c>
      <c r="G1477" t="s">
        <v>145</v>
      </c>
      <c r="H1477" t="s">
        <v>134</v>
      </c>
      <c r="I1477" t="s">
        <v>78</v>
      </c>
      <c r="J1477" t="s">
        <v>42</v>
      </c>
      <c r="K1477" t="s">
        <v>87</v>
      </c>
      <c r="L1477" s="25">
        <v>44030</v>
      </c>
      <c r="M1477">
        <v>7</v>
      </c>
      <c r="N1477">
        <v>2020</v>
      </c>
      <c r="O1477" t="s">
        <v>110</v>
      </c>
      <c r="P1477">
        <v>170</v>
      </c>
      <c r="Q1477" s="17">
        <v>44030.489268750003</v>
      </c>
      <c r="R1477" t="s">
        <v>126</v>
      </c>
    </row>
    <row r="1478" spans="1:18" x14ac:dyDescent="0.3">
      <c r="A1478">
        <v>9686953</v>
      </c>
      <c r="B1478" t="s">
        <v>78</v>
      </c>
      <c r="C1478">
        <v>1330042</v>
      </c>
      <c r="D1478" t="s">
        <v>78</v>
      </c>
      <c r="E1478" t="s">
        <v>140</v>
      </c>
      <c r="F1478" t="s">
        <v>17</v>
      </c>
      <c r="G1478" t="s">
        <v>141</v>
      </c>
      <c r="H1478" t="s">
        <v>134</v>
      </c>
      <c r="I1478" t="s">
        <v>78</v>
      </c>
      <c r="J1478" t="s">
        <v>42</v>
      </c>
      <c r="K1478" t="s">
        <v>87</v>
      </c>
      <c r="L1478" s="25">
        <v>44030</v>
      </c>
      <c r="M1478">
        <v>7</v>
      </c>
      <c r="N1478">
        <v>2020</v>
      </c>
      <c r="O1478" t="s">
        <v>110</v>
      </c>
      <c r="P1478">
        <v>170</v>
      </c>
      <c r="Q1478" s="17">
        <v>44030.485853703707</v>
      </c>
      <c r="R1478" t="s">
        <v>126</v>
      </c>
    </row>
    <row r="1479" spans="1:18" x14ac:dyDescent="0.3">
      <c r="A1479">
        <v>9686712</v>
      </c>
      <c r="B1479" t="s">
        <v>80</v>
      </c>
      <c r="C1479">
        <v>1329744</v>
      </c>
      <c r="D1479" t="s">
        <v>113</v>
      </c>
      <c r="E1479" t="s">
        <v>146</v>
      </c>
      <c r="F1479" t="s">
        <v>17</v>
      </c>
      <c r="G1479" t="s">
        <v>153</v>
      </c>
      <c r="H1479" t="s">
        <v>232</v>
      </c>
      <c r="I1479" t="s">
        <v>84</v>
      </c>
      <c r="J1479" t="s">
        <v>85</v>
      </c>
      <c r="K1479" t="s">
        <v>87</v>
      </c>
      <c r="L1479" s="25">
        <v>44030</v>
      </c>
      <c r="M1479">
        <v>7</v>
      </c>
      <c r="N1479">
        <v>2020</v>
      </c>
      <c r="O1479" t="s">
        <v>110</v>
      </c>
      <c r="P1479">
        <v>170</v>
      </c>
      <c r="Q1479" s="17">
        <v>44030.462486574077</v>
      </c>
      <c r="R1479" t="s">
        <v>126</v>
      </c>
    </row>
    <row r="1480" spans="1:18" x14ac:dyDescent="0.3">
      <c r="A1480">
        <v>9686986</v>
      </c>
      <c r="B1480" t="s">
        <v>80</v>
      </c>
      <c r="C1480">
        <v>1330259</v>
      </c>
      <c r="D1480" t="s">
        <v>122</v>
      </c>
      <c r="E1480" t="s">
        <v>146</v>
      </c>
      <c r="F1480" t="s">
        <v>17</v>
      </c>
      <c r="G1480" t="s">
        <v>153</v>
      </c>
      <c r="H1480" t="s">
        <v>228</v>
      </c>
      <c r="I1480" t="s">
        <v>84</v>
      </c>
      <c r="J1480" t="s">
        <v>85</v>
      </c>
      <c r="K1480" t="s">
        <v>87</v>
      </c>
      <c r="L1480" s="25">
        <v>44030</v>
      </c>
      <c r="M1480">
        <v>7</v>
      </c>
      <c r="N1480">
        <v>2020</v>
      </c>
      <c r="O1480" t="s">
        <v>110</v>
      </c>
      <c r="P1480">
        <v>170</v>
      </c>
      <c r="Q1480" s="17">
        <v>44030.137771527778</v>
      </c>
      <c r="R1480" t="s">
        <v>126</v>
      </c>
    </row>
    <row r="1481" spans="1:18" x14ac:dyDescent="0.3">
      <c r="A1481">
        <v>9685996</v>
      </c>
      <c r="B1481" t="s">
        <v>78</v>
      </c>
      <c r="C1481">
        <v>1329140</v>
      </c>
      <c r="D1481" t="s">
        <v>78</v>
      </c>
      <c r="E1481">
        <v>820</v>
      </c>
      <c r="F1481">
        <v>820</v>
      </c>
      <c r="G1481" t="s">
        <v>136</v>
      </c>
      <c r="H1481" t="s">
        <v>250</v>
      </c>
      <c r="I1481" t="s">
        <v>78</v>
      </c>
      <c r="J1481" t="s">
        <v>42</v>
      </c>
      <c r="K1481" t="s">
        <v>83</v>
      </c>
      <c r="L1481" s="25">
        <v>44030</v>
      </c>
      <c r="M1481">
        <v>7</v>
      </c>
      <c r="N1481">
        <v>2020</v>
      </c>
      <c r="O1481" t="s">
        <v>110</v>
      </c>
      <c r="P1481">
        <v>170</v>
      </c>
      <c r="Q1481" s="17">
        <v>44030.450954398148</v>
      </c>
      <c r="R1481" t="s">
        <v>126</v>
      </c>
    </row>
    <row r="1482" spans="1:18" x14ac:dyDescent="0.3">
      <c r="A1482">
        <v>9687001</v>
      </c>
      <c r="B1482" t="s">
        <v>80</v>
      </c>
      <c r="C1482">
        <v>1330225</v>
      </c>
      <c r="D1482" t="s">
        <v>113</v>
      </c>
      <c r="E1482" t="s">
        <v>146</v>
      </c>
      <c r="F1482" t="s">
        <v>17</v>
      </c>
      <c r="G1482" t="s">
        <v>153</v>
      </c>
      <c r="H1482" t="s">
        <v>232</v>
      </c>
      <c r="I1482" t="s">
        <v>84</v>
      </c>
      <c r="J1482" t="s">
        <v>85</v>
      </c>
      <c r="K1482" t="s">
        <v>87</v>
      </c>
      <c r="L1482" s="25">
        <v>44030</v>
      </c>
      <c r="M1482">
        <v>7</v>
      </c>
      <c r="N1482">
        <v>2020</v>
      </c>
      <c r="O1482" t="s">
        <v>110</v>
      </c>
      <c r="P1482">
        <v>170</v>
      </c>
      <c r="Q1482" s="17">
        <v>44030.496920833335</v>
      </c>
      <c r="R1482" t="s">
        <v>126</v>
      </c>
    </row>
    <row r="1483" spans="1:18" x14ac:dyDescent="0.3">
      <c r="A1483">
        <v>9674145</v>
      </c>
      <c r="B1483" t="s">
        <v>72</v>
      </c>
      <c r="C1483">
        <v>1331582</v>
      </c>
      <c r="D1483" t="s">
        <v>108</v>
      </c>
      <c r="E1483" t="s">
        <v>26</v>
      </c>
      <c r="F1483" t="s">
        <v>26</v>
      </c>
      <c r="G1483" t="s">
        <v>137</v>
      </c>
      <c r="H1483" t="s">
        <v>229</v>
      </c>
      <c r="I1483" t="s">
        <v>84</v>
      </c>
      <c r="J1483" t="s">
        <v>85</v>
      </c>
      <c r="K1483" t="s">
        <v>83</v>
      </c>
      <c r="L1483" s="25">
        <v>44030</v>
      </c>
      <c r="M1483">
        <v>7</v>
      </c>
      <c r="N1483">
        <v>2020</v>
      </c>
      <c r="O1483" t="s">
        <v>110</v>
      </c>
      <c r="P1483">
        <v>170</v>
      </c>
      <c r="Q1483" s="17">
        <v>44030.380859259261</v>
      </c>
      <c r="R1483" t="s">
        <v>126</v>
      </c>
    </row>
    <row r="1484" spans="1:18" x14ac:dyDescent="0.3">
      <c r="A1484">
        <v>9675117</v>
      </c>
      <c r="B1484" t="s">
        <v>78</v>
      </c>
      <c r="C1484">
        <v>1317759</v>
      </c>
      <c r="D1484" t="s">
        <v>78</v>
      </c>
      <c r="E1484">
        <v>966</v>
      </c>
      <c r="F1484">
        <v>966</v>
      </c>
      <c r="G1484" t="s">
        <v>139</v>
      </c>
      <c r="H1484" t="s">
        <v>105</v>
      </c>
      <c r="I1484" t="s">
        <v>78</v>
      </c>
      <c r="J1484" t="s">
        <v>42</v>
      </c>
      <c r="K1484" t="s">
        <v>87</v>
      </c>
      <c r="L1484" s="25">
        <v>44030</v>
      </c>
      <c r="M1484">
        <v>7</v>
      </c>
      <c r="N1484">
        <v>2020</v>
      </c>
      <c r="O1484" t="s">
        <v>110</v>
      </c>
      <c r="P1484">
        <v>170</v>
      </c>
      <c r="Q1484" s="17">
        <v>44030.42402997685</v>
      </c>
      <c r="R1484" t="s">
        <v>126</v>
      </c>
    </row>
    <row r="1485" spans="1:18" x14ac:dyDescent="0.3">
      <c r="A1485">
        <v>9685615</v>
      </c>
      <c r="B1485" t="s">
        <v>78</v>
      </c>
      <c r="C1485">
        <v>1329306</v>
      </c>
      <c r="D1485" t="s">
        <v>78</v>
      </c>
      <c r="E1485">
        <v>820</v>
      </c>
      <c r="F1485">
        <v>820</v>
      </c>
      <c r="G1485" t="s">
        <v>136</v>
      </c>
      <c r="H1485" t="s">
        <v>250</v>
      </c>
      <c r="I1485" t="s">
        <v>78</v>
      </c>
      <c r="J1485" t="s">
        <v>42</v>
      </c>
      <c r="K1485" t="s">
        <v>83</v>
      </c>
      <c r="L1485" s="25">
        <v>44030</v>
      </c>
      <c r="M1485">
        <v>7</v>
      </c>
      <c r="N1485">
        <v>2020</v>
      </c>
      <c r="O1485" t="s">
        <v>110</v>
      </c>
      <c r="P1485">
        <v>170</v>
      </c>
      <c r="Q1485" s="17">
        <v>44030.459411226853</v>
      </c>
      <c r="R1485" t="s">
        <v>126</v>
      </c>
    </row>
    <row r="1486" spans="1:18" x14ac:dyDescent="0.3">
      <c r="A1486">
        <v>9685893</v>
      </c>
      <c r="B1486" t="s">
        <v>78</v>
      </c>
      <c r="C1486">
        <v>1329893</v>
      </c>
      <c r="D1486" t="s">
        <v>78</v>
      </c>
      <c r="E1486">
        <v>820</v>
      </c>
      <c r="F1486">
        <v>820</v>
      </c>
      <c r="G1486" t="s">
        <v>136</v>
      </c>
      <c r="H1486" t="s">
        <v>250</v>
      </c>
      <c r="I1486" t="s">
        <v>78</v>
      </c>
      <c r="J1486" t="s">
        <v>42</v>
      </c>
      <c r="K1486" t="s">
        <v>83</v>
      </c>
      <c r="L1486" s="25">
        <v>44030</v>
      </c>
      <c r="M1486">
        <v>7</v>
      </c>
      <c r="N1486">
        <v>2020</v>
      </c>
      <c r="O1486" t="s">
        <v>110</v>
      </c>
      <c r="P1486">
        <v>170</v>
      </c>
      <c r="Q1486" s="17">
        <v>44030.484736342594</v>
      </c>
      <c r="R1486" t="s">
        <v>126</v>
      </c>
    </row>
    <row r="1487" spans="1:18" x14ac:dyDescent="0.3">
      <c r="A1487">
        <v>9686980</v>
      </c>
      <c r="B1487" t="s">
        <v>80</v>
      </c>
      <c r="C1487">
        <v>1330242</v>
      </c>
      <c r="D1487" t="s">
        <v>113</v>
      </c>
      <c r="E1487" t="s">
        <v>146</v>
      </c>
      <c r="F1487" t="s">
        <v>17</v>
      </c>
      <c r="G1487" t="s">
        <v>153</v>
      </c>
      <c r="H1487" t="s">
        <v>232</v>
      </c>
      <c r="I1487" t="s">
        <v>84</v>
      </c>
      <c r="J1487" t="s">
        <v>85</v>
      </c>
      <c r="K1487" t="s">
        <v>87</v>
      </c>
      <c r="L1487" s="25">
        <v>44030</v>
      </c>
      <c r="M1487">
        <v>7</v>
      </c>
      <c r="N1487">
        <v>2020</v>
      </c>
      <c r="O1487" t="s">
        <v>110</v>
      </c>
      <c r="P1487">
        <v>170</v>
      </c>
      <c r="Q1487" s="17">
        <v>44030.498480092596</v>
      </c>
      <c r="R1487" t="s">
        <v>126</v>
      </c>
    </row>
    <row r="1488" spans="1:18" x14ac:dyDescent="0.3">
      <c r="A1488">
        <v>9679020</v>
      </c>
      <c r="B1488" t="s">
        <v>80</v>
      </c>
      <c r="C1488">
        <v>1321371</v>
      </c>
      <c r="D1488" t="s">
        <v>113</v>
      </c>
      <c r="E1488" t="s">
        <v>26</v>
      </c>
      <c r="F1488" t="s">
        <v>26</v>
      </c>
      <c r="G1488" t="s">
        <v>137</v>
      </c>
      <c r="H1488" t="s">
        <v>232</v>
      </c>
      <c r="I1488" t="s">
        <v>84</v>
      </c>
      <c r="J1488" t="s">
        <v>85</v>
      </c>
      <c r="K1488" t="s">
        <v>83</v>
      </c>
      <c r="L1488" s="25">
        <v>44030</v>
      </c>
      <c r="M1488">
        <v>7</v>
      </c>
      <c r="N1488">
        <v>2020</v>
      </c>
      <c r="O1488" t="s">
        <v>110</v>
      </c>
      <c r="P1488">
        <v>170</v>
      </c>
      <c r="Q1488" s="17">
        <v>44030.457911574071</v>
      </c>
      <c r="R1488" t="s">
        <v>126</v>
      </c>
    </row>
    <row r="1489" spans="1:18" x14ac:dyDescent="0.3">
      <c r="A1489">
        <v>9685766</v>
      </c>
      <c r="B1489" t="s">
        <v>72</v>
      </c>
      <c r="C1489">
        <v>1328957</v>
      </c>
      <c r="D1489" t="s">
        <v>108</v>
      </c>
      <c r="E1489">
        <v>820</v>
      </c>
      <c r="F1489">
        <v>820</v>
      </c>
      <c r="G1489" t="s">
        <v>136</v>
      </c>
      <c r="H1489" t="s">
        <v>270</v>
      </c>
      <c r="I1489" t="s">
        <v>82</v>
      </c>
      <c r="J1489" t="s">
        <v>42</v>
      </c>
      <c r="K1489" t="s">
        <v>83</v>
      </c>
      <c r="L1489" s="25">
        <v>44030</v>
      </c>
      <c r="M1489">
        <v>7</v>
      </c>
      <c r="N1489">
        <v>2020</v>
      </c>
      <c r="O1489" t="s">
        <v>110</v>
      </c>
      <c r="P1489">
        <v>170</v>
      </c>
      <c r="Q1489" s="17">
        <v>44030.443115509261</v>
      </c>
      <c r="R1489" t="s">
        <v>126</v>
      </c>
    </row>
    <row r="1490" spans="1:18" x14ac:dyDescent="0.3">
      <c r="A1490">
        <v>9687261</v>
      </c>
      <c r="B1490" t="s">
        <v>79</v>
      </c>
      <c r="C1490">
        <v>1330646</v>
      </c>
      <c r="D1490" t="s">
        <v>116</v>
      </c>
      <c r="E1490" t="s">
        <v>12</v>
      </c>
      <c r="F1490" t="s">
        <v>12</v>
      </c>
      <c r="G1490" t="s">
        <v>135</v>
      </c>
      <c r="H1490" t="s">
        <v>285</v>
      </c>
      <c r="I1490" t="s">
        <v>82</v>
      </c>
      <c r="J1490" t="s">
        <v>42</v>
      </c>
      <c r="K1490" t="s">
        <v>83</v>
      </c>
      <c r="L1490" s="25">
        <v>44030</v>
      </c>
      <c r="M1490">
        <v>7</v>
      </c>
      <c r="N1490">
        <v>2020</v>
      </c>
      <c r="O1490" t="s">
        <v>110</v>
      </c>
      <c r="P1490">
        <v>170</v>
      </c>
      <c r="Q1490" s="17">
        <v>44030.47721261574</v>
      </c>
      <c r="R1490" t="s">
        <v>126</v>
      </c>
    </row>
    <row r="1491" spans="1:18" x14ac:dyDescent="0.3">
      <c r="A1491">
        <v>9686947</v>
      </c>
      <c r="B1491" t="s">
        <v>79</v>
      </c>
      <c r="C1491">
        <v>1329927</v>
      </c>
      <c r="D1491" t="s">
        <v>116</v>
      </c>
      <c r="E1491" t="s">
        <v>12</v>
      </c>
      <c r="F1491" t="s">
        <v>12</v>
      </c>
      <c r="G1491" t="s">
        <v>135</v>
      </c>
      <c r="H1491" t="s">
        <v>275</v>
      </c>
      <c r="I1491" t="s">
        <v>82</v>
      </c>
      <c r="J1491" t="s">
        <v>42</v>
      </c>
      <c r="K1491" t="s">
        <v>83</v>
      </c>
      <c r="L1491" s="25">
        <v>44030</v>
      </c>
      <c r="M1491">
        <v>7</v>
      </c>
      <c r="N1491">
        <v>2020</v>
      </c>
      <c r="O1491" t="s">
        <v>110</v>
      </c>
      <c r="P1491">
        <v>170</v>
      </c>
      <c r="Q1491" s="17">
        <v>44030.464976041665</v>
      </c>
      <c r="R1491" t="s">
        <v>126</v>
      </c>
    </row>
    <row r="1492" spans="1:18" x14ac:dyDescent="0.3">
      <c r="A1492">
        <v>9664662</v>
      </c>
      <c r="B1492" t="s">
        <v>78</v>
      </c>
      <c r="C1492">
        <v>1321689</v>
      </c>
      <c r="D1492" t="s">
        <v>78</v>
      </c>
      <c r="E1492" t="s">
        <v>26</v>
      </c>
      <c r="F1492" t="s">
        <v>26</v>
      </c>
      <c r="G1492" t="s">
        <v>137</v>
      </c>
      <c r="H1492" t="s">
        <v>260</v>
      </c>
      <c r="I1492" t="s">
        <v>78</v>
      </c>
      <c r="J1492" t="s">
        <v>42</v>
      </c>
      <c r="K1492" t="s">
        <v>83</v>
      </c>
      <c r="L1492" s="25">
        <v>44030</v>
      </c>
      <c r="M1492">
        <v>7</v>
      </c>
      <c r="N1492">
        <v>2020</v>
      </c>
      <c r="O1492" t="s">
        <v>110</v>
      </c>
      <c r="P1492">
        <v>170</v>
      </c>
      <c r="Q1492" s="17">
        <v>44030.473209722222</v>
      </c>
      <c r="R1492" t="s">
        <v>126</v>
      </c>
    </row>
    <row r="1493" spans="1:18" x14ac:dyDescent="0.3">
      <c r="A1493">
        <v>9687030</v>
      </c>
      <c r="B1493" t="s">
        <v>80</v>
      </c>
      <c r="C1493">
        <v>1330256</v>
      </c>
      <c r="D1493" t="s">
        <v>113</v>
      </c>
      <c r="E1493" t="s">
        <v>146</v>
      </c>
      <c r="F1493" t="s">
        <v>17</v>
      </c>
      <c r="G1493" t="s">
        <v>153</v>
      </c>
      <c r="H1493" t="s">
        <v>232</v>
      </c>
      <c r="I1493" t="s">
        <v>84</v>
      </c>
      <c r="J1493" t="s">
        <v>85</v>
      </c>
      <c r="K1493" t="s">
        <v>87</v>
      </c>
      <c r="L1493" s="25">
        <v>44030</v>
      </c>
      <c r="M1493">
        <v>7</v>
      </c>
      <c r="N1493">
        <v>2020</v>
      </c>
      <c r="O1493" t="s">
        <v>110</v>
      </c>
      <c r="P1493">
        <v>170</v>
      </c>
      <c r="Q1493" s="17">
        <v>44030.499554861111</v>
      </c>
      <c r="R1493" t="s">
        <v>126</v>
      </c>
    </row>
    <row r="1494" spans="1:18" x14ac:dyDescent="0.3">
      <c r="A1494">
        <v>9681354</v>
      </c>
      <c r="B1494" t="s">
        <v>72</v>
      </c>
      <c r="C1494">
        <v>1325410</v>
      </c>
      <c r="D1494" t="s">
        <v>108</v>
      </c>
      <c r="E1494">
        <v>966</v>
      </c>
      <c r="F1494">
        <v>966</v>
      </c>
      <c r="G1494" t="s">
        <v>139</v>
      </c>
      <c r="H1494" t="s">
        <v>261</v>
      </c>
      <c r="I1494" t="s">
        <v>84</v>
      </c>
      <c r="J1494" t="s">
        <v>85</v>
      </c>
      <c r="K1494" t="s">
        <v>87</v>
      </c>
      <c r="L1494" s="25">
        <v>44030</v>
      </c>
      <c r="M1494">
        <v>7</v>
      </c>
      <c r="N1494">
        <v>2020</v>
      </c>
      <c r="O1494" t="s">
        <v>110</v>
      </c>
      <c r="P1494">
        <v>170</v>
      </c>
      <c r="Q1494" s="17">
        <v>44030.482341087962</v>
      </c>
      <c r="R1494" t="s">
        <v>126</v>
      </c>
    </row>
    <row r="1495" spans="1:18" x14ac:dyDescent="0.3">
      <c r="A1495">
        <v>9686709</v>
      </c>
      <c r="B1495" t="s">
        <v>80</v>
      </c>
      <c r="C1495">
        <v>1330156</v>
      </c>
      <c r="D1495" t="s">
        <v>122</v>
      </c>
      <c r="E1495">
        <v>820</v>
      </c>
      <c r="F1495">
        <v>820</v>
      </c>
      <c r="G1495" t="s">
        <v>136</v>
      </c>
      <c r="H1495" t="s">
        <v>228</v>
      </c>
      <c r="I1495" t="s">
        <v>84</v>
      </c>
      <c r="J1495" t="s">
        <v>85</v>
      </c>
      <c r="K1495" t="s">
        <v>83</v>
      </c>
      <c r="L1495" s="25">
        <v>44030</v>
      </c>
      <c r="M1495">
        <v>7</v>
      </c>
      <c r="N1495">
        <v>2020</v>
      </c>
      <c r="O1495" t="s">
        <v>110</v>
      </c>
      <c r="P1495">
        <v>170</v>
      </c>
      <c r="Q1495" s="17">
        <v>44030.126858449075</v>
      </c>
      <c r="R1495" t="s">
        <v>126</v>
      </c>
    </row>
    <row r="1496" spans="1:18" x14ac:dyDescent="0.3">
      <c r="A1496">
        <v>9676810</v>
      </c>
      <c r="B1496" t="s">
        <v>72</v>
      </c>
      <c r="C1496">
        <v>1331728</v>
      </c>
      <c r="D1496" t="s">
        <v>108</v>
      </c>
      <c r="E1496" t="s">
        <v>26</v>
      </c>
      <c r="F1496" t="s">
        <v>26</v>
      </c>
      <c r="G1496" t="s">
        <v>137</v>
      </c>
      <c r="H1496" t="s">
        <v>229</v>
      </c>
      <c r="I1496" t="s">
        <v>84</v>
      </c>
      <c r="J1496" t="s">
        <v>85</v>
      </c>
      <c r="K1496" t="s">
        <v>83</v>
      </c>
      <c r="L1496" s="25">
        <v>44030</v>
      </c>
      <c r="M1496">
        <v>7</v>
      </c>
      <c r="N1496">
        <v>2020</v>
      </c>
      <c r="O1496" t="s">
        <v>110</v>
      </c>
      <c r="P1496">
        <v>170</v>
      </c>
      <c r="Q1496" s="17">
        <v>44030.383124537038</v>
      </c>
      <c r="R1496" t="s">
        <v>126</v>
      </c>
    </row>
    <row r="1497" spans="1:18" x14ac:dyDescent="0.3">
      <c r="A1497">
        <v>9686715</v>
      </c>
      <c r="B1497" t="s">
        <v>80</v>
      </c>
      <c r="C1497">
        <v>1329747</v>
      </c>
      <c r="D1497" t="s">
        <v>113</v>
      </c>
      <c r="E1497" t="s">
        <v>146</v>
      </c>
      <c r="F1497" t="s">
        <v>17</v>
      </c>
      <c r="G1497" t="s">
        <v>153</v>
      </c>
      <c r="H1497" t="s">
        <v>232</v>
      </c>
      <c r="I1497" t="s">
        <v>84</v>
      </c>
      <c r="J1497" t="s">
        <v>85</v>
      </c>
      <c r="K1497" t="s">
        <v>87</v>
      </c>
      <c r="L1497" s="25">
        <v>44030</v>
      </c>
      <c r="M1497">
        <v>7</v>
      </c>
      <c r="N1497">
        <v>2020</v>
      </c>
      <c r="O1497" t="s">
        <v>110</v>
      </c>
      <c r="P1497">
        <v>170</v>
      </c>
      <c r="Q1497" s="17">
        <v>44030.464744791665</v>
      </c>
      <c r="R1497" t="s">
        <v>126</v>
      </c>
    </row>
    <row r="1498" spans="1:18" x14ac:dyDescent="0.3">
      <c r="A1498">
        <v>9685825</v>
      </c>
      <c r="B1498" t="s">
        <v>78</v>
      </c>
      <c r="C1498">
        <v>1329847</v>
      </c>
      <c r="D1498" t="s">
        <v>78</v>
      </c>
      <c r="E1498">
        <v>820</v>
      </c>
      <c r="F1498">
        <v>820</v>
      </c>
      <c r="G1498" t="s">
        <v>136</v>
      </c>
      <c r="H1498" t="s">
        <v>228</v>
      </c>
      <c r="I1498" t="s">
        <v>78</v>
      </c>
      <c r="J1498" t="s">
        <v>42</v>
      </c>
      <c r="K1498" t="s">
        <v>83</v>
      </c>
      <c r="L1498" s="25">
        <v>44030</v>
      </c>
      <c r="M1498">
        <v>7</v>
      </c>
      <c r="N1498">
        <v>2020</v>
      </c>
      <c r="O1498" t="s">
        <v>110</v>
      </c>
      <c r="P1498">
        <v>170</v>
      </c>
      <c r="Q1498" s="17">
        <v>44030.483550462966</v>
      </c>
      <c r="R1498" t="s">
        <v>126</v>
      </c>
    </row>
    <row r="1499" spans="1:18" x14ac:dyDescent="0.3">
      <c r="A1499">
        <v>9679051</v>
      </c>
      <c r="B1499" t="s">
        <v>72</v>
      </c>
      <c r="C1499">
        <v>1331519</v>
      </c>
      <c r="D1499" t="s">
        <v>108</v>
      </c>
      <c r="E1499" t="s">
        <v>26</v>
      </c>
      <c r="F1499" t="s">
        <v>26</v>
      </c>
      <c r="G1499" t="s">
        <v>137</v>
      </c>
      <c r="H1499" t="s">
        <v>229</v>
      </c>
      <c r="I1499" t="s">
        <v>84</v>
      </c>
      <c r="J1499" t="s">
        <v>85</v>
      </c>
      <c r="K1499" t="s">
        <v>83</v>
      </c>
      <c r="L1499" s="25">
        <v>44030</v>
      </c>
      <c r="M1499">
        <v>7</v>
      </c>
      <c r="N1499">
        <v>2020</v>
      </c>
      <c r="O1499" t="s">
        <v>110</v>
      </c>
      <c r="P1499">
        <v>170</v>
      </c>
      <c r="Q1499" s="17">
        <v>44030.381252662039</v>
      </c>
      <c r="R1499" t="s">
        <v>126</v>
      </c>
    </row>
    <row r="1500" spans="1:18" x14ac:dyDescent="0.3">
      <c r="A1500">
        <v>9686588</v>
      </c>
      <c r="B1500" t="s">
        <v>72</v>
      </c>
      <c r="C1500">
        <v>1329947</v>
      </c>
      <c r="D1500" t="s">
        <v>108</v>
      </c>
      <c r="E1500">
        <v>4138</v>
      </c>
      <c r="F1500" t="s">
        <v>17</v>
      </c>
      <c r="G1500" t="s">
        <v>129</v>
      </c>
      <c r="H1500" t="s">
        <v>263</v>
      </c>
      <c r="I1500" t="s">
        <v>82</v>
      </c>
      <c r="J1500" t="s">
        <v>42</v>
      </c>
      <c r="K1500" t="s">
        <v>87</v>
      </c>
      <c r="L1500" s="25">
        <v>44030</v>
      </c>
      <c r="M1500">
        <v>7</v>
      </c>
      <c r="N1500">
        <v>2020</v>
      </c>
      <c r="O1500" t="s">
        <v>110</v>
      </c>
      <c r="P1500">
        <v>170</v>
      </c>
      <c r="Q1500" s="17">
        <v>44030.484883796293</v>
      </c>
      <c r="R1500" t="s">
        <v>126</v>
      </c>
    </row>
    <row r="1501" spans="1:18" x14ac:dyDescent="0.3">
      <c r="A1501">
        <v>9686185</v>
      </c>
      <c r="B1501" t="s">
        <v>80</v>
      </c>
      <c r="C1501">
        <v>1329647</v>
      </c>
      <c r="D1501" t="s">
        <v>113</v>
      </c>
      <c r="E1501" t="s">
        <v>146</v>
      </c>
      <c r="F1501" t="s">
        <v>17</v>
      </c>
      <c r="G1501" t="s">
        <v>153</v>
      </c>
      <c r="H1501" t="s">
        <v>232</v>
      </c>
      <c r="I1501" t="s">
        <v>84</v>
      </c>
      <c r="J1501" t="s">
        <v>85</v>
      </c>
      <c r="K1501" t="s">
        <v>87</v>
      </c>
      <c r="L1501" s="25">
        <v>44030</v>
      </c>
      <c r="M1501">
        <v>7</v>
      </c>
      <c r="N1501">
        <v>2020</v>
      </c>
      <c r="O1501" t="s">
        <v>110</v>
      </c>
      <c r="P1501">
        <v>170</v>
      </c>
      <c r="Q1501" s="17">
        <v>44030.444054976855</v>
      </c>
      <c r="R1501" t="s">
        <v>126</v>
      </c>
    </row>
    <row r="1502" spans="1:18" x14ac:dyDescent="0.3">
      <c r="A1502">
        <v>9686913</v>
      </c>
      <c r="B1502" t="s">
        <v>80</v>
      </c>
      <c r="C1502">
        <v>1329813</v>
      </c>
      <c r="D1502" t="s">
        <v>113</v>
      </c>
      <c r="E1502" t="s">
        <v>146</v>
      </c>
      <c r="F1502" t="s">
        <v>17</v>
      </c>
      <c r="G1502" t="s">
        <v>153</v>
      </c>
      <c r="H1502" t="s">
        <v>232</v>
      </c>
      <c r="I1502" t="s">
        <v>84</v>
      </c>
      <c r="J1502" t="s">
        <v>85</v>
      </c>
      <c r="K1502" t="s">
        <v>87</v>
      </c>
      <c r="L1502" s="25">
        <v>44030</v>
      </c>
      <c r="M1502">
        <v>7</v>
      </c>
      <c r="N1502">
        <v>2020</v>
      </c>
      <c r="O1502" t="s">
        <v>110</v>
      </c>
      <c r="P1502">
        <v>170</v>
      </c>
      <c r="Q1502" s="17">
        <v>44030.477220370369</v>
      </c>
      <c r="R1502" t="s">
        <v>126</v>
      </c>
    </row>
    <row r="1503" spans="1:18" x14ac:dyDescent="0.3">
      <c r="A1503">
        <v>9686893</v>
      </c>
      <c r="B1503" t="s">
        <v>80</v>
      </c>
      <c r="C1503">
        <v>1329790</v>
      </c>
      <c r="D1503" t="s">
        <v>113</v>
      </c>
      <c r="E1503" t="s">
        <v>146</v>
      </c>
      <c r="F1503" t="s">
        <v>17</v>
      </c>
      <c r="G1503" t="s">
        <v>153</v>
      </c>
      <c r="H1503" t="s">
        <v>232</v>
      </c>
      <c r="I1503" t="s">
        <v>84</v>
      </c>
      <c r="J1503" t="s">
        <v>85</v>
      </c>
      <c r="K1503" t="s">
        <v>87</v>
      </c>
      <c r="L1503" s="25">
        <v>44030</v>
      </c>
      <c r="M1503">
        <v>7</v>
      </c>
      <c r="N1503">
        <v>2020</v>
      </c>
      <c r="O1503" t="s">
        <v>110</v>
      </c>
      <c r="P1503">
        <v>170</v>
      </c>
      <c r="Q1503" s="17">
        <v>44030.481690277775</v>
      </c>
      <c r="R1503" t="s">
        <v>126</v>
      </c>
    </row>
    <row r="1504" spans="1:18" x14ac:dyDescent="0.3">
      <c r="A1504">
        <v>9681136</v>
      </c>
      <c r="B1504" t="s">
        <v>72</v>
      </c>
      <c r="C1504">
        <v>1331928</v>
      </c>
      <c r="D1504" t="s">
        <v>108</v>
      </c>
      <c r="E1504" t="s">
        <v>26</v>
      </c>
      <c r="F1504" t="s">
        <v>26</v>
      </c>
      <c r="G1504" t="s">
        <v>137</v>
      </c>
      <c r="H1504" t="s">
        <v>229</v>
      </c>
      <c r="I1504" t="s">
        <v>84</v>
      </c>
      <c r="J1504" t="s">
        <v>85</v>
      </c>
      <c r="K1504" t="s">
        <v>83</v>
      </c>
      <c r="L1504" s="25">
        <v>44030</v>
      </c>
      <c r="M1504">
        <v>7</v>
      </c>
      <c r="N1504">
        <v>2020</v>
      </c>
      <c r="O1504" t="s">
        <v>110</v>
      </c>
      <c r="P1504">
        <v>170</v>
      </c>
      <c r="Q1504" s="17">
        <v>44030.380972453706</v>
      </c>
      <c r="R1504" t="s">
        <v>126</v>
      </c>
    </row>
    <row r="1505" spans="1:18" x14ac:dyDescent="0.3">
      <c r="A1505">
        <v>241911</v>
      </c>
      <c r="B1505" t="s">
        <v>78</v>
      </c>
      <c r="C1505">
        <v>1322459</v>
      </c>
      <c r="D1505" t="s">
        <v>78</v>
      </c>
      <c r="E1505">
        <v>966</v>
      </c>
      <c r="F1505">
        <v>966</v>
      </c>
      <c r="G1505" t="s">
        <v>139</v>
      </c>
      <c r="H1505" t="s">
        <v>105</v>
      </c>
      <c r="I1505" t="s">
        <v>78</v>
      </c>
      <c r="J1505" t="s">
        <v>42</v>
      </c>
      <c r="K1505" t="s">
        <v>87</v>
      </c>
      <c r="L1505" s="25">
        <v>44030</v>
      </c>
      <c r="M1505">
        <v>7</v>
      </c>
      <c r="N1505">
        <v>2020</v>
      </c>
      <c r="O1505" t="s">
        <v>110</v>
      </c>
      <c r="P1505">
        <v>170</v>
      </c>
      <c r="Q1505" s="17">
        <v>44030.451869907411</v>
      </c>
      <c r="R1505" t="s">
        <v>126</v>
      </c>
    </row>
    <row r="1506" spans="1:18" x14ac:dyDescent="0.3">
      <c r="A1506">
        <v>9686863</v>
      </c>
      <c r="B1506" t="s">
        <v>80</v>
      </c>
      <c r="C1506">
        <v>1329756</v>
      </c>
      <c r="D1506" t="s">
        <v>113</v>
      </c>
      <c r="E1506" t="s">
        <v>146</v>
      </c>
      <c r="F1506" t="s">
        <v>17</v>
      </c>
      <c r="G1506" t="s">
        <v>153</v>
      </c>
      <c r="H1506" t="s">
        <v>232</v>
      </c>
      <c r="I1506" t="s">
        <v>84</v>
      </c>
      <c r="J1506" t="s">
        <v>85</v>
      </c>
      <c r="K1506" t="s">
        <v>87</v>
      </c>
      <c r="L1506" s="25">
        <v>44030</v>
      </c>
      <c r="M1506">
        <v>7</v>
      </c>
      <c r="N1506">
        <v>2020</v>
      </c>
      <c r="O1506" t="s">
        <v>110</v>
      </c>
      <c r="P1506">
        <v>170</v>
      </c>
      <c r="Q1506" s="17">
        <v>44030.467782870372</v>
      </c>
      <c r="R1506" t="s">
        <v>126</v>
      </c>
    </row>
    <row r="1507" spans="1:18" x14ac:dyDescent="0.3">
      <c r="A1507">
        <v>9686965</v>
      </c>
      <c r="B1507" t="s">
        <v>72</v>
      </c>
      <c r="C1507">
        <v>1330171</v>
      </c>
      <c r="D1507" t="s">
        <v>108</v>
      </c>
      <c r="E1507" t="s">
        <v>124</v>
      </c>
      <c r="F1507" t="s">
        <v>17</v>
      </c>
      <c r="G1507" t="s">
        <v>125</v>
      </c>
      <c r="H1507" t="s">
        <v>263</v>
      </c>
      <c r="I1507" t="s">
        <v>82</v>
      </c>
      <c r="J1507" t="s">
        <v>42</v>
      </c>
      <c r="K1507" t="s">
        <v>87</v>
      </c>
      <c r="L1507" s="25">
        <v>44030</v>
      </c>
      <c r="M1507">
        <v>7</v>
      </c>
      <c r="N1507">
        <v>2020</v>
      </c>
      <c r="O1507" t="s">
        <v>110</v>
      </c>
      <c r="P1507">
        <v>170</v>
      </c>
      <c r="Q1507" s="17">
        <v>44030.49049074074</v>
      </c>
      <c r="R1507" t="s">
        <v>126</v>
      </c>
    </row>
    <row r="1508" spans="1:18" x14ac:dyDescent="0.3">
      <c r="A1508">
        <v>9686962</v>
      </c>
      <c r="B1508" t="s">
        <v>72</v>
      </c>
      <c r="C1508">
        <v>1329971</v>
      </c>
      <c r="D1508" t="s">
        <v>108</v>
      </c>
      <c r="E1508">
        <v>4138</v>
      </c>
      <c r="F1508" t="s">
        <v>17</v>
      </c>
      <c r="G1508" t="s">
        <v>129</v>
      </c>
      <c r="H1508" t="s">
        <v>263</v>
      </c>
      <c r="I1508" t="s">
        <v>82</v>
      </c>
      <c r="J1508" t="s">
        <v>42</v>
      </c>
      <c r="K1508" t="s">
        <v>87</v>
      </c>
      <c r="L1508" s="25">
        <v>44030</v>
      </c>
      <c r="M1508">
        <v>7</v>
      </c>
      <c r="N1508">
        <v>2020</v>
      </c>
      <c r="O1508" t="s">
        <v>110</v>
      </c>
      <c r="P1508">
        <v>170</v>
      </c>
      <c r="Q1508" s="17">
        <v>44030.483218518515</v>
      </c>
      <c r="R1508" t="s">
        <v>126</v>
      </c>
    </row>
    <row r="1509" spans="1:18" x14ac:dyDescent="0.3">
      <c r="A1509">
        <v>9676628</v>
      </c>
      <c r="B1509" t="s">
        <v>80</v>
      </c>
      <c r="C1509">
        <v>1317757</v>
      </c>
      <c r="D1509" t="s">
        <v>113</v>
      </c>
      <c r="E1509">
        <v>966</v>
      </c>
      <c r="F1509">
        <v>966</v>
      </c>
      <c r="G1509" t="s">
        <v>139</v>
      </c>
      <c r="H1509" t="s">
        <v>232</v>
      </c>
      <c r="I1509" t="s">
        <v>84</v>
      </c>
      <c r="J1509" t="s">
        <v>85</v>
      </c>
      <c r="K1509" t="s">
        <v>87</v>
      </c>
      <c r="L1509" s="25">
        <v>44030</v>
      </c>
      <c r="M1509">
        <v>7</v>
      </c>
      <c r="N1509">
        <v>2020</v>
      </c>
      <c r="O1509" t="s">
        <v>110</v>
      </c>
      <c r="P1509">
        <v>170</v>
      </c>
      <c r="Q1509" s="17">
        <v>44030.425298726848</v>
      </c>
      <c r="R1509" t="s">
        <v>126</v>
      </c>
    </row>
    <row r="1510" spans="1:18" x14ac:dyDescent="0.3">
      <c r="A1510">
        <v>9685743</v>
      </c>
      <c r="B1510" t="s">
        <v>78</v>
      </c>
      <c r="C1510">
        <v>1328903</v>
      </c>
      <c r="D1510" t="s">
        <v>78</v>
      </c>
      <c r="E1510">
        <v>820</v>
      </c>
      <c r="F1510">
        <v>820</v>
      </c>
      <c r="G1510" t="s">
        <v>136</v>
      </c>
      <c r="H1510" t="s">
        <v>249</v>
      </c>
      <c r="I1510" t="s">
        <v>78</v>
      </c>
      <c r="J1510" t="s">
        <v>42</v>
      </c>
      <c r="K1510" t="s">
        <v>83</v>
      </c>
      <c r="L1510" s="25">
        <v>44030</v>
      </c>
      <c r="M1510">
        <v>7</v>
      </c>
      <c r="N1510">
        <v>2020</v>
      </c>
      <c r="O1510" t="s">
        <v>110</v>
      </c>
      <c r="P1510">
        <v>170</v>
      </c>
      <c r="Q1510" s="17">
        <v>44030.44094479167</v>
      </c>
      <c r="R1510" t="s">
        <v>126</v>
      </c>
    </row>
    <row r="1511" spans="1:18" x14ac:dyDescent="0.3">
      <c r="A1511">
        <v>9682548</v>
      </c>
      <c r="B1511" t="s">
        <v>72</v>
      </c>
      <c r="C1511">
        <v>1326888</v>
      </c>
      <c r="D1511" t="s">
        <v>108</v>
      </c>
      <c r="E1511">
        <v>845</v>
      </c>
      <c r="F1511">
        <v>845</v>
      </c>
      <c r="G1511" t="s">
        <v>130</v>
      </c>
      <c r="H1511" t="s">
        <v>229</v>
      </c>
      <c r="I1511" t="s">
        <v>84</v>
      </c>
      <c r="J1511" t="s">
        <v>85</v>
      </c>
      <c r="K1511" t="s">
        <v>87</v>
      </c>
      <c r="L1511" s="25">
        <v>44030</v>
      </c>
      <c r="M1511">
        <v>7</v>
      </c>
      <c r="N1511">
        <v>2020</v>
      </c>
      <c r="O1511" t="s">
        <v>110</v>
      </c>
      <c r="P1511">
        <v>170</v>
      </c>
      <c r="Q1511" s="17">
        <v>44030.287312037035</v>
      </c>
      <c r="R1511" t="s">
        <v>126</v>
      </c>
    </row>
    <row r="1512" spans="1:18" x14ac:dyDescent="0.3">
      <c r="A1512">
        <v>9677671</v>
      </c>
      <c r="B1512" t="s">
        <v>78</v>
      </c>
      <c r="C1512">
        <v>1318893</v>
      </c>
      <c r="D1512" t="s">
        <v>78</v>
      </c>
      <c r="E1512">
        <v>966</v>
      </c>
      <c r="F1512">
        <v>966</v>
      </c>
      <c r="G1512" t="s">
        <v>139</v>
      </c>
      <c r="H1512" t="s">
        <v>105</v>
      </c>
      <c r="I1512" t="s">
        <v>78</v>
      </c>
      <c r="J1512" t="s">
        <v>42</v>
      </c>
      <c r="K1512" t="s">
        <v>87</v>
      </c>
      <c r="L1512" s="25">
        <v>44030</v>
      </c>
      <c r="M1512">
        <v>7</v>
      </c>
      <c r="N1512">
        <v>2020</v>
      </c>
      <c r="O1512" t="s">
        <v>110</v>
      </c>
      <c r="P1512">
        <v>170</v>
      </c>
      <c r="Q1512" s="17">
        <v>44030.433579976852</v>
      </c>
      <c r="R1512" t="s">
        <v>126</v>
      </c>
    </row>
    <row r="1513" spans="1:18" x14ac:dyDescent="0.3">
      <c r="A1513">
        <v>9686243</v>
      </c>
      <c r="B1513" t="s">
        <v>80</v>
      </c>
      <c r="C1513">
        <v>1329653</v>
      </c>
      <c r="D1513" t="s">
        <v>113</v>
      </c>
      <c r="E1513" t="s">
        <v>146</v>
      </c>
      <c r="F1513" t="s">
        <v>17</v>
      </c>
      <c r="G1513" t="s">
        <v>153</v>
      </c>
      <c r="H1513" t="s">
        <v>232</v>
      </c>
      <c r="I1513" t="s">
        <v>84</v>
      </c>
      <c r="J1513" t="s">
        <v>85</v>
      </c>
      <c r="K1513" t="s">
        <v>87</v>
      </c>
      <c r="L1513" s="25">
        <v>44030</v>
      </c>
      <c r="M1513">
        <v>7</v>
      </c>
      <c r="N1513">
        <v>2020</v>
      </c>
      <c r="O1513" t="s">
        <v>110</v>
      </c>
      <c r="P1513">
        <v>170</v>
      </c>
      <c r="Q1513" s="17">
        <v>44030.452438888889</v>
      </c>
      <c r="R1513" t="s">
        <v>126</v>
      </c>
    </row>
    <row r="1514" spans="1:18" x14ac:dyDescent="0.3">
      <c r="A1514">
        <v>9679640</v>
      </c>
      <c r="B1514" t="s">
        <v>78</v>
      </c>
      <c r="C1514">
        <v>1321140</v>
      </c>
      <c r="D1514" t="s">
        <v>78</v>
      </c>
      <c r="E1514" t="s">
        <v>26</v>
      </c>
      <c r="F1514" t="s">
        <v>26</v>
      </c>
      <c r="G1514" t="s">
        <v>137</v>
      </c>
      <c r="H1514" t="s">
        <v>245</v>
      </c>
      <c r="I1514" t="s">
        <v>78</v>
      </c>
      <c r="J1514" t="s">
        <v>42</v>
      </c>
      <c r="K1514" t="s">
        <v>83</v>
      </c>
      <c r="L1514" s="25">
        <v>44030</v>
      </c>
      <c r="M1514">
        <v>7</v>
      </c>
      <c r="N1514">
        <v>2020</v>
      </c>
      <c r="O1514" t="s">
        <v>110</v>
      </c>
      <c r="P1514">
        <v>170</v>
      </c>
      <c r="Q1514" s="17">
        <v>44030.448855555558</v>
      </c>
      <c r="R1514" t="s">
        <v>126</v>
      </c>
    </row>
    <row r="1515" spans="1:18" x14ac:dyDescent="0.3">
      <c r="A1515">
        <v>9685758</v>
      </c>
      <c r="B1515" t="s">
        <v>78</v>
      </c>
      <c r="C1515">
        <v>1329839</v>
      </c>
      <c r="D1515" t="s">
        <v>78</v>
      </c>
      <c r="E1515">
        <v>820</v>
      </c>
      <c r="F1515">
        <v>820</v>
      </c>
      <c r="G1515" t="s">
        <v>136</v>
      </c>
      <c r="H1515" t="s">
        <v>250</v>
      </c>
      <c r="I1515" t="s">
        <v>78</v>
      </c>
      <c r="J1515" t="s">
        <v>42</v>
      </c>
      <c r="K1515" t="s">
        <v>83</v>
      </c>
      <c r="L1515" s="25">
        <v>44030</v>
      </c>
      <c r="M1515">
        <v>7</v>
      </c>
      <c r="N1515">
        <v>2020</v>
      </c>
      <c r="O1515" t="s">
        <v>110</v>
      </c>
      <c r="P1515">
        <v>170</v>
      </c>
      <c r="Q1515" s="17">
        <v>44030.481935763892</v>
      </c>
      <c r="R1515" t="s">
        <v>126</v>
      </c>
    </row>
    <row r="1516" spans="1:18" x14ac:dyDescent="0.3">
      <c r="A1516">
        <v>9679294</v>
      </c>
      <c r="B1516" t="s">
        <v>80</v>
      </c>
      <c r="C1516">
        <v>1325952</v>
      </c>
      <c r="D1516" t="s">
        <v>113</v>
      </c>
      <c r="E1516">
        <v>966</v>
      </c>
      <c r="F1516">
        <v>966</v>
      </c>
      <c r="G1516" t="s">
        <v>139</v>
      </c>
      <c r="H1516" t="s">
        <v>232</v>
      </c>
      <c r="I1516" t="s">
        <v>84</v>
      </c>
      <c r="J1516" t="s">
        <v>85</v>
      </c>
      <c r="K1516" t="s">
        <v>87</v>
      </c>
      <c r="L1516" s="25">
        <v>44030</v>
      </c>
      <c r="M1516">
        <v>7</v>
      </c>
      <c r="N1516">
        <v>2020</v>
      </c>
      <c r="O1516" t="s">
        <v>110</v>
      </c>
      <c r="P1516">
        <v>170</v>
      </c>
      <c r="Q1516" s="17">
        <v>44030.49552222222</v>
      </c>
      <c r="R1516" t="s">
        <v>126</v>
      </c>
    </row>
    <row r="1517" spans="1:18" x14ac:dyDescent="0.3">
      <c r="A1517">
        <v>244556</v>
      </c>
      <c r="B1517" t="s">
        <v>79</v>
      </c>
      <c r="C1517">
        <v>1329321</v>
      </c>
      <c r="D1517" t="s">
        <v>116</v>
      </c>
      <c r="E1517" t="s">
        <v>12</v>
      </c>
      <c r="F1517" t="s">
        <v>12</v>
      </c>
      <c r="G1517" t="s">
        <v>135</v>
      </c>
      <c r="H1517" t="s">
        <v>251</v>
      </c>
      <c r="I1517" t="s">
        <v>82</v>
      </c>
      <c r="J1517" t="s">
        <v>42</v>
      </c>
      <c r="K1517" t="s">
        <v>83</v>
      </c>
      <c r="L1517" s="25">
        <v>44030</v>
      </c>
      <c r="M1517">
        <v>7</v>
      </c>
      <c r="N1517">
        <v>2020</v>
      </c>
      <c r="O1517" t="s">
        <v>110</v>
      </c>
      <c r="P1517">
        <v>170</v>
      </c>
      <c r="Q1517" s="17">
        <v>44030.446691319441</v>
      </c>
      <c r="R1517" t="s">
        <v>126</v>
      </c>
    </row>
    <row r="1518" spans="1:18" x14ac:dyDescent="0.3">
      <c r="A1518">
        <v>9676000</v>
      </c>
      <c r="B1518" t="s">
        <v>78</v>
      </c>
      <c r="C1518">
        <v>1325895</v>
      </c>
      <c r="D1518" t="s">
        <v>78</v>
      </c>
      <c r="E1518">
        <v>966</v>
      </c>
      <c r="F1518">
        <v>966</v>
      </c>
      <c r="G1518" t="s">
        <v>139</v>
      </c>
      <c r="H1518" t="s">
        <v>257</v>
      </c>
      <c r="I1518" t="s">
        <v>78</v>
      </c>
      <c r="J1518" t="s">
        <v>42</v>
      </c>
      <c r="K1518" t="s">
        <v>87</v>
      </c>
      <c r="L1518" s="25">
        <v>44030</v>
      </c>
      <c r="M1518">
        <v>7</v>
      </c>
      <c r="N1518">
        <v>2020</v>
      </c>
      <c r="O1518" t="s">
        <v>110</v>
      </c>
      <c r="P1518">
        <v>170</v>
      </c>
      <c r="Q1518" s="17">
        <v>44030.488850462963</v>
      </c>
      <c r="R1518" t="s">
        <v>126</v>
      </c>
    </row>
    <row r="1519" spans="1:18" x14ac:dyDescent="0.3">
      <c r="A1519">
        <v>9685633</v>
      </c>
      <c r="B1519" t="s">
        <v>78</v>
      </c>
      <c r="C1519">
        <v>1329235</v>
      </c>
      <c r="D1519" t="s">
        <v>78</v>
      </c>
      <c r="E1519">
        <v>820</v>
      </c>
      <c r="F1519">
        <v>820</v>
      </c>
      <c r="G1519" t="s">
        <v>136</v>
      </c>
      <c r="H1519" t="s">
        <v>250</v>
      </c>
      <c r="I1519" t="s">
        <v>78</v>
      </c>
      <c r="J1519" t="s">
        <v>42</v>
      </c>
      <c r="K1519" t="s">
        <v>83</v>
      </c>
      <c r="L1519" s="25">
        <v>44030</v>
      </c>
      <c r="M1519">
        <v>7</v>
      </c>
      <c r="N1519">
        <v>2020</v>
      </c>
      <c r="O1519" t="s">
        <v>110</v>
      </c>
      <c r="P1519">
        <v>170</v>
      </c>
      <c r="Q1519" s="17">
        <v>44030.455624305556</v>
      </c>
      <c r="R1519" t="s">
        <v>126</v>
      </c>
    </row>
    <row r="1520" spans="1:18" x14ac:dyDescent="0.3">
      <c r="A1520">
        <v>9685895</v>
      </c>
      <c r="B1520" t="s">
        <v>78</v>
      </c>
      <c r="C1520">
        <v>1328921</v>
      </c>
      <c r="D1520" t="s">
        <v>78</v>
      </c>
      <c r="E1520">
        <v>820</v>
      </c>
      <c r="F1520">
        <v>820</v>
      </c>
      <c r="G1520" t="s">
        <v>136</v>
      </c>
      <c r="H1520" t="s">
        <v>250</v>
      </c>
      <c r="I1520" t="s">
        <v>78</v>
      </c>
      <c r="J1520" t="s">
        <v>42</v>
      </c>
      <c r="K1520" t="s">
        <v>83</v>
      </c>
      <c r="L1520" s="25">
        <v>44030</v>
      </c>
      <c r="M1520">
        <v>7</v>
      </c>
      <c r="N1520">
        <v>2020</v>
      </c>
      <c r="O1520" t="s">
        <v>110</v>
      </c>
      <c r="P1520">
        <v>170</v>
      </c>
      <c r="Q1520" s="17">
        <v>44030.443729976854</v>
      </c>
      <c r="R1520" t="s">
        <v>126</v>
      </c>
    </row>
    <row r="1521" spans="1:18" x14ac:dyDescent="0.3">
      <c r="A1521">
        <v>9686999</v>
      </c>
      <c r="B1521" t="s">
        <v>80</v>
      </c>
      <c r="C1521">
        <v>1330232</v>
      </c>
      <c r="D1521" t="s">
        <v>122</v>
      </c>
      <c r="E1521" t="s">
        <v>146</v>
      </c>
      <c r="F1521" t="s">
        <v>17</v>
      </c>
      <c r="G1521" t="s">
        <v>153</v>
      </c>
      <c r="H1521" t="s">
        <v>228</v>
      </c>
      <c r="I1521" t="s">
        <v>84</v>
      </c>
      <c r="J1521" t="s">
        <v>85</v>
      </c>
      <c r="K1521" t="s">
        <v>87</v>
      </c>
      <c r="L1521" s="25">
        <v>44030</v>
      </c>
      <c r="M1521">
        <v>7</v>
      </c>
      <c r="N1521">
        <v>2020</v>
      </c>
      <c r="O1521" t="s">
        <v>110</v>
      </c>
      <c r="P1521">
        <v>170</v>
      </c>
      <c r="Q1521" s="17">
        <v>44030.13578877315</v>
      </c>
      <c r="R1521" t="s">
        <v>126</v>
      </c>
    </row>
    <row r="1522" spans="1:18" x14ac:dyDescent="0.3">
      <c r="A1522">
        <v>9685656</v>
      </c>
      <c r="B1522" t="s">
        <v>78</v>
      </c>
      <c r="C1522">
        <v>1329614</v>
      </c>
      <c r="D1522" t="s">
        <v>78</v>
      </c>
      <c r="E1522">
        <v>820</v>
      </c>
      <c r="F1522">
        <v>820</v>
      </c>
      <c r="G1522" t="s">
        <v>136</v>
      </c>
      <c r="H1522" t="s">
        <v>249</v>
      </c>
      <c r="I1522" t="s">
        <v>78</v>
      </c>
      <c r="J1522" t="s">
        <v>42</v>
      </c>
      <c r="K1522" t="s">
        <v>83</v>
      </c>
      <c r="L1522" s="25">
        <v>44030</v>
      </c>
      <c r="M1522">
        <v>7</v>
      </c>
      <c r="N1522">
        <v>2020</v>
      </c>
      <c r="O1522" t="s">
        <v>110</v>
      </c>
      <c r="P1522">
        <v>170</v>
      </c>
      <c r="Q1522" s="17">
        <v>44030.481059027778</v>
      </c>
      <c r="R1522" t="s">
        <v>126</v>
      </c>
    </row>
    <row r="1523" spans="1:18" x14ac:dyDescent="0.3">
      <c r="A1523">
        <v>9680976</v>
      </c>
      <c r="B1523" t="s">
        <v>78</v>
      </c>
      <c r="C1523">
        <v>1323262</v>
      </c>
      <c r="D1523" t="s">
        <v>78</v>
      </c>
      <c r="E1523">
        <v>966</v>
      </c>
      <c r="F1523">
        <v>966</v>
      </c>
      <c r="G1523" t="s">
        <v>139</v>
      </c>
      <c r="H1523" t="s">
        <v>105</v>
      </c>
      <c r="I1523" t="s">
        <v>78</v>
      </c>
      <c r="J1523" t="s">
        <v>42</v>
      </c>
      <c r="K1523" t="s">
        <v>87</v>
      </c>
      <c r="L1523" s="25">
        <v>44030</v>
      </c>
      <c r="M1523">
        <v>7</v>
      </c>
      <c r="N1523">
        <v>2020</v>
      </c>
      <c r="O1523" t="s">
        <v>110</v>
      </c>
      <c r="P1523">
        <v>170</v>
      </c>
      <c r="Q1523" s="17">
        <v>44030.463174884258</v>
      </c>
      <c r="R1523" t="s">
        <v>126</v>
      </c>
    </row>
    <row r="1524" spans="1:18" x14ac:dyDescent="0.3">
      <c r="A1524">
        <v>9685836</v>
      </c>
      <c r="B1524" t="s">
        <v>78</v>
      </c>
      <c r="C1524">
        <v>1329253</v>
      </c>
      <c r="D1524" t="s">
        <v>78</v>
      </c>
      <c r="E1524">
        <v>820</v>
      </c>
      <c r="F1524">
        <v>820</v>
      </c>
      <c r="G1524" t="s">
        <v>136</v>
      </c>
      <c r="H1524" t="s">
        <v>249</v>
      </c>
      <c r="I1524" t="s">
        <v>78</v>
      </c>
      <c r="J1524" t="s">
        <v>42</v>
      </c>
      <c r="K1524" t="s">
        <v>83</v>
      </c>
      <c r="L1524" s="25">
        <v>44030</v>
      </c>
      <c r="M1524">
        <v>7</v>
      </c>
      <c r="N1524">
        <v>2020</v>
      </c>
      <c r="O1524" t="s">
        <v>110</v>
      </c>
      <c r="P1524">
        <v>170</v>
      </c>
      <c r="Q1524" s="17">
        <v>44030.460143171294</v>
      </c>
      <c r="R1524" t="s">
        <v>126</v>
      </c>
    </row>
    <row r="1525" spans="1:18" x14ac:dyDescent="0.3">
      <c r="A1525">
        <v>9674088</v>
      </c>
      <c r="B1525" t="s">
        <v>80</v>
      </c>
      <c r="C1525">
        <v>1318266</v>
      </c>
      <c r="D1525" t="s">
        <v>113</v>
      </c>
      <c r="E1525">
        <v>966</v>
      </c>
      <c r="F1525">
        <v>966</v>
      </c>
      <c r="G1525" t="s">
        <v>139</v>
      </c>
      <c r="H1525" t="s">
        <v>232</v>
      </c>
      <c r="I1525" t="s">
        <v>84</v>
      </c>
      <c r="J1525" t="s">
        <v>85</v>
      </c>
      <c r="K1525" t="s">
        <v>87</v>
      </c>
      <c r="L1525" s="25">
        <v>44030</v>
      </c>
      <c r="M1525">
        <v>7</v>
      </c>
      <c r="N1525">
        <v>2020</v>
      </c>
      <c r="O1525" t="s">
        <v>110</v>
      </c>
      <c r="P1525">
        <v>170</v>
      </c>
      <c r="Q1525" s="17">
        <v>44030.427090046294</v>
      </c>
      <c r="R1525" t="s">
        <v>126</v>
      </c>
    </row>
    <row r="1526" spans="1:18" x14ac:dyDescent="0.3">
      <c r="A1526">
        <v>9687027</v>
      </c>
      <c r="B1526" t="s">
        <v>80</v>
      </c>
      <c r="C1526">
        <v>1330255</v>
      </c>
      <c r="D1526" t="s">
        <v>113</v>
      </c>
      <c r="E1526" t="s">
        <v>146</v>
      </c>
      <c r="F1526" t="s">
        <v>17</v>
      </c>
      <c r="G1526" t="s">
        <v>153</v>
      </c>
      <c r="H1526" t="s">
        <v>232</v>
      </c>
      <c r="I1526" t="s">
        <v>84</v>
      </c>
      <c r="J1526" t="s">
        <v>85</v>
      </c>
      <c r="K1526" t="s">
        <v>87</v>
      </c>
      <c r="L1526" s="25">
        <v>44030</v>
      </c>
      <c r="M1526">
        <v>7</v>
      </c>
      <c r="N1526">
        <v>2020</v>
      </c>
      <c r="O1526" t="s">
        <v>110</v>
      </c>
      <c r="P1526">
        <v>170</v>
      </c>
      <c r="Q1526" s="17">
        <v>44030.498124999998</v>
      </c>
      <c r="R1526" t="s">
        <v>126</v>
      </c>
    </row>
    <row r="1527" spans="1:18" x14ac:dyDescent="0.3">
      <c r="A1527">
        <v>9669991</v>
      </c>
      <c r="B1527" t="s">
        <v>72</v>
      </c>
      <c r="C1527">
        <v>1329562</v>
      </c>
      <c r="D1527" t="s">
        <v>108</v>
      </c>
      <c r="E1527" t="s">
        <v>26</v>
      </c>
      <c r="F1527" t="s">
        <v>26</v>
      </c>
      <c r="G1527" t="s">
        <v>137</v>
      </c>
      <c r="H1527" t="s">
        <v>229</v>
      </c>
      <c r="I1527" t="s">
        <v>84</v>
      </c>
      <c r="J1527" t="s">
        <v>85</v>
      </c>
      <c r="K1527" t="s">
        <v>83</v>
      </c>
      <c r="L1527" s="25">
        <v>44030</v>
      </c>
      <c r="M1527">
        <v>7</v>
      </c>
      <c r="N1527">
        <v>2020</v>
      </c>
      <c r="O1527" t="s">
        <v>110</v>
      </c>
      <c r="P1527">
        <v>170</v>
      </c>
      <c r="Q1527" s="17">
        <v>44030.351182638886</v>
      </c>
      <c r="R1527" t="s">
        <v>126</v>
      </c>
    </row>
    <row r="1528" spans="1:18" x14ac:dyDescent="0.3">
      <c r="A1528">
        <v>9686533</v>
      </c>
      <c r="B1528" t="s">
        <v>72</v>
      </c>
      <c r="C1528">
        <v>1330155</v>
      </c>
      <c r="D1528" t="s">
        <v>108</v>
      </c>
      <c r="E1528" t="s">
        <v>161</v>
      </c>
      <c r="F1528" t="s">
        <v>17</v>
      </c>
      <c r="G1528" t="s">
        <v>162</v>
      </c>
      <c r="H1528" t="s">
        <v>263</v>
      </c>
      <c r="I1528" t="s">
        <v>82</v>
      </c>
      <c r="J1528" t="s">
        <v>42</v>
      </c>
      <c r="K1528" t="s">
        <v>87</v>
      </c>
      <c r="L1528" s="25">
        <v>44030</v>
      </c>
      <c r="M1528">
        <v>7</v>
      </c>
      <c r="N1528">
        <v>2020</v>
      </c>
      <c r="O1528" t="s">
        <v>110</v>
      </c>
      <c r="P1528">
        <v>170</v>
      </c>
      <c r="Q1528" s="17">
        <v>44030.488710879632</v>
      </c>
      <c r="R1528" t="s">
        <v>126</v>
      </c>
    </row>
    <row r="1529" spans="1:18" x14ac:dyDescent="0.3">
      <c r="A1529">
        <v>9686866</v>
      </c>
      <c r="B1529" t="s">
        <v>80</v>
      </c>
      <c r="C1529">
        <v>1329748</v>
      </c>
      <c r="D1529" t="s">
        <v>113</v>
      </c>
      <c r="E1529" t="s">
        <v>146</v>
      </c>
      <c r="F1529" t="s">
        <v>17</v>
      </c>
      <c r="G1529" t="s">
        <v>153</v>
      </c>
      <c r="H1529" t="s">
        <v>232</v>
      </c>
      <c r="I1529" t="s">
        <v>84</v>
      </c>
      <c r="J1529" t="s">
        <v>85</v>
      </c>
      <c r="K1529" t="s">
        <v>87</v>
      </c>
      <c r="L1529" s="25">
        <v>44030</v>
      </c>
      <c r="M1529">
        <v>7</v>
      </c>
      <c r="N1529">
        <v>2020</v>
      </c>
      <c r="O1529" t="s">
        <v>110</v>
      </c>
      <c r="P1529">
        <v>170</v>
      </c>
      <c r="Q1529" s="17">
        <v>44030.465362037037</v>
      </c>
      <c r="R1529" t="s">
        <v>126</v>
      </c>
    </row>
    <row r="1530" spans="1:18" x14ac:dyDescent="0.3">
      <c r="A1530">
        <v>9686349</v>
      </c>
      <c r="B1530" t="s">
        <v>72</v>
      </c>
      <c r="C1530">
        <v>1329462</v>
      </c>
      <c r="D1530" t="s">
        <v>108</v>
      </c>
      <c r="E1530" t="s">
        <v>12</v>
      </c>
      <c r="F1530" t="s">
        <v>12</v>
      </c>
      <c r="G1530" t="s">
        <v>135</v>
      </c>
      <c r="H1530" t="s">
        <v>98</v>
      </c>
      <c r="I1530" t="s">
        <v>82</v>
      </c>
      <c r="J1530" t="s">
        <v>42</v>
      </c>
      <c r="K1530" t="s">
        <v>83</v>
      </c>
      <c r="L1530" s="25">
        <v>44030</v>
      </c>
      <c r="M1530">
        <v>7</v>
      </c>
      <c r="N1530">
        <v>2020</v>
      </c>
      <c r="O1530" t="s">
        <v>110</v>
      </c>
      <c r="P1530">
        <v>170</v>
      </c>
      <c r="Q1530" s="17">
        <v>44030.440861111114</v>
      </c>
      <c r="R1530" t="s">
        <v>126</v>
      </c>
    </row>
    <row r="1531" spans="1:18" x14ac:dyDescent="0.3">
      <c r="A1531">
        <v>241354</v>
      </c>
      <c r="B1531" t="s">
        <v>78</v>
      </c>
      <c r="C1531">
        <v>1321874</v>
      </c>
      <c r="D1531" t="s">
        <v>78</v>
      </c>
      <c r="E1531">
        <v>781</v>
      </c>
      <c r="F1531" t="s">
        <v>17</v>
      </c>
      <c r="G1531" t="s">
        <v>160</v>
      </c>
      <c r="H1531" t="s">
        <v>134</v>
      </c>
      <c r="I1531" t="s">
        <v>78</v>
      </c>
      <c r="J1531" t="s">
        <v>42</v>
      </c>
      <c r="K1531" t="s">
        <v>87</v>
      </c>
      <c r="L1531" s="25">
        <v>44030</v>
      </c>
      <c r="M1531">
        <v>7</v>
      </c>
      <c r="N1531">
        <v>2020</v>
      </c>
      <c r="O1531" t="s">
        <v>110</v>
      </c>
      <c r="P1531">
        <v>170</v>
      </c>
      <c r="Q1531" s="17">
        <v>44030.491398958337</v>
      </c>
      <c r="R1531" t="s">
        <v>126</v>
      </c>
    </row>
    <row r="1532" spans="1:18" x14ac:dyDescent="0.3">
      <c r="A1532">
        <v>9685862</v>
      </c>
      <c r="B1532" t="s">
        <v>78</v>
      </c>
      <c r="C1532">
        <v>1329405</v>
      </c>
      <c r="D1532" t="s">
        <v>78</v>
      </c>
      <c r="E1532">
        <v>820</v>
      </c>
      <c r="F1532">
        <v>820</v>
      </c>
      <c r="G1532" t="s">
        <v>136</v>
      </c>
      <c r="H1532" t="s">
        <v>250</v>
      </c>
      <c r="I1532" t="s">
        <v>78</v>
      </c>
      <c r="J1532" t="s">
        <v>42</v>
      </c>
      <c r="K1532" t="s">
        <v>83</v>
      </c>
      <c r="L1532" s="25">
        <v>44030</v>
      </c>
      <c r="M1532">
        <v>7</v>
      </c>
      <c r="N1532">
        <v>2020</v>
      </c>
      <c r="O1532" t="s">
        <v>110</v>
      </c>
      <c r="P1532">
        <v>170</v>
      </c>
      <c r="Q1532" s="17">
        <v>44030.467757060185</v>
      </c>
      <c r="R1532" t="s">
        <v>126</v>
      </c>
    </row>
    <row r="1533" spans="1:18" x14ac:dyDescent="0.3">
      <c r="A1533">
        <v>9686239</v>
      </c>
      <c r="B1533" t="s">
        <v>80</v>
      </c>
      <c r="C1533">
        <v>1329648</v>
      </c>
      <c r="D1533" t="s">
        <v>113</v>
      </c>
      <c r="E1533" t="s">
        <v>146</v>
      </c>
      <c r="F1533" t="s">
        <v>17</v>
      </c>
      <c r="G1533" t="s">
        <v>153</v>
      </c>
      <c r="H1533" t="s">
        <v>232</v>
      </c>
      <c r="I1533" t="s">
        <v>84</v>
      </c>
      <c r="J1533" t="s">
        <v>85</v>
      </c>
      <c r="K1533" t="s">
        <v>87</v>
      </c>
      <c r="L1533" s="25">
        <v>44030</v>
      </c>
      <c r="M1533">
        <v>7</v>
      </c>
      <c r="N1533">
        <v>2020</v>
      </c>
      <c r="O1533" t="s">
        <v>110</v>
      </c>
      <c r="P1533">
        <v>170</v>
      </c>
      <c r="Q1533" s="17">
        <v>44030.448149305557</v>
      </c>
      <c r="R1533" t="s">
        <v>126</v>
      </c>
    </row>
    <row r="1534" spans="1:18" x14ac:dyDescent="0.3">
      <c r="A1534">
        <v>9687271</v>
      </c>
      <c r="B1534" t="s">
        <v>72</v>
      </c>
      <c r="C1534">
        <v>1330641</v>
      </c>
      <c r="D1534" t="s">
        <v>108</v>
      </c>
      <c r="E1534" t="s">
        <v>12</v>
      </c>
      <c r="F1534" t="s">
        <v>12</v>
      </c>
      <c r="G1534" t="s">
        <v>135</v>
      </c>
      <c r="H1534" t="s">
        <v>252</v>
      </c>
      <c r="I1534" t="s">
        <v>84</v>
      </c>
      <c r="J1534" t="s">
        <v>85</v>
      </c>
      <c r="K1534" t="s">
        <v>83</v>
      </c>
      <c r="L1534" s="25">
        <v>44030</v>
      </c>
      <c r="M1534">
        <v>7</v>
      </c>
      <c r="N1534">
        <v>2020</v>
      </c>
      <c r="O1534" t="s">
        <v>110</v>
      </c>
      <c r="P1534">
        <v>170</v>
      </c>
      <c r="Q1534" s="17">
        <v>44030.486826736109</v>
      </c>
      <c r="R1534" t="s">
        <v>126</v>
      </c>
    </row>
    <row r="1535" spans="1:18" x14ac:dyDescent="0.3">
      <c r="A1535">
        <v>241316</v>
      </c>
      <c r="B1535" t="s">
        <v>78</v>
      </c>
      <c r="C1535">
        <v>1320488</v>
      </c>
      <c r="D1535" t="s">
        <v>78</v>
      </c>
      <c r="E1535" t="s">
        <v>26</v>
      </c>
      <c r="F1535" t="s">
        <v>26</v>
      </c>
      <c r="G1535" t="s">
        <v>137</v>
      </c>
      <c r="H1535" t="s">
        <v>245</v>
      </c>
      <c r="I1535" t="s">
        <v>78</v>
      </c>
      <c r="J1535" t="s">
        <v>42</v>
      </c>
      <c r="K1535" t="s">
        <v>83</v>
      </c>
      <c r="L1535" s="25">
        <v>44030</v>
      </c>
      <c r="M1535">
        <v>7</v>
      </c>
      <c r="N1535">
        <v>2020</v>
      </c>
      <c r="O1535" t="s">
        <v>110</v>
      </c>
      <c r="P1535">
        <v>170</v>
      </c>
      <c r="Q1535" s="17">
        <v>44030.435603819446</v>
      </c>
      <c r="R1535" t="s">
        <v>126</v>
      </c>
    </row>
    <row r="1536" spans="1:18" x14ac:dyDescent="0.3">
      <c r="A1536">
        <v>9686123</v>
      </c>
      <c r="B1536" t="s">
        <v>79</v>
      </c>
      <c r="C1536">
        <v>1329705</v>
      </c>
      <c r="D1536" t="s">
        <v>116</v>
      </c>
      <c r="E1536" t="s">
        <v>12</v>
      </c>
      <c r="F1536" t="s">
        <v>12</v>
      </c>
      <c r="G1536" t="s">
        <v>135</v>
      </c>
      <c r="H1536" t="s">
        <v>251</v>
      </c>
      <c r="I1536" t="s">
        <v>82</v>
      </c>
      <c r="J1536" t="s">
        <v>42</v>
      </c>
      <c r="K1536" t="s">
        <v>83</v>
      </c>
      <c r="L1536" s="25">
        <v>44030</v>
      </c>
      <c r="M1536">
        <v>7</v>
      </c>
      <c r="N1536">
        <v>2020</v>
      </c>
      <c r="O1536" t="s">
        <v>110</v>
      </c>
      <c r="P1536">
        <v>170</v>
      </c>
      <c r="Q1536" s="17">
        <v>44030.444196759257</v>
      </c>
      <c r="R1536" t="s">
        <v>126</v>
      </c>
    </row>
    <row r="1537" spans="1:18" x14ac:dyDescent="0.3">
      <c r="A1537">
        <v>241742</v>
      </c>
      <c r="B1537" t="s">
        <v>78</v>
      </c>
      <c r="C1537">
        <v>1322403</v>
      </c>
      <c r="D1537" t="s">
        <v>78</v>
      </c>
      <c r="E1537" t="s">
        <v>26</v>
      </c>
      <c r="F1537" t="s">
        <v>26</v>
      </c>
      <c r="G1537" t="s">
        <v>137</v>
      </c>
      <c r="H1537" t="s">
        <v>245</v>
      </c>
      <c r="I1537" t="s">
        <v>78</v>
      </c>
      <c r="J1537" t="s">
        <v>42</v>
      </c>
      <c r="K1537" t="s">
        <v>83</v>
      </c>
      <c r="L1537" s="25">
        <v>44030</v>
      </c>
      <c r="M1537">
        <v>7</v>
      </c>
      <c r="N1537">
        <v>2020</v>
      </c>
      <c r="O1537" t="s">
        <v>110</v>
      </c>
      <c r="P1537">
        <v>170</v>
      </c>
      <c r="Q1537" s="17">
        <v>44030.490489814816</v>
      </c>
      <c r="R1537" t="s">
        <v>126</v>
      </c>
    </row>
    <row r="1538" spans="1:18" x14ac:dyDescent="0.3">
      <c r="A1538">
        <v>9685858</v>
      </c>
      <c r="B1538" t="s">
        <v>72</v>
      </c>
      <c r="C1538">
        <v>1329419</v>
      </c>
      <c r="D1538" t="s">
        <v>108</v>
      </c>
      <c r="E1538">
        <v>820</v>
      </c>
      <c r="F1538">
        <v>820</v>
      </c>
      <c r="G1538" t="s">
        <v>136</v>
      </c>
      <c r="H1538" t="s">
        <v>270</v>
      </c>
      <c r="I1538" t="s">
        <v>82</v>
      </c>
      <c r="J1538" t="s">
        <v>42</v>
      </c>
      <c r="K1538" t="s">
        <v>83</v>
      </c>
      <c r="L1538" s="25">
        <v>44030</v>
      </c>
      <c r="M1538">
        <v>7</v>
      </c>
      <c r="N1538">
        <v>2020</v>
      </c>
      <c r="O1538" t="s">
        <v>110</v>
      </c>
      <c r="P1538">
        <v>170</v>
      </c>
      <c r="Q1538" s="17">
        <v>44030.468592824072</v>
      </c>
      <c r="R1538" t="s">
        <v>126</v>
      </c>
    </row>
    <row r="1539" spans="1:18" x14ac:dyDescent="0.3">
      <c r="A1539">
        <v>9677486</v>
      </c>
      <c r="B1539" t="s">
        <v>78</v>
      </c>
      <c r="C1539">
        <v>1318373</v>
      </c>
      <c r="D1539" t="s">
        <v>78</v>
      </c>
      <c r="E1539">
        <v>4138</v>
      </c>
      <c r="F1539" t="s">
        <v>17</v>
      </c>
      <c r="G1539" t="s">
        <v>129</v>
      </c>
      <c r="H1539" t="s">
        <v>134</v>
      </c>
      <c r="I1539" t="s">
        <v>78</v>
      </c>
      <c r="J1539" t="s">
        <v>42</v>
      </c>
      <c r="K1539" t="s">
        <v>87</v>
      </c>
      <c r="L1539" s="25">
        <v>44030</v>
      </c>
      <c r="M1539">
        <v>7</v>
      </c>
      <c r="N1539">
        <v>2020</v>
      </c>
      <c r="O1539" t="s">
        <v>110</v>
      </c>
      <c r="P1539">
        <v>170</v>
      </c>
      <c r="Q1539" s="17">
        <v>44030.484548032407</v>
      </c>
      <c r="R1539" t="s">
        <v>126</v>
      </c>
    </row>
    <row r="1540" spans="1:18" x14ac:dyDescent="0.3">
      <c r="A1540">
        <v>9685693</v>
      </c>
      <c r="B1540" t="s">
        <v>78</v>
      </c>
      <c r="C1540">
        <v>1329519</v>
      </c>
      <c r="D1540" t="s">
        <v>78</v>
      </c>
      <c r="E1540">
        <v>820</v>
      </c>
      <c r="F1540">
        <v>820</v>
      </c>
      <c r="G1540" t="s">
        <v>136</v>
      </c>
      <c r="H1540" t="s">
        <v>249</v>
      </c>
      <c r="I1540" t="s">
        <v>78</v>
      </c>
      <c r="J1540" t="s">
        <v>42</v>
      </c>
      <c r="K1540" t="s">
        <v>83</v>
      </c>
      <c r="L1540" s="25">
        <v>44030</v>
      </c>
      <c r="M1540">
        <v>7</v>
      </c>
      <c r="N1540">
        <v>2020</v>
      </c>
      <c r="O1540" t="s">
        <v>110</v>
      </c>
      <c r="P1540">
        <v>170</v>
      </c>
      <c r="Q1540" s="17">
        <v>44030.475748842589</v>
      </c>
      <c r="R1540" t="s">
        <v>126</v>
      </c>
    </row>
    <row r="1541" spans="1:18" x14ac:dyDescent="0.3">
      <c r="A1541">
        <v>9685620</v>
      </c>
      <c r="B1541" t="s">
        <v>72</v>
      </c>
      <c r="C1541">
        <v>1328669</v>
      </c>
      <c r="D1541" t="s">
        <v>108</v>
      </c>
      <c r="E1541">
        <v>820</v>
      </c>
      <c r="F1541">
        <v>820</v>
      </c>
      <c r="G1541" t="s">
        <v>136</v>
      </c>
      <c r="H1541" t="s">
        <v>270</v>
      </c>
      <c r="I1541" t="s">
        <v>82</v>
      </c>
      <c r="J1541" t="s">
        <v>42</v>
      </c>
      <c r="K1541" t="s">
        <v>83</v>
      </c>
      <c r="L1541" s="25">
        <v>44030</v>
      </c>
      <c r="M1541">
        <v>7</v>
      </c>
      <c r="N1541">
        <v>2020</v>
      </c>
      <c r="O1541" t="s">
        <v>110</v>
      </c>
      <c r="P1541">
        <v>170</v>
      </c>
      <c r="Q1541" s="17">
        <v>44030.423136574071</v>
      </c>
      <c r="R1541" t="s">
        <v>126</v>
      </c>
    </row>
    <row r="1542" spans="1:18" x14ac:dyDescent="0.3">
      <c r="A1542">
        <v>9686149</v>
      </c>
      <c r="B1542" t="s">
        <v>80</v>
      </c>
      <c r="C1542">
        <v>1329605</v>
      </c>
      <c r="D1542" t="s">
        <v>113</v>
      </c>
      <c r="E1542" t="s">
        <v>146</v>
      </c>
      <c r="F1542" t="s">
        <v>17</v>
      </c>
      <c r="G1542" t="s">
        <v>153</v>
      </c>
      <c r="H1542" t="s">
        <v>232</v>
      </c>
      <c r="I1542" t="s">
        <v>84</v>
      </c>
      <c r="J1542" t="s">
        <v>85</v>
      </c>
      <c r="K1542" t="s">
        <v>87</v>
      </c>
      <c r="L1542" s="25">
        <v>44030</v>
      </c>
      <c r="M1542">
        <v>7</v>
      </c>
      <c r="N1542">
        <v>2020</v>
      </c>
      <c r="O1542" t="s">
        <v>110</v>
      </c>
      <c r="P1542">
        <v>170</v>
      </c>
      <c r="Q1542" s="17">
        <v>44030.432317013889</v>
      </c>
      <c r="R1542" t="s">
        <v>126</v>
      </c>
    </row>
    <row r="1543" spans="1:18" x14ac:dyDescent="0.3">
      <c r="A1543">
        <v>240485</v>
      </c>
      <c r="B1543" t="s">
        <v>78</v>
      </c>
      <c r="C1543">
        <v>1318384</v>
      </c>
      <c r="D1543" t="s">
        <v>78</v>
      </c>
      <c r="E1543" t="s">
        <v>156</v>
      </c>
      <c r="F1543" t="s">
        <v>17</v>
      </c>
      <c r="G1543" t="s">
        <v>157</v>
      </c>
      <c r="H1543" t="s">
        <v>134</v>
      </c>
      <c r="I1543" t="s">
        <v>78</v>
      </c>
      <c r="J1543" t="s">
        <v>42</v>
      </c>
      <c r="K1543" t="s">
        <v>87</v>
      </c>
      <c r="L1543" s="25">
        <v>44030</v>
      </c>
      <c r="M1543">
        <v>7</v>
      </c>
      <c r="N1543">
        <v>2020</v>
      </c>
      <c r="O1543" t="s">
        <v>110</v>
      </c>
      <c r="P1543">
        <v>170</v>
      </c>
      <c r="Q1543" s="17">
        <v>44030.485657407407</v>
      </c>
      <c r="R1543" t="s">
        <v>126</v>
      </c>
    </row>
    <row r="1544" spans="1:18" x14ac:dyDescent="0.3">
      <c r="A1544">
        <v>9686634</v>
      </c>
      <c r="B1544" t="s">
        <v>78</v>
      </c>
      <c r="C1544">
        <v>1330066</v>
      </c>
      <c r="D1544" t="s">
        <v>78</v>
      </c>
      <c r="E1544" t="s">
        <v>170</v>
      </c>
      <c r="F1544" t="s">
        <v>17</v>
      </c>
      <c r="G1544" t="s">
        <v>171</v>
      </c>
      <c r="H1544" t="s">
        <v>134</v>
      </c>
      <c r="I1544" t="s">
        <v>78</v>
      </c>
      <c r="J1544" t="s">
        <v>42</v>
      </c>
      <c r="K1544" t="s">
        <v>87</v>
      </c>
      <c r="L1544" s="25">
        <v>44030</v>
      </c>
      <c r="M1544">
        <v>7</v>
      </c>
      <c r="N1544">
        <v>2020</v>
      </c>
      <c r="O1544" t="s">
        <v>110</v>
      </c>
      <c r="P1544">
        <v>170</v>
      </c>
      <c r="Q1544" s="17">
        <v>44030.486544675929</v>
      </c>
      <c r="R1544" t="s">
        <v>126</v>
      </c>
    </row>
    <row r="1545" spans="1:18" x14ac:dyDescent="0.3">
      <c r="A1545">
        <v>9685986</v>
      </c>
      <c r="B1545" t="s">
        <v>78</v>
      </c>
      <c r="C1545">
        <v>1329351</v>
      </c>
      <c r="D1545" t="s">
        <v>78</v>
      </c>
      <c r="E1545">
        <v>820</v>
      </c>
      <c r="F1545">
        <v>820</v>
      </c>
      <c r="G1545" t="s">
        <v>136</v>
      </c>
      <c r="H1545" t="s">
        <v>250</v>
      </c>
      <c r="I1545" t="s">
        <v>78</v>
      </c>
      <c r="J1545" t="s">
        <v>42</v>
      </c>
      <c r="K1545" t="s">
        <v>83</v>
      </c>
      <c r="L1545" s="25">
        <v>44030</v>
      </c>
      <c r="M1545">
        <v>7</v>
      </c>
      <c r="N1545">
        <v>2020</v>
      </c>
      <c r="O1545" t="s">
        <v>110</v>
      </c>
      <c r="P1545">
        <v>170</v>
      </c>
      <c r="Q1545" s="17">
        <v>44030.463949884259</v>
      </c>
      <c r="R1545" t="s">
        <v>126</v>
      </c>
    </row>
    <row r="1546" spans="1:18" x14ac:dyDescent="0.3">
      <c r="A1546">
        <v>9685083</v>
      </c>
      <c r="B1546" t="s">
        <v>72</v>
      </c>
      <c r="C1546">
        <v>1329065</v>
      </c>
      <c r="D1546" t="s">
        <v>108</v>
      </c>
      <c r="E1546">
        <v>820</v>
      </c>
      <c r="F1546">
        <v>820</v>
      </c>
      <c r="G1546" t="s">
        <v>136</v>
      </c>
      <c r="H1546" t="s">
        <v>229</v>
      </c>
      <c r="I1546" t="s">
        <v>84</v>
      </c>
      <c r="J1546" t="s">
        <v>85</v>
      </c>
      <c r="K1546" t="s">
        <v>83</v>
      </c>
      <c r="L1546" s="25">
        <v>44030</v>
      </c>
      <c r="M1546">
        <v>7</v>
      </c>
      <c r="N1546">
        <v>2020</v>
      </c>
      <c r="O1546" t="s">
        <v>110</v>
      </c>
      <c r="P1546">
        <v>170</v>
      </c>
      <c r="Q1546" s="17">
        <v>44030.314706365738</v>
      </c>
      <c r="R1546" t="s">
        <v>126</v>
      </c>
    </row>
    <row r="1547" spans="1:18" x14ac:dyDescent="0.3">
      <c r="A1547">
        <v>21532121</v>
      </c>
      <c r="B1547" t="s">
        <v>72</v>
      </c>
      <c r="C1547">
        <v>1336467</v>
      </c>
      <c r="D1547" t="s">
        <v>108</v>
      </c>
      <c r="E1547" t="s">
        <v>12</v>
      </c>
      <c r="F1547" t="s">
        <v>12</v>
      </c>
      <c r="G1547" t="s">
        <v>135</v>
      </c>
      <c r="H1547" t="s">
        <v>229</v>
      </c>
      <c r="I1547" t="s">
        <v>84</v>
      </c>
      <c r="J1547" t="s">
        <v>85</v>
      </c>
      <c r="K1547" t="s">
        <v>83</v>
      </c>
      <c r="L1547" s="25">
        <v>44030</v>
      </c>
      <c r="M1547">
        <v>7</v>
      </c>
      <c r="N1547">
        <v>2020</v>
      </c>
      <c r="O1547" t="s">
        <v>110</v>
      </c>
      <c r="P1547">
        <v>170</v>
      </c>
      <c r="Q1547" s="17">
        <v>44031.14847453704</v>
      </c>
      <c r="R1547" t="s">
        <v>126</v>
      </c>
    </row>
    <row r="1548" spans="1:18" x14ac:dyDescent="0.3">
      <c r="A1548">
        <v>9687653</v>
      </c>
      <c r="B1548" t="s">
        <v>79</v>
      </c>
      <c r="C1548">
        <v>1330702</v>
      </c>
      <c r="D1548" t="s">
        <v>116</v>
      </c>
      <c r="E1548" t="s">
        <v>12</v>
      </c>
      <c r="F1548" t="s">
        <v>12</v>
      </c>
      <c r="G1548" t="s">
        <v>135</v>
      </c>
      <c r="H1548" t="s">
        <v>251</v>
      </c>
      <c r="I1548" t="s">
        <v>82</v>
      </c>
      <c r="J1548" t="s">
        <v>42</v>
      </c>
      <c r="K1548" t="s">
        <v>83</v>
      </c>
      <c r="L1548" s="25">
        <v>44030</v>
      </c>
      <c r="M1548">
        <v>7</v>
      </c>
      <c r="N1548">
        <v>2020</v>
      </c>
      <c r="O1548" t="s">
        <v>110</v>
      </c>
      <c r="P1548">
        <v>170</v>
      </c>
      <c r="Q1548" s="17">
        <v>44030.484465740738</v>
      </c>
      <c r="R1548" t="s">
        <v>126</v>
      </c>
    </row>
    <row r="1549" spans="1:18" x14ac:dyDescent="0.3">
      <c r="A1549">
        <v>9685592</v>
      </c>
      <c r="B1549" t="s">
        <v>80</v>
      </c>
      <c r="C1549">
        <v>1329566</v>
      </c>
      <c r="D1549" t="s">
        <v>113</v>
      </c>
      <c r="E1549" t="s">
        <v>146</v>
      </c>
      <c r="F1549" t="s">
        <v>17</v>
      </c>
      <c r="G1549" t="s">
        <v>153</v>
      </c>
      <c r="H1549" t="s">
        <v>232</v>
      </c>
      <c r="I1549" t="s">
        <v>84</v>
      </c>
      <c r="J1549" t="s">
        <v>85</v>
      </c>
      <c r="K1549" t="s">
        <v>87</v>
      </c>
      <c r="L1549" s="25">
        <v>44030</v>
      </c>
      <c r="M1549">
        <v>7</v>
      </c>
      <c r="N1549">
        <v>2020</v>
      </c>
      <c r="O1549" t="s">
        <v>110</v>
      </c>
      <c r="P1549">
        <v>170</v>
      </c>
      <c r="Q1549" s="17">
        <v>44030.428631134258</v>
      </c>
      <c r="R1549" t="s">
        <v>126</v>
      </c>
    </row>
    <row r="1550" spans="1:18" x14ac:dyDescent="0.3">
      <c r="A1550">
        <v>9670993</v>
      </c>
      <c r="B1550" t="s">
        <v>72</v>
      </c>
      <c r="C1550">
        <v>1329451</v>
      </c>
      <c r="D1550" t="s">
        <v>108</v>
      </c>
      <c r="E1550" t="s">
        <v>124</v>
      </c>
      <c r="F1550" t="s">
        <v>17</v>
      </c>
      <c r="G1550" t="s">
        <v>125</v>
      </c>
      <c r="H1550" t="s">
        <v>286</v>
      </c>
      <c r="I1550" t="s">
        <v>82</v>
      </c>
      <c r="J1550" t="s">
        <v>42</v>
      </c>
      <c r="K1550" t="s">
        <v>87</v>
      </c>
      <c r="L1550" s="25">
        <v>44030</v>
      </c>
      <c r="M1550">
        <v>7</v>
      </c>
      <c r="N1550">
        <v>2020</v>
      </c>
      <c r="O1550" t="s">
        <v>110</v>
      </c>
      <c r="P1550">
        <v>170</v>
      </c>
      <c r="Q1550" s="17">
        <v>44030.487030208336</v>
      </c>
      <c r="R1550" t="s">
        <v>126</v>
      </c>
    </row>
    <row r="1551" spans="1:18" x14ac:dyDescent="0.3">
      <c r="A1551">
        <v>9685668</v>
      </c>
      <c r="B1551" t="s">
        <v>72</v>
      </c>
      <c r="C1551">
        <v>1329165</v>
      </c>
      <c r="D1551" t="s">
        <v>108</v>
      </c>
      <c r="E1551">
        <v>820</v>
      </c>
      <c r="F1551">
        <v>820</v>
      </c>
      <c r="G1551" t="s">
        <v>136</v>
      </c>
      <c r="H1551" t="s">
        <v>270</v>
      </c>
      <c r="I1551" t="s">
        <v>82</v>
      </c>
      <c r="J1551" t="s">
        <v>42</v>
      </c>
      <c r="K1551" t="s">
        <v>83</v>
      </c>
      <c r="L1551" s="25">
        <v>44030</v>
      </c>
      <c r="M1551">
        <v>7</v>
      </c>
      <c r="N1551">
        <v>2020</v>
      </c>
      <c r="O1551" t="s">
        <v>110</v>
      </c>
      <c r="P1551">
        <v>170</v>
      </c>
      <c r="Q1551" s="17">
        <v>44030.454932291665</v>
      </c>
      <c r="R1551" t="s">
        <v>126</v>
      </c>
    </row>
    <row r="1552" spans="1:18" x14ac:dyDescent="0.3">
      <c r="A1552">
        <v>9685849</v>
      </c>
      <c r="B1552" t="s">
        <v>72</v>
      </c>
      <c r="C1552">
        <v>1329852</v>
      </c>
      <c r="D1552" t="s">
        <v>108</v>
      </c>
      <c r="E1552">
        <v>820</v>
      </c>
      <c r="F1552">
        <v>820</v>
      </c>
      <c r="G1552" t="s">
        <v>136</v>
      </c>
      <c r="H1552" t="s">
        <v>270</v>
      </c>
      <c r="I1552" t="s">
        <v>82</v>
      </c>
      <c r="J1552" t="s">
        <v>42</v>
      </c>
      <c r="K1552" t="s">
        <v>83</v>
      </c>
      <c r="L1552" s="25">
        <v>44030</v>
      </c>
      <c r="M1552">
        <v>7</v>
      </c>
      <c r="N1552">
        <v>2020</v>
      </c>
      <c r="O1552" t="s">
        <v>110</v>
      </c>
      <c r="P1552">
        <v>170</v>
      </c>
      <c r="Q1552" s="17">
        <v>44030.482491782408</v>
      </c>
      <c r="R1552" t="s">
        <v>126</v>
      </c>
    </row>
    <row r="1553" spans="1:18" x14ac:dyDescent="0.3">
      <c r="A1553">
        <v>9682230</v>
      </c>
      <c r="B1553" t="s">
        <v>72</v>
      </c>
      <c r="C1553">
        <v>1327244</v>
      </c>
      <c r="D1553" t="s">
        <v>108</v>
      </c>
      <c r="E1553">
        <v>966</v>
      </c>
      <c r="F1553">
        <v>966</v>
      </c>
      <c r="G1553" t="s">
        <v>139</v>
      </c>
      <c r="H1553" t="s">
        <v>229</v>
      </c>
      <c r="I1553" t="s">
        <v>84</v>
      </c>
      <c r="J1553" t="s">
        <v>85</v>
      </c>
      <c r="K1553" t="s">
        <v>87</v>
      </c>
      <c r="L1553" s="25">
        <v>44030</v>
      </c>
      <c r="M1553">
        <v>7</v>
      </c>
      <c r="N1553">
        <v>2020</v>
      </c>
      <c r="O1553" t="s">
        <v>110</v>
      </c>
      <c r="P1553">
        <v>170</v>
      </c>
      <c r="Q1553" s="17">
        <v>44030.291097569447</v>
      </c>
      <c r="R1553" t="s">
        <v>126</v>
      </c>
    </row>
    <row r="1554" spans="1:18" x14ac:dyDescent="0.3">
      <c r="A1554">
        <v>9686718</v>
      </c>
      <c r="B1554" t="s">
        <v>80</v>
      </c>
      <c r="C1554">
        <v>1329752</v>
      </c>
      <c r="D1554" t="s">
        <v>113</v>
      </c>
      <c r="E1554" t="s">
        <v>146</v>
      </c>
      <c r="F1554" t="s">
        <v>17</v>
      </c>
      <c r="G1554" t="s">
        <v>153</v>
      </c>
      <c r="H1554" t="s">
        <v>232</v>
      </c>
      <c r="I1554" t="s">
        <v>84</v>
      </c>
      <c r="J1554" t="s">
        <v>85</v>
      </c>
      <c r="K1554" t="s">
        <v>87</v>
      </c>
      <c r="L1554" s="25">
        <v>44030</v>
      </c>
      <c r="M1554">
        <v>7</v>
      </c>
      <c r="N1554">
        <v>2020</v>
      </c>
      <c r="O1554" t="s">
        <v>110</v>
      </c>
      <c r="P1554">
        <v>170</v>
      </c>
      <c r="Q1554" s="17">
        <v>44030.466457175928</v>
      </c>
      <c r="R1554" t="s">
        <v>126</v>
      </c>
    </row>
    <row r="1555" spans="1:18" x14ac:dyDescent="0.3">
      <c r="A1555">
        <v>21524917</v>
      </c>
      <c r="B1555" t="s">
        <v>78</v>
      </c>
      <c r="C1555">
        <v>1325321</v>
      </c>
      <c r="D1555" t="s">
        <v>78</v>
      </c>
      <c r="E1555">
        <v>966</v>
      </c>
      <c r="F1555">
        <v>966</v>
      </c>
      <c r="G1555" t="s">
        <v>139</v>
      </c>
      <c r="H1555" t="s">
        <v>105</v>
      </c>
      <c r="I1555" t="s">
        <v>78</v>
      </c>
      <c r="J1555" t="s">
        <v>42</v>
      </c>
      <c r="K1555" t="s">
        <v>87</v>
      </c>
      <c r="L1555" s="25">
        <v>44030</v>
      </c>
      <c r="M1555">
        <v>7</v>
      </c>
      <c r="N1555">
        <v>2020</v>
      </c>
      <c r="O1555" t="s">
        <v>110</v>
      </c>
      <c r="P1555">
        <v>170</v>
      </c>
      <c r="Q1555" s="17">
        <v>44030.483064236112</v>
      </c>
      <c r="R1555" t="s">
        <v>126</v>
      </c>
    </row>
    <row r="1556" spans="1:18" x14ac:dyDescent="0.3">
      <c r="A1556">
        <v>9686242</v>
      </c>
      <c r="B1556" t="s">
        <v>80</v>
      </c>
      <c r="C1556">
        <v>1329652</v>
      </c>
      <c r="D1556" t="s">
        <v>113</v>
      </c>
      <c r="E1556" t="s">
        <v>146</v>
      </c>
      <c r="F1556" t="s">
        <v>17</v>
      </c>
      <c r="G1556" t="s">
        <v>153</v>
      </c>
      <c r="H1556" t="s">
        <v>232</v>
      </c>
      <c r="I1556" t="s">
        <v>84</v>
      </c>
      <c r="J1556" t="s">
        <v>85</v>
      </c>
      <c r="K1556" t="s">
        <v>87</v>
      </c>
      <c r="L1556" s="25">
        <v>44030</v>
      </c>
      <c r="M1556">
        <v>7</v>
      </c>
      <c r="N1556">
        <v>2020</v>
      </c>
      <c r="O1556" t="s">
        <v>110</v>
      </c>
      <c r="P1556">
        <v>170</v>
      </c>
      <c r="Q1556" s="17">
        <v>44030.444498958335</v>
      </c>
      <c r="R1556" t="s">
        <v>126</v>
      </c>
    </row>
    <row r="1557" spans="1:18" x14ac:dyDescent="0.3">
      <c r="A1557">
        <v>9685838</v>
      </c>
      <c r="B1557" t="s">
        <v>78</v>
      </c>
      <c r="C1557">
        <v>1328630</v>
      </c>
      <c r="D1557" t="s">
        <v>78</v>
      </c>
      <c r="E1557">
        <v>820</v>
      </c>
      <c r="F1557">
        <v>820</v>
      </c>
      <c r="G1557" t="s">
        <v>136</v>
      </c>
      <c r="H1557" t="s">
        <v>250</v>
      </c>
      <c r="I1557" t="s">
        <v>78</v>
      </c>
      <c r="J1557" t="s">
        <v>42</v>
      </c>
      <c r="K1557" t="s">
        <v>83</v>
      </c>
      <c r="L1557" s="25">
        <v>44030</v>
      </c>
      <c r="M1557">
        <v>7</v>
      </c>
      <c r="N1557">
        <v>2020</v>
      </c>
      <c r="O1557" t="s">
        <v>110</v>
      </c>
      <c r="P1557">
        <v>170</v>
      </c>
      <c r="Q1557" s="17">
        <v>44030.423690046293</v>
      </c>
      <c r="R1557" t="s">
        <v>126</v>
      </c>
    </row>
    <row r="1558" spans="1:18" x14ac:dyDescent="0.3">
      <c r="A1558">
        <v>9685987</v>
      </c>
      <c r="B1558" t="s">
        <v>78</v>
      </c>
      <c r="C1558">
        <v>1328930</v>
      </c>
      <c r="D1558" t="s">
        <v>78</v>
      </c>
      <c r="E1558">
        <v>820</v>
      </c>
      <c r="F1558">
        <v>820</v>
      </c>
      <c r="G1558" t="s">
        <v>136</v>
      </c>
      <c r="H1558" t="s">
        <v>250</v>
      </c>
      <c r="I1558" t="s">
        <v>78</v>
      </c>
      <c r="J1558" t="s">
        <v>42</v>
      </c>
      <c r="K1558" t="s">
        <v>83</v>
      </c>
      <c r="L1558" s="25">
        <v>44030</v>
      </c>
      <c r="M1558">
        <v>7</v>
      </c>
      <c r="N1558">
        <v>2020</v>
      </c>
      <c r="O1558" t="s">
        <v>110</v>
      </c>
      <c r="P1558">
        <v>170</v>
      </c>
      <c r="Q1558" s="17">
        <v>44030.442110763892</v>
      </c>
      <c r="R1558" t="s">
        <v>126</v>
      </c>
    </row>
    <row r="1559" spans="1:18" x14ac:dyDescent="0.3">
      <c r="A1559">
        <v>9687702</v>
      </c>
      <c r="B1559" t="s">
        <v>78</v>
      </c>
      <c r="C1559">
        <v>1330651</v>
      </c>
      <c r="D1559" t="s">
        <v>78</v>
      </c>
      <c r="E1559">
        <v>820</v>
      </c>
      <c r="F1559">
        <v>820</v>
      </c>
      <c r="G1559" t="s">
        <v>136</v>
      </c>
      <c r="H1559" t="s">
        <v>249</v>
      </c>
      <c r="I1559" t="s">
        <v>78</v>
      </c>
      <c r="J1559" t="s">
        <v>42</v>
      </c>
      <c r="K1559" t="s">
        <v>83</v>
      </c>
      <c r="L1559" s="25">
        <v>44030</v>
      </c>
      <c r="M1559">
        <v>7</v>
      </c>
      <c r="N1559">
        <v>2020</v>
      </c>
      <c r="O1559" t="s">
        <v>110</v>
      </c>
      <c r="P1559">
        <v>170</v>
      </c>
      <c r="Q1559" s="17">
        <v>44031.074035185185</v>
      </c>
      <c r="R1559" t="s">
        <v>126</v>
      </c>
    </row>
    <row r="1560" spans="1:18" x14ac:dyDescent="0.3">
      <c r="A1560">
        <v>241062</v>
      </c>
      <c r="B1560" t="s">
        <v>80</v>
      </c>
      <c r="C1560">
        <v>1320803</v>
      </c>
      <c r="D1560" t="s">
        <v>122</v>
      </c>
      <c r="E1560" t="s">
        <v>26</v>
      </c>
      <c r="F1560" t="s">
        <v>26</v>
      </c>
      <c r="G1560" t="s">
        <v>137</v>
      </c>
      <c r="H1560" t="s">
        <v>228</v>
      </c>
      <c r="I1560" t="s">
        <v>84</v>
      </c>
      <c r="J1560" t="s">
        <v>85</v>
      </c>
      <c r="K1560" t="s">
        <v>83</v>
      </c>
      <c r="L1560" s="25">
        <v>44030</v>
      </c>
      <c r="M1560">
        <v>7</v>
      </c>
      <c r="N1560">
        <v>2020</v>
      </c>
      <c r="O1560" t="s">
        <v>110</v>
      </c>
      <c r="P1560">
        <v>170</v>
      </c>
      <c r="Q1560" s="17">
        <v>44029.769026851849</v>
      </c>
      <c r="R1560" t="s">
        <v>126</v>
      </c>
    </row>
    <row r="1561" spans="1:18" x14ac:dyDescent="0.3">
      <c r="A1561">
        <v>9684470</v>
      </c>
      <c r="B1561" t="s">
        <v>79</v>
      </c>
      <c r="C1561">
        <v>1329436</v>
      </c>
      <c r="D1561" t="s">
        <v>116</v>
      </c>
      <c r="E1561" t="s">
        <v>12</v>
      </c>
      <c r="F1561" t="s">
        <v>12</v>
      </c>
      <c r="G1561" t="s">
        <v>135</v>
      </c>
      <c r="H1561" t="s">
        <v>275</v>
      </c>
      <c r="I1561" t="s">
        <v>82</v>
      </c>
      <c r="J1561" t="s">
        <v>42</v>
      </c>
      <c r="K1561" t="s">
        <v>83</v>
      </c>
      <c r="L1561" s="25">
        <v>44030</v>
      </c>
      <c r="M1561">
        <v>7</v>
      </c>
      <c r="N1561">
        <v>2020</v>
      </c>
      <c r="O1561" t="s">
        <v>110</v>
      </c>
      <c r="P1561">
        <v>170</v>
      </c>
      <c r="Q1561" s="17">
        <v>44030.439604398147</v>
      </c>
      <c r="R1561" t="s">
        <v>126</v>
      </c>
    </row>
    <row r="1562" spans="1:18" x14ac:dyDescent="0.3">
      <c r="A1562">
        <v>9685719</v>
      </c>
      <c r="B1562" t="s">
        <v>80</v>
      </c>
      <c r="C1562">
        <v>1329840</v>
      </c>
      <c r="D1562" t="s">
        <v>122</v>
      </c>
      <c r="E1562">
        <v>820</v>
      </c>
      <c r="F1562">
        <v>820</v>
      </c>
      <c r="G1562" t="s">
        <v>136</v>
      </c>
      <c r="H1562" t="s">
        <v>228</v>
      </c>
      <c r="I1562" t="s">
        <v>84</v>
      </c>
      <c r="J1562" t="s">
        <v>85</v>
      </c>
      <c r="K1562" t="s">
        <v>83</v>
      </c>
      <c r="L1562" s="25">
        <v>44030</v>
      </c>
      <c r="M1562">
        <v>7</v>
      </c>
      <c r="N1562">
        <v>2020</v>
      </c>
      <c r="O1562" t="s">
        <v>110</v>
      </c>
      <c r="P1562">
        <v>170</v>
      </c>
      <c r="Q1562" s="17">
        <v>44030.063830902778</v>
      </c>
      <c r="R1562" t="s">
        <v>126</v>
      </c>
    </row>
    <row r="1563" spans="1:18" x14ac:dyDescent="0.3">
      <c r="A1563">
        <v>244729</v>
      </c>
      <c r="B1563" t="s">
        <v>72</v>
      </c>
      <c r="C1563">
        <v>1330163</v>
      </c>
      <c r="D1563" t="s">
        <v>108</v>
      </c>
      <c r="E1563" t="s">
        <v>142</v>
      </c>
      <c r="F1563" t="s">
        <v>17</v>
      </c>
      <c r="G1563" t="s">
        <v>143</v>
      </c>
      <c r="H1563" t="s">
        <v>263</v>
      </c>
      <c r="I1563" t="s">
        <v>82</v>
      </c>
      <c r="J1563" t="s">
        <v>42</v>
      </c>
      <c r="K1563" t="s">
        <v>87</v>
      </c>
      <c r="L1563" s="25">
        <v>44030</v>
      </c>
      <c r="M1563">
        <v>7</v>
      </c>
      <c r="N1563">
        <v>2020</v>
      </c>
      <c r="O1563" t="s">
        <v>110</v>
      </c>
      <c r="P1563">
        <v>170</v>
      </c>
      <c r="Q1563" s="17">
        <v>44030.489773726855</v>
      </c>
      <c r="R1563" t="s">
        <v>126</v>
      </c>
    </row>
    <row r="1564" spans="1:18" x14ac:dyDescent="0.3">
      <c r="A1564">
        <v>9686190</v>
      </c>
      <c r="B1564" t="s">
        <v>72</v>
      </c>
      <c r="C1564">
        <v>1329963</v>
      </c>
      <c r="D1564" t="s">
        <v>108</v>
      </c>
      <c r="E1564">
        <v>4138</v>
      </c>
      <c r="F1564" t="s">
        <v>17</v>
      </c>
      <c r="G1564" t="s">
        <v>129</v>
      </c>
      <c r="H1564" t="s">
        <v>263</v>
      </c>
      <c r="I1564" t="s">
        <v>82</v>
      </c>
      <c r="J1564" t="s">
        <v>42</v>
      </c>
      <c r="K1564" t="s">
        <v>87</v>
      </c>
      <c r="L1564" s="25">
        <v>44030</v>
      </c>
      <c r="M1564">
        <v>7</v>
      </c>
      <c r="N1564">
        <v>2020</v>
      </c>
      <c r="O1564" t="s">
        <v>110</v>
      </c>
      <c r="P1564">
        <v>170</v>
      </c>
      <c r="Q1564" s="17">
        <v>44030.485176388887</v>
      </c>
      <c r="R1564" t="s">
        <v>126</v>
      </c>
    </row>
    <row r="1565" spans="1:18" x14ac:dyDescent="0.3">
      <c r="A1565">
        <v>9685638</v>
      </c>
      <c r="B1565" t="s">
        <v>78</v>
      </c>
      <c r="C1565">
        <v>1328895</v>
      </c>
      <c r="D1565" t="s">
        <v>78</v>
      </c>
      <c r="E1565">
        <v>820</v>
      </c>
      <c r="F1565">
        <v>820</v>
      </c>
      <c r="G1565" t="s">
        <v>136</v>
      </c>
      <c r="H1565" t="s">
        <v>250</v>
      </c>
      <c r="I1565" t="s">
        <v>78</v>
      </c>
      <c r="J1565" t="s">
        <v>42</v>
      </c>
      <c r="K1565" t="s">
        <v>83</v>
      </c>
      <c r="L1565" s="25">
        <v>44030</v>
      </c>
      <c r="M1565">
        <v>7</v>
      </c>
      <c r="N1565">
        <v>2020</v>
      </c>
      <c r="O1565" t="s">
        <v>110</v>
      </c>
      <c r="P1565">
        <v>170</v>
      </c>
      <c r="Q1565" s="17">
        <v>44030.436922569446</v>
      </c>
      <c r="R1565" t="s">
        <v>126</v>
      </c>
    </row>
    <row r="1566" spans="1:18" x14ac:dyDescent="0.3">
      <c r="A1566">
        <v>9687695</v>
      </c>
      <c r="B1566" t="s">
        <v>72</v>
      </c>
      <c r="C1566">
        <v>1330567</v>
      </c>
      <c r="D1566" t="s">
        <v>108</v>
      </c>
      <c r="E1566">
        <v>820</v>
      </c>
      <c r="F1566">
        <v>820</v>
      </c>
      <c r="G1566" t="s">
        <v>136</v>
      </c>
      <c r="H1566" t="s">
        <v>270</v>
      </c>
      <c r="I1566" t="s">
        <v>82</v>
      </c>
      <c r="J1566" t="s">
        <v>42</v>
      </c>
      <c r="K1566" t="s">
        <v>83</v>
      </c>
      <c r="L1566" s="25">
        <v>44030</v>
      </c>
      <c r="M1566">
        <v>7</v>
      </c>
      <c r="N1566">
        <v>2020</v>
      </c>
      <c r="O1566" t="s">
        <v>110</v>
      </c>
      <c r="P1566">
        <v>170</v>
      </c>
      <c r="Q1566" s="17">
        <v>44030.488713425926</v>
      </c>
      <c r="R1566" t="s">
        <v>126</v>
      </c>
    </row>
    <row r="1567" spans="1:18" x14ac:dyDescent="0.3">
      <c r="A1567">
        <v>9685882</v>
      </c>
      <c r="B1567" t="s">
        <v>78</v>
      </c>
      <c r="C1567">
        <v>1328695</v>
      </c>
      <c r="D1567" t="s">
        <v>78</v>
      </c>
      <c r="E1567">
        <v>820</v>
      </c>
      <c r="F1567">
        <v>820</v>
      </c>
      <c r="G1567" t="s">
        <v>136</v>
      </c>
      <c r="H1567" t="s">
        <v>282</v>
      </c>
      <c r="I1567" t="s">
        <v>78</v>
      </c>
      <c r="J1567" t="s">
        <v>42</v>
      </c>
      <c r="K1567" t="s">
        <v>83</v>
      </c>
      <c r="L1567" s="25">
        <v>44030</v>
      </c>
      <c r="M1567">
        <v>7</v>
      </c>
      <c r="N1567">
        <v>2020</v>
      </c>
      <c r="O1567" t="s">
        <v>110</v>
      </c>
      <c r="P1567">
        <v>170</v>
      </c>
      <c r="Q1567" s="17">
        <v>44030.427455092591</v>
      </c>
      <c r="R1567" t="s">
        <v>126</v>
      </c>
    </row>
    <row r="1568" spans="1:18" x14ac:dyDescent="0.3">
      <c r="A1568">
        <v>9685639</v>
      </c>
      <c r="B1568" t="s">
        <v>78</v>
      </c>
      <c r="C1568">
        <v>1329236</v>
      </c>
      <c r="D1568" t="s">
        <v>78</v>
      </c>
      <c r="E1568">
        <v>820</v>
      </c>
      <c r="F1568">
        <v>820</v>
      </c>
      <c r="G1568" t="s">
        <v>136</v>
      </c>
      <c r="H1568" t="s">
        <v>250</v>
      </c>
      <c r="I1568" t="s">
        <v>78</v>
      </c>
      <c r="J1568" t="s">
        <v>42</v>
      </c>
      <c r="K1568" t="s">
        <v>83</v>
      </c>
      <c r="L1568" s="25">
        <v>44030</v>
      </c>
      <c r="M1568">
        <v>7</v>
      </c>
      <c r="N1568">
        <v>2020</v>
      </c>
      <c r="O1568" t="s">
        <v>110</v>
      </c>
      <c r="P1568">
        <v>170</v>
      </c>
      <c r="Q1568" s="17">
        <v>44030.457129745373</v>
      </c>
      <c r="R1568" t="s">
        <v>126</v>
      </c>
    </row>
    <row r="1569" spans="1:18" x14ac:dyDescent="0.3">
      <c r="A1569">
        <v>9662944</v>
      </c>
      <c r="B1569" t="s">
        <v>72</v>
      </c>
      <c r="C1569">
        <v>1306265</v>
      </c>
      <c r="D1569" t="s">
        <v>108</v>
      </c>
      <c r="E1569" t="s">
        <v>124</v>
      </c>
      <c r="F1569" t="s">
        <v>17</v>
      </c>
      <c r="G1569" t="s">
        <v>125</v>
      </c>
      <c r="H1569" t="s">
        <v>263</v>
      </c>
      <c r="I1569" t="s">
        <v>82</v>
      </c>
      <c r="J1569" t="s">
        <v>42</v>
      </c>
      <c r="K1569" t="s">
        <v>87</v>
      </c>
      <c r="L1569" s="25">
        <v>44030</v>
      </c>
      <c r="M1569">
        <v>7</v>
      </c>
      <c r="N1569">
        <v>2020</v>
      </c>
      <c r="O1569" t="s">
        <v>110</v>
      </c>
      <c r="P1569">
        <v>170</v>
      </c>
      <c r="Q1569" s="17">
        <v>44030.490995949076</v>
      </c>
      <c r="R1569" t="s">
        <v>126</v>
      </c>
    </row>
    <row r="1570" spans="1:18" x14ac:dyDescent="0.3">
      <c r="A1570">
        <v>242452</v>
      </c>
      <c r="B1570" t="s">
        <v>79</v>
      </c>
      <c r="C1570">
        <v>1325692</v>
      </c>
      <c r="D1570" t="s">
        <v>122</v>
      </c>
      <c r="E1570">
        <v>966</v>
      </c>
      <c r="F1570">
        <v>966</v>
      </c>
      <c r="G1570" t="s">
        <v>139</v>
      </c>
      <c r="H1570" t="s">
        <v>257</v>
      </c>
      <c r="I1570" t="s">
        <v>84</v>
      </c>
      <c r="J1570" t="s">
        <v>85</v>
      </c>
      <c r="K1570" t="s">
        <v>87</v>
      </c>
      <c r="L1570" s="25">
        <v>44030</v>
      </c>
      <c r="M1570">
        <v>7</v>
      </c>
      <c r="N1570">
        <v>2020</v>
      </c>
      <c r="O1570" t="s">
        <v>110</v>
      </c>
      <c r="P1570">
        <v>170</v>
      </c>
      <c r="Q1570" s="17">
        <v>44029.924976041664</v>
      </c>
      <c r="R1570" t="s">
        <v>126</v>
      </c>
    </row>
    <row r="1571" spans="1:18" x14ac:dyDescent="0.3">
      <c r="A1571">
        <v>9686944</v>
      </c>
      <c r="B1571" t="s">
        <v>72</v>
      </c>
      <c r="C1571">
        <v>1330206</v>
      </c>
      <c r="D1571" t="s">
        <v>108</v>
      </c>
      <c r="E1571" t="s">
        <v>164</v>
      </c>
      <c r="F1571" t="s">
        <v>17</v>
      </c>
      <c r="G1571" t="s">
        <v>165</v>
      </c>
      <c r="H1571" t="s">
        <v>263</v>
      </c>
      <c r="I1571" t="s">
        <v>82</v>
      </c>
      <c r="J1571" t="s">
        <v>42</v>
      </c>
      <c r="K1571" t="s">
        <v>87</v>
      </c>
      <c r="L1571" s="25">
        <v>44030</v>
      </c>
      <c r="M1571">
        <v>7</v>
      </c>
      <c r="N1571">
        <v>2020</v>
      </c>
      <c r="O1571" t="s">
        <v>110</v>
      </c>
      <c r="P1571">
        <v>170</v>
      </c>
      <c r="Q1571" s="17">
        <v>44030.493171527778</v>
      </c>
      <c r="R1571" t="s">
        <v>126</v>
      </c>
    </row>
    <row r="1572" spans="1:18" x14ac:dyDescent="0.3">
      <c r="A1572">
        <v>9686348</v>
      </c>
      <c r="B1572" t="s">
        <v>72</v>
      </c>
      <c r="C1572">
        <v>1329997</v>
      </c>
      <c r="D1572" t="s">
        <v>108</v>
      </c>
      <c r="E1572" t="s">
        <v>184</v>
      </c>
      <c r="F1572" t="s">
        <v>17</v>
      </c>
      <c r="G1572" t="s">
        <v>185</v>
      </c>
      <c r="H1572" t="s">
        <v>263</v>
      </c>
      <c r="I1572" t="s">
        <v>82</v>
      </c>
      <c r="J1572" t="s">
        <v>42</v>
      </c>
      <c r="K1572" t="s">
        <v>87</v>
      </c>
      <c r="L1572" s="25">
        <v>44030</v>
      </c>
      <c r="M1572">
        <v>7</v>
      </c>
      <c r="N1572">
        <v>2020</v>
      </c>
      <c r="O1572" t="s">
        <v>110</v>
      </c>
      <c r="P1572">
        <v>170</v>
      </c>
      <c r="Q1572" s="17">
        <v>44030.485881250002</v>
      </c>
      <c r="R1572" t="s">
        <v>126</v>
      </c>
    </row>
    <row r="1573" spans="1:18" x14ac:dyDescent="0.3">
      <c r="A1573">
        <v>241382</v>
      </c>
      <c r="B1573" t="s">
        <v>78</v>
      </c>
      <c r="C1573">
        <v>1325326</v>
      </c>
      <c r="D1573" t="s">
        <v>78</v>
      </c>
      <c r="E1573">
        <v>966</v>
      </c>
      <c r="F1573">
        <v>966</v>
      </c>
      <c r="G1573" t="s">
        <v>139</v>
      </c>
      <c r="H1573" t="s">
        <v>105</v>
      </c>
      <c r="I1573" t="s">
        <v>78</v>
      </c>
      <c r="J1573" t="s">
        <v>42</v>
      </c>
      <c r="K1573" t="s">
        <v>87</v>
      </c>
      <c r="L1573" s="25">
        <v>44030</v>
      </c>
      <c r="M1573">
        <v>7</v>
      </c>
      <c r="N1573">
        <v>2020</v>
      </c>
      <c r="O1573" t="s">
        <v>110</v>
      </c>
      <c r="P1573">
        <v>170</v>
      </c>
      <c r="Q1573" s="17">
        <v>44030.481712962966</v>
      </c>
      <c r="R1573" t="s">
        <v>126</v>
      </c>
    </row>
    <row r="1574" spans="1:18" x14ac:dyDescent="0.3">
      <c r="A1574">
        <v>9678313</v>
      </c>
      <c r="B1574" t="s">
        <v>72</v>
      </c>
      <c r="C1574">
        <v>1333541</v>
      </c>
      <c r="D1574" t="s">
        <v>108</v>
      </c>
      <c r="E1574" t="s">
        <v>26</v>
      </c>
      <c r="F1574" t="s">
        <v>26</v>
      </c>
      <c r="G1574" t="s">
        <v>137</v>
      </c>
      <c r="H1574" t="s">
        <v>229</v>
      </c>
      <c r="I1574" t="s">
        <v>84</v>
      </c>
      <c r="J1574" t="s">
        <v>85</v>
      </c>
      <c r="K1574" t="s">
        <v>83</v>
      </c>
      <c r="L1574" s="25">
        <v>44030</v>
      </c>
      <c r="M1574">
        <v>7</v>
      </c>
      <c r="N1574">
        <v>2020</v>
      </c>
      <c r="O1574" t="s">
        <v>110</v>
      </c>
      <c r="P1574">
        <v>170</v>
      </c>
      <c r="Q1574" s="17">
        <v>44031.075013888891</v>
      </c>
      <c r="R1574" t="s">
        <v>126</v>
      </c>
    </row>
    <row r="1575" spans="1:18" x14ac:dyDescent="0.3">
      <c r="A1575">
        <v>9685658</v>
      </c>
      <c r="B1575" t="s">
        <v>72</v>
      </c>
      <c r="C1575">
        <v>1329402</v>
      </c>
      <c r="D1575" t="s">
        <v>108</v>
      </c>
      <c r="E1575">
        <v>820</v>
      </c>
      <c r="F1575">
        <v>820</v>
      </c>
      <c r="G1575" t="s">
        <v>136</v>
      </c>
      <c r="H1575" t="s">
        <v>262</v>
      </c>
      <c r="I1575" t="s">
        <v>82</v>
      </c>
      <c r="J1575" t="s">
        <v>42</v>
      </c>
      <c r="K1575" t="s">
        <v>83</v>
      </c>
      <c r="L1575" s="25">
        <v>44030</v>
      </c>
      <c r="M1575">
        <v>7</v>
      </c>
      <c r="N1575">
        <v>2020</v>
      </c>
      <c r="O1575" t="s">
        <v>110</v>
      </c>
      <c r="P1575">
        <v>170</v>
      </c>
      <c r="Q1575" s="17">
        <v>44030.468540624999</v>
      </c>
      <c r="R1575" t="s">
        <v>126</v>
      </c>
    </row>
    <row r="1576" spans="1:18" x14ac:dyDescent="0.3">
      <c r="A1576">
        <v>241440</v>
      </c>
      <c r="B1576" t="s">
        <v>72</v>
      </c>
      <c r="C1576">
        <v>1320305</v>
      </c>
      <c r="D1576" t="s">
        <v>108</v>
      </c>
      <c r="E1576" t="s">
        <v>26</v>
      </c>
      <c r="F1576" t="s">
        <v>26</v>
      </c>
      <c r="G1576" t="s">
        <v>137</v>
      </c>
      <c r="H1576" t="s">
        <v>276</v>
      </c>
      <c r="I1576" t="s">
        <v>84</v>
      </c>
      <c r="J1576" t="s">
        <v>85</v>
      </c>
      <c r="K1576" t="s">
        <v>83</v>
      </c>
      <c r="L1576" s="25">
        <v>44030</v>
      </c>
      <c r="M1576">
        <v>7</v>
      </c>
      <c r="N1576">
        <v>2020</v>
      </c>
      <c r="O1576" t="s">
        <v>110</v>
      </c>
      <c r="P1576">
        <v>170</v>
      </c>
      <c r="Q1576" s="17">
        <v>44030.42868449074</v>
      </c>
      <c r="R1576" t="s">
        <v>126</v>
      </c>
    </row>
    <row r="1577" spans="1:18" x14ac:dyDescent="0.3">
      <c r="A1577">
        <v>9686896</v>
      </c>
      <c r="B1577" t="s">
        <v>80</v>
      </c>
      <c r="C1577">
        <v>1329797</v>
      </c>
      <c r="D1577" t="s">
        <v>113</v>
      </c>
      <c r="E1577" t="s">
        <v>146</v>
      </c>
      <c r="F1577" t="s">
        <v>17</v>
      </c>
      <c r="G1577" t="s">
        <v>153</v>
      </c>
      <c r="H1577" t="s">
        <v>232</v>
      </c>
      <c r="I1577" t="s">
        <v>84</v>
      </c>
      <c r="J1577" t="s">
        <v>85</v>
      </c>
      <c r="K1577" t="s">
        <v>87</v>
      </c>
      <c r="L1577" s="25">
        <v>44030</v>
      </c>
      <c r="M1577">
        <v>7</v>
      </c>
      <c r="N1577">
        <v>2020</v>
      </c>
      <c r="O1577" t="s">
        <v>110</v>
      </c>
      <c r="P1577">
        <v>170</v>
      </c>
      <c r="Q1577" s="17">
        <v>44030.476292824074</v>
      </c>
      <c r="R1577" t="s">
        <v>126</v>
      </c>
    </row>
    <row r="1578" spans="1:18" x14ac:dyDescent="0.3">
      <c r="A1578">
        <v>9680486</v>
      </c>
      <c r="B1578" t="s">
        <v>72</v>
      </c>
      <c r="C1578">
        <v>1324162</v>
      </c>
      <c r="D1578" t="s">
        <v>108</v>
      </c>
      <c r="E1578">
        <v>966</v>
      </c>
      <c r="F1578">
        <v>966</v>
      </c>
      <c r="G1578" t="s">
        <v>139</v>
      </c>
      <c r="H1578" t="s">
        <v>229</v>
      </c>
      <c r="I1578" t="s">
        <v>84</v>
      </c>
      <c r="J1578" t="s">
        <v>85</v>
      </c>
      <c r="K1578" t="s">
        <v>87</v>
      </c>
      <c r="L1578" s="25">
        <v>44030</v>
      </c>
      <c r="M1578">
        <v>7</v>
      </c>
      <c r="N1578">
        <v>2020</v>
      </c>
      <c r="O1578" t="s">
        <v>110</v>
      </c>
      <c r="P1578">
        <v>170</v>
      </c>
      <c r="Q1578" s="17">
        <v>44030.474780439814</v>
      </c>
      <c r="R1578" t="s">
        <v>126</v>
      </c>
    </row>
    <row r="1579" spans="1:18" x14ac:dyDescent="0.3">
      <c r="A1579">
        <v>21525339</v>
      </c>
      <c r="B1579" t="s">
        <v>72</v>
      </c>
      <c r="C1579">
        <v>1321320</v>
      </c>
      <c r="D1579" t="s">
        <v>108</v>
      </c>
      <c r="E1579" t="s">
        <v>26</v>
      </c>
      <c r="F1579" t="s">
        <v>26</v>
      </c>
      <c r="G1579" t="s">
        <v>137</v>
      </c>
      <c r="H1579" t="s">
        <v>265</v>
      </c>
      <c r="I1579" t="s">
        <v>82</v>
      </c>
      <c r="J1579" t="s">
        <v>42</v>
      </c>
      <c r="K1579" t="s">
        <v>83</v>
      </c>
      <c r="L1579" s="25">
        <v>44030</v>
      </c>
      <c r="M1579">
        <v>7</v>
      </c>
      <c r="N1579">
        <v>2020</v>
      </c>
      <c r="O1579" t="s">
        <v>110</v>
      </c>
      <c r="P1579">
        <v>170</v>
      </c>
      <c r="Q1579" s="17">
        <v>44030.448230092596</v>
      </c>
      <c r="R1579" t="s">
        <v>126</v>
      </c>
    </row>
    <row r="1580" spans="1:18" x14ac:dyDescent="0.3">
      <c r="A1580">
        <v>9686852</v>
      </c>
      <c r="B1580" t="s">
        <v>80</v>
      </c>
      <c r="C1580">
        <v>1329727</v>
      </c>
      <c r="D1580" t="s">
        <v>113</v>
      </c>
      <c r="E1580" t="s">
        <v>146</v>
      </c>
      <c r="F1580" t="s">
        <v>17</v>
      </c>
      <c r="G1580" t="s">
        <v>153</v>
      </c>
      <c r="H1580" t="s">
        <v>232</v>
      </c>
      <c r="I1580" t="s">
        <v>84</v>
      </c>
      <c r="J1580" t="s">
        <v>85</v>
      </c>
      <c r="K1580" t="s">
        <v>87</v>
      </c>
      <c r="L1580" s="25">
        <v>44030</v>
      </c>
      <c r="M1580">
        <v>7</v>
      </c>
      <c r="N1580">
        <v>2020</v>
      </c>
      <c r="O1580" t="s">
        <v>110</v>
      </c>
      <c r="P1580">
        <v>170</v>
      </c>
      <c r="Q1580" s="17">
        <v>44030.458903472223</v>
      </c>
      <c r="R1580" t="s">
        <v>126</v>
      </c>
    </row>
    <row r="1581" spans="1:18" x14ac:dyDescent="0.3">
      <c r="A1581">
        <v>9686904</v>
      </c>
      <c r="B1581" t="s">
        <v>80</v>
      </c>
      <c r="C1581">
        <v>1329825</v>
      </c>
      <c r="D1581" t="s">
        <v>113</v>
      </c>
      <c r="E1581" t="s">
        <v>146</v>
      </c>
      <c r="F1581" t="s">
        <v>17</v>
      </c>
      <c r="G1581" t="s">
        <v>153</v>
      </c>
      <c r="H1581" t="s">
        <v>232</v>
      </c>
      <c r="I1581" t="s">
        <v>84</v>
      </c>
      <c r="J1581" t="s">
        <v>85</v>
      </c>
      <c r="K1581" t="s">
        <v>87</v>
      </c>
      <c r="L1581" s="25">
        <v>44030</v>
      </c>
      <c r="M1581">
        <v>7</v>
      </c>
      <c r="N1581">
        <v>2020</v>
      </c>
      <c r="O1581" t="s">
        <v>110</v>
      </c>
      <c r="P1581">
        <v>170</v>
      </c>
      <c r="Q1581" s="17">
        <v>44030.482184606481</v>
      </c>
      <c r="R1581" t="s">
        <v>126</v>
      </c>
    </row>
    <row r="1582" spans="1:18" x14ac:dyDescent="0.3">
      <c r="A1582">
        <v>9674254</v>
      </c>
      <c r="B1582" t="s">
        <v>72</v>
      </c>
      <c r="C1582">
        <v>1319984</v>
      </c>
      <c r="D1582" t="s">
        <v>108</v>
      </c>
      <c r="E1582" t="s">
        <v>124</v>
      </c>
      <c r="F1582" t="s">
        <v>17</v>
      </c>
      <c r="G1582" t="s">
        <v>125</v>
      </c>
      <c r="H1582" t="s">
        <v>263</v>
      </c>
      <c r="I1582" t="s">
        <v>82</v>
      </c>
      <c r="J1582" t="s">
        <v>42</v>
      </c>
      <c r="K1582" t="s">
        <v>87</v>
      </c>
      <c r="L1582" s="25">
        <v>44030</v>
      </c>
      <c r="M1582">
        <v>7</v>
      </c>
      <c r="N1582">
        <v>2020</v>
      </c>
      <c r="O1582" t="s">
        <v>110</v>
      </c>
      <c r="P1582">
        <v>170</v>
      </c>
      <c r="Q1582" s="17">
        <v>44030.424180092596</v>
      </c>
      <c r="R1582" t="s">
        <v>126</v>
      </c>
    </row>
    <row r="1583" spans="1:18" x14ac:dyDescent="0.3">
      <c r="A1583">
        <v>9685957</v>
      </c>
      <c r="B1583" t="s">
        <v>78</v>
      </c>
      <c r="C1583">
        <v>1328923</v>
      </c>
      <c r="D1583" t="s">
        <v>78</v>
      </c>
      <c r="E1583">
        <v>820</v>
      </c>
      <c r="F1583">
        <v>820</v>
      </c>
      <c r="G1583" t="s">
        <v>136</v>
      </c>
      <c r="H1583" t="s">
        <v>250</v>
      </c>
      <c r="I1583" t="s">
        <v>78</v>
      </c>
      <c r="J1583" t="s">
        <v>42</v>
      </c>
      <c r="K1583" t="s">
        <v>83</v>
      </c>
      <c r="L1583" s="25">
        <v>44030</v>
      </c>
      <c r="M1583">
        <v>7</v>
      </c>
      <c r="N1583">
        <v>2020</v>
      </c>
      <c r="O1583" t="s">
        <v>110</v>
      </c>
      <c r="P1583">
        <v>170</v>
      </c>
      <c r="Q1583" s="17">
        <v>44030.44021666667</v>
      </c>
      <c r="R1583" t="s">
        <v>126</v>
      </c>
    </row>
    <row r="1584" spans="1:18" x14ac:dyDescent="0.3">
      <c r="A1584">
        <v>9687683</v>
      </c>
      <c r="B1584" t="s">
        <v>78</v>
      </c>
      <c r="C1584">
        <v>1330629</v>
      </c>
      <c r="D1584" t="s">
        <v>78</v>
      </c>
      <c r="E1584">
        <v>820</v>
      </c>
      <c r="F1584">
        <v>820</v>
      </c>
      <c r="G1584" t="s">
        <v>136</v>
      </c>
      <c r="H1584" t="s">
        <v>249</v>
      </c>
      <c r="I1584" t="s">
        <v>78</v>
      </c>
      <c r="J1584" t="s">
        <v>42</v>
      </c>
      <c r="K1584" t="s">
        <v>83</v>
      </c>
      <c r="L1584" s="25">
        <v>44030</v>
      </c>
      <c r="M1584">
        <v>7</v>
      </c>
      <c r="N1584">
        <v>2020</v>
      </c>
      <c r="O1584" t="s">
        <v>110</v>
      </c>
      <c r="P1584">
        <v>170</v>
      </c>
      <c r="Q1584" s="17">
        <v>44031.032298842591</v>
      </c>
      <c r="R1584" t="s">
        <v>126</v>
      </c>
    </row>
    <row r="1585" spans="1:18" x14ac:dyDescent="0.3">
      <c r="A1585">
        <v>242604</v>
      </c>
      <c r="B1585" t="s">
        <v>72</v>
      </c>
      <c r="C1585">
        <v>1325749</v>
      </c>
      <c r="D1585" t="s">
        <v>108</v>
      </c>
      <c r="E1585">
        <v>966</v>
      </c>
      <c r="F1585">
        <v>966</v>
      </c>
      <c r="G1585" t="s">
        <v>139</v>
      </c>
      <c r="H1585" t="s">
        <v>229</v>
      </c>
      <c r="I1585" t="s">
        <v>84</v>
      </c>
      <c r="J1585" t="s">
        <v>85</v>
      </c>
      <c r="K1585" t="s">
        <v>87</v>
      </c>
      <c r="L1585" s="25">
        <v>44030</v>
      </c>
      <c r="M1585">
        <v>7</v>
      </c>
      <c r="N1585">
        <v>2020</v>
      </c>
      <c r="O1585" t="s">
        <v>110</v>
      </c>
      <c r="P1585">
        <v>170</v>
      </c>
      <c r="Q1585" s="17">
        <v>44030.371668518521</v>
      </c>
      <c r="R1585" t="s">
        <v>126</v>
      </c>
    </row>
    <row r="1586" spans="1:18" x14ac:dyDescent="0.3">
      <c r="A1586">
        <v>9686693</v>
      </c>
      <c r="B1586" t="s">
        <v>80</v>
      </c>
      <c r="C1586">
        <v>1329710</v>
      </c>
      <c r="D1586" t="s">
        <v>113</v>
      </c>
      <c r="E1586" t="s">
        <v>146</v>
      </c>
      <c r="F1586" t="s">
        <v>17</v>
      </c>
      <c r="G1586" t="s">
        <v>153</v>
      </c>
      <c r="H1586" t="s">
        <v>232</v>
      </c>
      <c r="I1586" t="s">
        <v>84</v>
      </c>
      <c r="J1586" t="s">
        <v>85</v>
      </c>
      <c r="K1586" t="s">
        <v>87</v>
      </c>
      <c r="L1586" s="25">
        <v>44030</v>
      </c>
      <c r="M1586">
        <v>7</v>
      </c>
      <c r="N1586">
        <v>2020</v>
      </c>
      <c r="O1586" t="s">
        <v>110</v>
      </c>
      <c r="P1586">
        <v>170</v>
      </c>
      <c r="Q1586" s="17">
        <v>44030.455273958331</v>
      </c>
      <c r="R1586" t="s">
        <v>126</v>
      </c>
    </row>
    <row r="1587" spans="1:18" x14ac:dyDescent="0.3">
      <c r="A1587">
        <v>9674129</v>
      </c>
      <c r="B1587" t="s">
        <v>78</v>
      </c>
      <c r="C1587">
        <v>1318278</v>
      </c>
      <c r="D1587" t="s">
        <v>78</v>
      </c>
      <c r="E1587">
        <v>966</v>
      </c>
      <c r="F1587">
        <v>966</v>
      </c>
      <c r="G1587" t="s">
        <v>139</v>
      </c>
      <c r="H1587" t="s">
        <v>228</v>
      </c>
      <c r="I1587" t="s">
        <v>78</v>
      </c>
      <c r="J1587" t="s">
        <v>42</v>
      </c>
      <c r="K1587" t="s">
        <v>87</v>
      </c>
      <c r="L1587" s="25">
        <v>44030</v>
      </c>
      <c r="M1587">
        <v>7</v>
      </c>
      <c r="N1587">
        <v>2020</v>
      </c>
      <c r="O1587" t="s">
        <v>110</v>
      </c>
      <c r="P1587">
        <v>170</v>
      </c>
      <c r="Q1587" s="17">
        <v>44030.427501967592</v>
      </c>
      <c r="R1587" t="s">
        <v>126</v>
      </c>
    </row>
    <row r="1588" spans="1:18" x14ac:dyDescent="0.3">
      <c r="A1588">
        <v>9686911</v>
      </c>
      <c r="B1588" t="s">
        <v>80</v>
      </c>
      <c r="C1588">
        <v>1329808</v>
      </c>
      <c r="D1588" t="s">
        <v>113</v>
      </c>
      <c r="E1588" t="s">
        <v>146</v>
      </c>
      <c r="F1588" t="s">
        <v>17</v>
      </c>
      <c r="G1588" t="s">
        <v>153</v>
      </c>
      <c r="H1588" t="s">
        <v>232</v>
      </c>
      <c r="I1588" t="s">
        <v>84</v>
      </c>
      <c r="J1588" t="s">
        <v>85</v>
      </c>
      <c r="K1588" t="s">
        <v>87</v>
      </c>
      <c r="L1588" s="25">
        <v>44030</v>
      </c>
      <c r="M1588">
        <v>7</v>
      </c>
      <c r="N1588">
        <v>2020</v>
      </c>
      <c r="O1588" t="s">
        <v>110</v>
      </c>
      <c r="P1588">
        <v>170</v>
      </c>
      <c r="Q1588" s="17">
        <v>44030.476816435184</v>
      </c>
      <c r="R1588" t="s">
        <v>126</v>
      </c>
    </row>
    <row r="1589" spans="1:18" x14ac:dyDescent="0.3">
      <c r="A1589">
        <v>9675329</v>
      </c>
      <c r="B1589" t="s">
        <v>72</v>
      </c>
      <c r="C1589">
        <v>1318295</v>
      </c>
      <c r="D1589" t="s">
        <v>108</v>
      </c>
      <c r="E1589">
        <v>966</v>
      </c>
      <c r="F1589">
        <v>966</v>
      </c>
      <c r="G1589" t="s">
        <v>139</v>
      </c>
      <c r="H1589" t="s">
        <v>229</v>
      </c>
      <c r="I1589" t="s">
        <v>84</v>
      </c>
      <c r="J1589" t="s">
        <v>85</v>
      </c>
      <c r="K1589" t="s">
        <v>87</v>
      </c>
      <c r="L1589" s="25">
        <v>44030</v>
      </c>
      <c r="M1589">
        <v>7</v>
      </c>
      <c r="N1589">
        <v>2020</v>
      </c>
      <c r="O1589" t="s">
        <v>110</v>
      </c>
      <c r="P1589">
        <v>170</v>
      </c>
      <c r="Q1589" s="17">
        <v>44030.428614583332</v>
      </c>
      <c r="R1589" t="s">
        <v>126</v>
      </c>
    </row>
    <row r="1590" spans="1:18" x14ac:dyDescent="0.3">
      <c r="A1590">
        <v>9685734</v>
      </c>
      <c r="B1590" t="s">
        <v>72</v>
      </c>
      <c r="C1590">
        <v>1329842</v>
      </c>
      <c r="D1590" t="s">
        <v>108</v>
      </c>
      <c r="E1590">
        <v>820</v>
      </c>
      <c r="F1590">
        <v>820</v>
      </c>
      <c r="G1590" t="s">
        <v>136</v>
      </c>
      <c r="H1590" t="s">
        <v>270</v>
      </c>
      <c r="I1590" t="s">
        <v>82</v>
      </c>
      <c r="J1590" t="s">
        <v>42</v>
      </c>
      <c r="K1590" t="s">
        <v>83</v>
      </c>
      <c r="L1590" s="25">
        <v>44030</v>
      </c>
      <c r="M1590">
        <v>7</v>
      </c>
      <c r="N1590">
        <v>2020</v>
      </c>
      <c r="O1590" t="s">
        <v>110</v>
      </c>
      <c r="P1590">
        <v>170</v>
      </c>
      <c r="Q1590" s="17">
        <v>44030.479676967596</v>
      </c>
      <c r="R1590" t="s">
        <v>126</v>
      </c>
    </row>
    <row r="1591" spans="1:18" x14ac:dyDescent="0.3">
      <c r="A1591">
        <v>244595</v>
      </c>
      <c r="B1591" t="s">
        <v>72</v>
      </c>
      <c r="C1591">
        <v>1329693</v>
      </c>
      <c r="D1591" t="s">
        <v>108</v>
      </c>
      <c r="E1591" t="s">
        <v>124</v>
      </c>
      <c r="F1591" t="s">
        <v>17</v>
      </c>
      <c r="G1591" t="s">
        <v>125</v>
      </c>
      <c r="H1591" t="s">
        <v>263</v>
      </c>
      <c r="I1591" t="s">
        <v>82</v>
      </c>
      <c r="J1591" t="s">
        <v>42</v>
      </c>
      <c r="K1591" t="s">
        <v>87</v>
      </c>
      <c r="L1591" s="25">
        <v>44030</v>
      </c>
      <c r="M1591">
        <v>7</v>
      </c>
      <c r="N1591">
        <v>2020</v>
      </c>
      <c r="O1591" t="s">
        <v>110</v>
      </c>
      <c r="P1591">
        <v>170</v>
      </c>
      <c r="Q1591" s="17">
        <v>44030.455282870367</v>
      </c>
      <c r="R1591" t="s">
        <v>126</v>
      </c>
    </row>
    <row r="1592" spans="1:18" x14ac:dyDescent="0.3">
      <c r="A1592">
        <v>9685917</v>
      </c>
      <c r="B1592" t="s">
        <v>78</v>
      </c>
      <c r="C1592">
        <v>1329859</v>
      </c>
      <c r="D1592" t="s">
        <v>78</v>
      </c>
      <c r="E1592">
        <v>820</v>
      </c>
      <c r="F1592">
        <v>820</v>
      </c>
      <c r="G1592" t="s">
        <v>136</v>
      </c>
      <c r="H1592" t="s">
        <v>228</v>
      </c>
      <c r="I1592" t="s">
        <v>78</v>
      </c>
      <c r="J1592" t="s">
        <v>42</v>
      </c>
      <c r="K1592" t="s">
        <v>83</v>
      </c>
      <c r="L1592" s="25">
        <v>44030</v>
      </c>
      <c r="M1592">
        <v>7</v>
      </c>
      <c r="N1592">
        <v>2020</v>
      </c>
      <c r="O1592" t="s">
        <v>110</v>
      </c>
      <c r="P1592">
        <v>170</v>
      </c>
      <c r="Q1592" s="17">
        <v>44030.48534201389</v>
      </c>
      <c r="R1592" t="s">
        <v>126</v>
      </c>
    </row>
    <row r="1593" spans="1:18" x14ac:dyDescent="0.3">
      <c r="A1593">
        <v>9686408</v>
      </c>
      <c r="B1593" t="s">
        <v>78</v>
      </c>
      <c r="C1593">
        <v>1330008</v>
      </c>
      <c r="D1593" t="s">
        <v>78</v>
      </c>
      <c r="E1593" t="s">
        <v>158</v>
      </c>
      <c r="F1593" t="s">
        <v>17</v>
      </c>
      <c r="G1593" t="s">
        <v>159</v>
      </c>
      <c r="H1593" t="s">
        <v>287</v>
      </c>
      <c r="I1593" t="s">
        <v>78</v>
      </c>
      <c r="J1593" t="s">
        <v>42</v>
      </c>
      <c r="K1593" t="s">
        <v>87</v>
      </c>
      <c r="L1593" s="25">
        <v>44030</v>
      </c>
      <c r="M1593">
        <v>7</v>
      </c>
      <c r="N1593">
        <v>2020</v>
      </c>
      <c r="O1593" t="s">
        <v>110</v>
      </c>
      <c r="P1593">
        <v>170</v>
      </c>
      <c r="Q1593" s="17">
        <v>44030.484521180559</v>
      </c>
      <c r="R1593" t="s">
        <v>126</v>
      </c>
    </row>
    <row r="1594" spans="1:18" x14ac:dyDescent="0.3">
      <c r="A1594">
        <v>9686588</v>
      </c>
      <c r="B1594" t="s">
        <v>72</v>
      </c>
      <c r="C1594">
        <v>1329946</v>
      </c>
      <c r="D1594" t="s">
        <v>108</v>
      </c>
      <c r="E1594" t="s">
        <v>146</v>
      </c>
      <c r="F1594" t="s">
        <v>17</v>
      </c>
      <c r="G1594" t="s">
        <v>153</v>
      </c>
      <c r="H1594" t="s">
        <v>263</v>
      </c>
      <c r="I1594" t="s">
        <v>82</v>
      </c>
      <c r="J1594" t="s">
        <v>42</v>
      </c>
      <c r="K1594" t="s">
        <v>87</v>
      </c>
      <c r="L1594" s="25">
        <v>44030</v>
      </c>
      <c r="M1594">
        <v>7</v>
      </c>
      <c r="N1594">
        <v>2020</v>
      </c>
      <c r="O1594" t="s">
        <v>110</v>
      </c>
      <c r="P1594">
        <v>170</v>
      </c>
      <c r="Q1594" s="17">
        <v>44030.483577430554</v>
      </c>
      <c r="R1594" t="s">
        <v>126</v>
      </c>
    </row>
    <row r="1595" spans="1:18" x14ac:dyDescent="0.3">
      <c r="A1595">
        <v>9686921</v>
      </c>
      <c r="B1595" t="s">
        <v>80</v>
      </c>
      <c r="C1595">
        <v>1329814</v>
      </c>
      <c r="D1595" t="s">
        <v>113</v>
      </c>
      <c r="E1595" t="s">
        <v>146</v>
      </c>
      <c r="F1595" t="s">
        <v>17</v>
      </c>
      <c r="G1595" t="s">
        <v>153</v>
      </c>
      <c r="H1595" t="s">
        <v>232</v>
      </c>
      <c r="I1595" t="s">
        <v>84</v>
      </c>
      <c r="J1595" t="s">
        <v>85</v>
      </c>
      <c r="K1595" t="s">
        <v>87</v>
      </c>
      <c r="L1595" s="25">
        <v>44030</v>
      </c>
      <c r="M1595">
        <v>7</v>
      </c>
      <c r="N1595">
        <v>2020</v>
      </c>
      <c r="O1595" t="s">
        <v>110</v>
      </c>
      <c r="P1595">
        <v>170</v>
      </c>
      <c r="Q1595" s="17">
        <v>44030.47877199074</v>
      </c>
      <c r="R1595" t="s">
        <v>126</v>
      </c>
    </row>
    <row r="1596" spans="1:18" x14ac:dyDescent="0.3">
      <c r="A1596">
        <v>9685984</v>
      </c>
      <c r="B1596" t="s">
        <v>78</v>
      </c>
      <c r="C1596">
        <v>1329385</v>
      </c>
      <c r="D1596" t="s">
        <v>78</v>
      </c>
      <c r="E1596">
        <v>820</v>
      </c>
      <c r="F1596">
        <v>820</v>
      </c>
      <c r="G1596" t="s">
        <v>136</v>
      </c>
      <c r="H1596" t="s">
        <v>249</v>
      </c>
      <c r="I1596" t="s">
        <v>78</v>
      </c>
      <c r="J1596" t="s">
        <v>42</v>
      </c>
      <c r="K1596" t="s">
        <v>83</v>
      </c>
      <c r="L1596" s="25">
        <v>44030</v>
      </c>
      <c r="M1596">
        <v>7</v>
      </c>
      <c r="N1596">
        <v>2020</v>
      </c>
      <c r="O1596" t="s">
        <v>110</v>
      </c>
      <c r="P1596">
        <v>170</v>
      </c>
      <c r="Q1596" s="17">
        <v>44030.466407175925</v>
      </c>
      <c r="R1596" t="s">
        <v>126</v>
      </c>
    </row>
    <row r="1597" spans="1:18" x14ac:dyDescent="0.3">
      <c r="A1597">
        <v>9690908</v>
      </c>
      <c r="B1597" t="s">
        <v>72</v>
      </c>
      <c r="C1597">
        <v>1331686</v>
      </c>
      <c r="D1597" t="s">
        <v>108</v>
      </c>
      <c r="E1597">
        <v>966</v>
      </c>
      <c r="F1597">
        <v>966</v>
      </c>
      <c r="G1597" t="s">
        <v>139</v>
      </c>
      <c r="H1597" t="s">
        <v>229</v>
      </c>
      <c r="I1597" t="s">
        <v>84</v>
      </c>
      <c r="J1597" t="s">
        <v>85</v>
      </c>
      <c r="K1597" t="s">
        <v>87</v>
      </c>
      <c r="L1597" s="25">
        <v>44030</v>
      </c>
      <c r="M1597">
        <v>7</v>
      </c>
      <c r="N1597">
        <v>2020</v>
      </c>
      <c r="O1597" t="s">
        <v>110</v>
      </c>
      <c r="P1597">
        <v>170</v>
      </c>
      <c r="Q1597" s="17">
        <v>44030.382090393519</v>
      </c>
      <c r="R1597" t="s">
        <v>126</v>
      </c>
    </row>
    <row r="1598" spans="1:18" x14ac:dyDescent="0.3">
      <c r="A1598">
        <v>9678517</v>
      </c>
      <c r="B1598" t="s">
        <v>78</v>
      </c>
      <c r="C1598">
        <v>1321676</v>
      </c>
      <c r="D1598" t="s">
        <v>78</v>
      </c>
      <c r="E1598" t="s">
        <v>26</v>
      </c>
      <c r="F1598" t="s">
        <v>26</v>
      </c>
      <c r="G1598" t="s">
        <v>137</v>
      </c>
      <c r="H1598" t="s">
        <v>260</v>
      </c>
      <c r="I1598" t="s">
        <v>78</v>
      </c>
      <c r="J1598" t="s">
        <v>42</v>
      </c>
      <c r="K1598" t="s">
        <v>83</v>
      </c>
      <c r="L1598" s="25">
        <v>44030</v>
      </c>
      <c r="M1598">
        <v>7</v>
      </c>
      <c r="N1598">
        <v>2020</v>
      </c>
      <c r="O1598" t="s">
        <v>110</v>
      </c>
      <c r="P1598">
        <v>170</v>
      </c>
      <c r="Q1598" s="17">
        <v>44030.465297106479</v>
      </c>
      <c r="R1598" t="s">
        <v>126</v>
      </c>
    </row>
    <row r="1599" spans="1:18" x14ac:dyDescent="0.3">
      <c r="A1599">
        <v>9686635</v>
      </c>
      <c r="B1599" t="s">
        <v>78</v>
      </c>
      <c r="C1599">
        <v>1330032</v>
      </c>
      <c r="D1599" t="s">
        <v>78</v>
      </c>
      <c r="E1599">
        <v>8416</v>
      </c>
      <c r="F1599" t="s">
        <v>17</v>
      </c>
      <c r="G1599" t="s">
        <v>152</v>
      </c>
      <c r="H1599" t="s">
        <v>134</v>
      </c>
      <c r="I1599" t="s">
        <v>78</v>
      </c>
      <c r="J1599" t="s">
        <v>42</v>
      </c>
      <c r="K1599" t="s">
        <v>87</v>
      </c>
      <c r="L1599" s="25">
        <v>44030</v>
      </c>
      <c r="M1599">
        <v>7</v>
      </c>
      <c r="N1599">
        <v>2020</v>
      </c>
      <c r="O1599" t="s">
        <v>110</v>
      </c>
      <c r="P1599">
        <v>170</v>
      </c>
      <c r="Q1599" s="17">
        <v>44030.486513541669</v>
      </c>
      <c r="R1599" t="s">
        <v>126</v>
      </c>
    </row>
    <row r="1600" spans="1:18" x14ac:dyDescent="0.3">
      <c r="A1600">
        <v>9686882</v>
      </c>
      <c r="B1600" t="s">
        <v>80</v>
      </c>
      <c r="C1600">
        <v>1329771</v>
      </c>
      <c r="D1600" t="s">
        <v>113</v>
      </c>
      <c r="E1600" t="s">
        <v>146</v>
      </c>
      <c r="F1600" t="s">
        <v>17</v>
      </c>
      <c r="G1600" t="s">
        <v>153</v>
      </c>
      <c r="H1600" t="s">
        <v>232</v>
      </c>
      <c r="I1600" t="s">
        <v>84</v>
      </c>
      <c r="J1600" t="s">
        <v>85</v>
      </c>
      <c r="K1600" t="s">
        <v>87</v>
      </c>
      <c r="L1600" s="25">
        <v>44030</v>
      </c>
      <c r="M1600">
        <v>7</v>
      </c>
      <c r="N1600">
        <v>2020</v>
      </c>
      <c r="O1600" t="s">
        <v>110</v>
      </c>
      <c r="P1600">
        <v>170</v>
      </c>
      <c r="Q1600" s="17">
        <v>44030.471178819447</v>
      </c>
      <c r="R1600" t="s">
        <v>126</v>
      </c>
    </row>
    <row r="1601" spans="1:18" x14ac:dyDescent="0.3">
      <c r="A1601">
        <v>9681181</v>
      </c>
      <c r="B1601" t="s">
        <v>72</v>
      </c>
      <c r="C1601">
        <v>1331500</v>
      </c>
      <c r="D1601" t="s">
        <v>108</v>
      </c>
      <c r="E1601" t="s">
        <v>26</v>
      </c>
      <c r="F1601" t="s">
        <v>26</v>
      </c>
      <c r="G1601" t="s">
        <v>137</v>
      </c>
      <c r="H1601" t="s">
        <v>229</v>
      </c>
      <c r="I1601" t="s">
        <v>84</v>
      </c>
      <c r="J1601" t="s">
        <v>85</v>
      </c>
      <c r="K1601" t="s">
        <v>83</v>
      </c>
      <c r="L1601" s="25">
        <v>44030</v>
      </c>
      <c r="M1601">
        <v>7</v>
      </c>
      <c r="N1601">
        <v>2020</v>
      </c>
      <c r="O1601" t="s">
        <v>110</v>
      </c>
      <c r="P1601">
        <v>170</v>
      </c>
      <c r="Q1601" s="17">
        <v>44030.380816435187</v>
      </c>
      <c r="R1601" t="s">
        <v>126</v>
      </c>
    </row>
    <row r="1602" spans="1:18" x14ac:dyDescent="0.3">
      <c r="A1602">
        <v>9680242</v>
      </c>
      <c r="B1602" t="s">
        <v>78</v>
      </c>
      <c r="C1602">
        <v>1321215</v>
      </c>
      <c r="D1602" t="s">
        <v>78</v>
      </c>
      <c r="E1602" t="s">
        <v>26</v>
      </c>
      <c r="F1602" t="s">
        <v>26</v>
      </c>
      <c r="G1602" t="s">
        <v>137</v>
      </c>
      <c r="H1602" t="s">
        <v>245</v>
      </c>
      <c r="I1602" t="s">
        <v>78</v>
      </c>
      <c r="J1602" t="s">
        <v>42</v>
      </c>
      <c r="K1602" t="s">
        <v>83</v>
      </c>
      <c r="L1602" s="25">
        <v>44030</v>
      </c>
      <c r="M1602">
        <v>7</v>
      </c>
      <c r="N1602">
        <v>2020</v>
      </c>
      <c r="O1602" t="s">
        <v>110</v>
      </c>
      <c r="P1602">
        <v>170</v>
      </c>
      <c r="Q1602" s="17">
        <v>44030.453215972222</v>
      </c>
      <c r="R1602" t="s">
        <v>126</v>
      </c>
    </row>
    <row r="1603" spans="1:18" x14ac:dyDescent="0.3">
      <c r="A1603">
        <v>9686162</v>
      </c>
      <c r="B1603" t="s">
        <v>80</v>
      </c>
      <c r="C1603">
        <v>1329628</v>
      </c>
      <c r="D1603" t="s">
        <v>113</v>
      </c>
      <c r="E1603" t="s">
        <v>146</v>
      </c>
      <c r="F1603" t="s">
        <v>17</v>
      </c>
      <c r="G1603" t="s">
        <v>153</v>
      </c>
      <c r="H1603" t="s">
        <v>232</v>
      </c>
      <c r="I1603" t="s">
        <v>84</v>
      </c>
      <c r="J1603" t="s">
        <v>85</v>
      </c>
      <c r="K1603" t="s">
        <v>87</v>
      </c>
      <c r="L1603" s="25">
        <v>44030</v>
      </c>
      <c r="M1603">
        <v>7</v>
      </c>
      <c r="N1603">
        <v>2020</v>
      </c>
      <c r="O1603" t="s">
        <v>110</v>
      </c>
      <c r="P1603">
        <v>170</v>
      </c>
      <c r="Q1603" s="17">
        <v>44030.436470486115</v>
      </c>
      <c r="R1603" t="s">
        <v>126</v>
      </c>
    </row>
    <row r="1604" spans="1:18" x14ac:dyDescent="0.3">
      <c r="A1604">
        <v>21532852</v>
      </c>
      <c r="B1604" t="s">
        <v>72</v>
      </c>
      <c r="C1604">
        <v>1333933</v>
      </c>
      <c r="D1604" t="s">
        <v>108</v>
      </c>
      <c r="E1604" t="s">
        <v>288</v>
      </c>
      <c r="F1604" t="s">
        <v>288</v>
      </c>
      <c r="G1604" t="s">
        <v>289</v>
      </c>
      <c r="H1604" t="s">
        <v>229</v>
      </c>
      <c r="I1604" t="s">
        <v>84</v>
      </c>
      <c r="J1604" t="s">
        <v>85</v>
      </c>
      <c r="K1604" t="s">
        <v>87</v>
      </c>
      <c r="L1604" s="25">
        <v>44030</v>
      </c>
      <c r="M1604">
        <v>7</v>
      </c>
      <c r="N1604">
        <v>2020</v>
      </c>
      <c r="O1604" t="s">
        <v>110</v>
      </c>
      <c r="P1604">
        <v>170</v>
      </c>
      <c r="Q1604" s="17">
        <v>44031.07594988426</v>
      </c>
      <c r="R1604" t="s">
        <v>126</v>
      </c>
    </row>
    <row r="1605" spans="1:18" x14ac:dyDescent="0.3">
      <c r="A1605">
        <v>9685919</v>
      </c>
      <c r="B1605" t="s">
        <v>72</v>
      </c>
      <c r="C1605">
        <v>1329903</v>
      </c>
      <c r="D1605" t="s">
        <v>108</v>
      </c>
      <c r="E1605">
        <v>820</v>
      </c>
      <c r="F1605">
        <v>820</v>
      </c>
      <c r="G1605" t="s">
        <v>136</v>
      </c>
      <c r="H1605" t="s">
        <v>270</v>
      </c>
      <c r="I1605" t="s">
        <v>82</v>
      </c>
      <c r="J1605" t="s">
        <v>42</v>
      </c>
      <c r="K1605" t="s">
        <v>83</v>
      </c>
      <c r="L1605" s="25">
        <v>44030</v>
      </c>
      <c r="M1605">
        <v>7</v>
      </c>
      <c r="N1605">
        <v>2020</v>
      </c>
      <c r="O1605" t="s">
        <v>110</v>
      </c>
      <c r="P1605">
        <v>170</v>
      </c>
      <c r="Q1605" s="17">
        <v>44030.48446388889</v>
      </c>
      <c r="R1605" t="s">
        <v>126</v>
      </c>
    </row>
    <row r="1606" spans="1:18" x14ac:dyDescent="0.3">
      <c r="A1606">
        <v>9685846</v>
      </c>
      <c r="B1606" t="s">
        <v>78</v>
      </c>
      <c r="C1606">
        <v>1329010</v>
      </c>
      <c r="D1606" t="s">
        <v>78</v>
      </c>
      <c r="E1606">
        <v>820</v>
      </c>
      <c r="F1606">
        <v>820</v>
      </c>
      <c r="G1606" t="s">
        <v>136</v>
      </c>
      <c r="H1606" t="s">
        <v>249</v>
      </c>
      <c r="I1606" t="s">
        <v>78</v>
      </c>
      <c r="J1606" t="s">
        <v>42</v>
      </c>
      <c r="K1606" t="s">
        <v>83</v>
      </c>
      <c r="L1606" s="25">
        <v>44030</v>
      </c>
      <c r="M1606">
        <v>7</v>
      </c>
      <c r="N1606">
        <v>2020</v>
      </c>
      <c r="O1606" t="s">
        <v>110</v>
      </c>
      <c r="P1606">
        <v>170</v>
      </c>
      <c r="Q1606" s="17">
        <v>44030.448558912038</v>
      </c>
      <c r="R1606" t="s">
        <v>126</v>
      </c>
    </row>
    <row r="1607" spans="1:18" x14ac:dyDescent="0.3">
      <c r="A1607">
        <v>245045</v>
      </c>
      <c r="B1607" t="s">
        <v>79</v>
      </c>
      <c r="C1607">
        <v>1330189</v>
      </c>
      <c r="D1607" t="s">
        <v>116</v>
      </c>
      <c r="E1607" t="s">
        <v>12</v>
      </c>
      <c r="F1607" t="s">
        <v>12</v>
      </c>
      <c r="G1607" t="s">
        <v>135</v>
      </c>
      <c r="H1607" t="s">
        <v>251</v>
      </c>
      <c r="I1607" t="s">
        <v>82</v>
      </c>
      <c r="J1607" t="s">
        <v>42</v>
      </c>
      <c r="K1607" t="s">
        <v>83</v>
      </c>
      <c r="L1607" s="25">
        <v>44030</v>
      </c>
      <c r="M1607">
        <v>7</v>
      </c>
      <c r="N1607">
        <v>2020</v>
      </c>
      <c r="O1607" t="s">
        <v>110</v>
      </c>
      <c r="P1607">
        <v>170</v>
      </c>
      <c r="Q1607" s="17">
        <v>44030.472139004632</v>
      </c>
      <c r="R1607" t="s">
        <v>126</v>
      </c>
    </row>
    <row r="1608" spans="1:18" x14ac:dyDescent="0.3">
      <c r="A1608">
        <v>9681248</v>
      </c>
      <c r="B1608" t="s">
        <v>72</v>
      </c>
      <c r="C1608">
        <v>1333733</v>
      </c>
      <c r="D1608" t="s">
        <v>108</v>
      </c>
      <c r="E1608" t="s">
        <v>26</v>
      </c>
      <c r="F1608" t="s">
        <v>26</v>
      </c>
      <c r="G1608" t="s">
        <v>137</v>
      </c>
      <c r="H1608" t="s">
        <v>229</v>
      </c>
      <c r="I1608" t="s">
        <v>84</v>
      </c>
      <c r="J1608" t="s">
        <v>85</v>
      </c>
      <c r="K1608" t="s">
        <v>83</v>
      </c>
      <c r="L1608" s="25">
        <v>44030</v>
      </c>
      <c r="M1608">
        <v>7</v>
      </c>
      <c r="N1608">
        <v>2020</v>
      </c>
      <c r="O1608" t="s">
        <v>110</v>
      </c>
      <c r="P1608">
        <v>170</v>
      </c>
      <c r="Q1608" s="17">
        <v>44031.080788425927</v>
      </c>
      <c r="R1608" t="s">
        <v>126</v>
      </c>
    </row>
    <row r="1609" spans="1:18" x14ac:dyDescent="0.3">
      <c r="A1609">
        <v>9685683</v>
      </c>
      <c r="B1609" t="s">
        <v>72</v>
      </c>
      <c r="C1609">
        <v>1328678</v>
      </c>
      <c r="D1609" t="s">
        <v>108</v>
      </c>
      <c r="E1609">
        <v>820</v>
      </c>
      <c r="F1609">
        <v>820</v>
      </c>
      <c r="G1609" t="s">
        <v>136</v>
      </c>
      <c r="H1609" t="s">
        <v>262</v>
      </c>
      <c r="I1609" t="s">
        <v>82</v>
      </c>
      <c r="J1609" t="s">
        <v>42</v>
      </c>
      <c r="K1609" t="s">
        <v>83</v>
      </c>
      <c r="L1609" s="25">
        <v>44030</v>
      </c>
      <c r="M1609">
        <v>7</v>
      </c>
      <c r="N1609">
        <v>2020</v>
      </c>
      <c r="O1609" t="s">
        <v>110</v>
      </c>
      <c r="P1609">
        <v>170</v>
      </c>
      <c r="Q1609" s="17">
        <v>44030.425620601854</v>
      </c>
      <c r="R1609" t="s">
        <v>126</v>
      </c>
    </row>
    <row r="1610" spans="1:18" x14ac:dyDescent="0.3">
      <c r="A1610">
        <v>9685616</v>
      </c>
      <c r="B1610" t="s">
        <v>78</v>
      </c>
      <c r="C1610">
        <v>1328692</v>
      </c>
      <c r="D1610" t="s">
        <v>78</v>
      </c>
      <c r="E1610">
        <v>820</v>
      </c>
      <c r="F1610">
        <v>820</v>
      </c>
      <c r="G1610" t="s">
        <v>136</v>
      </c>
      <c r="H1610" t="s">
        <v>250</v>
      </c>
      <c r="I1610" t="s">
        <v>78</v>
      </c>
      <c r="J1610" t="s">
        <v>42</v>
      </c>
      <c r="K1610" t="s">
        <v>83</v>
      </c>
      <c r="L1610" s="25">
        <v>44030</v>
      </c>
      <c r="M1610">
        <v>7</v>
      </c>
      <c r="N1610">
        <v>2020</v>
      </c>
      <c r="O1610" t="s">
        <v>110</v>
      </c>
      <c r="P1610">
        <v>170</v>
      </c>
      <c r="Q1610" s="17">
        <v>44030.42745625</v>
      </c>
      <c r="R1610" t="s">
        <v>126</v>
      </c>
    </row>
    <row r="1611" spans="1:18" x14ac:dyDescent="0.3">
      <c r="A1611">
        <v>9686141</v>
      </c>
      <c r="B1611" t="s">
        <v>80</v>
      </c>
      <c r="C1611">
        <v>1329589</v>
      </c>
      <c r="D1611" t="s">
        <v>113</v>
      </c>
      <c r="E1611" t="s">
        <v>146</v>
      </c>
      <c r="F1611" t="s">
        <v>17</v>
      </c>
      <c r="G1611" t="s">
        <v>153</v>
      </c>
      <c r="H1611" t="s">
        <v>232</v>
      </c>
      <c r="I1611" t="s">
        <v>84</v>
      </c>
      <c r="J1611" t="s">
        <v>85</v>
      </c>
      <c r="K1611" t="s">
        <v>87</v>
      </c>
      <c r="L1611" s="25">
        <v>44030</v>
      </c>
      <c r="M1611">
        <v>7</v>
      </c>
      <c r="N1611">
        <v>2020</v>
      </c>
      <c r="O1611" t="s">
        <v>110</v>
      </c>
      <c r="P1611">
        <v>170</v>
      </c>
      <c r="Q1611" s="17">
        <v>44030.429046874997</v>
      </c>
      <c r="R1611" t="s">
        <v>126</v>
      </c>
    </row>
    <row r="1612" spans="1:18" x14ac:dyDescent="0.3">
      <c r="A1612">
        <v>9685992</v>
      </c>
      <c r="B1612" t="s">
        <v>72</v>
      </c>
      <c r="C1612">
        <v>1329347</v>
      </c>
      <c r="D1612" t="s">
        <v>108</v>
      </c>
      <c r="E1612">
        <v>820</v>
      </c>
      <c r="F1612">
        <v>820</v>
      </c>
      <c r="G1612" t="s">
        <v>136</v>
      </c>
      <c r="H1612" t="s">
        <v>270</v>
      </c>
      <c r="I1612" t="s">
        <v>82</v>
      </c>
      <c r="J1612" t="s">
        <v>42</v>
      </c>
      <c r="K1612" t="s">
        <v>83</v>
      </c>
      <c r="L1612" s="25">
        <v>44030</v>
      </c>
      <c r="M1612">
        <v>7</v>
      </c>
      <c r="N1612">
        <v>2020</v>
      </c>
      <c r="O1612" t="s">
        <v>110</v>
      </c>
      <c r="P1612">
        <v>170</v>
      </c>
      <c r="Q1612" s="17">
        <v>44030.460384375001</v>
      </c>
      <c r="R1612" t="s">
        <v>126</v>
      </c>
    </row>
    <row r="1613" spans="1:18" x14ac:dyDescent="0.3">
      <c r="A1613">
        <v>9685747</v>
      </c>
      <c r="B1613" t="s">
        <v>72</v>
      </c>
      <c r="C1613">
        <v>1328777</v>
      </c>
      <c r="D1613" t="s">
        <v>108</v>
      </c>
      <c r="E1613">
        <v>820</v>
      </c>
      <c r="F1613">
        <v>820</v>
      </c>
      <c r="G1613" t="s">
        <v>136</v>
      </c>
      <c r="H1613" t="s">
        <v>270</v>
      </c>
      <c r="I1613" t="s">
        <v>82</v>
      </c>
      <c r="J1613" t="s">
        <v>42</v>
      </c>
      <c r="K1613" t="s">
        <v>83</v>
      </c>
      <c r="L1613" s="25">
        <v>44030</v>
      </c>
      <c r="M1613">
        <v>7</v>
      </c>
      <c r="N1613">
        <v>2020</v>
      </c>
      <c r="O1613" t="s">
        <v>110</v>
      </c>
      <c r="P1613">
        <v>170</v>
      </c>
      <c r="Q1613" s="17">
        <v>44030.436254050925</v>
      </c>
      <c r="R1613" t="s">
        <v>126</v>
      </c>
    </row>
    <row r="1614" spans="1:18" x14ac:dyDescent="0.3">
      <c r="A1614">
        <v>9685871</v>
      </c>
      <c r="B1614" t="s">
        <v>72</v>
      </c>
      <c r="C1614">
        <v>1329856</v>
      </c>
      <c r="D1614" t="s">
        <v>108</v>
      </c>
      <c r="E1614">
        <v>820</v>
      </c>
      <c r="F1614">
        <v>820</v>
      </c>
      <c r="G1614" t="s">
        <v>136</v>
      </c>
      <c r="H1614" t="s">
        <v>270</v>
      </c>
      <c r="I1614" t="s">
        <v>82</v>
      </c>
      <c r="J1614" t="s">
        <v>42</v>
      </c>
      <c r="K1614" t="s">
        <v>83</v>
      </c>
      <c r="L1614" s="25">
        <v>44030</v>
      </c>
      <c r="M1614">
        <v>7</v>
      </c>
      <c r="N1614">
        <v>2020</v>
      </c>
      <c r="O1614" t="s">
        <v>110</v>
      </c>
      <c r="P1614">
        <v>170</v>
      </c>
      <c r="Q1614" s="17">
        <v>44030.483301388886</v>
      </c>
      <c r="R1614" t="s">
        <v>126</v>
      </c>
    </row>
    <row r="1615" spans="1:18" x14ac:dyDescent="0.3">
      <c r="A1615">
        <v>241322</v>
      </c>
      <c r="B1615" t="s">
        <v>78</v>
      </c>
      <c r="C1615">
        <v>1322268</v>
      </c>
      <c r="D1615" t="s">
        <v>78</v>
      </c>
      <c r="E1615" t="s">
        <v>26</v>
      </c>
      <c r="F1615" t="s">
        <v>26</v>
      </c>
      <c r="G1615" t="s">
        <v>137</v>
      </c>
      <c r="H1615" t="s">
        <v>245</v>
      </c>
      <c r="I1615" t="s">
        <v>78</v>
      </c>
      <c r="J1615" t="s">
        <v>42</v>
      </c>
      <c r="K1615" t="s">
        <v>83</v>
      </c>
      <c r="L1615" s="25">
        <v>44030</v>
      </c>
      <c r="M1615">
        <v>7</v>
      </c>
      <c r="N1615">
        <v>2020</v>
      </c>
      <c r="O1615" t="s">
        <v>110</v>
      </c>
      <c r="P1615">
        <v>170</v>
      </c>
      <c r="Q1615" s="17">
        <v>44030.488102430558</v>
      </c>
      <c r="R1615" t="s">
        <v>126</v>
      </c>
    </row>
    <row r="1616" spans="1:18" x14ac:dyDescent="0.3">
      <c r="A1616">
        <v>9685599</v>
      </c>
      <c r="B1616" t="s">
        <v>80</v>
      </c>
      <c r="C1616">
        <v>1329547</v>
      </c>
      <c r="D1616" t="s">
        <v>113</v>
      </c>
      <c r="E1616" t="s">
        <v>146</v>
      </c>
      <c r="F1616" t="s">
        <v>17</v>
      </c>
      <c r="G1616" t="s">
        <v>153</v>
      </c>
      <c r="H1616" t="s">
        <v>232</v>
      </c>
      <c r="I1616" t="s">
        <v>84</v>
      </c>
      <c r="J1616" t="s">
        <v>85</v>
      </c>
      <c r="K1616" t="s">
        <v>87</v>
      </c>
      <c r="L1616" s="25">
        <v>44030</v>
      </c>
      <c r="M1616">
        <v>7</v>
      </c>
      <c r="N1616">
        <v>2020</v>
      </c>
      <c r="O1616" t="s">
        <v>110</v>
      </c>
      <c r="P1616">
        <v>170</v>
      </c>
      <c r="Q1616" s="17">
        <v>44030.43213587963</v>
      </c>
      <c r="R1616" t="s">
        <v>126</v>
      </c>
    </row>
    <row r="1617" spans="1:18" x14ac:dyDescent="0.3">
      <c r="A1617">
        <v>9686247</v>
      </c>
      <c r="B1617" t="s">
        <v>80</v>
      </c>
      <c r="C1617">
        <v>1329656</v>
      </c>
      <c r="D1617" t="s">
        <v>113</v>
      </c>
      <c r="E1617" t="s">
        <v>146</v>
      </c>
      <c r="F1617" t="s">
        <v>17</v>
      </c>
      <c r="G1617" t="s">
        <v>153</v>
      </c>
      <c r="H1617" t="s">
        <v>232</v>
      </c>
      <c r="I1617" t="s">
        <v>84</v>
      </c>
      <c r="J1617" t="s">
        <v>85</v>
      </c>
      <c r="K1617" t="s">
        <v>87</v>
      </c>
      <c r="L1617" s="25">
        <v>44030</v>
      </c>
      <c r="M1617">
        <v>7</v>
      </c>
      <c r="N1617">
        <v>2020</v>
      </c>
      <c r="O1617" t="s">
        <v>110</v>
      </c>
      <c r="P1617">
        <v>170</v>
      </c>
      <c r="Q1617" s="17">
        <v>44030.445764814816</v>
      </c>
      <c r="R1617" t="s">
        <v>126</v>
      </c>
    </row>
    <row r="1618" spans="1:18" x14ac:dyDescent="0.3">
      <c r="A1618">
        <v>9685934</v>
      </c>
      <c r="B1618" t="s">
        <v>78</v>
      </c>
      <c r="C1618">
        <v>1329556</v>
      </c>
      <c r="D1618" t="s">
        <v>78</v>
      </c>
      <c r="E1618">
        <v>820</v>
      </c>
      <c r="F1618">
        <v>820</v>
      </c>
      <c r="G1618" t="s">
        <v>136</v>
      </c>
      <c r="H1618" t="s">
        <v>250</v>
      </c>
      <c r="I1618" t="s">
        <v>78</v>
      </c>
      <c r="J1618" t="s">
        <v>42</v>
      </c>
      <c r="K1618" t="s">
        <v>83</v>
      </c>
      <c r="L1618" s="25">
        <v>44030</v>
      </c>
      <c r="M1618">
        <v>7</v>
      </c>
      <c r="N1618">
        <v>2020</v>
      </c>
      <c r="O1618" t="s">
        <v>110</v>
      </c>
      <c r="P1618">
        <v>170</v>
      </c>
      <c r="Q1618" s="17">
        <v>44030.47851666667</v>
      </c>
      <c r="R1618" t="s">
        <v>126</v>
      </c>
    </row>
    <row r="1619" spans="1:18" x14ac:dyDescent="0.3">
      <c r="A1619">
        <v>21524759</v>
      </c>
      <c r="B1619" t="s">
        <v>78</v>
      </c>
      <c r="C1619">
        <v>1320496</v>
      </c>
      <c r="D1619" t="s">
        <v>78</v>
      </c>
      <c r="E1619" t="s">
        <v>26</v>
      </c>
      <c r="F1619" t="s">
        <v>26</v>
      </c>
      <c r="G1619" t="s">
        <v>137</v>
      </c>
      <c r="H1619" t="s">
        <v>245</v>
      </c>
      <c r="I1619" t="s">
        <v>78</v>
      </c>
      <c r="J1619" t="s">
        <v>42</v>
      </c>
      <c r="K1619" t="s">
        <v>83</v>
      </c>
      <c r="L1619" s="25">
        <v>44030</v>
      </c>
      <c r="M1619">
        <v>7</v>
      </c>
      <c r="N1619">
        <v>2020</v>
      </c>
      <c r="O1619" t="s">
        <v>110</v>
      </c>
      <c r="P1619">
        <v>170</v>
      </c>
      <c r="Q1619" s="17">
        <v>44030.438413773147</v>
      </c>
      <c r="R1619" t="s">
        <v>126</v>
      </c>
    </row>
    <row r="1620" spans="1:18" x14ac:dyDescent="0.3">
      <c r="A1620">
        <v>9685832</v>
      </c>
      <c r="B1620" t="s">
        <v>78</v>
      </c>
      <c r="C1620">
        <v>1329318</v>
      </c>
      <c r="D1620" t="s">
        <v>78</v>
      </c>
      <c r="E1620">
        <v>820</v>
      </c>
      <c r="F1620">
        <v>820</v>
      </c>
      <c r="G1620" t="s">
        <v>136</v>
      </c>
      <c r="H1620" t="s">
        <v>250</v>
      </c>
      <c r="I1620" t="s">
        <v>78</v>
      </c>
      <c r="J1620" t="s">
        <v>42</v>
      </c>
      <c r="K1620" t="s">
        <v>83</v>
      </c>
      <c r="L1620" s="25">
        <v>44030</v>
      </c>
      <c r="M1620">
        <v>7</v>
      </c>
      <c r="N1620">
        <v>2020</v>
      </c>
      <c r="O1620" t="s">
        <v>110</v>
      </c>
      <c r="P1620">
        <v>170</v>
      </c>
      <c r="Q1620" s="17">
        <v>44030.459512384259</v>
      </c>
      <c r="R1620" t="s">
        <v>126</v>
      </c>
    </row>
    <row r="1621" spans="1:18" x14ac:dyDescent="0.3">
      <c r="A1621">
        <v>21524542</v>
      </c>
      <c r="B1621" t="s">
        <v>72</v>
      </c>
      <c r="C1621">
        <v>1320396</v>
      </c>
      <c r="D1621" t="s">
        <v>108</v>
      </c>
      <c r="E1621" t="s">
        <v>26</v>
      </c>
      <c r="F1621" t="s">
        <v>26</v>
      </c>
      <c r="G1621" t="s">
        <v>137</v>
      </c>
      <c r="H1621" t="s">
        <v>229</v>
      </c>
      <c r="I1621" t="s">
        <v>84</v>
      </c>
      <c r="J1621" t="s">
        <v>85</v>
      </c>
      <c r="K1621" t="s">
        <v>83</v>
      </c>
      <c r="L1621" s="25">
        <v>44030</v>
      </c>
      <c r="M1621">
        <v>7</v>
      </c>
      <c r="N1621">
        <v>2020</v>
      </c>
      <c r="O1621" t="s">
        <v>110</v>
      </c>
      <c r="P1621">
        <v>170</v>
      </c>
      <c r="Q1621" s="17">
        <v>44030.434569675926</v>
      </c>
      <c r="R1621" t="s">
        <v>126</v>
      </c>
    </row>
    <row r="1622" spans="1:18" x14ac:dyDescent="0.3">
      <c r="A1622">
        <v>9685662</v>
      </c>
      <c r="B1622" t="s">
        <v>78</v>
      </c>
      <c r="C1622">
        <v>1328677</v>
      </c>
      <c r="D1622" t="s">
        <v>78</v>
      </c>
      <c r="E1622">
        <v>820</v>
      </c>
      <c r="F1622">
        <v>820</v>
      </c>
      <c r="G1622" t="s">
        <v>136</v>
      </c>
      <c r="H1622" t="s">
        <v>249</v>
      </c>
      <c r="I1622" t="s">
        <v>78</v>
      </c>
      <c r="J1622" t="s">
        <v>42</v>
      </c>
      <c r="K1622" t="s">
        <v>83</v>
      </c>
      <c r="L1622" s="25">
        <v>44030</v>
      </c>
      <c r="M1622">
        <v>7</v>
      </c>
      <c r="N1622">
        <v>2020</v>
      </c>
      <c r="O1622" t="s">
        <v>110</v>
      </c>
      <c r="P1622">
        <v>170</v>
      </c>
      <c r="Q1622" s="17">
        <v>44030.42720416667</v>
      </c>
      <c r="R1622" t="s">
        <v>126</v>
      </c>
    </row>
    <row r="1623" spans="1:18" x14ac:dyDescent="0.3">
      <c r="A1623">
        <v>9685624</v>
      </c>
      <c r="B1623" t="s">
        <v>78</v>
      </c>
      <c r="C1623">
        <v>1329218</v>
      </c>
      <c r="D1623" t="s">
        <v>78</v>
      </c>
      <c r="E1623">
        <v>820</v>
      </c>
      <c r="F1623">
        <v>820</v>
      </c>
      <c r="G1623" t="s">
        <v>136</v>
      </c>
      <c r="H1623" t="s">
        <v>228</v>
      </c>
      <c r="I1623" t="s">
        <v>78</v>
      </c>
      <c r="J1623" t="s">
        <v>42</v>
      </c>
      <c r="K1623" t="s">
        <v>83</v>
      </c>
      <c r="L1623" s="25">
        <v>44030</v>
      </c>
      <c r="M1623">
        <v>7</v>
      </c>
      <c r="N1623">
        <v>2020</v>
      </c>
      <c r="O1623" t="s">
        <v>110</v>
      </c>
      <c r="P1623">
        <v>170</v>
      </c>
      <c r="Q1623" s="17">
        <v>44030.456820254629</v>
      </c>
      <c r="R1623" t="s">
        <v>126</v>
      </c>
    </row>
    <row r="1624" spans="1:18" x14ac:dyDescent="0.3">
      <c r="A1624">
        <v>241597</v>
      </c>
      <c r="B1624" t="s">
        <v>78</v>
      </c>
      <c r="C1624">
        <v>1321332</v>
      </c>
      <c r="D1624" t="s">
        <v>78</v>
      </c>
      <c r="E1624" t="s">
        <v>26</v>
      </c>
      <c r="F1624" t="s">
        <v>26</v>
      </c>
      <c r="G1624" t="s">
        <v>137</v>
      </c>
      <c r="H1624" t="s">
        <v>245</v>
      </c>
      <c r="I1624" t="s">
        <v>78</v>
      </c>
      <c r="J1624" t="s">
        <v>42</v>
      </c>
      <c r="K1624" t="s">
        <v>83</v>
      </c>
      <c r="L1624" s="25">
        <v>44030</v>
      </c>
      <c r="M1624">
        <v>7</v>
      </c>
      <c r="N1624">
        <v>2020</v>
      </c>
      <c r="O1624" t="s">
        <v>110</v>
      </c>
      <c r="P1624">
        <v>170</v>
      </c>
      <c r="Q1624" s="17">
        <v>44030.452069328705</v>
      </c>
      <c r="R1624" t="s">
        <v>126</v>
      </c>
    </row>
    <row r="1625" spans="1:18" x14ac:dyDescent="0.3">
      <c r="A1625">
        <v>9685695</v>
      </c>
      <c r="B1625" t="s">
        <v>78</v>
      </c>
      <c r="C1625">
        <v>1329513</v>
      </c>
      <c r="D1625" t="s">
        <v>78</v>
      </c>
      <c r="E1625">
        <v>820</v>
      </c>
      <c r="F1625">
        <v>820</v>
      </c>
      <c r="G1625" t="s">
        <v>136</v>
      </c>
      <c r="H1625" t="s">
        <v>249</v>
      </c>
      <c r="I1625" t="s">
        <v>78</v>
      </c>
      <c r="J1625" t="s">
        <v>42</v>
      </c>
      <c r="K1625" t="s">
        <v>83</v>
      </c>
      <c r="L1625" s="25">
        <v>44030</v>
      </c>
      <c r="M1625">
        <v>7</v>
      </c>
      <c r="N1625">
        <v>2020</v>
      </c>
      <c r="O1625" t="s">
        <v>110</v>
      </c>
      <c r="P1625">
        <v>170</v>
      </c>
      <c r="Q1625" s="17">
        <v>44030.474939467589</v>
      </c>
      <c r="R1625" t="s">
        <v>126</v>
      </c>
    </row>
    <row r="1626" spans="1:18" x14ac:dyDescent="0.3">
      <c r="A1626">
        <v>21525495</v>
      </c>
      <c r="B1626" t="s">
        <v>78</v>
      </c>
      <c r="C1626">
        <v>1320296</v>
      </c>
      <c r="D1626" t="s">
        <v>78</v>
      </c>
      <c r="E1626" t="s">
        <v>26</v>
      </c>
      <c r="F1626" t="s">
        <v>26</v>
      </c>
      <c r="G1626" t="s">
        <v>137</v>
      </c>
      <c r="H1626" t="s">
        <v>245</v>
      </c>
      <c r="I1626" t="s">
        <v>78</v>
      </c>
      <c r="J1626" t="s">
        <v>42</v>
      </c>
      <c r="K1626" t="s">
        <v>83</v>
      </c>
      <c r="L1626" s="25">
        <v>44030</v>
      </c>
      <c r="M1626">
        <v>7</v>
      </c>
      <c r="N1626">
        <v>2020</v>
      </c>
      <c r="O1626" t="s">
        <v>110</v>
      </c>
      <c r="P1626">
        <v>170</v>
      </c>
      <c r="Q1626" s="17">
        <v>44030.431617824077</v>
      </c>
      <c r="R1626" t="s">
        <v>126</v>
      </c>
    </row>
    <row r="1627" spans="1:18" x14ac:dyDescent="0.3">
      <c r="A1627">
        <v>9685682</v>
      </c>
      <c r="B1627" t="s">
        <v>72</v>
      </c>
      <c r="C1627">
        <v>1329613</v>
      </c>
      <c r="D1627" t="s">
        <v>108</v>
      </c>
      <c r="E1627">
        <v>820</v>
      </c>
      <c r="F1627">
        <v>820</v>
      </c>
      <c r="G1627" t="s">
        <v>136</v>
      </c>
      <c r="H1627" t="s">
        <v>270</v>
      </c>
      <c r="I1627" t="s">
        <v>82</v>
      </c>
      <c r="J1627" t="s">
        <v>42</v>
      </c>
      <c r="K1627" t="s">
        <v>83</v>
      </c>
      <c r="L1627" s="25">
        <v>44030</v>
      </c>
      <c r="M1627">
        <v>7</v>
      </c>
      <c r="N1627">
        <v>2020</v>
      </c>
      <c r="O1627" t="s">
        <v>110</v>
      </c>
      <c r="P1627">
        <v>170</v>
      </c>
      <c r="Q1627" s="17">
        <v>44030.484752430559</v>
      </c>
      <c r="R1627" t="s">
        <v>126</v>
      </c>
    </row>
    <row r="1628" spans="1:18" x14ac:dyDescent="0.3">
      <c r="A1628">
        <v>9687025</v>
      </c>
      <c r="B1628" t="s">
        <v>80</v>
      </c>
      <c r="C1628">
        <v>1330254</v>
      </c>
      <c r="D1628" t="s">
        <v>113</v>
      </c>
      <c r="E1628" t="s">
        <v>146</v>
      </c>
      <c r="F1628" t="s">
        <v>17</v>
      </c>
      <c r="G1628" t="s">
        <v>153</v>
      </c>
      <c r="H1628" t="s">
        <v>232</v>
      </c>
      <c r="I1628" t="s">
        <v>84</v>
      </c>
      <c r="J1628" t="s">
        <v>85</v>
      </c>
      <c r="K1628" t="s">
        <v>87</v>
      </c>
      <c r="L1628" s="25">
        <v>44030</v>
      </c>
      <c r="M1628">
        <v>7</v>
      </c>
      <c r="N1628">
        <v>2020</v>
      </c>
      <c r="O1628" t="s">
        <v>110</v>
      </c>
      <c r="P1628">
        <v>170</v>
      </c>
      <c r="Q1628" s="17">
        <v>44030.496920833335</v>
      </c>
      <c r="R1628" t="s">
        <v>126</v>
      </c>
    </row>
    <row r="1629" spans="1:18" x14ac:dyDescent="0.3">
      <c r="A1629">
        <v>9685938</v>
      </c>
      <c r="B1629" t="s">
        <v>78</v>
      </c>
      <c r="C1629">
        <v>1328920</v>
      </c>
      <c r="D1629" t="s">
        <v>78</v>
      </c>
      <c r="E1629">
        <v>820</v>
      </c>
      <c r="F1629">
        <v>820</v>
      </c>
      <c r="G1629" t="s">
        <v>136</v>
      </c>
      <c r="H1629" t="s">
        <v>250</v>
      </c>
      <c r="I1629" t="s">
        <v>78</v>
      </c>
      <c r="J1629" t="s">
        <v>42</v>
      </c>
      <c r="K1629" t="s">
        <v>83</v>
      </c>
      <c r="L1629" s="25">
        <v>44030</v>
      </c>
      <c r="M1629">
        <v>7</v>
      </c>
      <c r="N1629">
        <v>2020</v>
      </c>
      <c r="O1629" t="s">
        <v>110</v>
      </c>
      <c r="P1629">
        <v>170</v>
      </c>
      <c r="Q1629" s="17">
        <v>44030.441851851851</v>
      </c>
      <c r="R1629" t="s">
        <v>126</v>
      </c>
    </row>
    <row r="1630" spans="1:18" x14ac:dyDescent="0.3">
      <c r="A1630">
        <v>9685649</v>
      </c>
      <c r="B1630" t="s">
        <v>78</v>
      </c>
      <c r="C1630">
        <v>1329413</v>
      </c>
      <c r="D1630" t="s">
        <v>78</v>
      </c>
      <c r="E1630">
        <v>820</v>
      </c>
      <c r="F1630">
        <v>820</v>
      </c>
      <c r="G1630" t="s">
        <v>136</v>
      </c>
      <c r="H1630" t="s">
        <v>250</v>
      </c>
      <c r="I1630" t="s">
        <v>78</v>
      </c>
      <c r="J1630" t="s">
        <v>42</v>
      </c>
      <c r="K1630" t="s">
        <v>83</v>
      </c>
      <c r="L1630" s="25">
        <v>44030</v>
      </c>
      <c r="M1630">
        <v>7</v>
      </c>
      <c r="N1630">
        <v>2020</v>
      </c>
      <c r="O1630" t="s">
        <v>110</v>
      </c>
      <c r="P1630">
        <v>170</v>
      </c>
      <c r="Q1630" s="17">
        <v>44030.467547916669</v>
      </c>
      <c r="R1630" t="s">
        <v>126</v>
      </c>
    </row>
    <row r="1631" spans="1:18" x14ac:dyDescent="0.3">
      <c r="A1631">
        <v>9678286</v>
      </c>
      <c r="B1631" t="s">
        <v>72</v>
      </c>
      <c r="C1631">
        <v>1331936</v>
      </c>
      <c r="D1631" t="s">
        <v>108</v>
      </c>
      <c r="E1631" t="s">
        <v>26</v>
      </c>
      <c r="F1631" t="s">
        <v>26</v>
      </c>
      <c r="G1631" t="s">
        <v>137</v>
      </c>
      <c r="H1631" t="s">
        <v>229</v>
      </c>
      <c r="I1631" t="s">
        <v>84</v>
      </c>
      <c r="J1631" t="s">
        <v>85</v>
      </c>
      <c r="K1631" t="s">
        <v>83</v>
      </c>
      <c r="L1631" s="25">
        <v>44030</v>
      </c>
      <c r="M1631">
        <v>7</v>
      </c>
      <c r="N1631">
        <v>2020</v>
      </c>
      <c r="O1631" t="s">
        <v>110</v>
      </c>
      <c r="P1631">
        <v>170</v>
      </c>
      <c r="Q1631" s="17">
        <v>44030.384021527774</v>
      </c>
      <c r="R1631" t="s">
        <v>126</v>
      </c>
    </row>
    <row r="1632" spans="1:18" x14ac:dyDescent="0.3">
      <c r="A1632">
        <v>9685929</v>
      </c>
      <c r="B1632" t="s">
        <v>78</v>
      </c>
      <c r="C1632">
        <v>1329328</v>
      </c>
      <c r="D1632" t="s">
        <v>78</v>
      </c>
      <c r="E1632">
        <v>820</v>
      </c>
      <c r="F1632">
        <v>820</v>
      </c>
      <c r="G1632" t="s">
        <v>136</v>
      </c>
      <c r="H1632" t="s">
        <v>249</v>
      </c>
      <c r="I1632" t="s">
        <v>78</v>
      </c>
      <c r="J1632" t="s">
        <v>42</v>
      </c>
      <c r="K1632" t="s">
        <v>83</v>
      </c>
      <c r="L1632" s="25">
        <v>44030</v>
      </c>
      <c r="M1632">
        <v>7</v>
      </c>
      <c r="N1632">
        <v>2020</v>
      </c>
      <c r="O1632" t="s">
        <v>110</v>
      </c>
      <c r="P1632">
        <v>170</v>
      </c>
      <c r="Q1632" s="17">
        <v>44030.464577893516</v>
      </c>
      <c r="R1632" t="s">
        <v>126</v>
      </c>
    </row>
    <row r="1633" spans="1:18" x14ac:dyDescent="0.3">
      <c r="A1633">
        <v>9674878</v>
      </c>
      <c r="B1633" t="s">
        <v>72</v>
      </c>
      <c r="C1633">
        <v>1331650</v>
      </c>
      <c r="D1633" t="s">
        <v>108</v>
      </c>
      <c r="E1633" t="s">
        <v>26</v>
      </c>
      <c r="F1633" t="s">
        <v>26</v>
      </c>
      <c r="G1633" t="s">
        <v>137</v>
      </c>
      <c r="H1633" t="s">
        <v>229</v>
      </c>
      <c r="I1633" t="s">
        <v>84</v>
      </c>
      <c r="J1633" t="s">
        <v>85</v>
      </c>
      <c r="K1633" t="s">
        <v>83</v>
      </c>
      <c r="L1633" s="25">
        <v>44030</v>
      </c>
      <c r="M1633">
        <v>7</v>
      </c>
      <c r="N1633">
        <v>2020</v>
      </c>
      <c r="O1633" t="s">
        <v>110</v>
      </c>
      <c r="P1633">
        <v>170</v>
      </c>
      <c r="Q1633" s="17">
        <v>44030.380409375</v>
      </c>
      <c r="R1633" t="s">
        <v>126</v>
      </c>
    </row>
    <row r="1634" spans="1:18" x14ac:dyDescent="0.3">
      <c r="A1634">
        <v>9685755</v>
      </c>
      <c r="B1634" t="s">
        <v>72</v>
      </c>
      <c r="C1634">
        <v>1329514</v>
      </c>
      <c r="D1634" t="s">
        <v>108</v>
      </c>
      <c r="E1634">
        <v>820</v>
      </c>
      <c r="F1634">
        <v>820</v>
      </c>
      <c r="G1634" t="s">
        <v>136</v>
      </c>
      <c r="H1634" t="s">
        <v>270</v>
      </c>
      <c r="I1634" t="s">
        <v>82</v>
      </c>
      <c r="J1634" t="s">
        <v>42</v>
      </c>
      <c r="K1634" t="s">
        <v>83</v>
      </c>
      <c r="L1634" s="25">
        <v>44030</v>
      </c>
      <c r="M1634">
        <v>7</v>
      </c>
      <c r="N1634">
        <v>2020</v>
      </c>
      <c r="O1634" t="s">
        <v>110</v>
      </c>
      <c r="P1634">
        <v>170</v>
      </c>
      <c r="Q1634" s="17">
        <v>44030.473826967595</v>
      </c>
      <c r="R1634" t="s">
        <v>126</v>
      </c>
    </row>
    <row r="1635" spans="1:18" x14ac:dyDescent="0.3">
      <c r="A1635">
        <v>9686332</v>
      </c>
      <c r="B1635" t="s">
        <v>72</v>
      </c>
      <c r="C1635">
        <v>1329689</v>
      </c>
      <c r="D1635" t="s">
        <v>108</v>
      </c>
      <c r="E1635">
        <v>4138</v>
      </c>
      <c r="F1635" t="s">
        <v>17</v>
      </c>
      <c r="G1635" t="s">
        <v>129</v>
      </c>
      <c r="H1635" t="s">
        <v>263</v>
      </c>
      <c r="I1635" t="s">
        <v>82</v>
      </c>
      <c r="J1635" t="s">
        <v>42</v>
      </c>
      <c r="K1635" t="s">
        <v>87</v>
      </c>
      <c r="L1635" s="25">
        <v>44030</v>
      </c>
      <c r="M1635">
        <v>7</v>
      </c>
      <c r="N1635">
        <v>2020</v>
      </c>
      <c r="O1635" t="s">
        <v>110</v>
      </c>
      <c r="P1635">
        <v>170</v>
      </c>
      <c r="Q1635" s="17">
        <v>44030.451720486111</v>
      </c>
      <c r="R1635" t="s">
        <v>126</v>
      </c>
    </row>
    <row r="1636" spans="1:18" x14ac:dyDescent="0.3">
      <c r="A1636">
        <v>9678839</v>
      </c>
      <c r="B1636" t="s">
        <v>72</v>
      </c>
      <c r="C1636">
        <v>1320111</v>
      </c>
      <c r="D1636" t="s">
        <v>108</v>
      </c>
      <c r="E1636" t="s">
        <v>124</v>
      </c>
      <c r="F1636" t="s">
        <v>17</v>
      </c>
      <c r="G1636" t="s">
        <v>125</v>
      </c>
      <c r="H1636" t="s">
        <v>263</v>
      </c>
      <c r="I1636" t="s">
        <v>82</v>
      </c>
      <c r="J1636" t="s">
        <v>42</v>
      </c>
      <c r="K1636" t="s">
        <v>87</v>
      </c>
      <c r="L1636" s="25">
        <v>44030</v>
      </c>
      <c r="M1636">
        <v>7</v>
      </c>
      <c r="N1636">
        <v>2020</v>
      </c>
      <c r="O1636" t="s">
        <v>110</v>
      </c>
      <c r="P1636">
        <v>170</v>
      </c>
      <c r="Q1636" s="17">
        <v>44030.485854166669</v>
      </c>
      <c r="R1636" t="s">
        <v>126</v>
      </c>
    </row>
    <row r="1637" spans="1:18" x14ac:dyDescent="0.3">
      <c r="A1637">
        <v>9685812</v>
      </c>
      <c r="B1637" t="s">
        <v>78</v>
      </c>
      <c r="C1637">
        <v>1329846</v>
      </c>
      <c r="D1637" t="s">
        <v>78</v>
      </c>
      <c r="E1637">
        <v>820</v>
      </c>
      <c r="F1637">
        <v>820</v>
      </c>
      <c r="G1637" t="s">
        <v>136</v>
      </c>
      <c r="H1637" t="s">
        <v>250</v>
      </c>
      <c r="I1637" t="s">
        <v>78</v>
      </c>
      <c r="J1637" t="s">
        <v>42</v>
      </c>
      <c r="K1637" t="s">
        <v>83</v>
      </c>
      <c r="L1637" s="25">
        <v>44030</v>
      </c>
      <c r="M1637">
        <v>7</v>
      </c>
      <c r="N1637">
        <v>2020</v>
      </c>
      <c r="O1637" t="s">
        <v>110</v>
      </c>
      <c r="P1637">
        <v>170</v>
      </c>
      <c r="Q1637" s="17">
        <v>44030.482597916664</v>
      </c>
      <c r="R1637" t="s">
        <v>126</v>
      </c>
    </row>
    <row r="1638" spans="1:18" x14ac:dyDescent="0.3">
      <c r="A1638">
        <v>9685782</v>
      </c>
      <c r="B1638" t="s">
        <v>72</v>
      </c>
      <c r="C1638">
        <v>1328910</v>
      </c>
      <c r="D1638" t="s">
        <v>108</v>
      </c>
      <c r="E1638">
        <v>820</v>
      </c>
      <c r="F1638">
        <v>820</v>
      </c>
      <c r="G1638" t="s">
        <v>136</v>
      </c>
      <c r="H1638" t="s">
        <v>262</v>
      </c>
      <c r="I1638" t="s">
        <v>82</v>
      </c>
      <c r="J1638" t="s">
        <v>42</v>
      </c>
      <c r="K1638" t="s">
        <v>83</v>
      </c>
      <c r="L1638" s="25">
        <v>44030</v>
      </c>
      <c r="M1638">
        <v>7</v>
      </c>
      <c r="N1638">
        <v>2020</v>
      </c>
      <c r="O1638" t="s">
        <v>110</v>
      </c>
      <c r="P1638">
        <v>170</v>
      </c>
      <c r="Q1638" s="17">
        <v>44030.437445138887</v>
      </c>
      <c r="R1638" t="s">
        <v>126</v>
      </c>
    </row>
    <row r="1639" spans="1:18" x14ac:dyDescent="0.3">
      <c r="A1639">
        <v>9678917</v>
      </c>
      <c r="B1639" t="s">
        <v>78</v>
      </c>
      <c r="C1639">
        <v>1321133</v>
      </c>
      <c r="D1639" t="s">
        <v>78</v>
      </c>
      <c r="E1639" t="s">
        <v>26</v>
      </c>
      <c r="F1639" t="s">
        <v>26</v>
      </c>
      <c r="G1639" t="s">
        <v>137</v>
      </c>
      <c r="H1639" t="s">
        <v>260</v>
      </c>
      <c r="I1639" t="s">
        <v>78</v>
      </c>
      <c r="J1639" t="s">
        <v>42</v>
      </c>
      <c r="K1639" t="s">
        <v>83</v>
      </c>
      <c r="L1639" s="25">
        <v>44030</v>
      </c>
      <c r="M1639">
        <v>7</v>
      </c>
      <c r="N1639">
        <v>2020</v>
      </c>
      <c r="O1639" t="s">
        <v>110</v>
      </c>
      <c r="P1639">
        <v>170</v>
      </c>
      <c r="Q1639" s="17">
        <v>44030.449349074072</v>
      </c>
      <c r="R1639" t="s">
        <v>126</v>
      </c>
    </row>
    <row r="1640" spans="1:18" x14ac:dyDescent="0.3">
      <c r="A1640">
        <v>9686184</v>
      </c>
      <c r="B1640" t="s">
        <v>80</v>
      </c>
      <c r="C1640">
        <v>1329646</v>
      </c>
      <c r="D1640" t="s">
        <v>113</v>
      </c>
      <c r="E1640" t="s">
        <v>146</v>
      </c>
      <c r="F1640" t="s">
        <v>17</v>
      </c>
      <c r="G1640" t="s">
        <v>153</v>
      </c>
      <c r="H1640" t="s">
        <v>232</v>
      </c>
      <c r="I1640" t="s">
        <v>84</v>
      </c>
      <c r="J1640" t="s">
        <v>85</v>
      </c>
      <c r="K1640" t="s">
        <v>87</v>
      </c>
      <c r="L1640" s="25">
        <v>44030</v>
      </c>
      <c r="M1640">
        <v>7</v>
      </c>
      <c r="N1640">
        <v>2020</v>
      </c>
      <c r="O1640" t="s">
        <v>110</v>
      </c>
      <c r="P1640">
        <v>170</v>
      </c>
      <c r="Q1640" s="17">
        <v>44030.451900925924</v>
      </c>
      <c r="R1640" t="s">
        <v>126</v>
      </c>
    </row>
    <row r="1641" spans="1:18" x14ac:dyDescent="0.3">
      <c r="A1641">
        <v>241439</v>
      </c>
      <c r="B1641" t="s">
        <v>78</v>
      </c>
      <c r="C1641">
        <v>1320286</v>
      </c>
      <c r="D1641" t="s">
        <v>78</v>
      </c>
      <c r="E1641" t="s">
        <v>26</v>
      </c>
      <c r="F1641" t="s">
        <v>26</v>
      </c>
      <c r="G1641" t="s">
        <v>137</v>
      </c>
      <c r="H1641" t="s">
        <v>260</v>
      </c>
      <c r="I1641" t="s">
        <v>78</v>
      </c>
      <c r="J1641" t="s">
        <v>42</v>
      </c>
      <c r="K1641" t="s">
        <v>83</v>
      </c>
      <c r="L1641" s="25">
        <v>44030</v>
      </c>
      <c r="M1641">
        <v>7</v>
      </c>
      <c r="N1641">
        <v>2020</v>
      </c>
      <c r="O1641" t="s">
        <v>110</v>
      </c>
      <c r="P1641">
        <v>170</v>
      </c>
      <c r="Q1641" s="17">
        <v>44030.428981828707</v>
      </c>
      <c r="R1641" t="s">
        <v>126</v>
      </c>
    </row>
    <row r="1642" spans="1:18" x14ac:dyDescent="0.3">
      <c r="A1642">
        <v>21533428</v>
      </c>
      <c r="B1642" t="s">
        <v>72</v>
      </c>
      <c r="C1642">
        <v>1334744</v>
      </c>
      <c r="D1642" t="s">
        <v>108</v>
      </c>
      <c r="E1642" t="s">
        <v>12</v>
      </c>
      <c r="F1642" t="s">
        <v>12</v>
      </c>
      <c r="G1642" t="s">
        <v>135</v>
      </c>
      <c r="H1642" t="s">
        <v>229</v>
      </c>
      <c r="I1642" t="s">
        <v>84</v>
      </c>
      <c r="J1642" t="s">
        <v>85</v>
      </c>
      <c r="K1642" t="s">
        <v>83</v>
      </c>
      <c r="L1642" s="25">
        <v>44030</v>
      </c>
      <c r="M1642">
        <v>7</v>
      </c>
      <c r="N1642">
        <v>2020</v>
      </c>
      <c r="O1642" t="s">
        <v>110</v>
      </c>
      <c r="P1642">
        <v>170</v>
      </c>
      <c r="Q1642" s="17">
        <v>44031.096034374998</v>
      </c>
      <c r="R1642" t="s">
        <v>126</v>
      </c>
    </row>
    <row r="1643" spans="1:18" x14ac:dyDescent="0.3">
      <c r="A1643">
        <v>9686629</v>
      </c>
      <c r="B1643" t="s">
        <v>72</v>
      </c>
      <c r="C1643">
        <v>1330064</v>
      </c>
      <c r="D1643" t="s">
        <v>108</v>
      </c>
      <c r="E1643">
        <v>820</v>
      </c>
      <c r="F1643">
        <v>820</v>
      </c>
      <c r="G1643" t="s">
        <v>136</v>
      </c>
      <c r="H1643" t="s">
        <v>263</v>
      </c>
      <c r="I1643" t="s">
        <v>82</v>
      </c>
      <c r="J1643" t="s">
        <v>42</v>
      </c>
      <c r="K1643" t="s">
        <v>83</v>
      </c>
      <c r="L1643" s="25">
        <v>44030</v>
      </c>
      <c r="M1643">
        <v>7</v>
      </c>
      <c r="N1643">
        <v>2020</v>
      </c>
      <c r="O1643" t="s">
        <v>110</v>
      </c>
      <c r="P1643">
        <v>170</v>
      </c>
      <c r="Q1643" s="17">
        <v>44030.494870486109</v>
      </c>
      <c r="R1643" t="s">
        <v>126</v>
      </c>
    </row>
    <row r="1644" spans="1:18" x14ac:dyDescent="0.3">
      <c r="A1644">
        <v>9685750</v>
      </c>
      <c r="B1644" t="s">
        <v>78</v>
      </c>
      <c r="C1644">
        <v>1328953</v>
      </c>
      <c r="D1644" t="s">
        <v>78</v>
      </c>
      <c r="E1644">
        <v>820</v>
      </c>
      <c r="F1644">
        <v>820</v>
      </c>
      <c r="G1644" t="s">
        <v>136</v>
      </c>
      <c r="H1644" t="s">
        <v>250</v>
      </c>
      <c r="I1644" t="s">
        <v>78</v>
      </c>
      <c r="J1644" t="s">
        <v>42</v>
      </c>
      <c r="K1644" t="s">
        <v>83</v>
      </c>
      <c r="L1644" s="25">
        <v>44030</v>
      </c>
      <c r="M1644">
        <v>7</v>
      </c>
      <c r="N1644">
        <v>2020</v>
      </c>
      <c r="O1644" t="s">
        <v>110</v>
      </c>
      <c r="P1644">
        <v>170</v>
      </c>
      <c r="Q1644" s="17">
        <v>44030.444436921294</v>
      </c>
      <c r="R1644" t="s">
        <v>126</v>
      </c>
    </row>
    <row r="1645" spans="1:18" x14ac:dyDescent="0.3">
      <c r="A1645">
        <v>9686319</v>
      </c>
      <c r="B1645" t="s">
        <v>72</v>
      </c>
      <c r="C1645">
        <v>1329889</v>
      </c>
      <c r="D1645" t="s">
        <v>108</v>
      </c>
      <c r="E1645" t="s">
        <v>164</v>
      </c>
      <c r="F1645" t="s">
        <v>17</v>
      </c>
      <c r="G1645" t="s">
        <v>165</v>
      </c>
      <c r="H1645" t="s">
        <v>263</v>
      </c>
      <c r="I1645" t="s">
        <v>82</v>
      </c>
      <c r="J1645" t="s">
        <v>42</v>
      </c>
      <c r="K1645" t="s">
        <v>87</v>
      </c>
      <c r="L1645" s="25">
        <v>44030</v>
      </c>
      <c r="M1645">
        <v>7</v>
      </c>
      <c r="N1645">
        <v>2020</v>
      </c>
      <c r="O1645" t="s">
        <v>110</v>
      </c>
      <c r="P1645">
        <v>170</v>
      </c>
      <c r="Q1645" s="17">
        <v>44030.480910185186</v>
      </c>
      <c r="R1645" t="s">
        <v>126</v>
      </c>
    </row>
    <row r="1646" spans="1:18" x14ac:dyDescent="0.3">
      <c r="A1646">
        <v>9678840</v>
      </c>
      <c r="B1646" t="s">
        <v>72</v>
      </c>
      <c r="C1646">
        <v>1331561</v>
      </c>
      <c r="D1646" t="s">
        <v>108</v>
      </c>
      <c r="E1646" t="s">
        <v>12</v>
      </c>
      <c r="F1646" t="s">
        <v>12</v>
      </c>
      <c r="G1646" t="s">
        <v>135</v>
      </c>
      <c r="H1646" t="s">
        <v>98</v>
      </c>
      <c r="I1646" t="s">
        <v>82</v>
      </c>
      <c r="J1646" t="s">
        <v>42</v>
      </c>
      <c r="K1646" t="s">
        <v>83</v>
      </c>
      <c r="L1646" s="25">
        <v>44030</v>
      </c>
      <c r="M1646">
        <v>7</v>
      </c>
      <c r="N1646">
        <v>2020</v>
      </c>
      <c r="O1646" t="s">
        <v>110</v>
      </c>
      <c r="P1646">
        <v>170</v>
      </c>
      <c r="Q1646" s="17">
        <v>44030.488100347226</v>
      </c>
      <c r="R1646" t="s">
        <v>126</v>
      </c>
    </row>
    <row r="1647" spans="1:18" x14ac:dyDescent="0.3">
      <c r="A1647">
        <v>9686148</v>
      </c>
      <c r="B1647" t="s">
        <v>80</v>
      </c>
      <c r="C1647">
        <v>1329603</v>
      </c>
      <c r="D1647" t="s">
        <v>113</v>
      </c>
      <c r="E1647" t="s">
        <v>146</v>
      </c>
      <c r="F1647" t="s">
        <v>17</v>
      </c>
      <c r="G1647" t="s">
        <v>153</v>
      </c>
      <c r="H1647" t="s">
        <v>232</v>
      </c>
      <c r="I1647" t="s">
        <v>84</v>
      </c>
      <c r="J1647" t="s">
        <v>85</v>
      </c>
      <c r="K1647" t="s">
        <v>87</v>
      </c>
      <c r="L1647" s="25">
        <v>44030</v>
      </c>
      <c r="M1647">
        <v>7</v>
      </c>
      <c r="N1647">
        <v>2020</v>
      </c>
      <c r="O1647" t="s">
        <v>110</v>
      </c>
      <c r="P1647">
        <v>170</v>
      </c>
      <c r="Q1647" s="17">
        <v>44030.434742245372</v>
      </c>
      <c r="R1647" t="s">
        <v>126</v>
      </c>
    </row>
    <row r="1648" spans="1:18" x14ac:dyDescent="0.3">
      <c r="A1648">
        <v>9687669</v>
      </c>
      <c r="B1648" t="s">
        <v>78</v>
      </c>
      <c r="C1648">
        <v>1330582</v>
      </c>
      <c r="D1648" t="s">
        <v>78</v>
      </c>
      <c r="E1648">
        <v>820</v>
      </c>
      <c r="F1648">
        <v>820</v>
      </c>
      <c r="G1648" t="s">
        <v>136</v>
      </c>
      <c r="H1648" t="s">
        <v>249</v>
      </c>
      <c r="I1648" t="s">
        <v>78</v>
      </c>
      <c r="J1648" t="s">
        <v>42</v>
      </c>
      <c r="K1648" t="s">
        <v>83</v>
      </c>
      <c r="L1648" s="25">
        <v>44030</v>
      </c>
      <c r="M1648">
        <v>7</v>
      </c>
      <c r="N1648">
        <v>2020</v>
      </c>
      <c r="O1648" t="s">
        <v>110</v>
      </c>
      <c r="P1648">
        <v>170</v>
      </c>
      <c r="Q1648" s="17">
        <v>44030.491736226853</v>
      </c>
      <c r="R1648" t="s">
        <v>126</v>
      </c>
    </row>
    <row r="1649" spans="1:18" x14ac:dyDescent="0.3">
      <c r="A1649">
        <v>9684974</v>
      </c>
      <c r="B1649" t="s">
        <v>78</v>
      </c>
      <c r="C1649">
        <v>1328667</v>
      </c>
      <c r="D1649" t="s">
        <v>78</v>
      </c>
      <c r="E1649">
        <v>820</v>
      </c>
      <c r="F1649">
        <v>820</v>
      </c>
      <c r="G1649" t="s">
        <v>136</v>
      </c>
      <c r="H1649" t="s">
        <v>250</v>
      </c>
      <c r="I1649" t="s">
        <v>78</v>
      </c>
      <c r="J1649" t="s">
        <v>42</v>
      </c>
      <c r="K1649" t="s">
        <v>83</v>
      </c>
      <c r="L1649" s="25">
        <v>44030</v>
      </c>
      <c r="M1649">
        <v>7</v>
      </c>
      <c r="N1649">
        <v>2020</v>
      </c>
      <c r="O1649" t="s">
        <v>110</v>
      </c>
      <c r="P1649">
        <v>170</v>
      </c>
      <c r="Q1649" s="17">
        <v>44030.425822800928</v>
      </c>
      <c r="R1649" t="s">
        <v>126</v>
      </c>
    </row>
    <row r="1650" spans="1:18" x14ac:dyDescent="0.3">
      <c r="A1650">
        <v>9686983</v>
      </c>
      <c r="B1650" t="s">
        <v>80</v>
      </c>
      <c r="C1650">
        <v>1330264</v>
      </c>
      <c r="D1650" t="s">
        <v>113</v>
      </c>
      <c r="E1650" t="s">
        <v>146</v>
      </c>
      <c r="F1650" t="s">
        <v>17</v>
      </c>
      <c r="G1650" t="s">
        <v>153</v>
      </c>
      <c r="H1650" t="s">
        <v>232</v>
      </c>
      <c r="I1650" t="s">
        <v>84</v>
      </c>
      <c r="J1650" t="s">
        <v>85</v>
      </c>
      <c r="K1650" t="s">
        <v>87</v>
      </c>
      <c r="L1650" s="25">
        <v>44030</v>
      </c>
      <c r="M1650">
        <v>7</v>
      </c>
      <c r="N1650">
        <v>2020</v>
      </c>
      <c r="O1650" t="s">
        <v>110</v>
      </c>
      <c r="P1650">
        <v>170</v>
      </c>
      <c r="Q1650" s="17">
        <v>44030.497125810187</v>
      </c>
      <c r="R1650" t="s">
        <v>126</v>
      </c>
    </row>
    <row r="1651" spans="1:18" x14ac:dyDescent="0.3">
      <c r="A1651">
        <v>9686452</v>
      </c>
      <c r="B1651" t="s">
        <v>78</v>
      </c>
      <c r="C1651">
        <v>1330021</v>
      </c>
      <c r="D1651" t="s">
        <v>78</v>
      </c>
      <c r="E1651" t="s">
        <v>161</v>
      </c>
      <c r="F1651" t="s">
        <v>17</v>
      </c>
      <c r="G1651" t="s">
        <v>162</v>
      </c>
      <c r="H1651" t="s">
        <v>134</v>
      </c>
      <c r="I1651" t="s">
        <v>78</v>
      </c>
      <c r="J1651" t="s">
        <v>42</v>
      </c>
      <c r="K1651" t="s">
        <v>87</v>
      </c>
      <c r="L1651" s="25">
        <v>44030</v>
      </c>
      <c r="M1651">
        <v>7</v>
      </c>
      <c r="N1651">
        <v>2020</v>
      </c>
      <c r="O1651" t="s">
        <v>110</v>
      </c>
      <c r="P1651">
        <v>170</v>
      </c>
      <c r="Q1651" s="17">
        <v>44030.485154282411</v>
      </c>
      <c r="R1651" t="s">
        <v>126</v>
      </c>
    </row>
    <row r="1652" spans="1:18" x14ac:dyDescent="0.3">
      <c r="A1652">
        <v>9686996</v>
      </c>
      <c r="B1652" t="s">
        <v>80</v>
      </c>
      <c r="C1652">
        <v>1330221</v>
      </c>
      <c r="D1652" t="s">
        <v>113</v>
      </c>
      <c r="E1652" t="s">
        <v>146</v>
      </c>
      <c r="F1652" t="s">
        <v>17</v>
      </c>
      <c r="G1652" t="s">
        <v>153</v>
      </c>
      <c r="H1652" t="s">
        <v>232</v>
      </c>
      <c r="I1652" t="s">
        <v>84</v>
      </c>
      <c r="J1652" t="s">
        <v>85</v>
      </c>
      <c r="K1652" t="s">
        <v>87</v>
      </c>
      <c r="L1652" s="25">
        <v>44030</v>
      </c>
      <c r="M1652">
        <v>7</v>
      </c>
      <c r="N1652">
        <v>2020</v>
      </c>
      <c r="O1652" t="s">
        <v>110</v>
      </c>
      <c r="P1652">
        <v>170</v>
      </c>
      <c r="Q1652" s="17">
        <v>44030.492685648147</v>
      </c>
      <c r="R1652" t="s">
        <v>126</v>
      </c>
    </row>
    <row r="1653" spans="1:18" x14ac:dyDescent="0.3">
      <c r="A1653">
        <v>9679277</v>
      </c>
      <c r="B1653" t="s">
        <v>72</v>
      </c>
      <c r="C1653">
        <v>1321708</v>
      </c>
      <c r="D1653" t="s">
        <v>108</v>
      </c>
      <c r="E1653" t="s">
        <v>164</v>
      </c>
      <c r="F1653" t="s">
        <v>17</v>
      </c>
      <c r="G1653" t="s">
        <v>165</v>
      </c>
      <c r="H1653" t="s">
        <v>263</v>
      </c>
      <c r="I1653" t="s">
        <v>82</v>
      </c>
      <c r="J1653" t="s">
        <v>42</v>
      </c>
      <c r="K1653" t="s">
        <v>87</v>
      </c>
      <c r="L1653" s="25">
        <v>44030</v>
      </c>
      <c r="M1653">
        <v>7</v>
      </c>
      <c r="N1653">
        <v>2020</v>
      </c>
      <c r="O1653" t="s">
        <v>110</v>
      </c>
      <c r="P1653">
        <v>170</v>
      </c>
      <c r="Q1653" s="17">
        <v>44030.493446527777</v>
      </c>
      <c r="R1653" t="s">
        <v>126</v>
      </c>
    </row>
    <row r="1654" spans="1:18" x14ac:dyDescent="0.3">
      <c r="A1654">
        <v>9665617</v>
      </c>
      <c r="B1654" t="s">
        <v>72</v>
      </c>
      <c r="C1654">
        <v>1327841</v>
      </c>
      <c r="D1654" t="s">
        <v>108</v>
      </c>
      <c r="E1654" t="s">
        <v>26</v>
      </c>
      <c r="F1654" t="s">
        <v>26</v>
      </c>
      <c r="G1654" t="s">
        <v>137</v>
      </c>
      <c r="H1654" t="s">
        <v>229</v>
      </c>
      <c r="I1654" t="s">
        <v>84</v>
      </c>
      <c r="J1654" t="s">
        <v>85</v>
      </c>
      <c r="K1654" t="s">
        <v>83</v>
      </c>
      <c r="L1654" s="25">
        <v>44030</v>
      </c>
      <c r="M1654">
        <v>7</v>
      </c>
      <c r="N1654">
        <v>2020</v>
      </c>
      <c r="O1654" t="s">
        <v>110</v>
      </c>
      <c r="P1654">
        <v>170</v>
      </c>
      <c r="Q1654" s="17">
        <v>44030.296812962966</v>
      </c>
      <c r="R1654" t="s">
        <v>126</v>
      </c>
    </row>
    <row r="1655" spans="1:18" x14ac:dyDescent="0.3">
      <c r="A1655">
        <v>9686844</v>
      </c>
      <c r="B1655" t="s">
        <v>80</v>
      </c>
      <c r="C1655">
        <v>1329713</v>
      </c>
      <c r="D1655" t="s">
        <v>113</v>
      </c>
      <c r="E1655" t="s">
        <v>146</v>
      </c>
      <c r="F1655" t="s">
        <v>17</v>
      </c>
      <c r="G1655" t="s">
        <v>153</v>
      </c>
      <c r="H1655" t="s">
        <v>232</v>
      </c>
      <c r="I1655" t="s">
        <v>84</v>
      </c>
      <c r="J1655" t="s">
        <v>85</v>
      </c>
      <c r="K1655" t="s">
        <v>87</v>
      </c>
      <c r="L1655" s="25">
        <v>44030</v>
      </c>
      <c r="M1655">
        <v>7</v>
      </c>
      <c r="N1655">
        <v>2020</v>
      </c>
      <c r="O1655" t="s">
        <v>110</v>
      </c>
      <c r="P1655">
        <v>170</v>
      </c>
      <c r="Q1655" s="17">
        <v>44030.455084027781</v>
      </c>
      <c r="R1655" t="s">
        <v>126</v>
      </c>
    </row>
    <row r="1656" spans="1:18" x14ac:dyDescent="0.3">
      <c r="A1656">
        <v>9678175</v>
      </c>
      <c r="B1656" t="s">
        <v>72</v>
      </c>
      <c r="C1656">
        <v>1331926</v>
      </c>
      <c r="D1656" t="s">
        <v>108</v>
      </c>
      <c r="E1656" t="s">
        <v>26</v>
      </c>
      <c r="F1656" t="s">
        <v>26</v>
      </c>
      <c r="G1656" t="s">
        <v>137</v>
      </c>
      <c r="H1656" t="s">
        <v>229</v>
      </c>
      <c r="I1656" t="s">
        <v>84</v>
      </c>
      <c r="J1656" t="s">
        <v>85</v>
      </c>
      <c r="K1656" t="s">
        <v>83</v>
      </c>
      <c r="L1656" s="25">
        <v>44030</v>
      </c>
      <c r="M1656">
        <v>7</v>
      </c>
      <c r="N1656">
        <v>2020</v>
      </c>
      <c r="O1656" t="s">
        <v>110</v>
      </c>
      <c r="P1656">
        <v>170</v>
      </c>
      <c r="Q1656" s="17">
        <v>44030.381891550926</v>
      </c>
      <c r="R1656" t="s">
        <v>126</v>
      </c>
    </row>
    <row r="1657" spans="1:18" x14ac:dyDescent="0.3">
      <c r="A1657">
        <v>9680517</v>
      </c>
      <c r="B1657" t="s">
        <v>78</v>
      </c>
      <c r="C1657">
        <v>1322159</v>
      </c>
      <c r="D1657" t="s">
        <v>78</v>
      </c>
      <c r="E1657">
        <v>966</v>
      </c>
      <c r="F1657">
        <v>966</v>
      </c>
      <c r="G1657" t="s">
        <v>139</v>
      </c>
      <c r="H1657" t="s">
        <v>257</v>
      </c>
      <c r="I1657" t="s">
        <v>78</v>
      </c>
      <c r="J1657" t="s">
        <v>42</v>
      </c>
      <c r="K1657" t="s">
        <v>87</v>
      </c>
      <c r="L1657" s="25">
        <v>44030</v>
      </c>
      <c r="M1657">
        <v>7</v>
      </c>
      <c r="N1657">
        <v>2020</v>
      </c>
      <c r="O1657" t="s">
        <v>110</v>
      </c>
      <c r="P1657">
        <v>170</v>
      </c>
      <c r="Q1657" s="17">
        <v>44030.453400578706</v>
      </c>
      <c r="R1657" t="s">
        <v>126</v>
      </c>
    </row>
    <row r="1658" spans="1:18" x14ac:dyDescent="0.3">
      <c r="A1658">
        <v>9686706</v>
      </c>
      <c r="B1658" t="s">
        <v>80</v>
      </c>
      <c r="C1658">
        <v>1329754</v>
      </c>
      <c r="D1658" t="s">
        <v>113</v>
      </c>
      <c r="E1658" t="s">
        <v>146</v>
      </c>
      <c r="F1658" t="s">
        <v>17</v>
      </c>
      <c r="G1658" t="s">
        <v>153</v>
      </c>
      <c r="H1658" t="s">
        <v>232</v>
      </c>
      <c r="I1658" t="s">
        <v>84</v>
      </c>
      <c r="J1658" t="s">
        <v>85</v>
      </c>
      <c r="K1658" t="s">
        <v>87</v>
      </c>
      <c r="L1658" s="25">
        <v>44030</v>
      </c>
      <c r="M1658">
        <v>7</v>
      </c>
      <c r="N1658">
        <v>2020</v>
      </c>
      <c r="O1658" t="s">
        <v>110</v>
      </c>
      <c r="P1658">
        <v>170</v>
      </c>
      <c r="Q1658" s="17">
        <v>44030.463857523151</v>
      </c>
      <c r="R1658" t="s">
        <v>126</v>
      </c>
    </row>
    <row r="1659" spans="1:18" x14ac:dyDescent="0.3">
      <c r="A1659">
        <v>9687002</v>
      </c>
      <c r="B1659" t="s">
        <v>80</v>
      </c>
      <c r="C1659">
        <v>1330249</v>
      </c>
      <c r="D1659" t="s">
        <v>113</v>
      </c>
      <c r="E1659" t="s">
        <v>146</v>
      </c>
      <c r="F1659" t="s">
        <v>17</v>
      </c>
      <c r="G1659" t="s">
        <v>153</v>
      </c>
      <c r="H1659" t="s">
        <v>232</v>
      </c>
      <c r="I1659" t="s">
        <v>84</v>
      </c>
      <c r="J1659" t="s">
        <v>85</v>
      </c>
      <c r="K1659" t="s">
        <v>87</v>
      </c>
      <c r="L1659" s="25">
        <v>44030</v>
      </c>
      <c r="M1659">
        <v>7</v>
      </c>
      <c r="N1659">
        <v>2020</v>
      </c>
      <c r="O1659" t="s">
        <v>110</v>
      </c>
      <c r="P1659">
        <v>170</v>
      </c>
      <c r="Q1659" s="17">
        <v>44030.49485127315</v>
      </c>
      <c r="R1659" t="s">
        <v>126</v>
      </c>
    </row>
    <row r="1660" spans="1:18" x14ac:dyDescent="0.3">
      <c r="A1660">
        <v>21525880</v>
      </c>
      <c r="B1660" t="s">
        <v>72</v>
      </c>
      <c r="C1660">
        <v>1322068</v>
      </c>
      <c r="D1660" t="s">
        <v>108</v>
      </c>
      <c r="E1660">
        <v>966</v>
      </c>
      <c r="F1660">
        <v>966</v>
      </c>
      <c r="G1660" t="s">
        <v>139</v>
      </c>
      <c r="H1660" t="s">
        <v>252</v>
      </c>
      <c r="I1660" t="s">
        <v>84</v>
      </c>
      <c r="J1660" t="s">
        <v>85</v>
      </c>
      <c r="K1660" t="s">
        <v>87</v>
      </c>
      <c r="L1660" s="25">
        <v>44030</v>
      </c>
      <c r="M1660">
        <v>7</v>
      </c>
      <c r="N1660">
        <v>2020</v>
      </c>
      <c r="O1660" t="s">
        <v>110</v>
      </c>
      <c r="P1660">
        <v>170</v>
      </c>
      <c r="Q1660" s="17">
        <v>44030.444953703707</v>
      </c>
      <c r="R1660" t="s">
        <v>126</v>
      </c>
    </row>
    <row r="1661" spans="1:18" x14ac:dyDescent="0.3">
      <c r="A1661">
        <v>9685720</v>
      </c>
      <c r="B1661" t="s">
        <v>78</v>
      </c>
      <c r="C1661">
        <v>1328775</v>
      </c>
      <c r="D1661" t="s">
        <v>78</v>
      </c>
      <c r="E1661">
        <v>820</v>
      </c>
      <c r="F1661">
        <v>820</v>
      </c>
      <c r="G1661" t="s">
        <v>136</v>
      </c>
      <c r="H1661" t="s">
        <v>250</v>
      </c>
      <c r="I1661" t="s">
        <v>78</v>
      </c>
      <c r="J1661" t="s">
        <v>42</v>
      </c>
      <c r="K1661" t="s">
        <v>83</v>
      </c>
      <c r="L1661" s="25">
        <v>44030</v>
      </c>
      <c r="M1661">
        <v>7</v>
      </c>
      <c r="N1661">
        <v>2020</v>
      </c>
      <c r="O1661" t="s">
        <v>110</v>
      </c>
      <c r="P1661">
        <v>170</v>
      </c>
      <c r="Q1661" s="17">
        <v>44030.432515856482</v>
      </c>
      <c r="R1661" t="s">
        <v>126</v>
      </c>
    </row>
    <row r="1662" spans="1:18" x14ac:dyDescent="0.3">
      <c r="A1662">
        <v>9686245</v>
      </c>
      <c r="B1662" t="s">
        <v>80</v>
      </c>
      <c r="C1662">
        <v>1329654</v>
      </c>
      <c r="D1662" t="s">
        <v>113</v>
      </c>
      <c r="E1662" t="s">
        <v>146</v>
      </c>
      <c r="F1662" t="s">
        <v>17</v>
      </c>
      <c r="G1662" t="s">
        <v>153</v>
      </c>
      <c r="H1662" t="s">
        <v>232</v>
      </c>
      <c r="I1662" t="s">
        <v>84</v>
      </c>
      <c r="J1662" t="s">
        <v>85</v>
      </c>
      <c r="K1662" t="s">
        <v>87</v>
      </c>
      <c r="L1662" s="25">
        <v>44030</v>
      </c>
      <c r="M1662">
        <v>7</v>
      </c>
      <c r="N1662">
        <v>2020</v>
      </c>
      <c r="O1662" t="s">
        <v>110</v>
      </c>
      <c r="P1662">
        <v>170</v>
      </c>
      <c r="Q1662" s="17">
        <v>44030.447592708333</v>
      </c>
      <c r="R1662" t="s">
        <v>126</v>
      </c>
    </row>
    <row r="1663" spans="1:18" x14ac:dyDescent="0.3">
      <c r="A1663">
        <v>9685914</v>
      </c>
      <c r="B1663" t="s">
        <v>78</v>
      </c>
      <c r="C1663">
        <v>1329854</v>
      </c>
      <c r="D1663" t="s">
        <v>78</v>
      </c>
      <c r="E1663">
        <v>820</v>
      </c>
      <c r="F1663">
        <v>820</v>
      </c>
      <c r="G1663" t="s">
        <v>136</v>
      </c>
      <c r="H1663" t="s">
        <v>250</v>
      </c>
      <c r="I1663" t="s">
        <v>78</v>
      </c>
      <c r="J1663" t="s">
        <v>42</v>
      </c>
      <c r="K1663" t="s">
        <v>83</v>
      </c>
      <c r="L1663" s="25">
        <v>44030</v>
      </c>
      <c r="M1663">
        <v>7</v>
      </c>
      <c r="N1663">
        <v>2020</v>
      </c>
      <c r="O1663" t="s">
        <v>110</v>
      </c>
      <c r="P1663">
        <v>170</v>
      </c>
      <c r="Q1663" s="17">
        <v>44030.485056018515</v>
      </c>
      <c r="R1663" t="s">
        <v>126</v>
      </c>
    </row>
    <row r="1664" spans="1:18" x14ac:dyDescent="0.3">
      <c r="A1664">
        <v>244678</v>
      </c>
      <c r="B1664" t="s">
        <v>72</v>
      </c>
      <c r="C1664">
        <v>1330149</v>
      </c>
      <c r="D1664" t="s">
        <v>108</v>
      </c>
      <c r="E1664" t="s">
        <v>174</v>
      </c>
      <c r="F1664" t="s">
        <v>17</v>
      </c>
      <c r="G1664" t="s">
        <v>175</v>
      </c>
      <c r="H1664" t="s">
        <v>263</v>
      </c>
      <c r="I1664" t="s">
        <v>82</v>
      </c>
      <c r="J1664" t="s">
        <v>42</v>
      </c>
      <c r="K1664" t="s">
        <v>87</v>
      </c>
      <c r="L1664" s="25">
        <v>44030</v>
      </c>
      <c r="M1664">
        <v>7</v>
      </c>
      <c r="N1664">
        <v>2020</v>
      </c>
      <c r="O1664" t="s">
        <v>110</v>
      </c>
      <c r="P1664">
        <v>170</v>
      </c>
      <c r="Q1664" s="17">
        <v>44030.487329166666</v>
      </c>
      <c r="R1664" t="s">
        <v>126</v>
      </c>
    </row>
    <row r="1665" spans="1:18" x14ac:dyDescent="0.3">
      <c r="A1665">
        <v>9681644</v>
      </c>
      <c r="B1665" t="s">
        <v>80</v>
      </c>
      <c r="C1665">
        <v>1326305</v>
      </c>
      <c r="D1665" t="s">
        <v>113</v>
      </c>
      <c r="E1665">
        <v>966</v>
      </c>
      <c r="F1665">
        <v>966</v>
      </c>
      <c r="G1665" t="s">
        <v>139</v>
      </c>
      <c r="H1665" t="s">
        <v>257</v>
      </c>
      <c r="I1665" t="s">
        <v>82</v>
      </c>
      <c r="J1665" t="s">
        <v>42</v>
      </c>
      <c r="K1665" t="s">
        <v>87</v>
      </c>
      <c r="L1665" s="25">
        <v>44030</v>
      </c>
      <c r="M1665">
        <v>7</v>
      </c>
      <c r="N1665">
        <v>2020</v>
      </c>
      <c r="O1665" t="s">
        <v>110</v>
      </c>
      <c r="P1665">
        <v>170</v>
      </c>
      <c r="Q1665" s="17">
        <v>44030.495565393518</v>
      </c>
      <c r="R1665" t="s">
        <v>126</v>
      </c>
    </row>
    <row r="1666" spans="1:18" x14ac:dyDescent="0.3">
      <c r="A1666">
        <v>9685659</v>
      </c>
      <c r="B1666" t="s">
        <v>78</v>
      </c>
      <c r="C1666">
        <v>1328675</v>
      </c>
      <c r="D1666" t="s">
        <v>78</v>
      </c>
      <c r="E1666">
        <v>820</v>
      </c>
      <c r="F1666">
        <v>820</v>
      </c>
      <c r="G1666" t="s">
        <v>136</v>
      </c>
      <c r="H1666" t="s">
        <v>250</v>
      </c>
      <c r="I1666" t="s">
        <v>78</v>
      </c>
      <c r="J1666" t="s">
        <v>42</v>
      </c>
      <c r="K1666" t="s">
        <v>83</v>
      </c>
      <c r="L1666" s="25">
        <v>44030</v>
      </c>
      <c r="M1666">
        <v>7</v>
      </c>
      <c r="N1666">
        <v>2020</v>
      </c>
      <c r="O1666" t="s">
        <v>110</v>
      </c>
      <c r="P1666">
        <v>170</v>
      </c>
      <c r="Q1666" s="17">
        <v>44030.427982407411</v>
      </c>
      <c r="R1666" t="s">
        <v>126</v>
      </c>
    </row>
    <row r="1667" spans="1:18" x14ac:dyDescent="0.3">
      <c r="A1667">
        <v>9690191</v>
      </c>
      <c r="B1667" t="s">
        <v>72</v>
      </c>
      <c r="C1667">
        <v>1331592</v>
      </c>
      <c r="D1667" t="s">
        <v>108</v>
      </c>
      <c r="E1667">
        <v>845</v>
      </c>
      <c r="F1667">
        <v>845</v>
      </c>
      <c r="G1667" t="s">
        <v>130</v>
      </c>
      <c r="H1667" t="s">
        <v>229</v>
      </c>
      <c r="I1667" t="s">
        <v>84</v>
      </c>
      <c r="J1667" t="s">
        <v>85</v>
      </c>
      <c r="K1667" t="s">
        <v>87</v>
      </c>
      <c r="L1667" s="25">
        <v>44030</v>
      </c>
      <c r="M1667">
        <v>7</v>
      </c>
      <c r="N1667">
        <v>2020</v>
      </c>
      <c r="O1667" t="s">
        <v>110</v>
      </c>
      <c r="P1667">
        <v>170</v>
      </c>
      <c r="Q1667" s="17">
        <v>44030.38471273148</v>
      </c>
      <c r="R1667" t="s">
        <v>126</v>
      </c>
    </row>
    <row r="1668" spans="1:18" x14ac:dyDescent="0.3">
      <c r="A1668">
        <v>9686698</v>
      </c>
      <c r="B1668" t="s">
        <v>80</v>
      </c>
      <c r="C1668">
        <v>1329720</v>
      </c>
      <c r="D1668" t="s">
        <v>113</v>
      </c>
      <c r="E1668" t="s">
        <v>146</v>
      </c>
      <c r="F1668" t="s">
        <v>17</v>
      </c>
      <c r="G1668" t="s">
        <v>153</v>
      </c>
      <c r="H1668" t="s">
        <v>232</v>
      </c>
      <c r="I1668" t="s">
        <v>84</v>
      </c>
      <c r="J1668" t="s">
        <v>85</v>
      </c>
      <c r="K1668" t="s">
        <v>87</v>
      </c>
      <c r="L1668" s="25">
        <v>44030</v>
      </c>
      <c r="M1668">
        <v>7</v>
      </c>
      <c r="N1668">
        <v>2020</v>
      </c>
      <c r="O1668" t="s">
        <v>110</v>
      </c>
      <c r="P1668">
        <v>170</v>
      </c>
      <c r="Q1668" s="17">
        <v>44030.466024305555</v>
      </c>
      <c r="R1668" t="s">
        <v>126</v>
      </c>
    </row>
    <row r="1669" spans="1:18" x14ac:dyDescent="0.3">
      <c r="A1669">
        <v>9685787</v>
      </c>
      <c r="B1669" t="s">
        <v>72</v>
      </c>
      <c r="C1669">
        <v>1328730</v>
      </c>
      <c r="D1669" t="s">
        <v>108</v>
      </c>
      <c r="E1669">
        <v>820</v>
      </c>
      <c r="F1669">
        <v>820</v>
      </c>
      <c r="G1669" t="s">
        <v>136</v>
      </c>
      <c r="H1669" t="s">
        <v>229</v>
      </c>
      <c r="I1669" t="s">
        <v>84</v>
      </c>
      <c r="J1669" t="s">
        <v>85</v>
      </c>
      <c r="K1669" t="s">
        <v>83</v>
      </c>
      <c r="L1669" s="25">
        <v>44030</v>
      </c>
      <c r="M1669">
        <v>7</v>
      </c>
      <c r="N1669">
        <v>2020</v>
      </c>
      <c r="O1669" t="s">
        <v>110</v>
      </c>
      <c r="P1669">
        <v>170</v>
      </c>
      <c r="Q1669" s="17">
        <v>44030.306398958332</v>
      </c>
      <c r="R1669" t="s">
        <v>126</v>
      </c>
    </row>
    <row r="1670" spans="1:18" x14ac:dyDescent="0.3">
      <c r="A1670">
        <v>9689312</v>
      </c>
      <c r="B1670" t="s">
        <v>78</v>
      </c>
      <c r="C1670">
        <v>1331624</v>
      </c>
      <c r="D1670" t="s">
        <v>78</v>
      </c>
      <c r="E1670">
        <v>845</v>
      </c>
      <c r="F1670">
        <v>845</v>
      </c>
      <c r="G1670" t="s">
        <v>130</v>
      </c>
      <c r="H1670" t="s">
        <v>105</v>
      </c>
      <c r="I1670" t="s">
        <v>78</v>
      </c>
      <c r="J1670" t="s">
        <v>42</v>
      </c>
      <c r="K1670" t="s">
        <v>87</v>
      </c>
      <c r="L1670" s="25">
        <v>44030</v>
      </c>
      <c r="M1670">
        <v>7</v>
      </c>
      <c r="N1670">
        <v>2020</v>
      </c>
      <c r="O1670" t="s">
        <v>110</v>
      </c>
      <c r="P1670">
        <v>170</v>
      </c>
      <c r="Q1670" s="17">
        <v>44030.42494675926</v>
      </c>
      <c r="R1670" t="s">
        <v>126</v>
      </c>
    </row>
    <row r="1671" spans="1:18" x14ac:dyDescent="0.3">
      <c r="A1671">
        <v>9684366</v>
      </c>
      <c r="B1671" t="s">
        <v>72</v>
      </c>
      <c r="C1671">
        <v>1331524</v>
      </c>
      <c r="D1671" t="s">
        <v>108</v>
      </c>
      <c r="E1671" t="s">
        <v>26</v>
      </c>
      <c r="F1671" t="s">
        <v>26</v>
      </c>
      <c r="G1671" t="s">
        <v>137</v>
      </c>
      <c r="H1671" t="s">
        <v>229</v>
      </c>
      <c r="I1671" t="s">
        <v>84</v>
      </c>
      <c r="J1671" t="s">
        <v>85</v>
      </c>
      <c r="K1671" t="s">
        <v>83</v>
      </c>
      <c r="L1671" s="25">
        <v>44030</v>
      </c>
      <c r="M1671">
        <v>7</v>
      </c>
      <c r="N1671">
        <v>2020</v>
      </c>
      <c r="O1671" t="s">
        <v>110</v>
      </c>
      <c r="P1671">
        <v>170</v>
      </c>
      <c r="Q1671" s="17">
        <v>44030.381021527777</v>
      </c>
      <c r="R1671" t="s">
        <v>126</v>
      </c>
    </row>
    <row r="1672" spans="1:18" x14ac:dyDescent="0.3">
      <c r="A1672">
        <v>9685892</v>
      </c>
      <c r="B1672" t="s">
        <v>72</v>
      </c>
      <c r="C1672">
        <v>1328916</v>
      </c>
      <c r="D1672" t="s">
        <v>108</v>
      </c>
      <c r="E1672">
        <v>820</v>
      </c>
      <c r="F1672">
        <v>820</v>
      </c>
      <c r="G1672" t="s">
        <v>136</v>
      </c>
      <c r="H1672" t="s">
        <v>262</v>
      </c>
      <c r="I1672" t="s">
        <v>82</v>
      </c>
      <c r="J1672" t="s">
        <v>42</v>
      </c>
      <c r="K1672" t="s">
        <v>83</v>
      </c>
      <c r="L1672" s="25">
        <v>44030</v>
      </c>
      <c r="M1672">
        <v>7</v>
      </c>
      <c r="N1672">
        <v>2020</v>
      </c>
      <c r="O1672" t="s">
        <v>110</v>
      </c>
      <c r="P1672">
        <v>170</v>
      </c>
      <c r="Q1672" s="17">
        <v>44030.439470949073</v>
      </c>
      <c r="R1672" t="s">
        <v>126</v>
      </c>
    </row>
    <row r="1673" spans="1:18" x14ac:dyDescent="0.3">
      <c r="A1673">
        <v>9687712</v>
      </c>
      <c r="B1673" t="s">
        <v>78</v>
      </c>
      <c r="C1673">
        <v>1330588</v>
      </c>
      <c r="D1673" t="s">
        <v>78</v>
      </c>
      <c r="E1673">
        <v>820</v>
      </c>
      <c r="F1673">
        <v>820</v>
      </c>
      <c r="G1673" t="s">
        <v>136</v>
      </c>
      <c r="H1673" t="s">
        <v>250</v>
      </c>
      <c r="I1673" t="s">
        <v>78</v>
      </c>
      <c r="J1673" t="s">
        <v>42</v>
      </c>
      <c r="K1673" t="s">
        <v>83</v>
      </c>
      <c r="L1673" s="25">
        <v>44030</v>
      </c>
      <c r="M1673">
        <v>7</v>
      </c>
      <c r="N1673">
        <v>2020</v>
      </c>
      <c r="O1673" t="s">
        <v>110</v>
      </c>
      <c r="P1673">
        <v>170</v>
      </c>
      <c r="Q1673" s="17">
        <v>44030.490358680552</v>
      </c>
      <c r="R1673" t="s">
        <v>126</v>
      </c>
    </row>
    <row r="1674" spans="1:18" x14ac:dyDescent="0.3">
      <c r="A1674">
        <v>9686876</v>
      </c>
      <c r="B1674" t="s">
        <v>80</v>
      </c>
      <c r="C1674">
        <v>1329766</v>
      </c>
      <c r="D1674" t="s">
        <v>113</v>
      </c>
      <c r="E1674" t="s">
        <v>146</v>
      </c>
      <c r="F1674" t="s">
        <v>17</v>
      </c>
      <c r="G1674" t="s">
        <v>153</v>
      </c>
      <c r="H1674" t="s">
        <v>232</v>
      </c>
      <c r="I1674" t="s">
        <v>84</v>
      </c>
      <c r="J1674" t="s">
        <v>85</v>
      </c>
      <c r="K1674" t="s">
        <v>87</v>
      </c>
      <c r="L1674" s="25">
        <v>44030</v>
      </c>
      <c r="M1674">
        <v>7</v>
      </c>
      <c r="N1674">
        <v>2020</v>
      </c>
      <c r="O1674" t="s">
        <v>110</v>
      </c>
      <c r="P1674">
        <v>170</v>
      </c>
      <c r="Q1674" s="17">
        <v>44030.46834699074</v>
      </c>
      <c r="R1674" t="s">
        <v>126</v>
      </c>
    </row>
    <row r="1675" spans="1:18" x14ac:dyDescent="0.3">
      <c r="A1675">
        <v>9686258</v>
      </c>
      <c r="B1675" t="s">
        <v>80</v>
      </c>
      <c r="C1675">
        <v>1329666</v>
      </c>
      <c r="D1675" t="s">
        <v>113</v>
      </c>
      <c r="E1675" t="s">
        <v>146</v>
      </c>
      <c r="F1675" t="s">
        <v>17</v>
      </c>
      <c r="G1675" t="s">
        <v>153</v>
      </c>
      <c r="H1675" t="s">
        <v>232</v>
      </c>
      <c r="I1675" t="s">
        <v>84</v>
      </c>
      <c r="J1675" t="s">
        <v>85</v>
      </c>
      <c r="K1675" t="s">
        <v>87</v>
      </c>
      <c r="L1675" s="25">
        <v>44030</v>
      </c>
      <c r="M1675">
        <v>7</v>
      </c>
      <c r="N1675">
        <v>2020</v>
      </c>
      <c r="O1675" t="s">
        <v>110</v>
      </c>
      <c r="P1675">
        <v>170</v>
      </c>
      <c r="Q1675" s="17">
        <v>44030.452179976855</v>
      </c>
      <c r="R1675" t="s">
        <v>126</v>
      </c>
    </row>
    <row r="1676" spans="1:18" x14ac:dyDescent="0.3">
      <c r="A1676">
        <v>241475</v>
      </c>
      <c r="B1676" t="s">
        <v>78</v>
      </c>
      <c r="C1676">
        <v>1322343</v>
      </c>
      <c r="D1676" t="s">
        <v>78</v>
      </c>
      <c r="E1676" t="s">
        <v>26</v>
      </c>
      <c r="F1676" t="s">
        <v>26</v>
      </c>
      <c r="G1676" t="s">
        <v>137</v>
      </c>
      <c r="H1676" t="s">
        <v>245</v>
      </c>
      <c r="I1676" t="s">
        <v>78</v>
      </c>
      <c r="J1676" t="s">
        <v>42</v>
      </c>
      <c r="K1676" t="s">
        <v>83</v>
      </c>
      <c r="L1676" s="25">
        <v>44030</v>
      </c>
      <c r="M1676">
        <v>7</v>
      </c>
      <c r="N1676">
        <v>2020</v>
      </c>
      <c r="O1676" t="s">
        <v>110</v>
      </c>
      <c r="P1676">
        <v>170</v>
      </c>
      <c r="Q1676" s="17">
        <v>44030.494172453706</v>
      </c>
      <c r="R1676" t="s">
        <v>126</v>
      </c>
    </row>
    <row r="1677" spans="1:18" x14ac:dyDescent="0.3">
      <c r="A1677">
        <v>9685780</v>
      </c>
      <c r="B1677" t="s">
        <v>78</v>
      </c>
      <c r="C1677">
        <v>1329027</v>
      </c>
      <c r="D1677" t="s">
        <v>78</v>
      </c>
      <c r="E1677">
        <v>820</v>
      </c>
      <c r="F1677">
        <v>820</v>
      </c>
      <c r="G1677" t="s">
        <v>136</v>
      </c>
      <c r="H1677" t="s">
        <v>250</v>
      </c>
      <c r="I1677" t="s">
        <v>78</v>
      </c>
      <c r="J1677" t="s">
        <v>42</v>
      </c>
      <c r="K1677" t="s">
        <v>83</v>
      </c>
      <c r="L1677" s="25">
        <v>44030</v>
      </c>
      <c r="M1677">
        <v>7</v>
      </c>
      <c r="N1677">
        <v>2020</v>
      </c>
      <c r="O1677" t="s">
        <v>110</v>
      </c>
      <c r="P1677">
        <v>170</v>
      </c>
      <c r="Q1677" s="17">
        <v>44030.447731944441</v>
      </c>
      <c r="R1677" t="s">
        <v>126</v>
      </c>
    </row>
    <row r="1678" spans="1:18" x14ac:dyDescent="0.3">
      <c r="A1678">
        <v>9685652</v>
      </c>
      <c r="B1678" t="s">
        <v>78</v>
      </c>
      <c r="C1678">
        <v>1329831</v>
      </c>
      <c r="D1678" t="s">
        <v>78</v>
      </c>
      <c r="E1678">
        <v>820</v>
      </c>
      <c r="F1678">
        <v>820</v>
      </c>
      <c r="G1678" t="s">
        <v>136</v>
      </c>
      <c r="H1678" t="s">
        <v>228</v>
      </c>
      <c r="I1678" t="s">
        <v>78</v>
      </c>
      <c r="J1678" t="s">
        <v>42</v>
      </c>
      <c r="K1678" t="s">
        <v>83</v>
      </c>
      <c r="L1678" s="25">
        <v>44030</v>
      </c>
      <c r="M1678">
        <v>7</v>
      </c>
      <c r="N1678">
        <v>2020</v>
      </c>
      <c r="O1678" t="s">
        <v>110</v>
      </c>
      <c r="P1678">
        <v>170</v>
      </c>
      <c r="Q1678" s="17">
        <v>44030.481782060182</v>
      </c>
      <c r="R1678" t="s">
        <v>126</v>
      </c>
    </row>
    <row r="1679" spans="1:18" x14ac:dyDescent="0.3">
      <c r="A1679">
        <v>9679965</v>
      </c>
      <c r="B1679" t="s">
        <v>72</v>
      </c>
      <c r="C1679">
        <v>1331503</v>
      </c>
      <c r="D1679" t="s">
        <v>108</v>
      </c>
      <c r="E1679" t="s">
        <v>12</v>
      </c>
      <c r="F1679" t="s">
        <v>12</v>
      </c>
      <c r="G1679" t="s">
        <v>135</v>
      </c>
      <c r="H1679" t="s">
        <v>229</v>
      </c>
      <c r="I1679" t="s">
        <v>84</v>
      </c>
      <c r="J1679" t="s">
        <v>85</v>
      </c>
      <c r="K1679" t="s">
        <v>83</v>
      </c>
      <c r="L1679" s="25">
        <v>44030</v>
      </c>
      <c r="M1679">
        <v>7</v>
      </c>
      <c r="N1679">
        <v>2020</v>
      </c>
      <c r="O1679" t="s">
        <v>110</v>
      </c>
      <c r="P1679">
        <v>170</v>
      </c>
      <c r="Q1679" s="17">
        <v>44030.380621296295</v>
      </c>
      <c r="R1679" t="s">
        <v>126</v>
      </c>
    </row>
    <row r="1680" spans="1:18" x14ac:dyDescent="0.3">
      <c r="A1680">
        <v>9686163</v>
      </c>
      <c r="B1680" t="s">
        <v>80</v>
      </c>
      <c r="C1680">
        <v>1329631</v>
      </c>
      <c r="D1680" t="s">
        <v>113</v>
      </c>
      <c r="E1680" t="s">
        <v>146</v>
      </c>
      <c r="F1680" t="s">
        <v>17</v>
      </c>
      <c r="G1680" t="s">
        <v>153</v>
      </c>
      <c r="H1680" t="s">
        <v>232</v>
      </c>
      <c r="I1680" t="s">
        <v>84</v>
      </c>
      <c r="J1680" t="s">
        <v>85</v>
      </c>
      <c r="K1680" t="s">
        <v>87</v>
      </c>
      <c r="L1680" s="25">
        <v>44030</v>
      </c>
      <c r="M1680">
        <v>7</v>
      </c>
      <c r="N1680">
        <v>2020</v>
      </c>
      <c r="O1680" t="s">
        <v>110</v>
      </c>
      <c r="P1680">
        <v>170</v>
      </c>
      <c r="Q1680" s="17">
        <v>44030.439454861109</v>
      </c>
      <c r="R1680" t="s">
        <v>126</v>
      </c>
    </row>
    <row r="1681" spans="1:18" x14ac:dyDescent="0.3">
      <c r="A1681">
        <v>9685868</v>
      </c>
      <c r="B1681" t="s">
        <v>72</v>
      </c>
      <c r="C1681">
        <v>1329227</v>
      </c>
      <c r="D1681" t="s">
        <v>108</v>
      </c>
      <c r="E1681">
        <v>820</v>
      </c>
      <c r="F1681">
        <v>820</v>
      </c>
      <c r="G1681" t="s">
        <v>136</v>
      </c>
      <c r="H1681" t="s">
        <v>270</v>
      </c>
      <c r="I1681" t="s">
        <v>82</v>
      </c>
      <c r="J1681" t="s">
        <v>42</v>
      </c>
      <c r="K1681" t="s">
        <v>83</v>
      </c>
      <c r="L1681" s="25">
        <v>44030</v>
      </c>
      <c r="M1681">
        <v>7</v>
      </c>
      <c r="N1681">
        <v>2020</v>
      </c>
      <c r="O1681" t="s">
        <v>110</v>
      </c>
      <c r="P1681">
        <v>170</v>
      </c>
      <c r="Q1681" s="17">
        <v>44030.453417592595</v>
      </c>
      <c r="R1681" t="s">
        <v>126</v>
      </c>
    </row>
    <row r="1682" spans="1:18" x14ac:dyDescent="0.3">
      <c r="A1682">
        <v>244795</v>
      </c>
      <c r="B1682" t="s">
        <v>72</v>
      </c>
      <c r="C1682">
        <v>1330172</v>
      </c>
      <c r="D1682" t="s">
        <v>108</v>
      </c>
      <c r="E1682" t="s">
        <v>142</v>
      </c>
      <c r="F1682" t="s">
        <v>17</v>
      </c>
      <c r="G1682" t="s">
        <v>143</v>
      </c>
      <c r="H1682" t="s">
        <v>263</v>
      </c>
      <c r="I1682" t="s">
        <v>82</v>
      </c>
      <c r="J1682" t="s">
        <v>42</v>
      </c>
      <c r="K1682" t="s">
        <v>87</v>
      </c>
      <c r="L1682" s="25">
        <v>44030</v>
      </c>
      <c r="M1682">
        <v>7</v>
      </c>
      <c r="N1682">
        <v>2020</v>
      </c>
      <c r="O1682" t="s">
        <v>110</v>
      </c>
      <c r="P1682">
        <v>170</v>
      </c>
      <c r="Q1682" s="17">
        <v>44030.489215624999</v>
      </c>
      <c r="R1682" t="s">
        <v>126</v>
      </c>
    </row>
    <row r="1683" spans="1:18" x14ac:dyDescent="0.3">
      <c r="A1683">
        <v>9667648</v>
      </c>
      <c r="B1683" t="s">
        <v>72</v>
      </c>
      <c r="C1683">
        <v>1328023</v>
      </c>
      <c r="D1683" t="s">
        <v>108</v>
      </c>
      <c r="E1683" t="s">
        <v>26</v>
      </c>
      <c r="F1683" t="s">
        <v>26</v>
      </c>
      <c r="G1683" t="s">
        <v>137</v>
      </c>
      <c r="H1683" t="s">
        <v>229</v>
      </c>
      <c r="I1683" t="s">
        <v>84</v>
      </c>
      <c r="J1683" t="s">
        <v>85</v>
      </c>
      <c r="K1683" t="s">
        <v>83</v>
      </c>
      <c r="L1683" s="25">
        <v>44030</v>
      </c>
      <c r="M1683">
        <v>7</v>
      </c>
      <c r="N1683">
        <v>2020</v>
      </c>
      <c r="O1683" t="s">
        <v>110</v>
      </c>
      <c r="P1683">
        <v>170</v>
      </c>
      <c r="Q1683" s="17">
        <v>44030.297335185183</v>
      </c>
      <c r="R1683" t="s">
        <v>126</v>
      </c>
    </row>
    <row r="1684" spans="1:18" x14ac:dyDescent="0.3">
      <c r="A1684">
        <v>9686847</v>
      </c>
      <c r="B1684" t="s">
        <v>80</v>
      </c>
      <c r="C1684">
        <v>1329729</v>
      </c>
      <c r="D1684" t="s">
        <v>113</v>
      </c>
      <c r="E1684" t="s">
        <v>146</v>
      </c>
      <c r="F1684" t="s">
        <v>17</v>
      </c>
      <c r="G1684" t="s">
        <v>153</v>
      </c>
      <c r="H1684" t="s">
        <v>232</v>
      </c>
      <c r="I1684" t="s">
        <v>84</v>
      </c>
      <c r="J1684" t="s">
        <v>85</v>
      </c>
      <c r="K1684" t="s">
        <v>87</v>
      </c>
      <c r="L1684" s="25">
        <v>44030</v>
      </c>
      <c r="M1684">
        <v>7</v>
      </c>
      <c r="N1684">
        <v>2020</v>
      </c>
      <c r="O1684" t="s">
        <v>110</v>
      </c>
      <c r="P1684">
        <v>170</v>
      </c>
      <c r="Q1684" s="17">
        <v>44030.456453240738</v>
      </c>
      <c r="R1684" t="s">
        <v>126</v>
      </c>
    </row>
    <row r="1685" spans="1:18" x14ac:dyDescent="0.3">
      <c r="A1685">
        <v>9685279</v>
      </c>
      <c r="B1685" t="s">
        <v>78</v>
      </c>
      <c r="C1685">
        <v>1328827</v>
      </c>
      <c r="D1685" t="s">
        <v>78</v>
      </c>
      <c r="E1685">
        <v>820</v>
      </c>
      <c r="F1685">
        <v>820</v>
      </c>
      <c r="G1685" t="s">
        <v>136</v>
      </c>
      <c r="H1685" t="s">
        <v>250</v>
      </c>
      <c r="I1685" t="s">
        <v>78</v>
      </c>
      <c r="J1685" t="s">
        <v>42</v>
      </c>
      <c r="K1685" t="s">
        <v>83</v>
      </c>
      <c r="L1685" s="25">
        <v>44030</v>
      </c>
      <c r="M1685">
        <v>7</v>
      </c>
      <c r="N1685">
        <v>2020</v>
      </c>
      <c r="O1685" t="s">
        <v>110</v>
      </c>
      <c r="P1685">
        <v>170</v>
      </c>
      <c r="Q1685" s="17">
        <v>44030.43734571759</v>
      </c>
      <c r="R1685" t="s">
        <v>126</v>
      </c>
    </row>
    <row r="1686" spans="1:18" x14ac:dyDescent="0.3">
      <c r="A1686">
        <v>9686151</v>
      </c>
      <c r="B1686" t="s">
        <v>80</v>
      </c>
      <c r="C1686">
        <v>1329606</v>
      </c>
      <c r="D1686" t="s">
        <v>113</v>
      </c>
      <c r="E1686" t="s">
        <v>146</v>
      </c>
      <c r="F1686" t="s">
        <v>17</v>
      </c>
      <c r="G1686" t="s">
        <v>153</v>
      </c>
      <c r="H1686" t="s">
        <v>232</v>
      </c>
      <c r="I1686" t="s">
        <v>84</v>
      </c>
      <c r="J1686" t="s">
        <v>85</v>
      </c>
      <c r="K1686" t="s">
        <v>87</v>
      </c>
      <c r="L1686" s="25">
        <v>44030</v>
      </c>
      <c r="M1686">
        <v>7</v>
      </c>
      <c r="N1686">
        <v>2020</v>
      </c>
      <c r="O1686" t="s">
        <v>110</v>
      </c>
      <c r="P1686">
        <v>170</v>
      </c>
      <c r="Q1686" s="17">
        <v>44030.433012037036</v>
      </c>
      <c r="R1686" t="s">
        <v>126</v>
      </c>
    </row>
    <row r="1687" spans="1:18" x14ac:dyDescent="0.3">
      <c r="A1687">
        <v>9686910</v>
      </c>
      <c r="B1687" t="s">
        <v>80</v>
      </c>
      <c r="C1687">
        <v>1329806</v>
      </c>
      <c r="D1687" t="s">
        <v>113</v>
      </c>
      <c r="E1687" t="s">
        <v>146</v>
      </c>
      <c r="F1687" t="s">
        <v>17</v>
      </c>
      <c r="G1687" t="s">
        <v>153</v>
      </c>
      <c r="H1687" t="s">
        <v>232</v>
      </c>
      <c r="I1687" t="s">
        <v>84</v>
      </c>
      <c r="J1687" t="s">
        <v>85</v>
      </c>
      <c r="K1687" t="s">
        <v>87</v>
      </c>
      <c r="L1687" s="25">
        <v>44030</v>
      </c>
      <c r="M1687">
        <v>7</v>
      </c>
      <c r="N1687">
        <v>2020</v>
      </c>
      <c r="O1687" t="s">
        <v>110</v>
      </c>
      <c r="P1687">
        <v>170</v>
      </c>
      <c r="Q1687" s="17">
        <v>44030.477265277776</v>
      </c>
      <c r="R1687" t="s">
        <v>126</v>
      </c>
    </row>
    <row r="1688" spans="1:18" x14ac:dyDescent="0.3">
      <c r="A1688">
        <v>244982</v>
      </c>
      <c r="B1688" t="s">
        <v>72</v>
      </c>
      <c r="C1688">
        <v>1330138</v>
      </c>
      <c r="D1688" t="s">
        <v>108</v>
      </c>
      <c r="E1688" t="s">
        <v>182</v>
      </c>
      <c r="F1688" t="s">
        <v>17</v>
      </c>
      <c r="G1688" t="s">
        <v>183</v>
      </c>
      <c r="H1688" t="s">
        <v>263</v>
      </c>
      <c r="I1688" t="s">
        <v>82</v>
      </c>
      <c r="J1688" t="s">
        <v>42</v>
      </c>
      <c r="K1688" t="s">
        <v>87</v>
      </c>
      <c r="L1688" s="25">
        <v>44030</v>
      </c>
      <c r="M1688">
        <v>7</v>
      </c>
      <c r="N1688">
        <v>2020</v>
      </c>
      <c r="O1688" t="s">
        <v>110</v>
      </c>
      <c r="P1688">
        <v>170</v>
      </c>
      <c r="Q1688" s="17">
        <v>44030.48926076389</v>
      </c>
      <c r="R1688" t="s">
        <v>126</v>
      </c>
    </row>
    <row r="1689" spans="1:18" x14ac:dyDescent="0.3">
      <c r="A1689">
        <v>9682720</v>
      </c>
      <c r="B1689" t="s">
        <v>72</v>
      </c>
      <c r="C1689">
        <v>1334575</v>
      </c>
      <c r="D1689" t="s">
        <v>108</v>
      </c>
      <c r="E1689" t="s">
        <v>26</v>
      </c>
      <c r="F1689" t="s">
        <v>26</v>
      </c>
      <c r="G1689" t="s">
        <v>137</v>
      </c>
      <c r="H1689" t="s">
        <v>229</v>
      </c>
      <c r="I1689" t="s">
        <v>84</v>
      </c>
      <c r="J1689" t="s">
        <v>85</v>
      </c>
      <c r="K1689" t="s">
        <v>83</v>
      </c>
      <c r="L1689" s="25">
        <v>44030</v>
      </c>
      <c r="M1689">
        <v>7</v>
      </c>
      <c r="N1689">
        <v>2020</v>
      </c>
      <c r="O1689" t="s">
        <v>110</v>
      </c>
      <c r="P1689">
        <v>170</v>
      </c>
      <c r="Q1689" s="17">
        <v>44031.091746180558</v>
      </c>
      <c r="R1689" t="s">
        <v>126</v>
      </c>
    </row>
    <row r="1690" spans="1:18" x14ac:dyDescent="0.3">
      <c r="A1690">
        <v>9686145</v>
      </c>
      <c r="B1690" t="s">
        <v>80</v>
      </c>
      <c r="C1690">
        <v>1329597</v>
      </c>
      <c r="D1690" t="s">
        <v>113</v>
      </c>
      <c r="E1690" t="s">
        <v>146</v>
      </c>
      <c r="F1690" t="s">
        <v>17</v>
      </c>
      <c r="G1690" t="s">
        <v>153</v>
      </c>
      <c r="H1690" t="s">
        <v>232</v>
      </c>
      <c r="I1690" t="s">
        <v>84</v>
      </c>
      <c r="J1690" t="s">
        <v>85</v>
      </c>
      <c r="K1690" t="s">
        <v>87</v>
      </c>
      <c r="L1690" s="25">
        <v>44030</v>
      </c>
      <c r="M1690">
        <v>7</v>
      </c>
      <c r="N1690">
        <v>2020</v>
      </c>
      <c r="O1690" t="s">
        <v>110</v>
      </c>
      <c r="P1690">
        <v>170</v>
      </c>
      <c r="Q1690" s="17">
        <v>44030.435914120368</v>
      </c>
      <c r="R1690" t="s">
        <v>126</v>
      </c>
    </row>
    <row r="1691" spans="1:18" x14ac:dyDescent="0.3">
      <c r="A1691">
        <v>9677537</v>
      </c>
      <c r="B1691" t="s">
        <v>78</v>
      </c>
      <c r="C1691">
        <v>1318124</v>
      </c>
      <c r="D1691" t="s">
        <v>78</v>
      </c>
      <c r="E1691">
        <v>966</v>
      </c>
      <c r="F1691">
        <v>966</v>
      </c>
      <c r="G1691" t="s">
        <v>139</v>
      </c>
      <c r="H1691" t="s">
        <v>105</v>
      </c>
      <c r="I1691" t="s">
        <v>78</v>
      </c>
      <c r="J1691" t="s">
        <v>42</v>
      </c>
      <c r="K1691" t="s">
        <v>87</v>
      </c>
      <c r="L1691" s="25">
        <v>44030</v>
      </c>
      <c r="M1691">
        <v>7</v>
      </c>
      <c r="N1691">
        <v>2020</v>
      </c>
      <c r="O1691" t="s">
        <v>110</v>
      </c>
      <c r="P1691">
        <v>170</v>
      </c>
      <c r="Q1691" s="17">
        <v>44030.437914236114</v>
      </c>
      <c r="R1691" t="s">
        <v>126</v>
      </c>
    </row>
    <row r="1692" spans="1:18" x14ac:dyDescent="0.3">
      <c r="A1692">
        <v>21531083</v>
      </c>
      <c r="B1692" t="s">
        <v>80</v>
      </c>
      <c r="C1692">
        <v>1333421</v>
      </c>
      <c r="D1692" t="s">
        <v>108</v>
      </c>
      <c r="E1692" t="s">
        <v>12</v>
      </c>
      <c r="F1692" t="s">
        <v>12</v>
      </c>
      <c r="G1692" t="s">
        <v>135</v>
      </c>
      <c r="H1692" t="s">
        <v>229</v>
      </c>
      <c r="I1692" t="s">
        <v>84</v>
      </c>
      <c r="J1692" t="s">
        <v>85</v>
      </c>
      <c r="K1692" t="s">
        <v>83</v>
      </c>
      <c r="L1692" s="25">
        <v>44030</v>
      </c>
      <c r="M1692">
        <v>7</v>
      </c>
      <c r="N1692">
        <v>2020</v>
      </c>
      <c r="O1692" t="s">
        <v>110</v>
      </c>
      <c r="P1692">
        <v>170</v>
      </c>
      <c r="Q1692" s="17">
        <v>44031.076879513887</v>
      </c>
      <c r="R1692" t="s">
        <v>126</v>
      </c>
    </row>
    <row r="1693" spans="1:18" x14ac:dyDescent="0.3">
      <c r="A1693">
        <v>9686930</v>
      </c>
      <c r="B1693" t="s">
        <v>80</v>
      </c>
      <c r="C1693">
        <v>1329820</v>
      </c>
      <c r="D1693" t="s">
        <v>113</v>
      </c>
      <c r="E1693" t="s">
        <v>146</v>
      </c>
      <c r="F1693" t="s">
        <v>17</v>
      </c>
      <c r="G1693" t="s">
        <v>153</v>
      </c>
      <c r="H1693" t="s">
        <v>232</v>
      </c>
      <c r="I1693" t="s">
        <v>84</v>
      </c>
      <c r="J1693" t="s">
        <v>85</v>
      </c>
      <c r="K1693" t="s">
        <v>87</v>
      </c>
      <c r="L1693" s="25">
        <v>44030</v>
      </c>
      <c r="M1693">
        <v>7</v>
      </c>
      <c r="N1693">
        <v>2020</v>
      </c>
      <c r="O1693" t="s">
        <v>110</v>
      </c>
      <c r="P1693">
        <v>170</v>
      </c>
      <c r="Q1693" s="17">
        <v>44030.48380011574</v>
      </c>
      <c r="R1693" t="s">
        <v>126</v>
      </c>
    </row>
    <row r="1694" spans="1:18" x14ac:dyDescent="0.3">
      <c r="A1694">
        <v>9686454</v>
      </c>
      <c r="B1694" t="s">
        <v>78</v>
      </c>
      <c r="C1694">
        <v>1330020</v>
      </c>
      <c r="D1694" t="s">
        <v>78</v>
      </c>
      <c r="E1694">
        <v>4138</v>
      </c>
      <c r="F1694" t="s">
        <v>17</v>
      </c>
      <c r="G1694" t="s">
        <v>129</v>
      </c>
      <c r="H1694" t="s">
        <v>134</v>
      </c>
      <c r="I1694" t="s">
        <v>78</v>
      </c>
      <c r="J1694" t="s">
        <v>42</v>
      </c>
      <c r="K1694" t="s">
        <v>87</v>
      </c>
      <c r="L1694" s="25">
        <v>44030</v>
      </c>
      <c r="M1694">
        <v>7</v>
      </c>
      <c r="N1694">
        <v>2020</v>
      </c>
      <c r="O1694" t="s">
        <v>110</v>
      </c>
      <c r="P1694">
        <v>170</v>
      </c>
      <c r="Q1694" s="17">
        <v>44030.484293865738</v>
      </c>
      <c r="R1694" t="s">
        <v>126</v>
      </c>
    </row>
    <row r="1695" spans="1:18" x14ac:dyDescent="0.3">
      <c r="A1695">
        <v>9691107</v>
      </c>
      <c r="B1695" t="s">
        <v>78</v>
      </c>
      <c r="C1695">
        <v>1331692</v>
      </c>
      <c r="D1695" t="s">
        <v>78</v>
      </c>
      <c r="E1695">
        <v>845</v>
      </c>
      <c r="F1695">
        <v>845</v>
      </c>
      <c r="G1695" t="s">
        <v>130</v>
      </c>
      <c r="H1695" t="s">
        <v>105</v>
      </c>
      <c r="I1695" t="s">
        <v>78</v>
      </c>
      <c r="J1695" t="s">
        <v>42</v>
      </c>
      <c r="K1695" t="s">
        <v>87</v>
      </c>
      <c r="L1695" s="25">
        <v>44030</v>
      </c>
      <c r="M1695">
        <v>7</v>
      </c>
      <c r="N1695">
        <v>2020</v>
      </c>
      <c r="O1695" t="s">
        <v>110</v>
      </c>
      <c r="P1695">
        <v>170</v>
      </c>
      <c r="Q1695" s="17">
        <v>44030.426615625001</v>
      </c>
      <c r="R1695" t="s">
        <v>126</v>
      </c>
    </row>
    <row r="1696" spans="1:18" x14ac:dyDescent="0.3">
      <c r="A1696">
        <v>9686384</v>
      </c>
      <c r="B1696" t="s">
        <v>78</v>
      </c>
      <c r="C1696">
        <v>1329920</v>
      </c>
      <c r="D1696" t="s">
        <v>78</v>
      </c>
      <c r="E1696" t="s">
        <v>146</v>
      </c>
      <c r="F1696" t="s">
        <v>17</v>
      </c>
      <c r="G1696" t="s">
        <v>153</v>
      </c>
      <c r="H1696" t="s">
        <v>134</v>
      </c>
      <c r="I1696" t="s">
        <v>78</v>
      </c>
      <c r="J1696" t="s">
        <v>42</v>
      </c>
      <c r="K1696" t="s">
        <v>87</v>
      </c>
      <c r="L1696" s="25">
        <v>44030</v>
      </c>
      <c r="M1696">
        <v>7</v>
      </c>
      <c r="N1696">
        <v>2020</v>
      </c>
      <c r="O1696" t="s">
        <v>110</v>
      </c>
      <c r="P1696">
        <v>170</v>
      </c>
      <c r="Q1696" s="17">
        <v>44030.481939583333</v>
      </c>
      <c r="R1696" t="s">
        <v>126</v>
      </c>
    </row>
    <row r="1697" spans="1:18" x14ac:dyDescent="0.3">
      <c r="A1697">
        <v>9686030</v>
      </c>
      <c r="B1697" t="s">
        <v>80</v>
      </c>
      <c r="C1697">
        <v>1329611</v>
      </c>
      <c r="D1697" t="s">
        <v>113</v>
      </c>
      <c r="E1697" t="s">
        <v>146</v>
      </c>
      <c r="F1697" t="s">
        <v>17</v>
      </c>
      <c r="G1697" t="s">
        <v>153</v>
      </c>
      <c r="H1697" t="s">
        <v>232</v>
      </c>
      <c r="I1697" t="s">
        <v>84</v>
      </c>
      <c r="J1697" t="s">
        <v>85</v>
      </c>
      <c r="K1697" t="s">
        <v>87</v>
      </c>
      <c r="L1697" s="25">
        <v>44030</v>
      </c>
      <c r="M1697">
        <v>7</v>
      </c>
      <c r="N1697">
        <v>2020</v>
      </c>
      <c r="O1697" t="s">
        <v>110</v>
      </c>
      <c r="P1697">
        <v>170</v>
      </c>
      <c r="Q1697" s="17">
        <v>44030.433823611114</v>
      </c>
      <c r="R1697" t="s">
        <v>126</v>
      </c>
    </row>
    <row r="1698" spans="1:18" x14ac:dyDescent="0.3">
      <c r="A1698">
        <v>9685703</v>
      </c>
      <c r="B1698" t="s">
        <v>78</v>
      </c>
      <c r="C1698">
        <v>1329018</v>
      </c>
      <c r="D1698" t="s">
        <v>78</v>
      </c>
      <c r="E1698">
        <v>820</v>
      </c>
      <c r="F1698">
        <v>820</v>
      </c>
      <c r="G1698" t="s">
        <v>136</v>
      </c>
      <c r="H1698" t="s">
        <v>250</v>
      </c>
      <c r="I1698" t="s">
        <v>78</v>
      </c>
      <c r="J1698" t="s">
        <v>42</v>
      </c>
      <c r="K1698" t="s">
        <v>83</v>
      </c>
      <c r="L1698" s="25">
        <v>44030</v>
      </c>
      <c r="M1698">
        <v>7</v>
      </c>
      <c r="N1698">
        <v>2020</v>
      </c>
      <c r="O1698" t="s">
        <v>110</v>
      </c>
      <c r="P1698">
        <v>170</v>
      </c>
      <c r="Q1698" s="17">
        <v>44030.446419097221</v>
      </c>
      <c r="R1698" t="s">
        <v>126</v>
      </c>
    </row>
    <row r="1699" spans="1:18" x14ac:dyDescent="0.3">
      <c r="A1699">
        <v>9686694</v>
      </c>
      <c r="B1699" t="s">
        <v>80</v>
      </c>
      <c r="C1699">
        <v>1329711</v>
      </c>
      <c r="D1699" t="s">
        <v>113</v>
      </c>
      <c r="E1699" t="s">
        <v>146</v>
      </c>
      <c r="F1699" t="s">
        <v>17</v>
      </c>
      <c r="G1699" t="s">
        <v>153</v>
      </c>
      <c r="H1699" t="s">
        <v>232</v>
      </c>
      <c r="I1699" t="s">
        <v>84</v>
      </c>
      <c r="J1699" t="s">
        <v>85</v>
      </c>
      <c r="K1699" t="s">
        <v>87</v>
      </c>
      <c r="L1699" s="25">
        <v>44030</v>
      </c>
      <c r="M1699">
        <v>7</v>
      </c>
      <c r="N1699">
        <v>2020</v>
      </c>
      <c r="O1699" t="s">
        <v>110</v>
      </c>
      <c r="P1699">
        <v>170</v>
      </c>
      <c r="Q1699" s="17">
        <v>44030.456078009258</v>
      </c>
      <c r="R1699" t="s">
        <v>126</v>
      </c>
    </row>
    <row r="1700" spans="1:18" x14ac:dyDescent="0.3">
      <c r="A1700">
        <v>9685885</v>
      </c>
      <c r="B1700" t="s">
        <v>78</v>
      </c>
      <c r="C1700">
        <v>1328918</v>
      </c>
      <c r="D1700" t="s">
        <v>78</v>
      </c>
      <c r="E1700">
        <v>820</v>
      </c>
      <c r="F1700">
        <v>820</v>
      </c>
      <c r="G1700" t="s">
        <v>136</v>
      </c>
      <c r="H1700" t="s">
        <v>249</v>
      </c>
      <c r="I1700" t="s">
        <v>78</v>
      </c>
      <c r="J1700" t="s">
        <v>42</v>
      </c>
      <c r="K1700" t="s">
        <v>83</v>
      </c>
      <c r="L1700" s="25">
        <v>44030</v>
      </c>
      <c r="M1700">
        <v>7</v>
      </c>
      <c r="N1700">
        <v>2020</v>
      </c>
      <c r="O1700" t="s">
        <v>110</v>
      </c>
      <c r="P1700">
        <v>170</v>
      </c>
      <c r="Q1700" s="17">
        <v>44030.441883217594</v>
      </c>
      <c r="R1700" t="s">
        <v>126</v>
      </c>
    </row>
    <row r="1701" spans="1:18" x14ac:dyDescent="0.3">
      <c r="A1701">
        <v>9685702</v>
      </c>
      <c r="B1701" t="s">
        <v>78</v>
      </c>
      <c r="C1701">
        <v>1329511</v>
      </c>
      <c r="D1701" t="s">
        <v>78</v>
      </c>
      <c r="E1701">
        <v>820</v>
      </c>
      <c r="F1701">
        <v>820</v>
      </c>
      <c r="G1701" t="s">
        <v>136</v>
      </c>
      <c r="H1701" t="s">
        <v>250</v>
      </c>
      <c r="I1701" t="s">
        <v>78</v>
      </c>
      <c r="J1701" t="s">
        <v>42</v>
      </c>
      <c r="K1701" t="s">
        <v>83</v>
      </c>
      <c r="L1701" s="25">
        <v>44030</v>
      </c>
      <c r="M1701">
        <v>7</v>
      </c>
      <c r="N1701">
        <v>2020</v>
      </c>
      <c r="O1701" t="s">
        <v>110</v>
      </c>
      <c r="P1701">
        <v>170</v>
      </c>
      <c r="Q1701" s="17">
        <v>44030.473947800929</v>
      </c>
      <c r="R1701" t="s">
        <v>126</v>
      </c>
    </row>
    <row r="1702" spans="1:18" x14ac:dyDescent="0.3">
      <c r="A1702">
        <v>9687730</v>
      </c>
      <c r="B1702" t="s">
        <v>78</v>
      </c>
      <c r="C1702">
        <v>1330590</v>
      </c>
      <c r="D1702" t="s">
        <v>78</v>
      </c>
      <c r="E1702">
        <v>820</v>
      </c>
      <c r="F1702">
        <v>820</v>
      </c>
      <c r="G1702" t="s">
        <v>136</v>
      </c>
      <c r="H1702" t="s">
        <v>250</v>
      </c>
      <c r="I1702" t="s">
        <v>78</v>
      </c>
      <c r="J1702" t="s">
        <v>42</v>
      </c>
      <c r="K1702" t="s">
        <v>83</v>
      </c>
      <c r="L1702" s="25">
        <v>44030</v>
      </c>
      <c r="M1702">
        <v>7</v>
      </c>
      <c r="N1702">
        <v>2020</v>
      </c>
      <c r="O1702" t="s">
        <v>110</v>
      </c>
      <c r="P1702">
        <v>170</v>
      </c>
      <c r="Q1702" s="17">
        <v>44030.490981481482</v>
      </c>
      <c r="R1702" t="s">
        <v>126</v>
      </c>
    </row>
    <row r="1703" spans="1:18" x14ac:dyDescent="0.3">
      <c r="A1703">
        <v>9675310</v>
      </c>
      <c r="B1703" t="s">
        <v>80</v>
      </c>
      <c r="C1703">
        <v>1318281</v>
      </c>
      <c r="D1703" t="s">
        <v>113</v>
      </c>
      <c r="E1703">
        <v>966</v>
      </c>
      <c r="F1703">
        <v>966</v>
      </c>
      <c r="G1703" t="s">
        <v>139</v>
      </c>
      <c r="H1703" t="s">
        <v>232</v>
      </c>
      <c r="I1703" t="s">
        <v>84</v>
      </c>
      <c r="J1703" t="s">
        <v>85</v>
      </c>
      <c r="K1703" t="s">
        <v>87</v>
      </c>
      <c r="L1703" s="25">
        <v>44030</v>
      </c>
      <c r="M1703">
        <v>7</v>
      </c>
      <c r="N1703">
        <v>2020</v>
      </c>
      <c r="O1703" t="s">
        <v>110</v>
      </c>
      <c r="P1703">
        <v>170</v>
      </c>
      <c r="Q1703" s="17">
        <v>44030.433502662039</v>
      </c>
      <c r="R1703" t="s">
        <v>126</v>
      </c>
    </row>
    <row r="1704" spans="1:18" x14ac:dyDescent="0.3">
      <c r="A1704">
        <v>21527215</v>
      </c>
      <c r="B1704" t="s">
        <v>72</v>
      </c>
      <c r="C1704">
        <v>1326210</v>
      </c>
      <c r="D1704" t="s">
        <v>108</v>
      </c>
      <c r="E1704" t="s">
        <v>26</v>
      </c>
      <c r="F1704" t="s">
        <v>26</v>
      </c>
      <c r="G1704" t="s">
        <v>137</v>
      </c>
      <c r="H1704" t="s">
        <v>229</v>
      </c>
      <c r="I1704" t="s">
        <v>84</v>
      </c>
      <c r="J1704" t="s">
        <v>85</v>
      </c>
      <c r="K1704" t="s">
        <v>83</v>
      </c>
      <c r="L1704" s="25">
        <v>44030</v>
      </c>
      <c r="M1704">
        <v>7</v>
      </c>
      <c r="N1704">
        <v>2020</v>
      </c>
      <c r="O1704" t="s">
        <v>110</v>
      </c>
      <c r="P1704">
        <v>170</v>
      </c>
      <c r="Q1704" s="17">
        <v>44030.268277083334</v>
      </c>
      <c r="R1704" t="s">
        <v>126</v>
      </c>
    </row>
    <row r="1705" spans="1:18" x14ac:dyDescent="0.3">
      <c r="A1705">
        <v>9686912</v>
      </c>
      <c r="B1705" t="s">
        <v>80</v>
      </c>
      <c r="C1705">
        <v>1329811</v>
      </c>
      <c r="D1705" t="s">
        <v>113</v>
      </c>
      <c r="E1705" t="s">
        <v>146</v>
      </c>
      <c r="F1705" t="s">
        <v>17</v>
      </c>
      <c r="G1705" t="s">
        <v>153</v>
      </c>
      <c r="H1705" t="s">
        <v>232</v>
      </c>
      <c r="I1705" t="s">
        <v>84</v>
      </c>
      <c r="J1705" t="s">
        <v>85</v>
      </c>
      <c r="K1705" t="s">
        <v>87</v>
      </c>
      <c r="L1705" s="25">
        <v>44030</v>
      </c>
      <c r="M1705">
        <v>7</v>
      </c>
      <c r="N1705">
        <v>2020</v>
      </c>
      <c r="O1705" t="s">
        <v>110</v>
      </c>
      <c r="P1705">
        <v>170</v>
      </c>
      <c r="Q1705" s="17">
        <v>44030.486554513889</v>
      </c>
      <c r="R1705" t="s">
        <v>126</v>
      </c>
    </row>
    <row r="1706" spans="1:18" x14ac:dyDescent="0.3">
      <c r="A1706">
        <v>9685741</v>
      </c>
      <c r="B1706" t="s">
        <v>78</v>
      </c>
      <c r="C1706">
        <v>1329520</v>
      </c>
      <c r="D1706" t="s">
        <v>78</v>
      </c>
      <c r="E1706">
        <v>820</v>
      </c>
      <c r="F1706">
        <v>820</v>
      </c>
      <c r="G1706" t="s">
        <v>136</v>
      </c>
      <c r="H1706" t="s">
        <v>249</v>
      </c>
      <c r="I1706" t="s">
        <v>78</v>
      </c>
      <c r="J1706" t="s">
        <v>42</v>
      </c>
      <c r="K1706" t="s">
        <v>83</v>
      </c>
      <c r="L1706" s="25">
        <v>44030</v>
      </c>
      <c r="M1706">
        <v>7</v>
      </c>
      <c r="N1706">
        <v>2020</v>
      </c>
      <c r="O1706" t="s">
        <v>110</v>
      </c>
      <c r="P1706">
        <v>170</v>
      </c>
      <c r="Q1706" s="17">
        <v>44030.477900925929</v>
      </c>
      <c r="R1706" t="s">
        <v>126</v>
      </c>
    </row>
    <row r="1707" spans="1:18" x14ac:dyDescent="0.3">
      <c r="A1707">
        <v>9678784</v>
      </c>
      <c r="B1707" t="s">
        <v>72</v>
      </c>
      <c r="C1707">
        <v>1318422</v>
      </c>
      <c r="D1707" t="s">
        <v>108</v>
      </c>
      <c r="E1707">
        <v>966</v>
      </c>
      <c r="F1707">
        <v>966</v>
      </c>
      <c r="G1707" t="s">
        <v>139</v>
      </c>
      <c r="H1707" t="s">
        <v>229</v>
      </c>
      <c r="I1707" t="s">
        <v>84</v>
      </c>
      <c r="J1707" t="s">
        <v>85</v>
      </c>
      <c r="K1707" t="s">
        <v>87</v>
      </c>
      <c r="L1707" s="25">
        <v>44030</v>
      </c>
      <c r="M1707">
        <v>7</v>
      </c>
      <c r="N1707">
        <v>2020</v>
      </c>
      <c r="O1707" t="s">
        <v>110</v>
      </c>
      <c r="P1707">
        <v>170</v>
      </c>
      <c r="Q1707" s="17">
        <v>44030.428661574071</v>
      </c>
      <c r="R1707" t="s">
        <v>126</v>
      </c>
    </row>
    <row r="1708" spans="1:18" x14ac:dyDescent="0.3">
      <c r="A1708">
        <v>9685102</v>
      </c>
      <c r="B1708" t="s">
        <v>78</v>
      </c>
      <c r="C1708">
        <v>1328810</v>
      </c>
      <c r="D1708" t="s">
        <v>78</v>
      </c>
      <c r="E1708">
        <v>820</v>
      </c>
      <c r="F1708">
        <v>820</v>
      </c>
      <c r="G1708" t="s">
        <v>136</v>
      </c>
      <c r="H1708" t="s">
        <v>249</v>
      </c>
      <c r="I1708" t="s">
        <v>78</v>
      </c>
      <c r="J1708" t="s">
        <v>42</v>
      </c>
      <c r="K1708" t="s">
        <v>83</v>
      </c>
      <c r="L1708" s="25">
        <v>44030</v>
      </c>
      <c r="M1708">
        <v>7</v>
      </c>
      <c r="N1708">
        <v>2020</v>
      </c>
      <c r="O1708" t="s">
        <v>110</v>
      </c>
      <c r="P1708">
        <v>170</v>
      </c>
      <c r="Q1708" s="17">
        <v>44030.43887928241</v>
      </c>
      <c r="R1708" t="s">
        <v>126</v>
      </c>
    </row>
    <row r="1709" spans="1:18" x14ac:dyDescent="0.3">
      <c r="A1709">
        <v>9686714</v>
      </c>
      <c r="B1709" t="s">
        <v>80</v>
      </c>
      <c r="C1709">
        <v>1329746</v>
      </c>
      <c r="D1709" t="s">
        <v>113</v>
      </c>
      <c r="E1709" t="s">
        <v>146</v>
      </c>
      <c r="F1709" t="s">
        <v>17</v>
      </c>
      <c r="G1709" t="s">
        <v>153</v>
      </c>
      <c r="H1709" t="s">
        <v>232</v>
      </c>
      <c r="I1709" t="s">
        <v>84</v>
      </c>
      <c r="J1709" t="s">
        <v>85</v>
      </c>
      <c r="K1709" t="s">
        <v>87</v>
      </c>
      <c r="L1709" s="25">
        <v>44030</v>
      </c>
      <c r="M1709">
        <v>7</v>
      </c>
      <c r="N1709">
        <v>2020</v>
      </c>
      <c r="O1709" t="s">
        <v>110</v>
      </c>
      <c r="P1709">
        <v>170</v>
      </c>
      <c r="Q1709" s="17">
        <v>44030.462896180557</v>
      </c>
      <c r="R1709" t="s">
        <v>126</v>
      </c>
    </row>
    <row r="1710" spans="1:18" x14ac:dyDescent="0.3">
      <c r="A1710">
        <v>241383</v>
      </c>
      <c r="B1710" t="s">
        <v>78</v>
      </c>
      <c r="C1710">
        <v>1322126</v>
      </c>
      <c r="D1710" t="s">
        <v>78</v>
      </c>
      <c r="E1710" t="s">
        <v>26</v>
      </c>
      <c r="F1710" t="s">
        <v>26</v>
      </c>
      <c r="G1710" t="s">
        <v>137</v>
      </c>
      <c r="H1710" t="s">
        <v>260</v>
      </c>
      <c r="I1710" t="s">
        <v>78</v>
      </c>
      <c r="J1710" t="s">
        <v>42</v>
      </c>
      <c r="K1710" t="s">
        <v>83</v>
      </c>
      <c r="L1710" s="25">
        <v>44030</v>
      </c>
      <c r="M1710">
        <v>7</v>
      </c>
      <c r="N1710">
        <v>2020</v>
      </c>
      <c r="O1710" t="s">
        <v>110</v>
      </c>
      <c r="P1710">
        <v>170</v>
      </c>
      <c r="Q1710" s="17">
        <v>44030.480297685186</v>
      </c>
      <c r="R1710" t="s">
        <v>126</v>
      </c>
    </row>
    <row r="1711" spans="1:18" x14ac:dyDescent="0.3">
      <c r="A1711">
        <v>9685753</v>
      </c>
      <c r="B1711" t="s">
        <v>78</v>
      </c>
      <c r="C1711">
        <v>1329503</v>
      </c>
      <c r="D1711" t="s">
        <v>78</v>
      </c>
      <c r="E1711">
        <v>820</v>
      </c>
      <c r="F1711">
        <v>820</v>
      </c>
      <c r="G1711" t="s">
        <v>136</v>
      </c>
      <c r="H1711" t="s">
        <v>249</v>
      </c>
      <c r="I1711" t="s">
        <v>78</v>
      </c>
      <c r="J1711" t="s">
        <v>42</v>
      </c>
      <c r="K1711" t="s">
        <v>83</v>
      </c>
      <c r="L1711" s="25">
        <v>44030</v>
      </c>
      <c r="M1711">
        <v>7</v>
      </c>
      <c r="N1711">
        <v>2020</v>
      </c>
      <c r="O1711" t="s">
        <v>110</v>
      </c>
      <c r="P1711">
        <v>170</v>
      </c>
      <c r="Q1711" s="17">
        <v>44030.474881481481</v>
      </c>
      <c r="R1711" t="s">
        <v>126</v>
      </c>
    </row>
    <row r="1712" spans="1:18" x14ac:dyDescent="0.3">
      <c r="A1712">
        <v>9686891</v>
      </c>
      <c r="B1712" t="s">
        <v>80</v>
      </c>
      <c r="C1712">
        <v>1329789</v>
      </c>
      <c r="D1712" t="s">
        <v>113</v>
      </c>
      <c r="E1712" t="s">
        <v>146</v>
      </c>
      <c r="F1712" t="s">
        <v>17</v>
      </c>
      <c r="G1712" t="s">
        <v>153</v>
      </c>
      <c r="H1712" t="s">
        <v>232</v>
      </c>
      <c r="I1712" t="s">
        <v>84</v>
      </c>
      <c r="J1712" t="s">
        <v>85</v>
      </c>
      <c r="K1712" t="s">
        <v>87</v>
      </c>
      <c r="L1712" s="25">
        <v>44030</v>
      </c>
      <c r="M1712">
        <v>7</v>
      </c>
      <c r="N1712">
        <v>2020</v>
      </c>
      <c r="O1712" t="s">
        <v>110</v>
      </c>
      <c r="P1712">
        <v>170</v>
      </c>
      <c r="Q1712" s="17">
        <v>44030.476600462964</v>
      </c>
      <c r="R1712" t="s">
        <v>126</v>
      </c>
    </row>
    <row r="1713" spans="1:18" x14ac:dyDescent="0.3">
      <c r="A1713">
        <v>9685848</v>
      </c>
      <c r="B1713" t="s">
        <v>78</v>
      </c>
      <c r="C1713">
        <v>1329028</v>
      </c>
      <c r="D1713" t="s">
        <v>78</v>
      </c>
      <c r="E1713">
        <v>820</v>
      </c>
      <c r="F1713">
        <v>820</v>
      </c>
      <c r="G1713" t="s">
        <v>136</v>
      </c>
      <c r="H1713" t="s">
        <v>250</v>
      </c>
      <c r="I1713" t="s">
        <v>78</v>
      </c>
      <c r="J1713" t="s">
        <v>42</v>
      </c>
      <c r="K1713" t="s">
        <v>83</v>
      </c>
      <c r="L1713" s="25">
        <v>44030</v>
      </c>
      <c r="M1713">
        <v>7</v>
      </c>
      <c r="N1713">
        <v>2020</v>
      </c>
      <c r="O1713" t="s">
        <v>110</v>
      </c>
      <c r="P1713">
        <v>170</v>
      </c>
      <c r="Q1713" s="17">
        <v>44030.447983217593</v>
      </c>
      <c r="R1713" t="s">
        <v>126</v>
      </c>
    </row>
    <row r="1714" spans="1:18" x14ac:dyDescent="0.3">
      <c r="A1714">
        <v>9685644</v>
      </c>
      <c r="B1714" t="s">
        <v>78</v>
      </c>
      <c r="C1714">
        <v>1329414</v>
      </c>
      <c r="D1714" t="s">
        <v>78</v>
      </c>
      <c r="E1714">
        <v>820</v>
      </c>
      <c r="F1714">
        <v>820</v>
      </c>
      <c r="G1714" t="s">
        <v>136</v>
      </c>
      <c r="H1714" t="s">
        <v>250</v>
      </c>
      <c r="I1714" t="s">
        <v>78</v>
      </c>
      <c r="J1714" t="s">
        <v>42</v>
      </c>
      <c r="K1714" t="s">
        <v>83</v>
      </c>
      <c r="L1714" s="25">
        <v>44030</v>
      </c>
      <c r="M1714">
        <v>7</v>
      </c>
      <c r="N1714">
        <v>2020</v>
      </c>
      <c r="O1714" t="s">
        <v>110</v>
      </c>
      <c r="P1714">
        <v>170</v>
      </c>
      <c r="Q1714" s="17">
        <v>44030.467931250001</v>
      </c>
      <c r="R1714" t="s">
        <v>126</v>
      </c>
    </row>
    <row r="1715" spans="1:18" x14ac:dyDescent="0.3">
      <c r="A1715">
        <v>9685860</v>
      </c>
      <c r="B1715" t="s">
        <v>72</v>
      </c>
      <c r="C1715">
        <v>1329228</v>
      </c>
      <c r="D1715" t="s">
        <v>108</v>
      </c>
      <c r="E1715">
        <v>820</v>
      </c>
      <c r="F1715">
        <v>820</v>
      </c>
      <c r="G1715" t="s">
        <v>136</v>
      </c>
      <c r="H1715" t="s">
        <v>270</v>
      </c>
      <c r="I1715" t="s">
        <v>82</v>
      </c>
      <c r="J1715" t="s">
        <v>42</v>
      </c>
      <c r="K1715" t="s">
        <v>83</v>
      </c>
      <c r="L1715" s="25">
        <v>44030</v>
      </c>
      <c r="M1715">
        <v>7</v>
      </c>
      <c r="N1715">
        <v>2020</v>
      </c>
      <c r="O1715" t="s">
        <v>110</v>
      </c>
      <c r="P1715">
        <v>170</v>
      </c>
      <c r="Q1715" s="17">
        <v>44030.452655092595</v>
      </c>
      <c r="R1715" t="s">
        <v>126</v>
      </c>
    </row>
    <row r="1716" spans="1:18" x14ac:dyDescent="0.3">
      <c r="A1716">
        <v>9679486</v>
      </c>
      <c r="B1716" t="s">
        <v>79</v>
      </c>
      <c r="C1716">
        <v>1328985</v>
      </c>
      <c r="D1716" t="s">
        <v>116</v>
      </c>
      <c r="E1716" t="s">
        <v>12</v>
      </c>
      <c r="F1716" t="s">
        <v>12</v>
      </c>
      <c r="G1716" t="s">
        <v>135</v>
      </c>
      <c r="H1716" t="s">
        <v>275</v>
      </c>
      <c r="I1716" t="s">
        <v>82</v>
      </c>
      <c r="J1716" t="s">
        <v>42</v>
      </c>
      <c r="K1716" t="s">
        <v>83</v>
      </c>
      <c r="L1716" s="25">
        <v>44030</v>
      </c>
      <c r="M1716">
        <v>7</v>
      </c>
      <c r="N1716">
        <v>2020</v>
      </c>
      <c r="O1716" t="s">
        <v>110</v>
      </c>
      <c r="P1716">
        <v>170</v>
      </c>
      <c r="Q1716" s="17">
        <v>44030.432276736108</v>
      </c>
      <c r="R1716" t="s">
        <v>126</v>
      </c>
    </row>
    <row r="1717" spans="1:18" x14ac:dyDescent="0.3">
      <c r="A1717">
        <v>21532505</v>
      </c>
      <c r="B1717" t="s">
        <v>72</v>
      </c>
      <c r="C1717">
        <v>1332972</v>
      </c>
      <c r="D1717" t="s">
        <v>108</v>
      </c>
      <c r="E1717">
        <v>845</v>
      </c>
      <c r="F1717">
        <v>845</v>
      </c>
      <c r="G1717" t="s">
        <v>130</v>
      </c>
      <c r="H1717" t="s">
        <v>229</v>
      </c>
      <c r="I1717" t="s">
        <v>84</v>
      </c>
      <c r="J1717" t="s">
        <v>85</v>
      </c>
      <c r="K1717" t="s">
        <v>87</v>
      </c>
      <c r="L1717" s="25">
        <v>44030</v>
      </c>
      <c r="M1717">
        <v>7</v>
      </c>
      <c r="N1717">
        <v>2020</v>
      </c>
      <c r="O1717" t="s">
        <v>110</v>
      </c>
      <c r="P1717">
        <v>170</v>
      </c>
      <c r="Q1717" s="17">
        <v>44031.078892476849</v>
      </c>
      <c r="R1717" t="s">
        <v>126</v>
      </c>
    </row>
    <row r="1718" spans="1:18" x14ac:dyDescent="0.3">
      <c r="A1718">
        <v>9679561</v>
      </c>
      <c r="B1718" t="s">
        <v>79</v>
      </c>
      <c r="C1718">
        <v>1320672</v>
      </c>
      <c r="D1718" t="s">
        <v>113</v>
      </c>
      <c r="E1718" t="s">
        <v>124</v>
      </c>
      <c r="F1718" t="s">
        <v>17</v>
      </c>
      <c r="G1718" t="s">
        <v>125</v>
      </c>
      <c r="H1718" t="s">
        <v>232</v>
      </c>
      <c r="I1718" t="s">
        <v>84</v>
      </c>
      <c r="J1718" t="s">
        <v>85</v>
      </c>
      <c r="K1718" t="s">
        <v>87</v>
      </c>
      <c r="L1718" s="25">
        <v>44030</v>
      </c>
      <c r="M1718">
        <v>7</v>
      </c>
      <c r="N1718">
        <v>2020</v>
      </c>
      <c r="O1718" t="s">
        <v>110</v>
      </c>
      <c r="P1718">
        <v>170</v>
      </c>
      <c r="Q1718" s="17">
        <v>44030.490333564812</v>
      </c>
      <c r="R1718" t="s">
        <v>126</v>
      </c>
    </row>
    <row r="1719" spans="1:18" x14ac:dyDescent="0.3">
      <c r="A1719">
        <v>9685765</v>
      </c>
      <c r="B1719" t="s">
        <v>78</v>
      </c>
      <c r="C1719">
        <v>1329371</v>
      </c>
      <c r="D1719" t="s">
        <v>78</v>
      </c>
      <c r="E1719">
        <v>820</v>
      </c>
      <c r="F1719">
        <v>820</v>
      </c>
      <c r="G1719" t="s">
        <v>136</v>
      </c>
      <c r="H1719" t="s">
        <v>249</v>
      </c>
      <c r="I1719" t="s">
        <v>78</v>
      </c>
      <c r="J1719" t="s">
        <v>42</v>
      </c>
      <c r="K1719" t="s">
        <v>83</v>
      </c>
      <c r="L1719" s="25">
        <v>44030</v>
      </c>
      <c r="M1719">
        <v>7</v>
      </c>
      <c r="N1719">
        <v>2020</v>
      </c>
      <c r="O1719" t="s">
        <v>110</v>
      </c>
      <c r="P1719">
        <v>170</v>
      </c>
      <c r="Q1719" s="17">
        <v>44030.464780787035</v>
      </c>
      <c r="R1719" t="s">
        <v>126</v>
      </c>
    </row>
    <row r="1720" spans="1:18" x14ac:dyDescent="0.3">
      <c r="A1720">
        <v>9685588</v>
      </c>
      <c r="B1720" t="s">
        <v>80</v>
      </c>
      <c r="C1720">
        <v>1329546</v>
      </c>
      <c r="D1720" t="s">
        <v>113</v>
      </c>
      <c r="E1720" t="s">
        <v>146</v>
      </c>
      <c r="F1720" t="s">
        <v>17</v>
      </c>
      <c r="G1720" t="s">
        <v>153</v>
      </c>
      <c r="H1720" t="s">
        <v>232</v>
      </c>
      <c r="I1720" t="s">
        <v>84</v>
      </c>
      <c r="J1720" t="s">
        <v>85</v>
      </c>
      <c r="K1720" t="s">
        <v>87</v>
      </c>
      <c r="L1720" s="25">
        <v>44030</v>
      </c>
      <c r="M1720">
        <v>7</v>
      </c>
      <c r="N1720">
        <v>2020</v>
      </c>
      <c r="O1720" t="s">
        <v>110</v>
      </c>
      <c r="P1720">
        <v>170</v>
      </c>
      <c r="Q1720" s="17">
        <v>44030.425271296299</v>
      </c>
      <c r="R1720" t="s">
        <v>126</v>
      </c>
    </row>
    <row r="1721" spans="1:18" x14ac:dyDescent="0.3">
      <c r="A1721">
        <v>9685855</v>
      </c>
      <c r="B1721" t="s">
        <v>78</v>
      </c>
      <c r="C1721">
        <v>1329360</v>
      </c>
      <c r="D1721" t="s">
        <v>78</v>
      </c>
      <c r="E1721">
        <v>820</v>
      </c>
      <c r="F1721">
        <v>820</v>
      </c>
      <c r="G1721" t="s">
        <v>136</v>
      </c>
      <c r="H1721" t="s">
        <v>250</v>
      </c>
      <c r="I1721" t="s">
        <v>78</v>
      </c>
      <c r="J1721" t="s">
        <v>42</v>
      </c>
      <c r="K1721" t="s">
        <v>83</v>
      </c>
      <c r="L1721" s="25">
        <v>44030</v>
      </c>
      <c r="M1721">
        <v>7</v>
      </c>
      <c r="N1721">
        <v>2020</v>
      </c>
      <c r="O1721" t="s">
        <v>110</v>
      </c>
      <c r="P1721">
        <v>170</v>
      </c>
      <c r="Q1721" s="17">
        <v>44030.4621275463</v>
      </c>
      <c r="R1721" t="s">
        <v>126</v>
      </c>
    </row>
    <row r="1722" spans="1:18" x14ac:dyDescent="0.3">
      <c r="A1722">
        <v>9686285</v>
      </c>
      <c r="B1722" t="s">
        <v>80</v>
      </c>
      <c r="C1722">
        <v>1329703</v>
      </c>
      <c r="D1722" t="s">
        <v>113</v>
      </c>
      <c r="E1722" t="s">
        <v>146</v>
      </c>
      <c r="F1722" t="s">
        <v>17</v>
      </c>
      <c r="G1722" t="s">
        <v>153</v>
      </c>
      <c r="H1722" t="s">
        <v>232</v>
      </c>
      <c r="I1722" t="s">
        <v>84</v>
      </c>
      <c r="J1722" t="s">
        <v>85</v>
      </c>
      <c r="K1722" t="s">
        <v>87</v>
      </c>
      <c r="L1722" s="25">
        <v>44030</v>
      </c>
      <c r="M1722">
        <v>7</v>
      </c>
      <c r="N1722">
        <v>2020</v>
      </c>
      <c r="O1722" t="s">
        <v>110</v>
      </c>
      <c r="P1722">
        <v>170</v>
      </c>
      <c r="Q1722" s="17">
        <v>44030.454449189812</v>
      </c>
      <c r="R1722" t="s">
        <v>126</v>
      </c>
    </row>
    <row r="1723" spans="1:18" x14ac:dyDescent="0.3">
      <c r="A1723">
        <v>9686725</v>
      </c>
      <c r="B1723" t="s">
        <v>78</v>
      </c>
      <c r="C1723">
        <v>1330121</v>
      </c>
      <c r="D1723" t="s">
        <v>78</v>
      </c>
      <c r="E1723" t="s">
        <v>12</v>
      </c>
      <c r="F1723" t="s">
        <v>12</v>
      </c>
      <c r="G1723" t="s">
        <v>135</v>
      </c>
      <c r="H1723" t="s">
        <v>251</v>
      </c>
      <c r="I1723" t="s">
        <v>78</v>
      </c>
      <c r="J1723" t="s">
        <v>42</v>
      </c>
      <c r="K1723" t="s">
        <v>83</v>
      </c>
      <c r="L1723" s="25">
        <v>44030</v>
      </c>
      <c r="M1723">
        <v>7</v>
      </c>
      <c r="N1723">
        <v>2020</v>
      </c>
      <c r="O1723" t="s">
        <v>110</v>
      </c>
      <c r="P1723">
        <v>170</v>
      </c>
      <c r="Q1723" s="17">
        <v>44030.47086666667</v>
      </c>
      <c r="R1723" t="s">
        <v>126</v>
      </c>
    </row>
    <row r="1724" spans="1:18" x14ac:dyDescent="0.3">
      <c r="A1724">
        <v>21532902</v>
      </c>
      <c r="B1724" t="s">
        <v>72</v>
      </c>
      <c r="C1724">
        <v>1335319</v>
      </c>
      <c r="D1724" t="s">
        <v>108</v>
      </c>
      <c r="E1724" t="s">
        <v>12</v>
      </c>
      <c r="F1724" t="s">
        <v>12</v>
      </c>
      <c r="G1724" t="s">
        <v>135</v>
      </c>
      <c r="H1724" t="s">
        <v>229</v>
      </c>
      <c r="I1724" t="s">
        <v>84</v>
      </c>
      <c r="J1724" t="s">
        <v>85</v>
      </c>
      <c r="K1724" t="s">
        <v>83</v>
      </c>
      <c r="L1724" s="25">
        <v>44030</v>
      </c>
      <c r="M1724">
        <v>7</v>
      </c>
      <c r="N1724">
        <v>2020</v>
      </c>
      <c r="O1724" t="s">
        <v>110</v>
      </c>
      <c r="P1724">
        <v>170</v>
      </c>
      <c r="Q1724" s="17">
        <v>44031.115914004629</v>
      </c>
      <c r="R1724" t="s">
        <v>126</v>
      </c>
    </row>
    <row r="1725" spans="1:18" x14ac:dyDescent="0.3">
      <c r="A1725">
        <v>244730</v>
      </c>
      <c r="B1725" t="s">
        <v>72</v>
      </c>
      <c r="C1725">
        <v>1330164</v>
      </c>
      <c r="D1725" t="s">
        <v>108</v>
      </c>
      <c r="E1725" t="s">
        <v>142</v>
      </c>
      <c r="F1725" t="s">
        <v>17</v>
      </c>
      <c r="G1725" t="s">
        <v>143</v>
      </c>
      <c r="H1725" t="s">
        <v>263</v>
      </c>
      <c r="I1725" t="s">
        <v>82</v>
      </c>
      <c r="J1725" t="s">
        <v>42</v>
      </c>
      <c r="K1725" t="s">
        <v>87</v>
      </c>
      <c r="L1725" s="25">
        <v>44030</v>
      </c>
      <c r="M1725">
        <v>7</v>
      </c>
      <c r="N1725">
        <v>2020</v>
      </c>
      <c r="O1725" t="s">
        <v>110</v>
      </c>
      <c r="P1725">
        <v>170</v>
      </c>
      <c r="Q1725" s="17">
        <v>44030.488920717595</v>
      </c>
      <c r="R1725" t="s">
        <v>126</v>
      </c>
    </row>
    <row r="1726" spans="1:18" x14ac:dyDescent="0.3">
      <c r="A1726">
        <v>21527716</v>
      </c>
      <c r="B1726" t="s">
        <v>78</v>
      </c>
      <c r="C1726">
        <v>1324505</v>
      </c>
      <c r="D1726" t="s">
        <v>78</v>
      </c>
      <c r="E1726" t="s">
        <v>146</v>
      </c>
      <c r="F1726" t="s">
        <v>17</v>
      </c>
      <c r="G1726" t="s">
        <v>147</v>
      </c>
      <c r="H1726" t="s">
        <v>134</v>
      </c>
      <c r="I1726" t="s">
        <v>78</v>
      </c>
      <c r="J1726" t="s">
        <v>42</v>
      </c>
      <c r="K1726" t="s">
        <v>87</v>
      </c>
      <c r="L1726" s="25">
        <v>44030</v>
      </c>
      <c r="M1726">
        <v>7</v>
      </c>
      <c r="N1726">
        <v>2020</v>
      </c>
      <c r="O1726" t="s">
        <v>110</v>
      </c>
      <c r="P1726">
        <v>170</v>
      </c>
      <c r="Q1726" s="17">
        <v>44030.428878935185</v>
      </c>
      <c r="R1726" t="s">
        <v>126</v>
      </c>
    </row>
    <row r="1727" spans="1:18" x14ac:dyDescent="0.3">
      <c r="A1727">
        <v>9685920</v>
      </c>
      <c r="B1727" t="s">
        <v>78</v>
      </c>
      <c r="C1727">
        <v>1329878</v>
      </c>
      <c r="D1727" t="s">
        <v>78</v>
      </c>
      <c r="E1727">
        <v>820</v>
      </c>
      <c r="F1727">
        <v>820</v>
      </c>
      <c r="G1727" t="s">
        <v>136</v>
      </c>
      <c r="H1727" t="s">
        <v>250</v>
      </c>
      <c r="I1727" t="s">
        <v>78</v>
      </c>
      <c r="J1727" t="s">
        <v>42</v>
      </c>
      <c r="K1727" t="s">
        <v>83</v>
      </c>
      <c r="L1727" s="25">
        <v>44030</v>
      </c>
      <c r="M1727">
        <v>7</v>
      </c>
      <c r="N1727">
        <v>2020</v>
      </c>
      <c r="O1727" t="s">
        <v>110</v>
      </c>
      <c r="P1727">
        <v>170</v>
      </c>
      <c r="Q1727" s="17">
        <v>44030.48488275463</v>
      </c>
      <c r="R1727" t="s">
        <v>126</v>
      </c>
    </row>
    <row r="1728" spans="1:18" x14ac:dyDescent="0.3">
      <c r="A1728">
        <v>9686554</v>
      </c>
      <c r="B1728" t="s">
        <v>78</v>
      </c>
      <c r="C1728">
        <v>1329964</v>
      </c>
      <c r="D1728" t="s">
        <v>78</v>
      </c>
      <c r="E1728" t="s">
        <v>146</v>
      </c>
      <c r="F1728" t="s">
        <v>17</v>
      </c>
      <c r="G1728" t="s">
        <v>153</v>
      </c>
      <c r="H1728" t="s">
        <v>134</v>
      </c>
      <c r="I1728" t="s">
        <v>78</v>
      </c>
      <c r="J1728" t="s">
        <v>42</v>
      </c>
      <c r="K1728" t="s">
        <v>87</v>
      </c>
      <c r="L1728" s="25">
        <v>44030</v>
      </c>
      <c r="M1728">
        <v>7</v>
      </c>
      <c r="N1728">
        <v>2020</v>
      </c>
      <c r="O1728" t="s">
        <v>110</v>
      </c>
      <c r="P1728">
        <v>170</v>
      </c>
      <c r="Q1728" s="17">
        <v>44030.483895717596</v>
      </c>
      <c r="R1728" t="s">
        <v>126</v>
      </c>
    </row>
    <row r="1729" spans="1:18" x14ac:dyDescent="0.3">
      <c r="A1729">
        <v>9679165</v>
      </c>
      <c r="B1729" t="s">
        <v>80</v>
      </c>
      <c r="C1729">
        <v>1331620</v>
      </c>
      <c r="D1729" t="s">
        <v>113</v>
      </c>
      <c r="E1729" t="s">
        <v>12</v>
      </c>
      <c r="F1729" t="s">
        <v>12</v>
      </c>
      <c r="G1729" t="s">
        <v>135</v>
      </c>
      <c r="H1729" t="s">
        <v>232</v>
      </c>
      <c r="I1729" t="s">
        <v>84</v>
      </c>
      <c r="J1729" t="s">
        <v>85</v>
      </c>
      <c r="K1729" t="s">
        <v>83</v>
      </c>
      <c r="L1729" s="25">
        <v>44030</v>
      </c>
      <c r="M1729">
        <v>7</v>
      </c>
      <c r="N1729">
        <v>2020</v>
      </c>
      <c r="O1729" t="s">
        <v>110</v>
      </c>
      <c r="P1729">
        <v>170</v>
      </c>
      <c r="Q1729" s="17">
        <v>44030.497747453701</v>
      </c>
      <c r="R1729" t="s">
        <v>126</v>
      </c>
    </row>
    <row r="1730" spans="1:18" x14ac:dyDescent="0.3">
      <c r="A1730">
        <v>9685717</v>
      </c>
      <c r="B1730" t="s">
        <v>72</v>
      </c>
      <c r="C1730">
        <v>1329505</v>
      </c>
      <c r="D1730" t="s">
        <v>108</v>
      </c>
      <c r="E1730">
        <v>820</v>
      </c>
      <c r="F1730">
        <v>820</v>
      </c>
      <c r="G1730" t="s">
        <v>136</v>
      </c>
      <c r="H1730" t="s">
        <v>262</v>
      </c>
      <c r="I1730" t="s">
        <v>82</v>
      </c>
      <c r="J1730" t="s">
        <v>42</v>
      </c>
      <c r="K1730" t="s">
        <v>83</v>
      </c>
      <c r="L1730" s="25">
        <v>44030</v>
      </c>
      <c r="M1730">
        <v>7</v>
      </c>
      <c r="N1730">
        <v>2020</v>
      </c>
      <c r="O1730" t="s">
        <v>110</v>
      </c>
      <c r="P1730">
        <v>170</v>
      </c>
      <c r="Q1730" s="17">
        <v>44030.471434722225</v>
      </c>
      <c r="R1730" t="s">
        <v>126</v>
      </c>
    </row>
    <row r="1731" spans="1:18" x14ac:dyDescent="0.3">
      <c r="A1731">
        <v>9685700</v>
      </c>
      <c r="B1731" t="s">
        <v>72</v>
      </c>
      <c r="C1731">
        <v>1329362</v>
      </c>
      <c r="D1731" t="s">
        <v>108</v>
      </c>
      <c r="E1731">
        <v>820</v>
      </c>
      <c r="F1731">
        <v>820</v>
      </c>
      <c r="G1731" t="s">
        <v>136</v>
      </c>
      <c r="H1731" t="s">
        <v>270</v>
      </c>
      <c r="I1731" t="s">
        <v>82</v>
      </c>
      <c r="J1731" t="s">
        <v>42</v>
      </c>
      <c r="K1731" t="s">
        <v>83</v>
      </c>
      <c r="L1731" s="25">
        <v>44030</v>
      </c>
      <c r="M1731">
        <v>7</v>
      </c>
      <c r="N1731">
        <v>2020</v>
      </c>
      <c r="O1731" t="s">
        <v>110</v>
      </c>
      <c r="P1731">
        <v>170</v>
      </c>
      <c r="Q1731" s="17">
        <v>44030.460065046296</v>
      </c>
      <c r="R1731" t="s">
        <v>126</v>
      </c>
    </row>
    <row r="1732" spans="1:18" x14ac:dyDescent="0.3">
      <c r="A1732">
        <v>9686308</v>
      </c>
      <c r="B1732" t="s">
        <v>79</v>
      </c>
      <c r="C1732">
        <v>1329319</v>
      </c>
      <c r="D1732" t="s">
        <v>116</v>
      </c>
      <c r="E1732" t="s">
        <v>12</v>
      </c>
      <c r="F1732" t="s">
        <v>12</v>
      </c>
      <c r="G1732" t="s">
        <v>135</v>
      </c>
      <c r="H1732" t="s">
        <v>275</v>
      </c>
      <c r="I1732" t="s">
        <v>82</v>
      </c>
      <c r="J1732" t="s">
        <v>42</v>
      </c>
      <c r="K1732" t="s">
        <v>83</v>
      </c>
      <c r="L1732" s="25">
        <v>44030</v>
      </c>
      <c r="M1732">
        <v>7</v>
      </c>
      <c r="N1732">
        <v>2020</v>
      </c>
      <c r="O1732" t="s">
        <v>110</v>
      </c>
      <c r="P1732">
        <v>170</v>
      </c>
      <c r="Q1732" s="17">
        <v>44030.436620370368</v>
      </c>
      <c r="R1732" t="s">
        <v>126</v>
      </c>
    </row>
    <row r="1733" spans="1:18" x14ac:dyDescent="0.3">
      <c r="A1733">
        <v>9685701</v>
      </c>
      <c r="B1733" t="s">
        <v>78</v>
      </c>
      <c r="C1733">
        <v>1329019</v>
      </c>
      <c r="D1733" t="s">
        <v>78</v>
      </c>
      <c r="E1733">
        <v>820</v>
      </c>
      <c r="F1733">
        <v>820</v>
      </c>
      <c r="G1733" t="s">
        <v>136</v>
      </c>
      <c r="H1733" t="s">
        <v>249</v>
      </c>
      <c r="I1733" t="s">
        <v>78</v>
      </c>
      <c r="J1733" t="s">
        <v>42</v>
      </c>
      <c r="K1733" t="s">
        <v>83</v>
      </c>
      <c r="L1733" s="25">
        <v>44030</v>
      </c>
      <c r="M1733">
        <v>7</v>
      </c>
      <c r="N1733">
        <v>2020</v>
      </c>
      <c r="O1733" t="s">
        <v>110</v>
      </c>
      <c r="P1733">
        <v>170</v>
      </c>
      <c r="Q1733" s="17">
        <v>44030.448549652778</v>
      </c>
      <c r="R1733" t="s">
        <v>126</v>
      </c>
    </row>
    <row r="1734" spans="1:18" x14ac:dyDescent="0.3">
      <c r="A1734">
        <v>9686843</v>
      </c>
      <c r="B1734" t="s">
        <v>80</v>
      </c>
      <c r="C1734">
        <v>1329712</v>
      </c>
      <c r="D1734" t="s">
        <v>113</v>
      </c>
      <c r="E1734" t="s">
        <v>146</v>
      </c>
      <c r="F1734" t="s">
        <v>17</v>
      </c>
      <c r="G1734" t="s">
        <v>153</v>
      </c>
      <c r="H1734" t="s">
        <v>232</v>
      </c>
      <c r="I1734" t="s">
        <v>84</v>
      </c>
      <c r="J1734" t="s">
        <v>85</v>
      </c>
      <c r="K1734" t="s">
        <v>87</v>
      </c>
      <c r="L1734" s="25">
        <v>44030</v>
      </c>
      <c r="M1734">
        <v>7</v>
      </c>
      <c r="N1734">
        <v>2020</v>
      </c>
      <c r="O1734" t="s">
        <v>110</v>
      </c>
      <c r="P1734">
        <v>170</v>
      </c>
      <c r="Q1734" s="17">
        <v>44030.456510763892</v>
      </c>
      <c r="R1734" t="s">
        <v>126</v>
      </c>
    </row>
    <row r="1735" spans="1:18" x14ac:dyDescent="0.3">
      <c r="A1735">
        <v>241981</v>
      </c>
      <c r="B1735" t="s">
        <v>72</v>
      </c>
      <c r="C1735">
        <v>1322467</v>
      </c>
      <c r="D1735" t="s">
        <v>108</v>
      </c>
      <c r="E1735" t="s">
        <v>26</v>
      </c>
      <c r="F1735" t="s">
        <v>26</v>
      </c>
      <c r="G1735" t="s">
        <v>137</v>
      </c>
      <c r="H1735" t="s">
        <v>290</v>
      </c>
      <c r="I1735" t="s">
        <v>84</v>
      </c>
      <c r="J1735" t="s">
        <v>85</v>
      </c>
      <c r="K1735" t="s">
        <v>83</v>
      </c>
      <c r="L1735" s="25">
        <v>44030</v>
      </c>
      <c r="M1735">
        <v>7</v>
      </c>
      <c r="N1735">
        <v>2020</v>
      </c>
      <c r="O1735" t="s">
        <v>110</v>
      </c>
      <c r="P1735">
        <v>170</v>
      </c>
      <c r="Q1735" s="17">
        <v>44030.492111805557</v>
      </c>
      <c r="R1735" t="s">
        <v>126</v>
      </c>
    </row>
    <row r="1736" spans="1:18" x14ac:dyDescent="0.3">
      <c r="A1736">
        <v>9686348</v>
      </c>
      <c r="B1736" t="s">
        <v>72</v>
      </c>
      <c r="C1736">
        <v>1329998</v>
      </c>
      <c r="D1736" t="s">
        <v>108</v>
      </c>
      <c r="E1736" t="s">
        <v>140</v>
      </c>
      <c r="F1736" t="s">
        <v>17</v>
      </c>
      <c r="G1736" t="s">
        <v>141</v>
      </c>
      <c r="H1736" t="s">
        <v>263</v>
      </c>
      <c r="I1736" t="s">
        <v>82</v>
      </c>
      <c r="J1736" t="s">
        <v>42</v>
      </c>
      <c r="K1736" t="s">
        <v>87</v>
      </c>
      <c r="L1736" s="25">
        <v>44030</v>
      </c>
      <c r="M1736">
        <v>7</v>
      </c>
      <c r="N1736">
        <v>2020</v>
      </c>
      <c r="O1736" t="s">
        <v>110</v>
      </c>
      <c r="P1736">
        <v>170</v>
      </c>
      <c r="Q1736" s="17">
        <v>44030.485100347221</v>
      </c>
      <c r="R1736" t="s">
        <v>126</v>
      </c>
    </row>
    <row r="1737" spans="1:18" x14ac:dyDescent="0.3">
      <c r="A1737">
        <v>9685925</v>
      </c>
      <c r="B1737" t="s">
        <v>78</v>
      </c>
      <c r="C1737">
        <v>1328919</v>
      </c>
      <c r="D1737" t="s">
        <v>78</v>
      </c>
      <c r="E1737">
        <v>820</v>
      </c>
      <c r="F1737">
        <v>820</v>
      </c>
      <c r="G1737" t="s">
        <v>136</v>
      </c>
      <c r="H1737" t="s">
        <v>250</v>
      </c>
      <c r="I1737" t="s">
        <v>78</v>
      </c>
      <c r="J1737" t="s">
        <v>42</v>
      </c>
      <c r="K1737" t="s">
        <v>83</v>
      </c>
      <c r="L1737" s="25">
        <v>44030</v>
      </c>
      <c r="M1737">
        <v>7</v>
      </c>
      <c r="N1737">
        <v>2020</v>
      </c>
      <c r="O1737" t="s">
        <v>110</v>
      </c>
      <c r="P1737">
        <v>170</v>
      </c>
      <c r="Q1737" s="17">
        <v>44030.440496875002</v>
      </c>
      <c r="R1737" t="s">
        <v>126</v>
      </c>
    </row>
    <row r="1738" spans="1:18" x14ac:dyDescent="0.3">
      <c r="A1738">
        <v>9681260</v>
      </c>
      <c r="B1738" t="s">
        <v>80</v>
      </c>
      <c r="C1738">
        <v>1324196</v>
      </c>
      <c r="D1738" t="s">
        <v>113</v>
      </c>
      <c r="E1738">
        <v>966</v>
      </c>
      <c r="F1738">
        <v>966</v>
      </c>
      <c r="G1738" t="s">
        <v>139</v>
      </c>
      <c r="H1738" t="s">
        <v>232</v>
      </c>
      <c r="I1738" t="s">
        <v>84</v>
      </c>
      <c r="J1738" t="s">
        <v>85</v>
      </c>
      <c r="K1738" t="s">
        <v>87</v>
      </c>
      <c r="L1738" s="25">
        <v>44030</v>
      </c>
      <c r="M1738">
        <v>7</v>
      </c>
      <c r="N1738">
        <v>2020</v>
      </c>
      <c r="O1738" t="s">
        <v>110</v>
      </c>
      <c r="P1738">
        <v>170</v>
      </c>
      <c r="Q1738" s="17">
        <v>44030.479153472224</v>
      </c>
      <c r="R1738" t="s">
        <v>126</v>
      </c>
    </row>
    <row r="1739" spans="1:18" x14ac:dyDescent="0.3">
      <c r="A1739">
        <v>9685963</v>
      </c>
      <c r="B1739" t="s">
        <v>72</v>
      </c>
      <c r="C1739">
        <v>1329898</v>
      </c>
      <c r="D1739" t="s">
        <v>108</v>
      </c>
      <c r="E1739">
        <v>820</v>
      </c>
      <c r="F1739">
        <v>820</v>
      </c>
      <c r="G1739" t="s">
        <v>136</v>
      </c>
      <c r="H1739" t="s">
        <v>270</v>
      </c>
      <c r="I1739" t="s">
        <v>82</v>
      </c>
      <c r="J1739" t="s">
        <v>42</v>
      </c>
      <c r="K1739" t="s">
        <v>83</v>
      </c>
      <c r="L1739" s="25">
        <v>44030</v>
      </c>
      <c r="M1739">
        <v>7</v>
      </c>
      <c r="N1739">
        <v>2020</v>
      </c>
      <c r="O1739" t="s">
        <v>110</v>
      </c>
      <c r="P1739">
        <v>170</v>
      </c>
      <c r="Q1739" s="17">
        <v>44030.485616319442</v>
      </c>
      <c r="R1739" t="s">
        <v>126</v>
      </c>
    </row>
    <row r="1740" spans="1:18" x14ac:dyDescent="0.3">
      <c r="A1740">
        <v>9686895</v>
      </c>
      <c r="B1740" t="s">
        <v>80</v>
      </c>
      <c r="C1740">
        <v>1329798</v>
      </c>
      <c r="D1740" t="s">
        <v>113</v>
      </c>
      <c r="E1740" t="s">
        <v>146</v>
      </c>
      <c r="F1740" t="s">
        <v>17</v>
      </c>
      <c r="G1740" t="s">
        <v>153</v>
      </c>
      <c r="H1740" t="s">
        <v>232</v>
      </c>
      <c r="I1740" t="s">
        <v>84</v>
      </c>
      <c r="J1740" t="s">
        <v>85</v>
      </c>
      <c r="K1740" t="s">
        <v>87</v>
      </c>
      <c r="L1740" s="25">
        <v>44030</v>
      </c>
      <c r="M1740">
        <v>7</v>
      </c>
      <c r="N1740">
        <v>2020</v>
      </c>
      <c r="O1740" t="s">
        <v>110</v>
      </c>
      <c r="P1740">
        <v>170</v>
      </c>
      <c r="Q1740" s="17">
        <v>44030.477960879631</v>
      </c>
      <c r="R1740" t="s">
        <v>126</v>
      </c>
    </row>
    <row r="1741" spans="1:18" x14ac:dyDescent="0.3">
      <c r="A1741">
        <v>9687022</v>
      </c>
      <c r="B1741" t="s">
        <v>80</v>
      </c>
      <c r="C1741">
        <v>1330241</v>
      </c>
      <c r="D1741" t="s">
        <v>113</v>
      </c>
      <c r="E1741" t="s">
        <v>146</v>
      </c>
      <c r="F1741" t="s">
        <v>17</v>
      </c>
      <c r="G1741" t="s">
        <v>153</v>
      </c>
      <c r="H1741" t="s">
        <v>232</v>
      </c>
      <c r="I1741" t="s">
        <v>84</v>
      </c>
      <c r="J1741" t="s">
        <v>85</v>
      </c>
      <c r="K1741" t="s">
        <v>87</v>
      </c>
      <c r="L1741" s="25">
        <v>44030</v>
      </c>
      <c r="M1741">
        <v>7</v>
      </c>
      <c r="N1741">
        <v>2020</v>
      </c>
      <c r="O1741" t="s">
        <v>110</v>
      </c>
      <c r="P1741">
        <v>170</v>
      </c>
      <c r="Q1741" s="17">
        <v>44030.498311574076</v>
      </c>
      <c r="R1741" t="s">
        <v>126</v>
      </c>
    </row>
    <row r="1742" spans="1:18" x14ac:dyDescent="0.3">
      <c r="A1742">
        <v>244708</v>
      </c>
      <c r="B1742" t="s">
        <v>72</v>
      </c>
      <c r="C1742">
        <v>1330098</v>
      </c>
      <c r="D1742" t="s">
        <v>108</v>
      </c>
      <c r="E1742" t="s">
        <v>176</v>
      </c>
      <c r="F1742" t="s">
        <v>17</v>
      </c>
      <c r="G1742" t="s">
        <v>177</v>
      </c>
      <c r="H1742" t="s">
        <v>263</v>
      </c>
      <c r="I1742" t="s">
        <v>82</v>
      </c>
      <c r="J1742" t="s">
        <v>42</v>
      </c>
      <c r="K1742" t="s">
        <v>87</v>
      </c>
      <c r="L1742" s="25">
        <v>44030</v>
      </c>
      <c r="M1742">
        <v>7</v>
      </c>
      <c r="N1742">
        <v>2020</v>
      </c>
      <c r="O1742" t="s">
        <v>110</v>
      </c>
      <c r="P1742">
        <v>170</v>
      </c>
      <c r="Q1742" s="17">
        <v>44030.487986458334</v>
      </c>
      <c r="R1742" t="s">
        <v>126</v>
      </c>
    </row>
    <row r="1743" spans="1:18" x14ac:dyDescent="0.3">
      <c r="A1743">
        <v>9686327</v>
      </c>
      <c r="B1743" t="s">
        <v>78</v>
      </c>
      <c r="C1743">
        <v>1329955</v>
      </c>
      <c r="D1743" t="s">
        <v>78</v>
      </c>
      <c r="E1743" t="s">
        <v>146</v>
      </c>
      <c r="F1743" t="s">
        <v>17</v>
      </c>
      <c r="G1743" t="s">
        <v>147</v>
      </c>
      <c r="H1743" t="s">
        <v>134</v>
      </c>
      <c r="I1743" t="s">
        <v>78</v>
      </c>
      <c r="J1743" t="s">
        <v>42</v>
      </c>
      <c r="K1743" t="s">
        <v>87</v>
      </c>
      <c r="L1743" s="25">
        <v>44030</v>
      </c>
      <c r="M1743">
        <v>7</v>
      </c>
      <c r="N1743">
        <v>2020</v>
      </c>
      <c r="O1743" t="s">
        <v>110</v>
      </c>
      <c r="P1743">
        <v>170</v>
      </c>
      <c r="Q1743" s="17">
        <v>44030.481974652779</v>
      </c>
      <c r="R1743" t="s">
        <v>126</v>
      </c>
    </row>
    <row r="1744" spans="1:18" x14ac:dyDescent="0.3">
      <c r="A1744">
        <v>21533435</v>
      </c>
      <c r="B1744" t="s">
        <v>72</v>
      </c>
      <c r="C1744">
        <v>1335385</v>
      </c>
      <c r="D1744" t="s">
        <v>108</v>
      </c>
      <c r="E1744" t="s">
        <v>12</v>
      </c>
      <c r="F1744" t="s">
        <v>12</v>
      </c>
      <c r="G1744" t="s">
        <v>135</v>
      </c>
      <c r="H1744" t="s">
        <v>229</v>
      </c>
      <c r="I1744" t="s">
        <v>84</v>
      </c>
      <c r="J1744" t="s">
        <v>85</v>
      </c>
      <c r="K1744" t="s">
        <v>83</v>
      </c>
      <c r="L1744" s="25">
        <v>44030</v>
      </c>
      <c r="M1744">
        <v>7</v>
      </c>
      <c r="N1744">
        <v>2020</v>
      </c>
      <c r="O1744" t="s">
        <v>110</v>
      </c>
      <c r="P1744">
        <v>170</v>
      </c>
      <c r="Q1744" s="17">
        <v>44031.124047916666</v>
      </c>
      <c r="R1744" t="s">
        <v>126</v>
      </c>
    </row>
    <row r="1745" spans="1:18" x14ac:dyDescent="0.3">
      <c r="A1745">
        <v>9686256</v>
      </c>
      <c r="B1745" t="s">
        <v>80</v>
      </c>
      <c r="C1745">
        <v>1329669</v>
      </c>
      <c r="D1745" t="s">
        <v>113</v>
      </c>
      <c r="E1745" t="s">
        <v>146</v>
      </c>
      <c r="F1745" t="s">
        <v>17</v>
      </c>
      <c r="G1745" t="s">
        <v>153</v>
      </c>
      <c r="H1745" t="s">
        <v>232</v>
      </c>
      <c r="I1745" t="s">
        <v>84</v>
      </c>
      <c r="J1745" t="s">
        <v>85</v>
      </c>
      <c r="K1745" t="s">
        <v>87</v>
      </c>
      <c r="L1745" s="25">
        <v>44030</v>
      </c>
      <c r="M1745">
        <v>7</v>
      </c>
      <c r="N1745">
        <v>2020</v>
      </c>
      <c r="O1745" t="s">
        <v>110</v>
      </c>
      <c r="P1745">
        <v>170</v>
      </c>
      <c r="Q1745" s="17">
        <v>44030.449428009262</v>
      </c>
      <c r="R1745" t="s">
        <v>126</v>
      </c>
    </row>
    <row r="1746" spans="1:18" x14ac:dyDescent="0.3">
      <c r="A1746">
        <v>9683374</v>
      </c>
      <c r="B1746" t="s">
        <v>72</v>
      </c>
      <c r="C1746">
        <v>1331927</v>
      </c>
      <c r="D1746" t="s">
        <v>108</v>
      </c>
      <c r="E1746" t="s">
        <v>26</v>
      </c>
      <c r="F1746" t="s">
        <v>26</v>
      </c>
      <c r="G1746" t="s">
        <v>137</v>
      </c>
      <c r="H1746" t="s">
        <v>229</v>
      </c>
      <c r="I1746" t="s">
        <v>84</v>
      </c>
      <c r="J1746" t="s">
        <v>85</v>
      </c>
      <c r="K1746" t="s">
        <v>83</v>
      </c>
      <c r="L1746" s="25">
        <v>44030</v>
      </c>
      <c r="M1746">
        <v>7</v>
      </c>
      <c r="N1746">
        <v>2020</v>
      </c>
      <c r="O1746" t="s">
        <v>110</v>
      </c>
      <c r="P1746">
        <v>170</v>
      </c>
      <c r="Q1746" s="17">
        <v>44030.383826967591</v>
      </c>
      <c r="R1746" t="s">
        <v>126</v>
      </c>
    </row>
    <row r="1747" spans="1:18" x14ac:dyDescent="0.3">
      <c r="A1747">
        <v>9686919</v>
      </c>
      <c r="B1747" t="s">
        <v>80</v>
      </c>
      <c r="C1747">
        <v>1329812</v>
      </c>
      <c r="D1747" t="s">
        <v>113</v>
      </c>
      <c r="E1747" t="s">
        <v>146</v>
      </c>
      <c r="F1747" t="s">
        <v>17</v>
      </c>
      <c r="G1747" t="s">
        <v>153</v>
      </c>
      <c r="H1747" t="s">
        <v>232</v>
      </c>
      <c r="I1747" t="s">
        <v>84</v>
      </c>
      <c r="J1747" t="s">
        <v>85</v>
      </c>
      <c r="K1747" t="s">
        <v>87</v>
      </c>
      <c r="L1747" s="25">
        <v>44030</v>
      </c>
      <c r="M1747">
        <v>7</v>
      </c>
      <c r="N1747">
        <v>2020</v>
      </c>
      <c r="O1747" t="s">
        <v>110</v>
      </c>
      <c r="P1747">
        <v>170</v>
      </c>
      <c r="Q1747" s="17">
        <v>44030.477281018517</v>
      </c>
      <c r="R1747" t="s">
        <v>126</v>
      </c>
    </row>
    <row r="1748" spans="1:18" x14ac:dyDescent="0.3">
      <c r="A1748">
        <v>9686618</v>
      </c>
      <c r="B1748" t="s">
        <v>78</v>
      </c>
      <c r="C1748">
        <v>1330055</v>
      </c>
      <c r="D1748" t="s">
        <v>78</v>
      </c>
      <c r="E1748" t="s">
        <v>166</v>
      </c>
      <c r="F1748" t="s">
        <v>17</v>
      </c>
      <c r="G1748" t="s">
        <v>167</v>
      </c>
      <c r="H1748" t="s">
        <v>134</v>
      </c>
      <c r="I1748" t="s">
        <v>78</v>
      </c>
      <c r="J1748" t="s">
        <v>42</v>
      </c>
      <c r="K1748" t="s">
        <v>87</v>
      </c>
      <c r="L1748" s="25">
        <v>44030</v>
      </c>
      <c r="M1748">
        <v>7</v>
      </c>
      <c r="N1748">
        <v>2020</v>
      </c>
      <c r="O1748" t="s">
        <v>110</v>
      </c>
      <c r="P1748">
        <v>170</v>
      </c>
      <c r="Q1748" s="17">
        <v>44030.486088425925</v>
      </c>
      <c r="R1748" t="s">
        <v>126</v>
      </c>
    </row>
    <row r="1749" spans="1:18" x14ac:dyDescent="0.3">
      <c r="A1749">
        <v>9685991</v>
      </c>
      <c r="B1749" t="s">
        <v>78</v>
      </c>
      <c r="C1749">
        <v>1329569</v>
      </c>
      <c r="D1749" t="s">
        <v>78</v>
      </c>
      <c r="E1749">
        <v>820</v>
      </c>
      <c r="F1749">
        <v>820</v>
      </c>
      <c r="G1749" t="s">
        <v>136</v>
      </c>
      <c r="H1749" t="s">
        <v>250</v>
      </c>
      <c r="I1749" t="s">
        <v>78</v>
      </c>
      <c r="J1749" t="s">
        <v>42</v>
      </c>
      <c r="K1749" t="s">
        <v>83</v>
      </c>
      <c r="L1749" s="25">
        <v>44030</v>
      </c>
      <c r="M1749">
        <v>7</v>
      </c>
      <c r="N1749">
        <v>2020</v>
      </c>
      <c r="O1749" t="s">
        <v>110</v>
      </c>
      <c r="P1749">
        <v>170</v>
      </c>
      <c r="Q1749" s="17">
        <v>44030.479166898149</v>
      </c>
      <c r="R1749" t="s">
        <v>126</v>
      </c>
    </row>
    <row r="1750" spans="1:18" x14ac:dyDescent="0.3">
      <c r="A1750">
        <v>9685677</v>
      </c>
      <c r="B1750" t="s">
        <v>72</v>
      </c>
      <c r="C1750">
        <v>1329162</v>
      </c>
      <c r="D1750" t="s">
        <v>108</v>
      </c>
      <c r="E1750">
        <v>820</v>
      </c>
      <c r="F1750">
        <v>820</v>
      </c>
      <c r="G1750" t="s">
        <v>136</v>
      </c>
      <c r="H1750" t="s">
        <v>229</v>
      </c>
      <c r="I1750" t="s">
        <v>84</v>
      </c>
      <c r="J1750" t="s">
        <v>85</v>
      </c>
      <c r="K1750" t="s">
        <v>83</v>
      </c>
      <c r="L1750" s="25">
        <v>44030</v>
      </c>
      <c r="M1750">
        <v>7</v>
      </c>
      <c r="N1750">
        <v>2020</v>
      </c>
      <c r="O1750" t="s">
        <v>110</v>
      </c>
      <c r="P1750">
        <v>170</v>
      </c>
      <c r="Q1750" s="17">
        <v>44030.320064004627</v>
      </c>
      <c r="R1750" t="s">
        <v>126</v>
      </c>
    </row>
    <row r="1751" spans="1:18" x14ac:dyDescent="0.3">
      <c r="A1751">
        <v>9686869</v>
      </c>
      <c r="B1751" t="s">
        <v>80</v>
      </c>
      <c r="C1751">
        <v>1329755</v>
      </c>
      <c r="D1751" t="s">
        <v>113</v>
      </c>
      <c r="E1751" t="s">
        <v>146</v>
      </c>
      <c r="F1751" t="s">
        <v>17</v>
      </c>
      <c r="G1751" t="s">
        <v>153</v>
      </c>
      <c r="H1751" t="s">
        <v>232</v>
      </c>
      <c r="I1751" t="s">
        <v>84</v>
      </c>
      <c r="J1751" t="s">
        <v>85</v>
      </c>
      <c r="K1751" t="s">
        <v>87</v>
      </c>
      <c r="L1751" s="25">
        <v>44030</v>
      </c>
      <c r="M1751">
        <v>7</v>
      </c>
      <c r="N1751">
        <v>2020</v>
      </c>
      <c r="O1751" t="s">
        <v>110</v>
      </c>
      <c r="P1751">
        <v>170</v>
      </c>
      <c r="Q1751" s="17">
        <v>44030.468668402777</v>
      </c>
      <c r="R1751" t="s">
        <v>126</v>
      </c>
    </row>
    <row r="1752" spans="1:18" x14ac:dyDescent="0.3">
      <c r="A1752">
        <v>9679511</v>
      </c>
      <c r="B1752" t="s">
        <v>78</v>
      </c>
      <c r="C1752">
        <v>1318866</v>
      </c>
      <c r="D1752" t="s">
        <v>78</v>
      </c>
      <c r="E1752">
        <v>966</v>
      </c>
      <c r="F1752">
        <v>966</v>
      </c>
      <c r="G1752" t="s">
        <v>139</v>
      </c>
      <c r="H1752" t="s">
        <v>257</v>
      </c>
      <c r="I1752" t="s">
        <v>78</v>
      </c>
      <c r="J1752" t="s">
        <v>42</v>
      </c>
      <c r="K1752" t="s">
        <v>87</v>
      </c>
      <c r="L1752" s="25">
        <v>44030</v>
      </c>
      <c r="M1752">
        <v>7</v>
      </c>
      <c r="N1752">
        <v>2020</v>
      </c>
      <c r="O1752" t="s">
        <v>110</v>
      </c>
      <c r="P1752">
        <v>170</v>
      </c>
      <c r="Q1752" s="17">
        <v>44030.43791886574</v>
      </c>
      <c r="R1752" t="s">
        <v>126</v>
      </c>
    </row>
    <row r="1753" spans="1:18" x14ac:dyDescent="0.3">
      <c r="A1753">
        <v>9679078</v>
      </c>
      <c r="B1753" t="s">
        <v>80</v>
      </c>
      <c r="C1753">
        <v>1318966</v>
      </c>
      <c r="D1753" t="s">
        <v>113</v>
      </c>
      <c r="E1753">
        <v>966</v>
      </c>
      <c r="F1753">
        <v>966</v>
      </c>
      <c r="G1753" t="s">
        <v>139</v>
      </c>
      <c r="H1753" t="s">
        <v>257</v>
      </c>
      <c r="I1753" t="s">
        <v>82</v>
      </c>
      <c r="J1753" t="s">
        <v>42</v>
      </c>
      <c r="K1753" t="s">
        <v>87</v>
      </c>
      <c r="L1753" s="25">
        <v>44030</v>
      </c>
      <c r="M1753">
        <v>7</v>
      </c>
      <c r="N1753">
        <v>2020</v>
      </c>
      <c r="O1753" t="s">
        <v>110</v>
      </c>
      <c r="P1753">
        <v>170</v>
      </c>
      <c r="Q1753" s="17">
        <v>44030.437345949074</v>
      </c>
      <c r="R1753" t="s">
        <v>126</v>
      </c>
    </row>
    <row r="1754" spans="1:18" x14ac:dyDescent="0.3">
      <c r="A1754">
        <v>9685744</v>
      </c>
      <c r="B1754" t="s">
        <v>78</v>
      </c>
      <c r="C1754">
        <v>1328776</v>
      </c>
      <c r="D1754" t="s">
        <v>78</v>
      </c>
      <c r="E1754">
        <v>820</v>
      </c>
      <c r="F1754">
        <v>820</v>
      </c>
      <c r="G1754" t="s">
        <v>136</v>
      </c>
      <c r="H1754" t="s">
        <v>250</v>
      </c>
      <c r="I1754" t="s">
        <v>78</v>
      </c>
      <c r="J1754" t="s">
        <v>42</v>
      </c>
      <c r="K1754" t="s">
        <v>83</v>
      </c>
      <c r="L1754" s="25">
        <v>44030</v>
      </c>
      <c r="M1754">
        <v>7</v>
      </c>
      <c r="N1754">
        <v>2020</v>
      </c>
      <c r="O1754" t="s">
        <v>110</v>
      </c>
      <c r="P1754">
        <v>170</v>
      </c>
      <c r="Q1754" s="17">
        <v>44030.433914699075</v>
      </c>
      <c r="R1754" t="s">
        <v>126</v>
      </c>
    </row>
    <row r="1755" spans="1:18" x14ac:dyDescent="0.3">
      <c r="A1755">
        <v>9685889</v>
      </c>
      <c r="B1755" t="s">
        <v>78</v>
      </c>
      <c r="C1755">
        <v>1329855</v>
      </c>
      <c r="D1755" t="s">
        <v>78</v>
      </c>
      <c r="E1755">
        <v>820</v>
      </c>
      <c r="F1755">
        <v>820</v>
      </c>
      <c r="G1755" t="s">
        <v>136</v>
      </c>
      <c r="H1755" t="s">
        <v>250</v>
      </c>
      <c r="I1755" t="s">
        <v>78</v>
      </c>
      <c r="J1755" t="s">
        <v>42</v>
      </c>
      <c r="K1755" t="s">
        <v>83</v>
      </c>
      <c r="L1755" s="25">
        <v>44030</v>
      </c>
      <c r="M1755">
        <v>7</v>
      </c>
      <c r="N1755">
        <v>2020</v>
      </c>
      <c r="O1755" t="s">
        <v>110</v>
      </c>
      <c r="P1755">
        <v>170</v>
      </c>
      <c r="Q1755" s="17">
        <v>44030.484109259261</v>
      </c>
      <c r="R1755" t="s">
        <v>126</v>
      </c>
    </row>
    <row r="1756" spans="1:18" x14ac:dyDescent="0.3">
      <c r="A1756">
        <v>9666449</v>
      </c>
      <c r="B1756" t="s">
        <v>72</v>
      </c>
      <c r="C1756">
        <v>1327840</v>
      </c>
      <c r="D1756" t="s">
        <v>108</v>
      </c>
      <c r="E1756" t="s">
        <v>26</v>
      </c>
      <c r="F1756" t="s">
        <v>26</v>
      </c>
      <c r="G1756" t="s">
        <v>137</v>
      </c>
      <c r="H1756" t="s">
        <v>229</v>
      </c>
      <c r="I1756" t="s">
        <v>84</v>
      </c>
      <c r="J1756" t="s">
        <v>85</v>
      </c>
      <c r="K1756" t="s">
        <v>83</v>
      </c>
      <c r="L1756" s="25">
        <v>44030</v>
      </c>
      <c r="M1756">
        <v>7</v>
      </c>
      <c r="N1756">
        <v>2020</v>
      </c>
      <c r="O1756" t="s">
        <v>110</v>
      </c>
      <c r="P1756">
        <v>170</v>
      </c>
      <c r="Q1756" s="17">
        <v>44030.296891550926</v>
      </c>
      <c r="R1756" t="s">
        <v>126</v>
      </c>
    </row>
    <row r="1757" spans="1:18" x14ac:dyDescent="0.3">
      <c r="A1757">
        <v>241515</v>
      </c>
      <c r="B1757" t="s">
        <v>72</v>
      </c>
      <c r="C1757">
        <v>1322324</v>
      </c>
      <c r="D1757" t="s">
        <v>108</v>
      </c>
      <c r="E1757" t="s">
        <v>26</v>
      </c>
      <c r="F1757" t="s">
        <v>26</v>
      </c>
      <c r="G1757" t="s">
        <v>137</v>
      </c>
      <c r="H1757" t="s">
        <v>276</v>
      </c>
      <c r="I1757" t="s">
        <v>84</v>
      </c>
      <c r="J1757" t="s">
        <v>85</v>
      </c>
      <c r="K1757" t="s">
        <v>83</v>
      </c>
      <c r="L1757" s="25">
        <v>44030</v>
      </c>
      <c r="M1757">
        <v>7</v>
      </c>
      <c r="N1757">
        <v>2020</v>
      </c>
      <c r="O1757" t="s">
        <v>110</v>
      </c>
      <c r="P1757">
        <v>170</v>
      </c>
      <c r="Q1757" s="17">
        <v>44030.483064814813</v>
      </c>
      <c r="R1757" t="s">
        <v>126</v>
      </c>
    </row>
    <row r="1758" spans="1:18" x14ac:dyDescent="0.3">
      <c r="A1758">
        <v>245016</v>
      </c>
      <c r="B1758" t="s">
        <v>72</v>
      </c>
      <c r="C1758">
        <v>1330141</v>
      </c>
      <c r="D1758" t="s">
        <v>108</v>
      </c>
      <c r="E1758" t="s">
        <v>146</v>
      </c>
      <c r="F1758" t="s">
        <v>17</v>
      </c>
      <c r="G1758" t="s">
        <v>147</v>
      </c>
      <c r="H1758" t="s">
        <v>263</v>
      </c>
      <c r="I1758" t="s">
        <v>82</v>
      </c>
      <c r="J1758" t="s">
        <v>42</v>
      </c>
      <c r="K1758" t="s">
        <v>87</v>
      </c>
      <c r="L1758" s="25">
        <v>44030</v>
      </c>
      <c r="M1758">
        <v>7</v>
      </c>
      <c r="N1758">
        <v>2020</v>
      </c>
      <c r="O1758" t="s">
        <v>110</v>
      </c>
      <c r="P1758">
        <v>170</v>
      </c>
      <c r="Q1758" s="17">
        <v>44030.490195138889</v>
      </c>
      <c r="R1758" t="s">
        <v>126</v>
      </c>
    </row>
    <row r="1759" spans="1:18" x14ac:dyDescent="0.3">
      <c r="A1759">
        <v>9687410</v>
      </c>
      <c r="B1759" t="s">
        <v>78</v>
      </c>
      <c r="C1759">
        <v>1330648</v>
      </c>
      <c r="D1759" t="s">
        <v>78</v>
      </c>
      <c r="E1759">
        <v>820</v>
      </c>
      <c r="F1759">
        <v>820</v>
      </c>
      <c r="G1759" t="s">
        <v>136</v>
      </c>
      <c r="H1759" t="s">
        <v>250</v>
      </c>
      <c r="I1759" t="s">
        <v>78</v>
      </c>
      <c r="J1759" t="s">
        <v>42</v>
      </c>
      <c r="K1759" t="s">
        <v>83</v>
      </c>
      <c r="L1759" s="25">
        <v>44030</v>
      </c>
      <c r="M1759">
        <v>7</v>
      </c>
      <c r="N1759">
        <v>2020</v>
      </c>
      <c r="O1759" t="s">
        <v>110</v>
      </c>
      <c r="P1759">
        <v>170</v>
      </c>
      <c r="Q1759" s="17">
        <v>44030.496204861112</v>
      </c>
      <c r="R1759" t="s">
        <v>126</v>
      </c>
    </row>
    <row r="1760" spans="1:18" x14ac:dyDescent="0.3">
      <c r="A1760">
        <v>9676512</v>
      </c>
      <c r="B1760" t="s">
        <v>78</v>
      </c>
      <c r="C1760">
        <v>1320638</v>
      </c>
      <c r="D1760" t="s">
        <v>78</v>
      </c>
      <c r="E1760" t="s">
        <v>26</v>
      </c>
      <c r="F1760" t="s">
        <v>26</v>
      </c>
      <c r="G1760" t="s">
        <v>137</v>
      </c>
      <c r="H1760" t="s">
        <v>245</v>
      </c>
      <c r="I1760" t="s">
        <v>78</v>
      </c>
      <c r="J1760" t="s">
        <v>42</v>
      </c>
      <c r="K1760" t="s">
        <v>83</v>
      </c>
      <c r="L1760" s="25">
        <v>44030</v>
      </c>
      <c r="M1760">
        <v>7</v>
      </c>
      <c r="N1760">
        <v>2020</v>
      </c>
      <c r="O1760" t="s">
        <v>110</v>
      </c>
      <c r="P1760">
        <v>170</v>
      </c>
      <c r="Q1760" s="17">
        <v>44030.441605439817</v>
      </c>
      <c r="R1760" t="s">
        <v>126</v>
      </c>
    </row>
    <row r="1761" spans="1:18" x14ac:dyDescent="0.3">
      <c r="A1761">
        <v>9685632</v>
      </c>
      <c r="B1761" t="s">
        <v>78</v>
      </c>
      <c r="C1761">
        <v>1328793</v>
      </c>
      <c r="D1761" t="s">
        <v>78</v>
      </c>
      <c r="E1761">
        <v>820</v>
      </c>
      <c r="F1761">
        <v>820</v>
      </c>
      <c r="G1761" t="s">
        <v>136</v>
      </c>
      <c r="H1761" t="s">
        <v>249</v>
      </c>
      <c r="I1761" t="s">
        <v>78</v>
      </c>
      <c r="J1761" t="s">
        <v>42</v>
      </c>
      <c r="K1761" t="s">
        <v>83</v>
      </c>
      <c r="L1761" s="25">
        <v>44030</v>
      </c>
      <c r="M1761">
        <v>7</v>
      </c>
      <c r="N1761">
        <v>2020</v>
      </c>
      <c r="O1761" t="s">
        <v>110</v>
      </c>
      <c r="P1761">
        <v>170</v>
      </c>
      <c r="Q1761" s="17">
        <v>44030.435617013885</v>
      </c>
      <c r="R1761" t="s">
        <v>126</v>
      </c>
    </row>
    <row r="1762" spans="1:18" x14ac:dyDescent="0.3">
      <c r="A1762">
        <v>9687676</v>
      </c>
      <c r="B1762" t="s">
        <v>80</v>
      </c>
      <c r="C1762">
        <v>1330665</v>
      </c>
      <c r="D1762" t="s">
        <v>122</v>
      </c>
      <c r="E1762">
        <v>820</v>
      </c>
      <c r="F1762">
        <v>820</v>
      </c>
      <c r="G1762" t="s">
        <v>136</v>
      </c>
      <c r="H1762" t="s">
        <v>228</v>
      </c>
      <c r="I1762" t="s">
        <v>84</v>
      </c>
      <c r="J1762" t="s">
        <v>85</v>
      </c>
      <c r="K1762" t="s">
        <v>83</v>
      </c>
      <c r="L1762" s="25">
        <v>44030</v>
      </c>
      <c r="M1762">
        <v>7</v>
      </c>
      <c r="N1762">
        <v>2020</v>
      </c>
      <c r="O1762" t="s">
        <v>110</v>
      </c>
      <c r="P1762">
        <v>170</v>
      </c>
      <c r="Q1762" s="17">
        <v>44030.189990856481</v>
      </c>
      <c r="R1762" t="s">
        <v>126</v>
      </c>
    </row>
    <row r="1763" spans="1:18" x14ac:dyDescent="0.3">
      <c r="A1763">
        <v>9686724</v>
      </c>
      <c r="B1763" t="s">
        <v>80</v>
      </c>
      <c r="C1763">
        <v>1329763</v>
      </c>
      <c r="D1763" t="s">
        <v>113</v>
      </c>
      <c r="E1763" t="s">
        <v>146</v>
      </c>
      <c r="F1763" t="s">
        <v>17</v>
      </c>
      <c r="G1763" t="s">
        <v>153</v>
      </c>
      <c r="H1763" t="s">
        <v>232</v>
      </c>
      <c r="I1763" t="s">
        <v>84</v>
      </c>
      <c r="J1763" t="s">
        <v>85</v>
      </c>
      <c r="K1763" t="s">
        <v>87</v>
      </c>
      <c r="L1763" s="25">
        <v>44030</v>
      </c>
      <c r="M1763">
        <v>7</v>
      </c>
      <c r="N1763">
        <v>2020</v>
      </c>
      <c r="O1763" t="s">
        <v>110</v>
      </c>
      <c r="P1763">
        <v>170</v>
      </c>
      <c r="Q1763" s="17">
        <v>44030.46810416667</v>
      </c>
      <c r="R1763" t="s">
        <v>126</v>
      </c>
    </row>
    <row r="1764" spans="1:18" x14ac:dyDescent="0.3">
      <c r="A1764">
        <v>9677230</v>
      </c>
      <c r="B1764" t="s">
        <v>78</v>
      </c>
      <c r="C1764">
        <v>1325896</v>
      </c>
      <c r="D1764" t="s">
        <v>78</v>
      </c>
      <c r="E1764">
        <v>966</v>
      </c>
      <c r="F1764">
        <v>966</v>
      </c>
      <c r="G1764" t="s">
        <v>139</v>
      </c>
      <c r="H1764" t="s">
        <v>105</v>
      </c>
      <c r="I1764" t="s">
        <v>78</v>
      </c>
      <c r="J1764" t="s">
        <v>42</v>
      </c>
      <c r="K1764" t="s">
        <v>87</v>
      </c>
      <c r="L1764" s="25">
        <v>44030</v>
      </c>
      <c r="M1764">
        <v>7</v>
      </c>
      <c r="N1764">
        <v>2020</v>
      </c>
      <c r="O1764" t="s">
        <v>110</v>
      </c>
      <c r="P1764">
        <v>170</v>
      </c>
      <c r="Q1764" s="17">
        <v>44030.488783796296</v>
      </c>
      <c r="R1764" t="s">
        <v>126</v>
      </c>
    </row>
    <row r="1765" spans="1:18" x14ac:dyDescent="0.3">
      <c r="A1765">
        <v>9685577</v>
      </c>
      <c r="B1765" t="s">
        <v>80</v>
      </c>
      <c r="C1765">
        <v>1329563</v>
      </c>
      <c r="D1765" t="s">
        <v>113</v>
      </c>
      <c r="E1765" t="s">
        <v>146</v>
      </c>
      <c r="F1765" t="s">
        <v>17</v>
      </c>
      <c r="G1765" t="s">
        <v>153</v>
      </c>
      <c r="H1765" t="s">
        <v>232</v>
      </c>
      <c r="I1765" t="s">
        <v>84</v>
      </c>
      <c r="J1765" t="s">
        <v>85</v>
      </c>
      <c r="K1765" t="s">
        <v>87</v>
      </c>
      <c r="L1765" s="25">
        <v>44030</v>
      </c>
      <c r="M1765">
        <v>7</v>
      </c>
      <c r="N1765">
        <v>2020</v>
      </c>
      <c r="O1765" t="s">
        <v>110</v>
      </c>
      <c r="P1765">
        <v>170</v>
      </c>
      <c r="Q1765" s="17">
        <v>44030.425246643521</v>
      </c>
      <c r="R1765" t="s">
        <v>126</v>
      </c>
    </row>
    <row r="1766" spans="1:18" x14ac:dyDescent="0.3">
      <c r="A1766">
        <v>245042</v>
      </c>
      <c r="B1766" t="s">
        <v>72</v>
      </c>
      <c r="C1766">
        <v>1330104</v>
      </c>
      <c r="D1766" t="s">
        <v>108</v>
      </c>
      <c r="E1766">
        <v>4138</v>
      </c>
      <c r="F1766" t="s">
        <v>17</v>
      </c>
      <c r="G1766" t="s">
        <v>129</v>
      </c>
      <c r="H1766" t="s">
        <v>263</v>
      </c>
      <c r="I1766" t="s">
        <v>82</v>
      </c>
      <c r="J1766" t="s">
        <v>42</v>
      </c>
      <c r="K1766" t="s">
        <v>87</v>
      </c>
      <c r="L1766" s="25">
        <v>44030</v>
      </c>
      <c r="M1766">
        <v>7</v>
      </c>
      <c r="N1766">
        <v>2020</v>
      </c>
      <c r="O1766" t="s">
        <v>110</v>
      </c>
      <c r="P1766">
        <v>170</v>
      </c>
      <c r="Q1766" s="17">
        <v>44030.488517824073</v>
      </c>
      <c r="R1766" t="s">
        <v>126</v>
      </c>
    </row>
    <row r="1767" spans="1:18" x14ac:dyDescent="0.3">
      <c r="A1767">
        <v>9686054</v>
      </c>
      <c r="B1767" t="s">
        <v>78</v>
      </c>
      <c r="C1767">
        <v>1329168</v>
      </c>
      <c r="D1767" t="s">
        <v>78</v>
      </c>
      <c r="E1767">
        <v>820</v>
      </c>
      <c r="F1767">
        <v>820</v>
      </c>
      <c r="G1767" t="s">
        <v>136</v>
      </c>
      <c r="H1767" t="s">
        <v>249</v>
      </c>
      <c r="I1767" t="s">
        <v>78</v>
      </c>
      <c r="J1767" t="s">
        <v>42</v>
      </c>
      <c r="K1767" t="s">
        <v>83</v>
      </c>
      <c r="L1767" s="25">
        <v>44030</v>
      </c>
      <c r="M1767">
        <v>7</v>
      </c>
      <c r="N1767">
        <v>2020</v>
      </c>
      <c r="O1767" t="s">
        <v>110</v>
      </c>
      <c r="P1767">
        <v>170</v>
      </c>
      <c r="Q1767" s="17">
        <v>44030.455386226851</v>
      </c>
      <c r="R1767" t="s">
        <v>126</v>
      </c>
    </row>
    <row r="1768" spans="1:18" x14ac:dyDescent="0.3">
      <c r="A1768">
        <v>9685940</v>
      </c>
      <c r="B1768" t="s">
        <v>78</v>
      </c>
      <c r="C1768">
        <v>1329895</v>
      </c>
      <c r="D1768" t="s">
        <v>78</v>
      </c>
      <c r="E1768">
        <v>820</v>
      </c>
      <c r="F1768">
        <v>820</v>
      </c>
      <c r="G1768" t="s">
        <v>136</v>
      </c>
      <c r="H1768" t="s">
        <v>250</v>
      </c>
      <c r="I1768" t="s">
        <v>78</v>
      </c>
      <c r="J1768" t="s">
        <v>42</v>
      </c>
      <c r="K1768" t="s">
        <v>83</v>
      </c>
      <c r="L1768" s="25">
        <v>44030</v>
      </c>
      <c r="M1768">
        <v>7</v>
      </c>
      <c r="N1768">
        <v>2020</v>
      </c>
      <c r="O1768" t="s">
        <v>110</v>
      </c>
      <c r="P1768">
        <v>170</v>
      </c>
      <c r="Q1768" s="17">
        <v>44030.487530555554</v>
      </c>
      <c r="R1768" t="s">
        <v>126</v>
      </c>
    </row>
    <row r="1769" spans="1:18" x14ac:dyDescent="0.3">
      <c r="A1769">
        <v>9684942</v>
      </c>
      <c r="B1769" t="s">
        <v>72</v>
      </c>
      <c r="C1769">
        <v>1331567</v>
      </c>
      <c r="D1769" t="s">
        <v>108</v>
      </c>
      <c r="E1769" t="s">
        <v>26</v>
      </c>
      <c r="F1769" t="s">
        <v>26</v>
      </c>
      <c r="G1769" t="s">
        <v>137</v>
      </c>
      <c r="H1769" t="s">
        <v>229</v>
      </c>
      <c r="I1769" t="s">
        <v>84</v>
      </c>
      <c r="J1769" t="s">
        <v>85</v>
      </c>
      <c r="K1769" t="s">
        <v>83</v>
      </c>
      <c r="L1769" s="25">
        <v>44030</v>
      </c>
      <c r="M1769">
        <v>7</v>
      </c>
      <c r="N1769">
        <v>2020</v>
      </c>
      <c r="O1769" t="s">
        <v>110</v>
      </c>
      <c r="P1769">
        <v>170</v>
      </c>
      <c r="Q1769" s="17">
        <v>44030.382967476849</v>
      </c>
      <c r="R1769" t="s">
        <v>126</v>
      </c>
    </row>
    <row r="1770" spans="1:18" x14ac:dyDescent="0.3">
      <c r="A1770">
        <v>9685853</v>
      </c>
      <c r="B1770" t="s">
        <v>78</v>
      </c>
      <c r="C1770">
        <v>1328959</v>
      </c>
      <c r="D1770" t="s">
        <v>78</v>
      </c>
      <c r="E1770">
        <v>820</v>
      </c>
      <c r="F1770">
        <v>820</v>
      </c>
      <c r="G1770" t="s">
        <v>136</v>
      </c>
      <c r="H1770" t="s">
        <v>249</v>
      </c>
      <c r="I1770" t="s">
        <v>78</v>
      </c>
      <c r="J1770" t="s">
        <v>42</v>
      </c>
      <c r="K1770" t="s">
        <v>83</v>
      </c>
      <c r="L1770" s="25">
        <v>44030</v>
      </c>
      <c r="M1770">
        <v>7</v>
      </c>
      <c r="N1770">
        <v>2020</v>
      </c>
      <c r="O1770" t="s">
        <v>110</v>
      </c>
      <c r="P1770">
        <v>170</v>
      </c>
      <c r="Q1770" s="17">
        <v>44030.446650347221</v>
      </c>
      <c r="R1770" t="s">
        <v>126</v>
      </c>
    </row>
    <row r="1771" spans="1:18" x14ac:dyDescent="0.3">
      <c r="A1771">
        <v>9686732</v>
      </c>
      <c r="B1771" t="s">
        <v>80</v>
      </c>
      <c r="C1771">
        <v>1329772</v>
      </c>
      <c r="D1771" t="s">
        <v>113</v>
      </c>
      <c r="E1771" t="s">
        <v>146</v>
      </c>
      <c r="F1771" t="s">
        <v>17</v>
      </c>
      <c r="G1771" t="s">
        <v>153</v>
      </c>
      <c r="H1771" t="s">
        <v>232</v>
      </c>
      <c r="I1771" t="s">
        <v>84</v>
      </c>
      <c r="J1771" t="s">
        <v>85</v>
      </c>
      <c r="K1771" t="s">
        <v>87</v>
      </c>
      <c r="L1771" s="25">
        <v>44030</v>
      </c>
      <c r="M1771">
        <v>7</v>
      </c>
      <c r="N1771">
        <v>2020</v>
      </c>
      <c r="O1771" t="s">
        <v>110</v>
      </c>
      <c r="P1771">
        <v>170</v>
      </c>
      <c r="Q1771" s="17">
        <v>44030.47322615741</v>
      </c>
      <c r="R1771" t="s">
        <v>126</v>
      </c>
    </row>
    <row r="1772" spans="1:18" x14ac:dyDescent="0.3">
      <c r="A1772">
        <v>9686180</v>
      </c>
      <c r="B1772" t="s">
        <v>80</v>
      </c>
      <c r="C1772">
        <v>1329659</v>
      </c>
      <c r="D1772" t="s">
        <v>113</v>
      </c>
      <c r="E1772" t="s">
        <v>146</v>
      </c>
      <c r="F1772" t="s">
        <v>17</v>
      </c>
      <c r="G1772" t="s">
        <v>153</v>
      </c>
      <c r="H1772" t="s">
        <v>232</v>
      </c>
      <c r="I1772" t="s">
        <v>84</v>
      </c>
      <c r="J1772" t="s">
        <v>85</v>
      </c>
      <c r="K1772" t="s">
        <v>87</v>
      </c>
      <c r="L1772" s="25">
        <v>44030</v>
      </c>
      <c r="M1772">
        <v>7</v>
      </c>
      <c r="N1772">
        <v>2020</v>
      </c>
      <c r="O1772" t="s">
        <v>110</v>
      </c>
      <c r="P1772">
        <v>170</v>
      </c>
      <c r="Q1772" s="17">
        <v>44030.44694652778</v>
      </c>
      <c r="R1772" t="s">
        <v>126</v>
      </c>
    </row>
    <row r="1773" spans="1:18" x14ac:dyDescent="0.3">
      <c r="A1773">
        <v>21534493</v>
      </c>
      <c r="B1773" t="s">
        <v>72</v>
      </c>
      <c r="C1773">
        <v>1333403</v>
      </c>
      <c r="D1773" t="s">
        <v>108</v>
      </c>
      <c r="E1773" t="s">
        <v>26</v>
      </c>
      <c r="F1773" t="s">
        <v>26</v>
      </c>
      <c r="G1773" t="s">
        <v>137</v>
      </c>
      <c r="H1773" t="s">
        <v>229</v>
      </c>
      <c r="I1773" t="s">
        <v>84</v>
      </c>
      <c r="J1773" t="s">
        <v>85</v>
      </c>
      <c r="K1773" t="s">
        <v>83</v>
      </c>
      <c r="L1773" s="25">
        <v>44030</v>
      </c>
      <c r="M1773">
        <v>7</v>
      </c>
      <c r="N1773">
        <v>2020</v>
      </c>
      <c r="O1773" t="s">
        <v>110</v>
      </c>
      <c r="P1773">
        <v>170</v>
      </c>
      <c r="Q1773" s="17">
        <v>44031.136362037039</v>
      </c>
      <c r="R1773" t="s">
        <v>126</v>
      </c>
    </row>
    <row r="1774" spans="1:18" x14ac:dyDescent="0.3">
      <c r="A1774">
        <v>9678513</v>
      </c>
      <c r="B1774" t="s">
        <v>78</v>
      </c>
      <c r="C1774">
        <v>1320499</v>
      </c>
      <c r="D1774" t="s">
        <v>78</v>
      </c>
      <c r="E1774" t="s">
        <v>26</v>
      </c>
      <c r="F1774" t="s">
        <v>26</v>
      </c>
      <c r="G1774" t="s">
        <v>137</v>
      </c>
      <c r="H1774" t="s">
        <v>245</v>
      </c>
      <c r="I1774" t="s">
        <v>78</v>
      </c>
      <c r="J1774" t="s">
        <v>42</v>
      </c>
      <c r="K1774" t="s">
        <v>83</v>
      </c>
      <c r="L1774" s="25">
        <v>44030</v>
      </c>
      <c r="M1774">
        <v>7</v>
      </c>
      <c r="N1774">
        <v>2020</v>
      </c>
      <c r="O1774" t="s">
        <v>110</v>
      </c>
      <c r="P1774">
        <v>170</v>
      </c>
      <c r="Q1774" s="17">
        <v>44030.444368634257</v>
      </c>
      <c r="R1774" t="s">
        <v>126</v>
      </c>
    </row>
    <row r="1775" spans="1:18" x14ac:dyDescent="0.3">
      <c r="A1775">
        <v>9687246</v>
      </c>
      <c r="B1775" t="s">
        <v>79</v>
      </c>
      <c r="C1775">
        <v>1330578</v>
      </c>
      <c r="D1775" t="s">
        <v>116</v>
      </c>
      <c r="E1775" t="s">
        <v>12</v>
      </c>
      <c r="F1775" t="s">
        <v>12</v>
      </c>
      <c r="G1775" t="s">
        <v>135</v>
      </c>
      <c r="H1775" t="s">
        <v>275</v>
      </c>
      <c r="I1775" t="s">
        <v>82</v>
      </c>
      <c r="J1775" t="s">
        <v>42</v>
      </c>
      <c r="K1775" t="s">
        <v>83</v>
      </c>
      <c r="L1775" s="25">
        <v>44030</v>
      </c>
      <c r="M1775">
        <v>7</v>
      </c>
      <c r="N1775">
        <v>2020</v>
      </c>
      <c r="O1775" t="s">
        <v>110</v>
      </c>
      <c r="P1775">
        <v>170</v>
      </c>
      <c r="Q1775" s="17">
        <v>44030.486376504632</v>
      </c>
      <c r="R1775" t="s">
        <v>126</v>
      </c>
    </row>
    <row r="1776" spans="1:18" x14ac:dyDescent="0.3">
      <c r="A1776">
        <v>9686177</v>
      </c>
      <c r="B1776" t="s">
        <v>80</v>
      </c>
      <c r="C1776">
        <v>1329642</v>
      </c>
      <c r="D1776" t="s">
        <v>113</v>
      </c>
      <c r="E1776" t="s">
        <v>146</v>
      </c>
      <c r="F1776" t="s">
        <v>17</v>
      </c>
      <c r="G1776" t="s">
        <v>153</v>
      </c>
      <c r="H1776" t="s">
        <v>232</v>
      </c>
      <c r="I1776" t="s">
        <v>84</v>
      </c>
      <c r="J1776" t="s">
        <v>85</v>
      </c>
      <c r="K1776" t="s">
        <v>87</v>
      </c>
      <c r="L1776" s="25">
        <v>44030</v>
      </c>
      <c r="M1776">
        <v>7</v>
      </c>
      <c r="N1776">
        <v>2020</v>
      </c>
      <c r="O1776" t="s">
        <v>110</v>
      </c>
      <c r="P1776">
        <v>170</v>
      </c>
      <c r="Q1776" s="17">
        <v>44030.442053125</v>
      </c>
      <c r="R1776" t="s">
        <v>126</v>
      </c>
    </row>
    <row r="1777" spans="1:18" x14ac:dyDescent="0.3">
      <c r="A1777">
        <v>9685666</v>
      </c>
      <c r="B1777" t="s">
        <v>78</v>
      </c>
      <c r="C1777">
        <v>1328723</v>
      </c>
      <c r="D1777" t="s">
        <v>78</v>
      </c>
      <c r="E1777">
        <v>820</v>
      </c>
      <c r="F1777">
        <v>820</v>
      </c>
      <c r="G1777" t="s">
        <v>136</v>
      </c>
      <c r="H1777" t="s">
        <v>249</v>
      </c>
      <c r="I1777" t="s">
        <v>78</v>
      </c>
      <c r="J1777" t="s">
        <v>42</v>
      </c>
      <c r="K1777" t="s">
        <v>83</v>
      </c>
      <c r="L1777" s="25">
        <v>44030</v>
      </c>
      <c r="M1777">
        <v>7</v>
      </c>
      <c r="N1777">
        <v>2020</v>
      </c>
      <c r="O1777" t="s">
        <v>110</v>
      </c>
      <c r="P1777">
        <v>170</v>
      </c>
      <c r="Q1777" s="17">
        <v>44030.432013888887</v>
      </c>
      <c r="R1777" t="s">
        <v>126</v>
      </c>
    </row>
    <row r="1778" spans="1:18" x14ac:dyDescent="0.3">
      <c r="A1778">
        <v>21531512</v>
      </c>
      <c r="B1778" t="s">
        <v>72</v>
      </c>
      <c r="C1778">
        <v>1333420</v>
      </c>
      <c r="D1778" t="s">
        <v>108</v>
      </c>
      <c r="E1778" t="s">
        <v>26</v>
      </c>
      <c r="F1778" t="s">
        <v>26</v>
      </c>
      <c r="G1778" t="s">
        <v>137</v>
      </c>
      <c r="H1778" t="s">
        <v>229</v>
      </c>
      <c r="I1778" t="s">
        <v>84</v>
      </c>
      <c r="J1778" t="s">
        <v>85</v>
      </c>
      <c r="K1778" t="s">
        <v>83</v>
      </c>
      <c r="L1778" s="25">
        <v>44030</v>
      </c>
      <c r="M1778">
        <v>7</v>
      </c>
      <c r="N1778">
        <v>2020</v>
      </c>
      <c r="O1778" t="s">
        <v>110</v>
      </c>
      <c r="P1778">
        <v>170</v>
      </c>
      <c r="Q1778" s="17">
        <v>44031.081772800928</v>
      </c>
      <c r="R1778" t="s">
        <v>126</v>
      </c>
    </row>
    <row r="1779" spans="1:18" x14ac:dyDescent="0.3">
      <c r="A1779">
        <v>9681326</v>
      </c>
      <c r="B1779" t="s">
        <v>72</v>
      </c>
      <c r="C1779">
        <v>1324209</v>
      </c>
      <c r="D1779" t="s">
        <v>108</v>
      </c>
      <c r="E1779">
        <v>966</v>
      </c>
      <c r="F1779">
        <v>966</v>
      </c>
      <c r="G1779" t="s">
        <v>139</v>
      </c>
      <c r="H1779" t="s">
        <v>229</v>
      </c>
      <c r="I1779" t="s">
        <v>84</v>
      </c>
      <c r="J1779" t="s">
        <v>85</v>
      </c>
      <c r="K1779" t="s">
        <v>87</v>
      </c>
      <c r="L1779" s="25">
        <v>44030</v>
      </c>
      <c r="M1779">
        <v>7</v>
      </c>
      <c r="N1779">
        <v>2020</v>
      </c>
      <c r="O1779" t="s">
        <v>110</v>
      </c>
      <c r="P1779">
        <v>170</v>
      </c>
      <c r="Q1779" s="17">
        <v>44030.471518749997</v>
      </c>
      <c r="R1779" t="s">
        <v>126</v>
      </c>
    </row>
    <row r="1780" spans="1:18" x14ac:dyDescent="0.3">
      <c r="A1780">
        <v>21532701</v>
      </c>
      <c r="B1780" t="s">
        <v>80</v>
      </c>
      <c r="C1780">
        <v>1336509</v>
      </c>
      <c r="D1780" t="s">
        <v>291</v>
      </c>
      <c r="E1780">
        <v>845</v>
      </c>
      <c r="F1780">
        <v>845</v>
      </c>
      <c r="G1780" t="s">
        <v>130</v>
      </c>
      <c r="H1780" t="s">
        <v>292</v>
      </c>
      <c r="I1780" t="s">
        <v>84</v>
      </c>
      <c r="J1780" t="s">
        <v>85</v>
      </c>
      <c r="K1780" t="s">
        <v>87</v>
      </c>
      <c r="L1780" s="25">
        <v>44030</v>
      </c>
      <c r="M1780">
        <v>7</v>
      </c>
      <c r="N1780">
        <v>2020</v>
      </c>
      <c r="O1780" t="s">
        <v>110</v>
      </c>
      <c r="P1780">
        <v>170</v>
      </c>
      <c r="Q1780" s="17">
        <v>44031.147067708334</v>
      </c>
      <c r="R1780" t="s">
        <v>126</v>
      </c>
    </row>
    <row r="1781" spans="1:18" x14ac:dyDescent="0.3">
      <c r="A1781">
        <v>9686267</v>
      </c>
      <c r="B1781" t="s">
        <v>80</v>
      </c>
      <c r="C1781">
        <v>1329676</v>
      </c>
      <c r="D1781" t="s">
        <v>113</v>
      </c>
      <c r="E1781" t="s">
        <v>146</v>
      </c>
      <c r="F1781" t="s">
        <v>17</v>
      </c>
      <c r="G1781" t="s">
        <v>153</v>
      </c>
      <c r="H1781" t="s">
        <v>232</v>
      </c>
      <c r="I1781" t="s">
        <v>84</v>
      </c>
      <c r="J1781" t="s">
        <v>85</v>
      </c>
      <c r="K1781" t="s">
        <v>87</v>
      </c>
      <c r="L1781" s="25">
        <v>44030</v>
      </c>
      <c r="M1781">
        <v>7</v>
      </c>
      <c r="N1781">
        <v>2020</v>
      </c>
      <c r="O1781" t="s">
        <v>110</v>
      </c>
      <c r="P1781">
        <v>170</v>
      </c>
      <c r="Q1781" s="17">
        <v>44030.45284085648</v>
      </c>
      <c r="R1781" t="s">
        <v>126</v>
      </c>
    </row>
    <row r="1782" spans="1:18" x14ac:dyDescent="0.3">
      <c r="A1782">
        <v>9686139</v>
      </c>
      <c r="B1782" t="s">
        <v>80</v>
      </c>
      <c r="C1782">
        <v>1329591</v>
      </c>
      <c r="D1782" t="s">
        <v>113</v>
      </c>
      <c r="E1782" t="s">
        <v>146</v>
      </c>
      <c r="F1782" t="s">
        <v>17</v>
      </c>
      <c r="G1782" t="s">
        <v>153</v>
      </c>
      <c r="H1782" t="s">
        <v>232</v>
      </c>
      <c r="I1782" t="s">
        <v>84</v>
      </c>
      <c r="J1782" t="s">
        <v>85</v>
      </c>
      <c r="K1782" t="s">
        <v>87</v>
      </c>
      <c r="L1782" s="25">
        <v>44030</v>
      </c>
      <c r="M1782">
        <v>7</v>
      </c>
      <c r="N1782">
        <v>2020</v>
      </c>
      <c r="O1782" t="s">
        <v>110</v>
      </c>
      <c r="P1782">
        <v>170</v>
      </c>
      <c r="Q1782" s="17">
        <v>44030.428935995369</v>
      </c>
      <c r="R1782" t="s">
        <v>126</v>
      </c>
    </row>
    <row r="1783" spans="1:18" x14ac:dyDescent="0.3">
      <c r="A1783">
        <v>9685795</v>
      </c>
      <c r="B1783" t="s">
        <v>78</v>
      </c>
      <c r="C1783">
        <v>1328706</v>
      </c>
      <c r="D1783" t="s">
        <v>78</v>
      </c>
      <c r="E1783">
        <v>820</v>
      </c>
      <c r="F1783">
        <v>820</v>
      </c>
      <c r="G1783" t="s">
        <v>136</v>
      </c>
      <c r="H1783" t="s">
        <v>249</v>
      </c>
      <c r="I1783" t="s">
        <v>78</v>
      </c>
      <c r="J1783" t="s">
        <v>42</v>
      </c>
      <c r="K1783" t="s">
        <v>83</v>
      </c>
      <c r="L1783" s="25">
        <v>44030</v>
      </c>
      <c r="M1783">
        <v>7</v>
      </c>
      <c r="N1783">
        <v>2020</v>
      </c>
      <c r="O1783" t="s">
        <v>110</v>
      </c>
      <c r="P1783">
        <v>170</v>
      </c>
      <c r="Q1783" s="17">
        <v>44030.430617708334</v>
      </c>
      <c r="R1783" t="s">
        <v>126</v>
      </c>
    </row>
    <row r="1784" spans="1:18" x14ac:dyDescent="0.3">
      <c r="A1784">
        <v>9685285</v>
      </c>
      <c r="B1784" t="s">
        <v>80</v>
      </c>
      <c r="C1784">
        <v>1328821</v>
      </c>
      <c r="D1784" t="s">
        <v>113</v>
      </c>
      <c r="E1784" t="s">
        <v>12</v>
      </c>
      <c r="F1784" t="s">
        <v>12</v>
      </c>
      <c r="G1784" t="s">
        <v>135</v>
      </c>
      <c r="H1784" t="s">
        <v>232</v>
      </c>
      <c r="I1784" t="s">
        <v>84</v>
      </c>
      <c r="J1784" t="s">
        <v>85</v>
      </c>
      <c r="K1784" t="s">
        <v>83</v>
      </c>
      <c r="L1784" s="25">
        <v>44030</v>
      </c>
      <c r="M1784">
        <v>7</v>
      </c>
      <c r="N1784">
        <v>2020</v>
      </c>
      <c r="O1784" t="s">
        <v>110</v>
      </c>
      <c r="P1784">
        <v>170</v>
      </c>
      <c r="Q1784" s="17">
        <v>44030.429365162039</v>
      </c>
      <c r="R1784" t="s">
        <v>126</v>
      </c>
    </row>
    <row r="1785" spans="1:18" x14ac:dyDescent="0.3">
      <c r="A1785">
        <v>9686153</v>
      </c>
      <c r="B1785" t="s">
        <v>80</v>
      </c>
      <c r="C1785">
        <v>1329608</v>
      </c>
      <c r="D1785" t="s">
        <v>113</v>
      </c>
      <c r="E1785" t="s">
        <v>146</v>
      </c>
      <c r="F1785" t="s">
        <v>17</v>
      </c>
      <c r="G1785" t="s">
        <v>153</v>
      </c>
      <c r="H1785" t="s">
        <v>232</v>
      </c>
      <c r="I1785" t="s">
        <v>84</v>
      </c>
      <c r="J1785" t="s">
        <v>85</v>
      </c>
      <c r="K1785" t="s">
        <v>87</v>
      </c>
      <c r="L1785" s="25">
        <v>44030</v>
      </c>
      <c r="M1785">
        <v>7</v>
      </c>
      <c r="N1785">
        <v>2020</v>
      </c>
      <c r="O1785" t="s">
        <v>110</v>
      </c>
      <c r="P1785">
        <v>170</v>
      </c>
      <c r="Q1785" s="17">
        <v>44030.434301041663</v>
      </c>
      <c r="R1785" t="s">
        <v>126</v>
      </c>
    </row>
    <row r="1786" spans="1:18" x14ac:dyDescent="0.3">
      <c r="A1786">
        <v>9685886</v>
      </c>
      <c r="B1786" t="s">
        <v>78</v>
      </c>
      <c r="C1786">
        <v>1329259</v>
      </c>
      <c r="D1786" t="s">
        <v>78</v>
      </c>
      <c r="E1786">
        <v>820</v>
      </c>
      <c r="F1786">
        <v>820</v>
      </c>
      <c r="G1786" t="s">
        <v>136</v>
      </c>
      <c r="H1786" t="s">
        <v>250</v>
      </c>
      <c r="I1786" t="s">
        <v>78</v>
      </c>
      <c r="J1786" t="s">
        <v>42</v>
      </c>
      <c r="K1786" t="s">
        <v>83</v>
      </c>
      <c r="L1786" s="25">
        <v>44030</v>
      </c>
      <c r="M1786">
        <v>7</v>
      </c>
      <c r="N1786">
        <v>2020</v>
      </c>
      <c r="O1786" t="s">
        <v>110</v>
      </c>
      <c r="P1786">
        <v>170</v>
      </c>
      <c r="Q1786" s="17">
        <v>44030.458430671293</v>
      </c>
      <c r="R1786" t="s">
        <v>126</v>
      </c>
    </row>
    <row r="1787" spans="1:18" x14ac:dyDescent="0.3">
      <c r="A1787">
        <v>9686209</v>
      </c>
      <c r="B1787" t="s">
        <v>72</v>
      </c>
      <c r="C1787">
        <v>1331663</v>
      </c>
      <c r="D1787" t="s">
        <v>108</v>
      </c>
      <c r="E1787" t="s">
        <v>26</v>
      </c>
      <c r="F1787" t="s">
        <v>26</v>
      </c>
      <c r="G1787" t="s">
        <v>137</v>
      </c>
      <c r="H1787" t="s">
        <v>229</v>
      </c>
      <c r="I1787" t="s">
        <v>84</v>
      </c>
      <c r="J1787" t="s">
        <v>85</v>
      </c>
      <c r="K1787" t="s">
        <v>83</v>
      </c>
      <c r="L1787" s="25">
        <v>44030</v>
      </c>
      <c r="M1787">
        <v>7</v>
      </c>
      <c r="N1787">
        <v>2020</v>
      </c>
      <c r="O1787" t="s">
        <v>110</v>
      </c>
      <c r="P1787">
        <v>170</v>
      </c>
      <c r="Q1787" s="17">
        <v>44030.380555787036</v>
      </c>
      <c r="R1787" t="s">
        <v>126</v>
      </c>
    </row>
    <row r="1788" spans="1:18" x14ac:dyDescent="0.3">
      <c r="A1788">
        <v>9680576</v>
      </c>
      <c r="B1788" t="s">
        <v>72</v>
      </c>
      <c r="C1788">
        <v>1322154</v>
      </c>
      <c r="D1788" t="s">
        <v>108</v>
      </c>
      <c r="E1788">
        <v>966</v>
      </c>
      <c r="F1788">
        <v>966</v>
      </c>
      <c r="G1788" t="s">
        <v>139</v>
      </c>
      <c r="H1788" t="s">
        <v>229</v>
      </c>
      <c r="I1788" t="s">
        <v>84</v>
      </c>
      <c r="J1788" t="s">
        <v>85</v>
      </c>
      <c r="K1788" t="s">
        <v>87</v>
      </c>
      <c r="L1788" s="25">
        <v>44030</v>
      </c>
      <c r="M1788">
        <v>7</v>
      </c>
      <c r="N1788">
        <v>2020</v>
      </c>
      <c r="O1788" t="s">
        <v>110</v>
      </c>
      <c r="P1788">
        <v>170</v>
      </c>
      <c r="Q1788" s="17">
        <v>44030.446052893516</v>
      </c>
      <c r="R1788" t="s">
        <v>126</v>
      </c>
    </row>
    <row r="1789" spans="1:18" x14ac:dyDescent="0.3">
      <c r="A1789">
        <v>242202</v>
      </c>
      <c r="B1789" t="s">
        <v>78</v>
      </c>
      <c r="C1789">
        <v>1323056</v>
      </c>
      <c r="D1789" t="s">
        <v>78</v>
      </c>
      <c r="E1789">
        <v>966</v>
      </c>
      <c r="F1789">
        <v>966</v>
      </c>
      <c r="G1789" t="s">
        <v>139</v>
      </c>
      <c r="H1789" t="s">
        <v>105</v>
      </c>
      <c r="I1789" t="s">
        <v>78</v>
      </c>
      <c r="J1789" t="s">
        <v>42</v>
      </c>
      <c r="K1789" t="s">
        <v>87</v>
      </c>
      <c r="L1789" s="25">
        <v>44030</v>
      </c>
      <c r="M1789">
        <v>7</v>
      </c>
      <c r="N1789">
        <v>2020</v>
      </c>
      <c r="O1789" t="s">
        <v>110</v>
      </c>
      <c r="P1789">
        <v>170</v>
      </c>
      <c r="Q1789" s="17">
        <v>44030.455283333336</v>
      </c>
      <c r="R1789" t="s">
        <v>126</v>
      </c>
    </row>
    <row r="1790" spans="1:18" x14ac:dyDescent="0.3">
      <c r="A1790">
        <v>9686892</v>
      </c>
      <c r="B1790" t="s">
        <v>80</v>
      </c>
      <c r="C1790">
        <v>1329791</v>
      </c>
      <c r="D1790" t="s">
        <v>113</v>
      </c>
      <c r="E1790" t="s">
        <v>146</v>
      </c>
      <c r="F1790" t="s">
        <v>17</v>
      </c>
      <c r="G1790" t="s">
        <v>153</v>
      </c>
      <c r="H1790" t="s">
        <v>232</v>
      </c>
      <c r="I1790" t="s">
        <v>84</v>
      </c>
      <c r="J1790" t="s">
        <v>85</v>
      </c>
      <c r="K1790" t="s">
        <v>87</v>
      </c>
      <c r="L1790" s="25">
        <v>44030</v>
      </c>
      <c r="M1790">
        <v>7</v>
      </c>
      <c r="N1790">
        <v>2020</v>
      </c>
      <c r="O1790" t="s">
        <v>110</v>
      </c>
      <c r="P1790">
        <v>170</v>
      </c>
      <c r="Q1790" s="17">
        <v>44030.473239699073</v>
      </c>
      <c r="R1790" t="s">
        <v>126</v>
      </c>
    </row>
    <row r="1791" spans="1:18" x14ac:dyDescent="0.3">
      <c r="A1791">
        <v>9686710</v>
      </c>
      <c r="B1791" t="s">
        <v>80</v>
      </c>
      <c r="C1791">
        <v>1329740</v>
      </c>
      <c r="D1791" t="s">
        <v>113</v>
      </c>
      <c r="E1791" t="s">
        <v>146</v>
      </c>
      <c r="F1791" t="s">
        <v>17</v>
      </c>
      <c r="G1791" t="s">
        <v>153</v>
      </c>
      <c r="H1791" t="s">
        <v>232</v>
      </c>
      <c r="I1791" t="s">
        <v>84</v>
      </c>
      <c r="J1791" t="s">
        <v>85</v>
      </c>
      <c r="K1791" t="s">
        <v>87</v>
      </c>
      <c r="L1791" s="25">
        <v>44030</v>
      </c>
      <c r="M1791">
        <v>7</v>
      </c>
      <c r="N1791">
        <v>2020</v>
      </c>
      <c r="O1791" t="s">
        <v>110</v>
      </c>
      <c r="P1791">
        <v>170</v>
      </c>
      <c r="Q1791" s="17">
        <v>44030.460930555557</v>
      </c>
      <c r="R1791" t="s">
        <v>126</v>
      </c>
    </row>
    <row r="1792" spans="1:18" x14ac:dyDescent="0.3">
      <c r="A1792">
        <v>9687234</v>
      </c>
      <c r="B1792" t="s">
        <v>78</v>
      </c>
      <c r="C1792">
        <v>1330212</v>
      </c>
      <c r="D1792" t="s">
        <v>78</v>
      </c>
      <c r="E1792" t="s">
        <v>146</v>
      </c>
      <c r="F1792" t="s">
        <v>17</v>
      </c>
      <c r="G1792" t="s">
        <v>153</v>
      </c>
      <c r="H1792" t="s">
        <v>134</v>
      </c>
      <c r="I1792" t="s">
        <v>78</v>
      </c>
      <c r="J1792" t="s">
        <v>42</v>
      </c>
      <c r="K1792" t="s">
        <v>87</v>
      </c>
      <c r="L1792" s="25">
        <v>44030</v>
      </c>
      <c r="M1792">
        <v>7</v>
      </c>
      <c r="N1792">
        <v>2020</v>
      </c>
      <c r="O1792" t="s">
        <v>110</v>
      </c>
      <c r="P1792">
        <v>170</v>
      </c>
      <c r="Q1792" s="17">
        <v>44030.490729398145</v>
      </c>
      <c r="R1792" t="s">
        <v>126</v>
      </c>
    </row>
    <row r="1793" spans="1:18" x14ac:dyDescent="0.3">
      <c r="A1793">
        <v>9668177</v>
      </c>
      <c r="B1793" t="s">
        <v>72</v>
      </c>
      <c r="C1793">
        <v>1328838</v>
      </c>
      <c r="D1793" t="s">
        <v>108</v>
      </c>
      <c r="E1793" t="s">
        <v>26</v>
      </c>
      <c r="F1793" t="s">
        <v>26</v>
      </c>
      <c r="G1793" t="s">
        <v>137</v>
      </c>
      <c r="H1793" t="s">
        <v>229</v>
      </c>
      <c r="I1793" t="s">
        <v>84</v>
      </c>
      <c r="J1793" t="s">
        <v>85</v>
      </c>
      <c r="K1793" t="s">
        <v>83</v>
      </c>
      <c r="L1793" s="25">
        <v>44030</v>
      </c>
      <c r="M1793">
        <v>7</v>
      </c>
      <c r="N1793">
        <v>2020</v>
      </c>
      <c r="O1793" t="s">
        <v>110</v>
      </c>
      <c r="P1793">
        <v>170</v>
      </c>
      <c r="Q1793" s="17">
        <v>44030.307189467596</v>
      </c>
      <c r="R1793" t="s">
        <v>126</v>
      </c>
    </row>
    <row r="1794" spans="1:18" x14ac:dyDescent="0.3">
      <c r="A1794">
        <v>9678770</v>
      </c>
      <c r="B1794" t="s">
        <v>80</v>
      </c>
      <c r="C1794">
        <v>1318410</v>
      </c>
      <c r="D1794" t="s">
        <v>113</v>
      </c>
      <c r="E1794">
        <v>966</v>
      </c>
      <c r="F1794">
        <v>966</v>
      </c>
      <c r="G1794" t="s">
        <v>139</v>
      </c>
      <c r="H1794" t="s">
        <v>257</v>
      </c>
      <c r="I1794" t="s">
        <v>82</v>
      </c>
      <c r="J1794" t="s">
        <v>42</v>
      </c>
      <c r="K1794" t="s">
        <v>87</v>
      </c>
      <c r="L1794" s="25">
        <v>44030</v>
      </c>
      <c r="M1794">
        <v>7</v>
      </c>
      <c r="N1794">
        <v>2020</v>
      </c>
      <c r="O1794" t="s">
        <v>110</v>
      </c>
      <c r="P1794">
        <v>170</v>
      </c>
      <c r="Q1794" s="17">
        <v>44030.430735300928</v>
      </c>
      <c r="R1794" t="s">
        <v>126</v>
      </c>
    </row>
    <row r="1795" spans="1:18" x14ac:dyDescent="0.3">
      <c r="A1795">
        <v>9685856</v>
      </c>
      <c r="B1795" t="s">
        <v>78</v>
      </c>
      <c r="C1795">
        <v>1328689</v>
      </c>
      <c r="D1795" t="s">
        <v>78</v>
      </c>
      <c r="E1795">
        <v>820</v>
      </c>
      <c r="F1795">
        <v>820</v>
      </c>
      <c r="G1795" t="s">
        <v>136</v>
      </c>
      <c r="H1795" t="s">
        <v>250</v>
      </c>
      <c r="I1795" t="s">
        <v>78</v>
      </c>
      <c r="J1795" t="s">
        <v>42</v>
      </c>
      <c r="K1795" t="s">
        <v>83</v>
      </c>
      <c r="L1795" s="25">
        <v>44030</v>
      </c>
      <c r="M1795">
        <v>7</v>
      </c>
      <c r="N1795">
        <v>2020</v>
      </c>
      <c r="O1795" t="s">
        <v>110</v>
      </c>
      <c r="P1795">
        <v>170</v>
      </c>
      <c r="Q1795" s="17">
        <v>44030.424838657411</v>
      </c>
      <c r="R1795" t="s">
        <v>126</v>
      </c>
    </row>
    <row r="1796" spans="1:18" x14ac:dyDescent="0.3">
      <c r="A1796">
        <v>9679982</v>
      </c>
      <c r="B1796" t="s">
        <v>72</v>
      </c>
      <c r="C1796">
        <v>1321954</v>
      </c>
      <c r="D1796" t="s">
        <v>108</v>
      </c>
      <c r="E1796">
        <v>966</v>
      </c>
      <c r="F1796">
        <v>966</v>
      </c>
      <c r="G1796" t="s">
        <v>139</v>
      </c>
      <c r="H1796" t="s">
        <v>229</v>
      </c>
      <c r="I1796" t="s">
        <v>84</v>
      </c>
      <c r="J1796" t="s">
        <v>85</v>
      </c>
      <c r="K1796" t="s">
        <v>87</v>
      </c>
      <c r="L1796" s="25">
        <v>44030</v>
      </c>
      <c r="M1796">
        <v>7</v>
      </c>
      <c r="N1796">
        <v>2020</v>
      </c>
      <c r="O1796" t="s">
        <v>110</v>
      </c>
      <c r="P1796">
        <v>170</v>
      </c>
      <c r="Q1796" s="17">
        <v>44030.444628819445</v>
      </c>
      <c r="R1796" t="s">
        <v>126</v>
      </c>
    </row>
    <row r="1797" spans="1:18" x14ac:dyDescent="0.3">
      <c r="A1797">
        <v>9686720</v>
      </c>
      <c r="B1797" t="s">
        <v>80</v>
      </c>
      <c r="C1797">
        <v>1329757</v>
      </c>
      <c r="D1797" t="s">
        <v>113</v>
      </c>
      <c r="E1797" t="s">
        <v>146</v>
      </c>
      <c r="F1797" t="s">
        <v>17</v>
      </c>
      <c r="G1797" t="s">
        <v>153</v>
      </c>
      <c r="H1797" t="s">
        <v>232</v>
      </c>
      <c r="I1797" t="s">
        <v>84</v>
      </c>
      <c r="J1797" t="s">
        <v>85</v>
      </c>
      <c r="K1797" t="s">
        <v>87</v>
      </c>
      <c r="L1797" s="25">
        <v>44030</v>
      </c>
      <c r="M1797">
        <v>7</v>
      </c>
      <c r="N1797">
        <v>2020</v>
      </c>
      <c r="O1797" t="s">
        <v>110</v>
      </c>
      <c r="P1797">
        <v>170</v>
      </c>
      <c r="Q1797" s="17">
        <v>44030.466062268519</v>
      </c>
      <c r="R1797" t="s">
        <v>126</v>
      </c>
    </row>
    <row r="1798" spans="1:18" x14ac:dyDescent="0.3">
      <c r="A1798">
        <v>9685573</v>
      </c>
      <c r="B1798" t="s">
        <v>72</v>
      </c>
      <c r="C1798">
        <v>1331497</v>
      </c>
      <c r="D1798" t="s">
        <v>108</v>
      </c>
      <c r="E1798" t="s">
        <v>12</v>
      </c>
      <c r="F1798" t="s">
        <v>12</v>
      </c>
      <c r="G1798" t="s">
        <v>135</v>
      </c>
      <c r="H1798" t="s">
        <v>229</v>
      </c>
      <c r="I1798" t="s">
        <v>84</v>
      </c>
      <c r="J1798" t="s">
        <v>85</v>
      </c>
      <c r="K1798" t="s">
        <v>83</v>
      </c>
      <c r="L1798" s="25">
        <v>44030</v>
      </c>
      <c r="M1798">
        <v>7</v>
      </c>
      <c r="N1798">
        <v>2020</v>
      </c>
      <c r="O1798" t="s">
        <v>110</v>
      </c>
      <c r="P1798">
        <v>170</v>
      </c>
      <c r="Q1798" s="17">
        <v>44030.381187847219</v>
      </c>
      <c r="R1798" t="s">
        <v>126</v>
      </c>
    </row>
    <row r="1799" spans="1:18" x14ac:dyDescent="0.3">
      <c r="A1799">
        <v>9685997</v>
      </c>
      <c r="B1799" t="s">
        <v>78</v>
      </c>
      <c r="C1799">
        <v>1329476</v>
      </c>
      <c r="D1799" t="s">
        <v>78</v>
      </c>
      <c r="E1799">
        <v>820</v>
      </c>
      <c r="F1799">
        <v>820</v>
      </c>
      <c r="G1799" t="s">
        <v>136</v>
      </c>
      <c r="H1799" t="s">
        <v>249</v>
      </c>
      <c r="I1799" t="s">
        <v>78</v>
      </c>
      <c r="J1799" t="s">
        <v>42</v>
      </c>
      <c r="K1799" t="s">
        <v>83</v>
      </c>
      <c r="L1799" s="25">
        <v>44030</v>
      </c>
      <c r="M1799">
        <v>7</v>
      </c>
      <c r="N1799">
        <v>2020</v>
      </c>
      <c r="O1799" t="s">
        <v>110</v>
      </c>
      <c r="P1799">
        <v>170</v>
      </c>
      <c r="Q1799" s="17">
        <v>44030.473580092592</v>
      </c>
      <c r="R1799" t="s">
        <v>126</v>
      </c>
    </row>
    <row r="1800" spans="1:18" x14ac:dyDescent="0.3">
      <c r="A1800">
        <v>9684836</v>
      </c>
      <c r="B1800" t="s">
        <v>76</v>
      </c>
      <c r="C1800">
        <v>1329574</v>
      </c>
      <c r="D1800" t="s">
        <v>78</v>
      </c>
      <c r="E1800" t="s">
        <v>12</v>
      </c>
      <c r="F1800" t="s">
        <v>12</v>
      </c>
      <c r="G1800" t="s">
        <v>135</v>
      </c>
      <c r="H1800" t="s">
        <v>275</v>
      </c>
      <c r="I1800" t="s">
        <v>78</v>
      </c>
      <c r="J1800" t="s">
        <v>42</v>
      </c>
      <c r="K1800" t="s">
        <v>83</v>
      </c>
      <c r="L1800" s="25">
        <v>44030</v>
      </c>
      <c r="M1800">
        <v>7</v>
      </c>
      <c r="N1800">
        <v>2020</v>
      </c>
      <c r="O1800" t="s">
        <v>110</v>
      </c>
      <c r="P1800">
        <v>170</v>
      </c>
      <c r="Q1800" s="17">
        <v>44030.457414004632</v>
      </c>
      <c r="R1800" t="s">
        <v>126</v>
      </c>
    </row>
    <row r="1801" spans="1:18" x14ac:dyDescent="0.3">
      <c r="A1801">
        <v>9686161</v>
      </c>
      <c r="B1801" t="s">
        <v>80</v>
      </c>
      <c r="C1801">
        <v>1329625</v>
      </c>
      <c r="D1801" t="s">
        <v>113</v>
      </c>
      <c r="E1801" t="s">
        <v>146</v>
      </c>
      <c r="F1801" t="s">
        <v>17</v>
      </c>
      <c r="G1801" t="s">
        <v>153</v>
      </c>
      <c r="H1801" t="s">
        <v>232</v>
      </c>
      <c r="I1801" t="s">
        <v>84</v>
      </c>
      <c r="J1801" t="s">
        <v>85</v>
      </c>
      <c r="K1801" t="s">
        <v>87</v>
      </c>
      <c r="L1801" s="25">
        <v>44030</v>
      </c>
      <c r="M1801">
        <v>7</v>
      </c>
      <c r="N1801">
        <v>2020</v>
      </c>
      <c r="O1801" t="s">
        <v>110</v>
      </c>
      <c r="P1801">
        <v>170</v>
      </c>
      <c r="Q1801" s="17">
        <v>44030.437340509263</v>
      </c>
      <c r="R1801" t="s">
        <v>126</v>
      </c>
    </row>
    <row r="1802" spans="1:18" x14ac:dyDescent="0.3">
      <c r="A1802">
        <v>9684843</v>
      </c>
      <c r="B1802" t="s">
        <v>72</v>
      </c>
      <c r="C1802">
        <v>1329420</v>
      </c>
      <c r="D1802" t="s">
        <v>108</v>
      </c>
      <c r="E1802" t="s">
        <v>12</v>
      </c>
      <c r="F1802" t="s">
        <v>12</v>
      </c>
      <c r="G1802" t="s">
        <v>135</v>
      </c>
      <c r="H1802" t="s">
        <v>229</v>
      </c>
      <c r="I1802" t="s">
        <v>84</v>
      </c>
      <c r="J1802" t="s">
        <v>85</v>
      </c>
      <c r="K1802" t="s">
        <v>83</v>
      </c>
      <c r="L1802" s="25">
        <v>44030</v>
      </c>
      <c r="M1802">
        <v>7</v>
      </c>
      <c r="N1802">
        <v>2020</v>
      </c>
      <c r="O1802" t="s">
        <v>110</v>
      </c>
      <c r="P1802">
        <v>170</v>
      </c>
      <c r="Q1802" s="17">
        <v>44030.353577083333</v>
      </c>
      <c r="R1802" t="s">
        <v>126</v>
      </c>
    </row>
    <row r="1803" spans="1:18" x14ac:dyDescent="0.3">
      <c r="A1803">
        <v>241457</v>
      </c>
      <c r="B1803" t="s">
        <v>80</v>
      </c>
      <c r="C1803">
        <v>1322659</v>
      </c>
      <c r="D1803" t="s">
        <v>122</v>
      </c>
      <c r="E1803" t="s">
        <v>26</v>
      </c>
      <c r="F1803" t="s">
        <v>26</v>
      </c>
      <c r="G1803" t="s">
        <v>137</v>
      </c>
      <c r="H1803" t="s">
        <v>245</v>
      </c>
      <c r="I1803" t="s">
        <v>82</v>
      </c>
      <c r="J1803" t="s">
        <v>42</v>
      </c>
      <c r="K1803" t="s">
        <v>83</v>
      </c>
      <c r="L1803" s="25">
        <v>44030</v>
      </c>
      <c r="M1803">
        <v>7</v>
      </c>
      <c r="N1803">
        <v>2020</v>
      </c>
      <c r="O1803" t="s">
        <v>110</v>
      </c>
      <c r="P1803">
        <v>170</v>
      </c>
      <c r="Q1803" s="17">
        <v>44029.810480208333</v>
      </c>
      <c r="R1803" t="s">
        <v>126</v>
      </c>
    </row>
    <row r="1804" spans="1:18" x14ac:dyDescent="0.3">
      <c r="A1804">
        <v>9686994</v>
      </c>
      <c r="B1804" t="s">
        <v>80</v>
      </c>
      <c r="C1804">
        <v>1330247</v>
      </c>
      <c r="D1804" t="s">
        <v>113</v>
      </c>
      <c r="E1804" t="s">
        <v>146</v>
      </c>
      <c r="F1804" t="s">
        <v>17</v>
      </c>
      <c r="G1804" t="s">
        <v>153</v>
      </c>
      <c r="H1804" t="s">
        <v>232</v>
      </c>
      <c r="I1804" t="s">
        <v>84</v>
      </c>
      <c r="J1804" t="s">
        <v>85</v>
      </c>
      <c r="K1804" t="s">
        <v>87</v>
      </c>
      <c r="L1804" s="25">
        <v>44030</v>
      </c>
      <c r="M1804">
        <v>7</v>
      </c>
      <c r="N1804">
        <v>2020</v>
      </c>
      <c r="O1804" t="s">
        <v>110</v>
      </c>
      <c r="P1804">
        <v>170</v>
      </c>
      <c r="Q1804" s="17">
        <v>44030.495303124997</v>
      </c>
      <c r="R1804" t="s">
        <v>126</v>
      </c>
    </row>
    <row r="1805" spans="1:18" x14ac:dyDescent="0.3">
      <c r="A1805">
        <v>9680456</v>
      </c>
      <c r="B1805" t="s">
        <v>72</v>
      </c>
      <c r="C1805">
        <v>1331919</v>
      </c>
      <c r="D1805" t="s">
        <v>108</v>
      </c>
      <c r="E1805" t="s">
        <v>26</v>
      </c>
      <c r="F1805" t="s">
        <v>26</v>
      </c>
      <c r="G1805" t="s">
        <v>137</v>
      </c>
      <c r="H1805" t="s">
        <v>229</v>
      </c>
      <c r="I1805" t="s">
        <v>84</v>
      </c>
      <c r="J1805" t="s">
        <v>85</v>
      </c>
      <c r="K1805" t="s">
        <v>83</v>
      </c>
      <c r="L1805" s="25">
        <v>44030</v>
      </c>
      <c r="M1805">
        <v>7</v>
      </c>
      <c r="N1805">
        <v>2020</v>
      </c>
      <c r="O1805" t="s">
        <v>110</v>
      </c>
      <c r="P1805">
        <v>170</v>
      </c>
      <c r="Q1805" s="17">
        <v>44030.382524189816</v>
      </c>
      <c r="R1805" t="s">
        <v>126</v>
      </c>
    </row>
    <row r="1806" spans="1:18" x14ac:dyDescent="0.3">
      <c r="A1806">
        <v>9685867</v>
      </c>
      <c r="B1806" t="s">
        <v>72</v>
      </c>
      <c r="C1806">
        <v>1329554</v>
      </c>
      <c r="D1806" t="s">
        <v>108</v>
      </c>
      <c r="E1806">
        <v>820</v>
      </c>
      <c r="F1806">
        <v>820</v>
      </c>
      <c r="G1806" t="s">
        <v>136</v>
      </c>
      <c r="H1806" t="s">
        <v>270</v>
      </c>
      <c r="I1806" t="s">
        <v>82</v>
      </c>
      <c r="J1806" t="s">
        <v>42</v>
      </c>
      <c r="K1806" t="s">
        <v>83</v>
      </c>
      <c r="L1806" s="25">
        <v>44030</v>
      </c>
      <c r="M1806">
        <v>7</v>
      </c>
      <c r="N1806">
        <v>2020</v>
      </c>
      <c r="O1806" t="s">
        <v>110</v>
      </c>
      <c r="P1806">
        <v>170</v>
      </c>
      <c r="Q1806" s="17">
        <v>44030.476880902781</v>
      </c>
      <c r="R1806" t="s">
        <v>126</v>
      </c>
    </row>
    <row r="1807" spans="1:18" x14ac:dyDescent="0.3">
      <c r="A1807">
        <v>244678</v>
      </c>
      <c r="B1807" t="s">
        <v>72</v>
      </c>
      <c r="C1807">
        <v>1330147</v>
      </c>
      <c r="D1807" t="s">
        <v>108</v>
      </c>
      <c r="E1807" t="s">
        <v>124</v>
      </c>
      <c r="F1807" t="s">
        <v>17</v>
      </c>
      <c r="G1807" t="s">
        <v>125</v>
      </c>
      <c r="H1807" t="s">
        <v>263</v>
      </c>
      <c r="I1807" t="s">
        <v>82</v>
      </c>
      <c r="J1807" t="s">
        <v>42</v>
      </c>
      <c r="K1807" t="s">
        <v>87</v>
      </c>
      <c r="L1807" s="25">
        <v>44030</v>
      </c>
      <c r="M1807">
        <v>7</v>
      </c>
      <c r="N1807">
        <v>2020</v>
      </c>
      <c r="O1807" t="s">
        <v>110</v>
      </c>
      <c r="P1807">
        <v>170</v>
      </c>
      <c r="Q1807" s="17">
        <v>44030.489791435182</v>
      </c>
      <c r="R1807" t="s">
        <v>126</v>
      </c>
    </row>
    <row r="1808" spans="1:18" x14ac:dyDescent="0.3">
      <c r="A1808">
        <v>9686159</v>
      </c>
      <c r="B1808" t="s">
        <v>80</v>
      </c>
      <c r="C1808">
        <v>1329620</v>
      </c>
      <c r="D1808" t="s">
        <v>113</v>
      </c>
      <c r="E1808" t="s">
        <v>146</v>
      </c>
      <c r="F1808" t="s">
        <v>17</v>
      </c>
      <c r="G1808" t="s">
        <v>153</v>
      </c>
      <c r="H1808" t="s">
        <v>232</v>
      </c>
      <c r="I1808" t="s">
        <v>84</v>
      </c>
      <c r="J1808" t="s">
        <v>85</v>
      </c>
      <c r="K1808" t="s">
        <v>87</v>
      </c>
      <c r="L1808" s="25">
        <v>44030</v>
      </c>
      <c r="M1808">
        <v>7</v>
      </c>
      <c r="N1808">
        <v>2020</v>
      </c>
      <c r="O1808" t="s">
        <v>110</v>
      </c>
      <c r="P1808">
        <v>170</v>
      </c>
      <c r="Q1808" s="17">
        <v>44030.437589236113</v>
      </c>
      <c r="R1808" t="s">
        <v>126</v>
      </c>
    </row>
    <row r="1809" spans="1:18" x14ac:dyDescent="0.3">
      <c r="A1809">
        <v>21522546</v>
      </c>
      <c r="B1809" t="s">
        <v>72</v>
      </c>
      <c r="C1809">
        <v>1311163</v>
      </c>
      <c r="D1809" t="s">
        <v>108</v>
      </c>
      <c r="E1809" t="s">
        <v>124</v>
      </c>
      <c r="F1809" t="s">
        <v>17</v>
      </c>
      <c r="G1809" t="s">
        <v>125</v>
      </c>
      <c r="H1809" t="s">
        <v>263</v>
      </c>
      <c r="I1809" t="s">
        <v>82</v>
      </c>
      <c r="J1809" t="s">
        <v>42</v>
      </c>
      <c r="K1809" t="s">
        <v>87</v>
      </c>
      <c r="L1809" s="25">
        <v>44030</v>
      </c>
      <c r="M1809">
        <v>7</v>
      </c>
      <c r="N1809">
        <v>2020</v>
      </c>
      <c r="O1809" t="s">
        <v>110</v>
      </c>
      <c r="P1809">
        <v>170</v>
      </c>
      <c r="Q1809" s="17">
        <v>44030.493611111109</v>
      </c>
      <c r="R1809" t="s">
        <v>126</v>
      </c>
    </row>
    <row r="1810" spans="1:18" x14ac:dyDescent="0.3">
      <c r="A1810">
        <v>9676478</v>
      </c>
      <c r="B1810" t="s">
        <v>72</v>
      </c>
      <c r="C1810">
        <v>1331392</v>
      </c>
      <c r="D1810" t="s">
        <v>108</v>
      </c>
      <c r="E1810" t="s">
        <v>12</v>
      </c>
      <c r="F1810" t="s">
        <v>12</v>
      </c>
      <c r="G1810" t="s">
        <v>135</v>
      </c>
      <c r="H1810" t="s">
        <v>229</v>
      </c>
      <c r="I1810" t="s">
        <v>84</v>
      </c>
      <c r="J1810" t="s">
        <v>85</v>
      </c>
      <c r="K1810" t="s">
        <v>83</v>
      </c>
      <c r="L1810" s="25">
        <v>44030</v>
      </c>
      <c r="M1810">
        <v>7</v>
      </c>
      <c r="N1810">
        <v>2020</v>
      </c>
      <c r="O1810" t="s">
        <v>110</v>
      </c>
      <c r="P1810">
        <v>170</v>
      </c>
      <c r="Q1810" s="17">
        <v>44030.433035995367</v>
      </c>
      <c r="R1810" t="s">
        <v>126</v>
      </c>
    </row>
    <row r="1811" spans="1:18" x14ac:dyDescent="0.3">
      <c r="A1811">
        <v>9685943</v>
      </c>
      <c r="B1811" t="s">
        <v>78</v>
      </c>
      <c r="C1811">
        <v>1328784</v>
      </c>
      <c r="D1811" t="s">
        <v>78</v>
      </c>
      <c r="E1811">
        <v>820</v>
      </c>
      <c r="F1811">
        <v>820</v>
      </c>
      <c r="G1811" t="s">
        <v>136</v>
      </c>
      <c r="H1811" t="s">
        <v>250</v>
      </c>
      <c r="I1811" t="s">
        <v>78</v>
      </c>
      <c r="J1811" t="s">
        <v>42</v>
      </c>
      <c r="K1811" t="s">
        <v>83</v>
      </c>
      <c r="L1811" s="25">
        <v>44030</v>
      </c>
      <c r="M1811">
        <v>7</v>
      </c>
      <c r="N1811">
        <v>2020</v>
      </c>
      <c r="O1811" t="s">
        <v>110</v>
      </c>
      <c r="P1811">
        <v>170</v>
      </c>
      <c r="Q1811" s="17">
        <v>44030.43535983796</v>
      </c>
      <c r="R1811" t="s">
        <v>126</v>
      </c>
    </row>
    <row r="1812" spans="1:18" x14ac:dyDescent="0.3">
      <c r="A1812">
        <v>9685821</v>
      </c>
      <c r="B1812" t="s">
        <v>78</v>
      </c>
      <c r="C1812">
        <v>1328684</v>
      </c>
      <c r="D1812" t="s">
        <v>78</v>
      </c>
      <c r="E1812">
        <v>820</v>
      </c>
      <c r="F1812">
        <v>820</v>
      </c>
      <c r="G1812" t="s">
        <v>136</v>
      </c>
      <c r="H1812" t="s">
        <v>250</v>
      </c>
      <c r="I1812" t="s">
        <v>78</v>
      </c>
      <c r="J1812" t="s">
        <v>42</v>
      </c>
      <c r="K1812" t="s">
        <v>83</v>
      </c>
      <c r="L1812" s="25">
        <v>44030</v>
      </c>
      <c r="M1812">
        <v>7</v>
      </c>
      <c r="N1812">
        <v>2020</v>
      </c>
      <c r="O1812" t="s">
        <v>110</v>
      </c>
      <c r="P1812">
        <v>170</v>
      </c>
      <c r="Q1812" s="17">
        <v>44030.428720833334</v>
      </c>
      <c r="R1812" t="s">
        <v>126</v>
      </c>
    </row>
    <row r="1813" spans="1:18" x14ac:dyDescent="0.3">
      <c r="A1813">
        <v>9681780</v>
      </c>
      <c r="B1813" t="s">
        <v>72</v>
      </c>
      <c r="C1813">
        <v>1327682</v>
      </c>
      <c r="D1813" t="s">
        <v>108</v>
      </c>
      <c r="E1813">
        <v>820</v>
      </c>
      <c r="F1813">
        <v>820</v>
      </c>
      <c r="G1813" t="s">
        <v>136</v>
      </c>
      <c r="H1813" t="s">
        <v>229</v>
      </c>
      <c r="I1813" t="s">
        <v>84</v>
      </c>
      <c r="J1813" t="s">
        <v>85</v>
      </c>
      <c r="K1813" t="s">
        <v>83</v>
      </c>
      <c r="L1813" s="25">
        <v>44030</v>
      </c>
      <c r="M1813">
        <v>7</v>
      </c>
      <c r="N1813">
        <v>2020</v>
      </c>
      <c r="O1813" t="s">
        <v>110</v>
      </c>
      <c r="P1813">
        <v>170</v>
      </c>
      <c r="Q1813" s="17">
        <v>44030.294843055555</v>
      </c>
      <c r="R1813" t="s">
        <v>126</v>
      </c>
    </row>
    <row r="1814" spans="1:18" x14ac:dyDescent="0.3">
      <c r="A1814">
        <v>9685972</v>
      </c>
      <c r="B1814" t="s">
        <v>78</v>
      </c>
      <c r="C1814">
        <v>1329354</v>
      </c>
      <c r="D1814" t="s">
        <v>78</v>
      </c>
      <c r="E1814">
        <v>820</v>
      </c>
      <c r="F1814">
        <v>820</v>
      </c>
      <c r="G1814" t="s">
        <v>136</v>
      </c>
      <c r="H1814" t="s">
        <v>250</v>
      </c>
      <c r="I1814" t="s">
        <v>78</v>
      </c>
      <c r="J1814" t="s">
        <v>42</v>
      </c>
      <c r="K1814" t="s">
        <v>83</v>
      </c>
      <c r="L1814" s="25">
        <v>44030</v>
      </c>
      <c r="M1814">
        <v>7</v>
      </c>
      <c r="N1814">
        <v>2020</v>
      </c>
      <c r="O1814" t="s">
        <v>110</v>
      </c>
      <c r="P1814">
        <v>170</v>
      </c>
      <c r="Q1814" s="17">
        <v>44030.463361805552</v>
      </c>
      <c r="R1814" t="s">
        <v>126</v>
      </c>
    </row>
    <row r="1815" spans="1:18" x14ac:dyDescent="0.3">
      <c r="A1815">
        <v>9685665</v>
      </c>
      <c r="B1815" t="s">
        <v>72</v>
      </c>
      <c r="C1815">
        <v>1329454</v>
      </c>
      <c r="D1815" t="s">
        <v>108</v>
      </c>
      <c r="E1815">
        <v>820</v>
      </c>
      <c r="F1815">
        <v>820</v>
      </c>
      <c r="G1815" t="s">
        <v>136</v>
      </c>
      <c r="H1815" t="s">
        <v>262</v>
      </c>
      <c r="I1815" t="s">
        <v>82</v>
      </c>
      <c r="J1815" t="s">
        <v>42</v>
      </c>
      <c r="K1815" t="s">
        <v>83</v>
      </c>
      <c r="L1815" s="25">
        <v>44030</v>
      </c>
      <c r="M1815">
        <v>7</v>
      </c>
      <c r="N1815">
        <v>2020</v>
      </c>
      <c r="O1815" t="s">
        <v>110</v>
      </c>
      <c r="P1815">
        <v>170</v>
      </c>
      <c r="Q1815" s="17">
        <v>44030.468770717591</v>
      </c>
      <c r="R1815" t="s">
        <v>126</v>
      </c>
    </row>
    <row r="1816" spans="1:18" x14ac:dyDescent="0.3">
      <c r="A1816">
        <v>9682523</v>
      </c>
      <c r="B1816" t="s">
        <v>72</v>
      </c>
      <c r="C1816">
        <v>1331962</v>
      </c>
      <c r="D1816" t="s">
        <v>108</v>
      </c>
      <c r="E1816" t="s">
        <v>26</v>
      </c>
      <c r="F1816" t="s">
        <v>26</v>
      </c>
      <c r="G1816" t="s">
        <v>137</v>
      </c>
      <c r="H1816" t="s">
        <v>229</v>
      </c>
      <c r="I1816" t="s">
        <v>84</v>
      </c>
      <c r="J1816" t="s">
        <v>85</v>
      </c>
      <c r="K1816" t="s">
        <v>83</v>
      </c>
      <c r="L1816" s="25">
        <v>44030</v>
      </c>
      <c r="M1816">
        <v>7</v>
      </c>
      <c r="N1816">
        <v>2020</v>
      </c>
      <c r="O1816" t="s">
        <v>110</v>
      </c>
      <c r="P1816">
        <v>170</v>
      </c>
      <c r="Q1816" s="17">
        <v>44030.381414583331</v>
      </c>
      <c r="R1816" t="s">
        <v>126</v>
      </c>
    </row>
    <row r="1817" spans="1:18" x14ac:dyDescent="0.3">
      <c r="A1817">
        <v>9678378</v>
      </c>
      <c r="B1817" t="s">
        <v>78</v>
      </c>
      <c r="C1817">
        <v>1317486</v>
      </c>
      <c r="D1817" t="s">
        <v>78</v>
      </c>
      <c r="E1817">
        <v>966</v>
      </c>
      <c r="F1817">
        <v>966</v>
      </c>
      <c r="G1817" t="s">
        <v>139</v>
      </c>
      <c r="H1817" t="s">
        <v>105</v>
      </c>
      <c r="I1817" t="s">
        <v>78</v>
      </c>
      <c r="J1817" t="s">
        <v>42</v>
      </c>
      <c r="K1817" t="s">
        <v>87</v>
      </c>
      <c r="L1817" s="25">
        <v>44030</v>
      </c>
      <c r="M1817">
        <v>7</v>
      </c>
      <c r="N1817">
        <v>2020</v>
      </c>
      <c r="O1817" t="s">
        <v>110</v>
      </c>
      <c r="P1817">
        <v>170</v>
      </c>
      <c r="Q1817" s="17">
        <v>44030.423651273151</v>
      </c>
      <c r="R1817" t="s">
        <v>126</v>
      </c>
    </row>
    <row r="1818" spans="1:18" x14ac:dyDescent="0.3">
      <c r="A1818">
        <v>9687234</v>
      </c>
      <c r="B1818" t="s">
        <v>78</v>
      </c>
      <c r="C1818">
        <v>1330213</v>
      </c>
      <c r="D1818" t="s">
        <v>78</v>
      </c>
      <c r="E1818" t="s">
        <v>146</v>
      </c>
      <c r="F1818" t="s">
        <v>17</v>
      </c>
      <c r="G1818" t="s">
        <v>153</v>
      </c>
      <c r="H1818" t="s">
        <v>134</v>
      </c>
      <c r="I1818" t="s">
        <v>78</v>
      </c>
      <c r="J1818" t="s">
        <v>42</v>
      </c>
      <c r="K1818" t="s">
        <v>87</v>
      </c>
      <c r="L1818" s="25">
        <v>44030</v>
      </c>
      <c r="M1818">
        <v>7</v>
      </c>
      <c r="N1818">
        <v>2020</v>
      </c>
      <c r="O1818" t="s">
        <v>110</v>
      </c>
      <c r="P1818">
        <v>170</v>
      </c>
      <c r="Q1818" s="17">
        <v>44030.491128587964</v>
      </c>
      <c r="R1818" t="s">
        <v>126</v>
      </c>
    </row>
    <row r="1819" spans="1:18" x14ac:dyDescent="0.3">
      <c r="A1819">
        <v>9686883</v>
      </c>
      <c r="B1819" t="s">
        <v>80</v>
      </c>
      <c r="C1819">
        <v>1329774</v>
      </c>
      <c r="D1819" t="s">
        <v>113</v>
      </c>
      <c r="E1819" t="s">
        <v>146</v>
      </c>
      <c r="F1819" t="s">
        <v>17</v>
      </c>
      <c r="G1819" t="s">
        <v>153</v>
      </c>
      <c r="H1819" t="s">
        <v>232</v>
      </c>
      <c r="I1819" t="s">
        <v>84</v>
      </c>
      <c r="J1819" t="s">
        <v>85</v>
      </c>
      <c r="K1819" t="s">
        <v>87</v>
      </c>
      <c r="L1819" s="25">
        <v>44030</v>
      </c>
      <c r="M1819">
        <v>7</v>
      </c>
      <c r="N1819">
        <v>2020</v>
      </c>
      <c r="O1819" t="s">
        <v>110</v>
      </c>
      <c r="P1819">
        <v>170</v>
      </c>
      <c r="Q1819" s="17">
        <v>44030.479235300925</v>
      </c>
      <c r="R1819" t="s">
        <v>126</v>
      </c>
    </row>
    <row r="1820" spans="1:18" x14ac:dyDescent="0.3">
      <c r="A1820">
        <v>9685779</v>
      </c>
      <c r="B1820" t="s">
        <v>78</v>
      </c>
      <c r="C1820">
        <v>1329374</v>
      </c>
      <c r="D1820" t="s">
        <v>78</v>
      </c>
      <c r="E1820">
        <v>820</v>
      </c>
      <c r="F1820">
        <v>820</v>
      </c>
      <c r="G1820" t="s">
        <v>136</v>
      </c>
      <c r="H1820" t="s">
        <v>249</v>
      </c>
      <c r="I1820" t="s">
        <v>78</v>
      </c>
      <c r="J1820" t="s">
        <v>42</v>
      </c>
      <c r="K1820" t="s">
        <v>83</v>
      </c>
      <c r="L1820" s="25">
        <v>44030</v>
      </c>
      <c r="M1820">
        <v>7</v>
      </c>
      <c r="N1820">
        <v>2020</v>
      </c>
      <c r="O1820" t="s">
        <v>110</v>
      </c>
      <c r="P1820">
        <v>170</v>
      </c>
      <c r="Q1820" s="17">
        <v>44030.466515740743</v>
      </c>
      <c r="R1820" t="s">
        <v>126</v>
      </c>
    </row>
    <row r="1821" spans="1:18" x14ac:dyDescent="0.3">
      <c r="A1821">
        <v>9687243</v>
      </c>
      <c r="B1821" t="s">
        <v>78</v>
      </c>
      <c r="C1821">
        <v>1330178</v>
      </c>
      <c r="D1821" t="s">
        <v>78</v>
      </c>
      <c r="E1821" t="s">
        <v>142</v>
      </c>
      <c r="F1821" t="s">
        <v>17</v>
      </c>
      <c r="G1821" t="s">
        <v>143</v>
      </c>
      <c r="H1821" t="s">
        <v>134</v>
      </c>
      <c r="I1821" t="s">
        <v>78</v>
      </c>
      <c r="J1821" t="s">
        <v>42</v>
      </c>
      <c r="K1821" t="s">
        <v>87</v>
      </c>
      <c r="L1821" s="25">
        <v>44030</v>
      </c>
      <c r="M1821">
        <v>7</v>
      </c>
      <c r="N1821">
        <v>2020</v>
      </c>
      <c r="O1821" t="s">
        <v>110</v>
      </c>
      <c r="P1821">
        <v>170</v>
      </c>
      <c r="Q1821" s="17">
        <v>44030.489618055559</v>
      </c>
      <c r="R1821" t="s">
        <v>126</v>
      </c>
    </row>
    <row r="1822" spans="1:18" x14ac:dyDescent="0.3">
      <c r="A1822">
        <v>9682587</v>
      </c>
      <c r="B1822" t="s">
        <v>72</v>
      </c>
      <c r="C1822">
        <v>1325630</v>
      </c>
      <c r="D1822" t="s">
        <v>108</v>
      </c>
      <c r="E1822">
        <v>820</v>
      </c>
      <c r="F1822">
        <v>820</v>
      </c>
      <c r="G1822" t="s">
        <v>136</v>
      </c>
      <c r="H1822" t="s">
        <v>229</v>
      </c>
      <c r="I1822" t="s">
        <v>84</v>
      </c>
      <c r="J1822" t="s">
        <v>85</v>
      </c>
      <c r="K1822" t="s">
        <v>83</v>
      </c>
      <c r="L1822" s="25">
        <v>44030</v>
      </c>
      <c r="M1822">
        <v>7</v>
      </c>
      <c r="N1822">
        <v>2020</v>
      </c>
      <c r="O1822" t="s">
        <v>110</v>
      </c>
      <c r="P1822">
        <v>170</v>
      </c>
      <c r="Q1822" s="17">
        <v>44030.24960787037</v>
      </c>
      <c r="R1822" t="s">
        <v>126</v>
      </c>
    </row>
    <row r="1823" spans="1:18" x14ac:dyDescent="0.3">
      <c r="A1823">
        <v>9685691</v>
      </c>
      <c r="B1823" t="s">
        <v>78</v>
      </c>
      <c r="C1823">
        <v>1329357</v>
      </c>
      <c r="D1823" t="s">
        <v>78</v>
      </c>
      <c r="E1823">
        <v>820</v>
      </c>
      <c r="F1823">
        <v>820</v>
      </c>
      <c r="G1823" t="s">
        <v>136</v>
      </c>
      <c r="H1823" t="s">
        <v>250</v>
      </c>
      <c r="I1823" t="s">
        <v>78</v>
      </c>
      <c r="J1823" t="s">
        <v>42</v>
      </c>
      <c r="K1823" t="s">
        <v>83</v>
      </c>
      <c r="L1823" s="25">
        <v>44030</v>
      </c>
      <c r="M1823">
        <v>7</v>
      </c>
      <c r="N1823">
        <v>2020</v>
      </c>
      <c r="O1823" t="s">
        <v>110</v>
      </c>
      <c r="P1823">
        <v>170</v>
      </c>
      <c r="Q1823" s="17">
        <v>44030.46102638889</v>
      </c>
      <c r="R1823" t="s">
        <v>126</v>
      </c>
    </row>
    <row r="1824" spans="1:18" x14ac:dyDescent="0.3">
      <c r="A1824">
        <v>245026</v>
      </c>
      <c r="B1824" t="s">
        <v>78</v>
      </c>
      <c r="C1824">
        <v>1330144</v>
      </c>
      <c r="D1824" t="s">
        <v>78</v>
      </c>
      <c r="E1824" t="s">
        <v>124</v>
      </c>
      <c r="F1824" t="s">
        <v>17</v>
      </c>
      <c r="G1824" t="s">
        <v>125</v>
      </c>
      <c r="H1824" t="s">
        <v>283</v>
      </c>
      <c r="I1824" t="s">
        <v>78</v>
      </c>
      <c r="J1824" t="s">
        <v>42</v>
      </c>
      <c r="K1824" t="s">
        <v>87</v>
      </c>
      <c r="L1824" s="25">
        <v>44030</v>
      </c>
      <c r="M1824">
        <v>7</v>
      </c>
      <c r="N1824">
        <v>2020</v>
      </c>
      <c r="O1824" t="s">
        <v>110</v>
      </c>
      <c r="P1824">
        <v>170</v>
      </c>
      <c r="Q1824" s="17">
        <v>44030.491946296293</v>
      </c>
      <c r="R1824" t="s">
        <v>126</v>
      </c>
    </row>
    <row r="1825" spans="1:18" x14ac:dyDescent="0.3">
      <c r="A1825">
        <v>9675597</v>
      </c>
      <c r="B1825" t="s">
        <v>78</v>
      </c>
      <c r="C1825">
        <v>1318142</v>
      </c>
      <c r="D1825" t="s">
        <v>78</v>
      </c>
      <c r="E1825" t="s">
        <v>124</v>
      </c>
      <c r="F1825" t="s">
        <v>17</v>
      </c>
      <c r="G1825" t="s">
        <v>125</v>
      </c>
      <c r="H1825" t="s">
        <v>134</v>
      </c>
      <c r="I1825" t="s">
        <v>78</v>
      </c>
      <c r="J1825" t="s">
        <v>42</v>
      </c>
      <c r="K1825" t="s">
        <v>87</v>
      </c>
      <c r="L1825" s="25">
        <v>44030</v>
      </c>
      <c r="M1825">
        <v>7</v>
      </c>
      <c r="N1825">
        <v>2020</v>
      </c>
      <c r="O1825" t="s">
        <v>110</v>
      </c>
      <c r="P1825">
        <v>170</v>
      </c>
      <c r="Q1825" s="17">
        <v>44030.485091550923</v>
      </c>
      <c r="R1825" t="s">
        <v>126</v>
      </c>
    </row>
    <row r="1826" spans="1:18" x14ac:dyDescent="0.3">
      <c r="A1826">
        <v>9685748</v>
      </c>
      <c r="B1826" t="s">
        <v>78</v>
      </c>
      <c r="C1826">
        <v>1329506</v>
      </c>
      <c r="D1826" t="s">
        <v>78</v>
      </c>
      <c r="E1826">
        <v>820</v>
      </c>
      <c r="F1826">
        <v>820</v>
      </c>
      <c r="G1826" t="s">
        <v>136</v>
      </c>
      <c r="H1826" t="s">
        <v>249</v>
      </c>
      <c r="I1826" t="s">
        <v>78</v>
      </c>
      <c r="J1826" t="s">
        <v>42</v>
      </c>
      <c r="K1826" t="s">
        <v>83</v>
      </c>
      <c r="L1826" s="25">
        <v>44030</v>
      </c>
      <c r="M1826">
        <v>7</v>
      </c>
      <c r="N1826">
        <v>2020</v>
      </c>
      <c r="O1826" t="s">
        <v>110</v>
      </c>
      <c r="P1826">
        <v>170</v>
      </c>
      <c r="Q1826" s="17">
        <v>44030.473884375002</v>
      </c>
      <c r="R1826" t="s">
        <v>126</v>
      </c>
    </row>
    <row r="1827" spans="1:18" x14ac:dyDescent="0.3">
      <c r="A1827">
        <v>21527964</v>
      </c>
      <c r="B1827" t="s">
        <v>78</v>
      </c>
      <c r="C1827">
        <v>1324694</v>
      </c>
      <c r="D1827" t="s">
        <v>78</v>
      </c>
      <c r="E1827" t="s">
        <v>140</v>
      </c>
      <c r="F1827" t="s">
        <v>17</v>
      </c>
      <c r="G1827" t="s">
        <v>141</v>
      </c>
      <c r="H1827" t="s">
        <v>134</v>
      </c>
      <c r="I1827" t="s">
        <v>78</v>
      </c>
      <c r="J1827" t="s">
        <v>42</v>
      </c>
      <c r="K1827" t="s">
        <v>87</v>
      </c>
      <c r="L1827" s="25">
        <v>44030</v>
      </c>
      <c r="M1827">
        <v>7</v>
      </c>
      <c r="N1827">
        <v>2020</v>
      </c>
      <c r="O1827" t="s">
        <v>110</v>
      </c>
      <c r="P1827">
        <v>170</v>
      </c>
      <c r="Q1827" s="17">
        <v>44030.489350231481</v>
      </c>
      <c r="R1827" t="s">
        <v>126</v>
      </c>
    </row>
    <row r="1828" spans="1:18" x14ac:dyDescent="0.3">
      <c r="A1828">
        <v>9685964</v>
      </c>
      <c r="B1828" t="s">
        <v>78</v>
      </c>
      <c r="C1828">
        <v>1329242</v>
      </c>
      <c r="D1828" t="s">
        <v>78</v>
      </c>
      <c r="E1828">
        <v>820</v>
      </c>
      <c r="F1828">
        <v>820</v>
      </c>
      <c r="G1828" t="s">
        <v>136</v>
      </c>
      <c r="H1828" t="s">
        <v>249</v>
      </c>
      <c r="I1828" t="s">
        <v>78</v>
      </c>
      <c r="J1828" t="s">
        <v>42</v>
      </c>
      <c r="K1828" t="s">
        <v>83</v>
      </c>
      <c r="L1828" s="25">
        <v>44030</v>
      </c>
      <c r="M1828">
        <v>7</v>
      </c>
      <c r="N1828">
        <v>2020</v>
      </c>
      <c r="O1828" t="s">
        <v>110</v>
      </c>
      <c r="P1828">
        <v>170</v>
      </c>
      <c r="Q1828" s="17">
        <v>44030.458227430558</v>
      </c>
      <c r="R1828" t="s">
        <v>126</v>
      </c>
    </row>
    <row r="1829" spans="1:18" x14ac:dyDescent="0.3">
      <c r="A1829">
        <v>9686089</v>
      </c>
      <c r="B1829" t="s">
        <v>72</v>
      </c>
      <c r="C1829">
        <v>1329961</v>
      </c>
      <c r="D1829" t="s">
        <v>108</v>
      </c>
      <c r="E1829">
        <v>4138</v>
      </c>
      <c r="F1829" t="s">
        <v>17</v>
      </c>
      <c r="G1829" t="s">
        <v>129</v>
      </c>
      <c r="H1829" t="s">
        <v>263</v>
      </c>
      <c r="I1829" t="s">
        <v>82</v>
      </c>
      <c r="J1829" t="s">
        <v>42</v>
      </c>
      <c r="K1829" t="s">
        <v>87</v>
      </c>
      <c r="L1829" s="25">
        <v>44030</v>
      </c>
      <c r="M1829">
        <v>7</v>
      </c>
      <c r="N1829">
        <v>2020</v>
      </c>
      <c r="O1829" t="s">
        <v>110</v>
      </c>
      <c r="P1829">
        <v>170</v>
      </c>
      <c r="Q1829" s="17">
        <v>44030.485857060186</v>
      </c>
      <c r="R1829" t="s">
        <v>126</v>
      </c>
    </row>
    <row r="1830" spans="1:18" x14ac:dyDescent="0.3">
      <c r="A1830">
        <v>9686741</v>
      </c>
      <c r="B1830" t="s">
        <v>78</v>
      </c>
      <c r="C1830">
        <v>1330161</v>
      </c>
      <c r="D1830" t="s">
        <v>78</v>
      </c>
      <c r="E1830">
        <v>4142</v>
      </c>
      <c r="F1830" t="s">
        <v>17</v>
      </c>
      <c r="G1830" t="s">
        <v>133</v>
      </c>
      <c r="H1830" t="s">
        <v>134</v>
      </c>
      <c r="I1830" t="s">
        <v>78</v>
      </c>
      <c r="J1830" t="s">
        <v>42</v>
      </c>
      <c r="K1830" t="s">
        <v>87</v>
      </c>
      <c r="L1830" s="25">
        <v>44030</v>
      </c>
      <c r="M1830">
        <v>7</v>
      </c>
      <c r="N1830">
        <v>2020</v>
      </c>
      <c r="O1830" t="s">
        <v>110</v>
      </c>
      <c r="P1830">
        <v>170</v>
      </c>
      <c r="Q1830" s="17">
        <v>44030.48826111111</v>
      </c>
      <c r="R1830" t="s">
        <v>126</v>
      </c>
    </row>
    <row r="1831" spans="1:18" x14ac:dyDescent="0.3">
      <c r="A1831">
        <v>21526119</v>
      </c>
      <c r="B1831" t="s">
        <v>78</v>
      </c>
      <c r="C1831">
        <v>1323443</v>
      </c>
      <c r="D1831" t="s">
        <v>78</v>
      </c>
      <c r="E1831">
        <v>966</v>
      </c>
      <c r="F1831">
        <v>966</v>
      </c>
      <c r="G1831" t="s">
        <v>139</v>
      </c>
      <c r="H1831" t="s">
        <v>105</v>
      </c>
      <c r="I1831" t="s">
        <v>78</v>
      </c>
      <c r="J1831" t="s">
        <v>42</v>
      </c>
      <c r="K1831" t="s">
        <v>87</v>
      </c>
      <c r="L1831" s="25">
        <v>44030</v>
      </c>
      <c r="M1831">
        <v>7</v>
      </c>
      <c r="N1831">
        <v>2020</v>
      </c>
      <c r="O1831" t="s">
        <v>110</v>
      </c>
      <c r="P1831">
        <v>170</v>
      </c>
      <c r="Q1831" s="17">
        <v>44030.463837037038</v>
      </c>
      <c r="R1831" t="s">
        <v>126</v>
      </c>
    </row>
    <row r="1832" spans="1:18" x14ac:dyDescent="0.3">
      <c r="A1832">
        <v>9685605</v>
      </c>
      <c r="B1832" t="s">
        <v>80</v>
      </c>
      <c r="C1832">
        <v>1329540</v>
      </c>
      <c r="D1832" t="s">
        <v>113</v>
      </c>
      <c r="E1832" t="s">
        <v>146</v>
      </c>
      <c r="F1832" t="s">
        <v>17</v>
      </c>
      <c r="G1832" t="s">
        <v>153</v>
      </c>
      <c r="H1832" t="s">
        <v>232</v>
      </c>
      <c r="I1832" t="s">
        <v>84</v>
      </c>
      <c r="J1832" t="s">
        <v>85</v>
      </c>
      <c r="K1832" t="s">
        <v>87</v>
      </c>
      <c r="L1832" s="25">
        <v>44030</v>
      </c>
      <c r="M1832">
        <v>7</v>
      </c>
      <c r="N1832">
        <v>2020</v>
      </c>
      <c r="O1832" t="s">
        <v>110</v>
      </c>
      <c r="P1832">
        <v>170</v>
      </c>
      <c r="Q1832" s="17">
        <v>44030.428752893517</v>
      </c>
      <c r="R1832" t="s">
        <v>126</v>
      </c>
    </row>
    <row r="1833" spans="1:18" x14ac:dyDescent="0.3">
      <c r="A1833">
        <v>9685926</v>
      </c>
      <c r="B1833" t="s">
        <v>72</v>
      </c>
      <c r="C1833">
        <v>1329557</v>
      </c>
      <c r="D1833" t="s">
        <v>108</v>
      </c>
      <c r="E1833">
        <v>820</v>
      </c>
      <c r="F1833">
        <v>820</v>
      </c>
      <c r="G1833" t="s">
        <v>136</v>
      </c>
      <c r="H1833" t="s">
        <v>270</v>
      </c>
      <c r="I1833" t="s">
        <v>82</v>
      </c>
      <c r="J1833" t="s">
        <v>42</v>
      </c>
      <c r="K1833" t="s">
        <v>83</v>
      </c>
      <c r="L1833" s="25">
        <v>44030</v>
      </c>
      <c r="M1833">
        <v>7</v>
      </c>
      <c r="N1833">
        <v>2020</v>
      </c>
      <c r="O1833" t="s">
        <v>110</v>
      </c>
      <c r="P1833">
        <v>170</v>
      </c>
      <c r="Q1833" s="17">
        <v>44030.477028009256</v>
      </c>
      <c r="R1833" t="s">
        <v>126</v>
      </c>
    </row>
    <row r="1834" spans="1:18" x14ac:dyDescent="0.3">
      <c r="A1834">
        <v>9680823</v>
      </c>
      <c r="B1834" t="s">
        <v>72</v>
      </c>
      <c r="C1834">
        <v>1323460</v>
      </c>
      <c r="D1834" t="s">
        <v>108</v>
      </c>
      <c r="E1834">
        <v>966</v>
      </c>
      <c r="F1834">
        <v>966</v>
      </c>
      <c r="G1834" t="s">
        <v>139</v>
      </c>
      <c r="H1834" t="s">
        <v>229</v>
      </c>
      <c r="I1834" t="s">
        <v>84</v>
      </c>
      <c r="J1834" t="s">
        <v>85</v>
      </c>
      <c r="K1834" t="s">
        <v>87</v>
      </c>
      <c r="L1834" s="25">
        <v>44030</v>
      </c>
      <c r="M1834">
        <v>7</v>
      </c>
      <c r="N1834">
        <v>2020</v>
      </c>
      <c r="O1834" t="s">
        <v>110</v>
      </c>
      <c r="P1834">
        <v>170</v>
      </c>
      <c r="Q1834" s="17">
        <v>44030.466032638891</v>
      </c>
      <c r="R1834" t="s">
        <v>126</v>
      </c>
    </row>
    <row r="1835" spans="1:18" x14ac:dyDescent="0.3">
      <c r="A1835">
        <v>241848</v>
      </c>
      <c r="B1835" t="s">
        <v>72</v>
      </c>
      <c r="C1835">
        <v>1321771</v>
      </c>
      <c r="D1835" t="s">
        <v>108</v>
      </c>
      <c r="E1835" t="s">
        <v>26</v>
      </c>
      <c r="F1835" t="s">
        <v>26</v>
      </c>
      <c r="G1835" t="s">
        <v>137</v>
      </c>
      <c r="H1835" t="s">
        <v>229</v>
      </c>
      <c r="I1835" t="s">
        <v>84</v>
      </c>
      <c r="J1835" t="s">
        <v>85</v>
      </c>
      <c r="K1835" t="s">
        <v>83</v>
      </c>
      <c r="L1835" s="25">
        <v>44030</v>
      </c>
      <c r="M1835">
        <v>7</v>
      </c>
      <c r="N1835">
        <v>2020</v>
      </c>
      <c r="O1835" t="s">
        <v>110</v>
      </c>
      <c r="P1835">
        <v>170</v>
      </c>
      <c r="Q1835" s="17">
        <v>44030.468657754631</v>
      </c>
      <c r="R1835" t="s">
        <v>126</v>
      </c>
    </row>
    <row r="1836" spans="1:18" x14ac:dyDescent="0.3">
      <c r="A1836">
        <v>9685850</v>
      </c>
      <c r="B1836" t="s">
        <v>78</v>
      </c>
      <c r="C1836">
        <v>1329025</v>
      </c>
      <c r="D1836" t="s">
        <v>78</v>
      </c>
      <c r="E1836">
        <v>820</v>
      </c>
      <c r="F1836">
        <v>820</v>
      </c>
      <c r="G1836" t="s">
        <v>136</v>
      </c>
      <c r="H1836" t="s">
        <v>250</v>
      </c>
      <c r="I1836" t="s">
        <v>78</v>
      </c>
      <c r="J1836" t="s">
        <v>42</v>
      </c>
      <c r="K1836" t="s">
        <v>83</v>
      </c>
      <c r="L1836" s="25">
        <v>44030</v>
      </c>
      <c r="M1836">
        <v>7</v>
      </c>
      <c r="N1836">
        <v>2020</v>
      </c>
      <c r="O1836" t="s">
        <v>110</v>
      </c>
      <c r="P1836">
        <v>170</v>
      </c>
      <c r="Q1836" s="17">
        <v>44030.448432754631</v>
      </c>
      <c r="R1836" t="s">
        <v>126</v>
      </c>
    </row>
    <row r="1837" spans="1:18" x14ac:dyDescent="0.3">
      <c r="A1837">
        <v>9685603</v>
      </c>
      <c r="B1837" t="s">
        <v>80</v>
      </c>
      <c r="C1837">
        <v>1329523</v>
      </c>
      <c r="D1837" t="s">
        <v>113</v>
      </c>
      <c r="E1837" t="s">
        <v>146</v>
      </c>
      <c r="F1837" t="s">
        <v>17</v>
      </c>
      <c r="G1837" t="s">
        <v>153</v>
      </c>
      <c r="H1837" t="s">
        <v>232</v>
      </c>
      <c r="I1837" t="s">
        <v>84</v>
      </c>
      <c r="J1837" t="s">
        <v>85</v>
      </c>
      <c r="K1837" t="s">
        <v>87</v>
      </c>
      <c r="L1837" s="25">
        <v>44030</v>
      </c>
      <c r="M1837">
        <v>7</v>
      </c>
      <c r="N1837">
        <v>2020</v>
      </c>
      <c r="O1837" t="s">
        <v>110</v>
      </c>
      <c r="P1837">
        <v>170</v>
      </c>
      <c r="Q1837" s="17">
        <v>44030.427630439815</v>
      </c>
      <c r="R1837" t="s">
        <v>126</v>
      </c>
    </row>
    <row r="1838" spans="1:18" x14ac:dyDescent="0.3">
      <c r="A1838">
        <v>9689223</v>
      </c>
      <c r="B1838" t="s">
        <v>78</v>
      </c>
      <c r="C1838">
        <v>1331394</v>
      </c>
      <c r="D1838" t="s">
        <v>78</v>
      </c>
      <c r="E1838" t="s">
        <v>57</v>
      </c>
      <c r="F1838" t="s">
        <v>57</v>
      </c>
      <c r="G1838" t="s">
        <v>109</v>
      </c>
      <c r="H1838" t="s">
        <v>105</v>
      </c>
      <c r="I1838" t="s">
        <v>78</v>
      </c>
      <c r="J1838" t="s">
        <v>42</v>
      </c>
      <c r="K1838" t="s">
        <v>87</v>
      </c>
      <c r="L1838" s="25">
        <v>44030</v>
      </c>
      <c r="M1838">
        <v>7</v>
      </c>
      <c r="N1838">
        <v>2020</v>
      </c>
      <c r="O1838" t="s">
        <v>110</v>
      </c>
      <c r="P1838">
        <v>170</v>
      </c>
      <c r="Q1838" s="17">
        <v>44030.496793402781</v>
      </c>
      <c r="R1838" t="s">
        <v>115</v>
      </c>
    </row>
    <row r="1839" spans="1:18" x14ac:dyDescent="0.3">
      <c r="A1839">
        <v>9689300</v>
      </c>
      <c r="B1839" t="s">
        <v>80</v>
      </c>
      <c r="C1839">
        <v>1331494</v>
      </c>
      <c r="D1839" t="s">
        <v>122</v>
      </c>
      <c r="E1839" t="s">
        <v>57</v>
      </c>
      <c r="F1839" t="s">
        <v>57</v>
      </c>
      <c r="G1839" t="s">
        <v>109</v>
      </c>
      <c r="H1839" t="s">
        <v>228</v>
      </c>
      <c r="I1839" t="s">
        <v>84</v>
      </c>
      <c r="J1839" t="s">
        <v>85</v>
      </c>
      <c r="K1839" t="s">
        <v>87</v>
      </c>
      <c r="L1839" s="25">
        <v>44030</v>
      </c>
      <c r="M1839">
        <v>7</v>
      </c>
      <c r="N1839">
        <v>2020</v>
      </c>
      <c r="O1839" t="s">
        <v>110</v>
      </c>
      <c r="P1839">
        <v>170</v>
      </c>
      <c r="Q1839" s="17">
        <v>44030.283726620371</v>
      </c>
      <c r="R1839" t="s">
        <v>111</v>
      </c>
    </row>
    <row r="1840" spans="1:18" x14ac:dyDescent="0.3">
      <c r="A1840">
        <v>9688047</v>
      </c>
      <c r="B1840" t="s">
        <v>78</v>
      </c>
      <c r="C1840">
        <v>1330915</v>
      </c>
      <c r="D1840" t="s">
        <v>78</v>
      </c>
      <c r="E1840">
        <v>845</v>
      </c>
      <c r="F1840">
        <v>845</v>
      </c>
      <c r="G1840" t="s">
        <v>130</v>
      </c>
      <c r="H1840" t="s">
        <v>105</v>
      </c>
      <c r="I1840" t="s">
        <v>78</v>
      </c>
      <c r="J1840" t="s">
        <v>42</v>
      </c>
      <c r="K1840" t="s">
        <v>87</v>
      </c>
      <c r="L1840" s="25">
        <v>44030</v>
      </c>
      <c r="M1840">
        <v>7</v>
      </c>
      <c r="N1840">
        <v>2020</v>
      </c>
      <c r="O1840" t="s">
        <v>110</v>
      </c>
      <c r="P1840">
        <v>170</v>
      </c>
      <c r="Q1840" s="17">
        <v>44030.423885879631</v>
      </c>
      <c r="R1840" t="s">
        <v>126</v>
      </c>
    </row>
    <row r="1841" spans="1:18" x14ac:dyDescent="0.3">
      <c r="A1841">
        <v>9686276</v>
      </c>
      <c r="B1841" t="s">
        <v>80</v>
      </c>
      <c r="C1841">
        <v>1329681</v>
      </c>
      <c r="D1841" t="s">
        <v>113</v>
      </c>
      <c r="E1841" t="s">
        <v>146</v>
      </c>
      <c r="F1841" t="s">
        <v>17</v>
      </c>
      <c r="G1841" t="s">
        <v>153</v>
      </c>
      <c r="H1841" t="s">
        <v>232</v>
      </c>
      <c r="I1841" t="s">
        <v>84</v>
      </c>
      <c r="J1841" t="s">
        <v>85</v>
      </c>
      <c r="K1841" t="s">
        <v>87</v>
      </c>
      <c r="L1841" s="25">
        <v>44030</v>
      </c>
      <c r="M1841">
        <v>7</v>
      </c>
      <c r="N1841">
        <v>2020</v>
      </c>
      <c r="O1841" t="s">
        <v>110</v>
      </c>
      <c r="P1841">
        <v>170</v>
      </c>
      <c r="Q1841" s="17">
        <v>44030.450108912039</v>
      </c>
      <c r="R1841" t="s">
        <v>126</v>
      </c>
    </row>
    <row r="1842" spans="1:18" x14ac:dyDescent="0.3">
      <c r="A1842">
        <v>9686926</v>
      </c>
      <c r="B1842" t="s">
        <v>79</v>
      </c>
      <c r="C1842">
        <v>1330188</v>
      </c>
      <c r="D1842" t="s">
        <v>113</v>
      </c>
      <c r="E1842" t="s">
        <v>12</v>
      </c>
      <c r="F1842" t="s">
        <v>12</v>
      </c>
      <c r="G1842" t="s">
        <v>135</v>
      </c>
      <c r="H1842" t="s">
        <v>232</v>
      </c>
      <c r="I1842" t="s">
        <v>84</v>
      </c>
      <c r="J1842" t="s">
        <v>85</v>
      </c>
      <c r="K1842" t="s">
        <v>83</v>
      </c>
      <c r="L1842" s="25">
        <v>44030</v>
      </c>
      <c r="M1842">
        <v>7</v>
      </c>
      <c r="N1842">
        <v>2020</v>
      </c>
      <c r="O1842" t="s">
        <v>110</v>
      </c>
      <c r="P1842">
        <v>170</v>
      </c>
      <c r="Q1842" s="17">
        <v>44030.483415509261</v>
      </c>
      <c r="R1842" t="s">
        <v>126</v>
      </c>
    </row>
    <row r="1843" spans="1:18" x14ac:dyDescent="0.3">
      <c r="A1843">
        <v>21524561</v>
      </c>
      <c r="B1843" t="s">
        <v>80</v>
      </c>
      <c r="C1843">
        <v>1322227</v>
      </c>
      <c r="D1843" t="s">
        <v>113</v>
      </c>
      <c r="E1843" t="s">
        <v>26</v>
      </c>
      <c r="F1843" t="s">
        <v>26</v>
      </c>
      <c r="G1843" t="s">
        <v>137</v>
      </c>
      <c r="H1843" t="s">
        <v>232</v>
      </c>
      <c r="I1843" t="s">
        <v>84</v>
      </c>
      <c r="J1843" t="s">
        <v>85</v>
      </c>
      <c r="K1843" t="s">
        <v>83</v>
      </c>
      <c r="L1843" s="25">
        <v>44030</v>
      </c>
      <c r="M1843">
        <v>7</v>
      </c>
      <c r="N1843">
        <v>2020</v>
      </c>
      <c r="O1843" t="s">
        <v>110</v>
      </c>
      <c r="P1843">
        <v>170</v>
      </c>
      <c r="Q1843" s="17">
        <v>44030.482940509261</v>
      </c>
      <c r="R1843" t="s">
        <v>126</v>
      </c>
    </row>
    <row r="1844" spans="1:18" x14ac:dyDescent="0.3">
      <c r="A1844">
        <v>9685759</v>
      </c>
      <c r="B1844" t="s">
        <v>78</v>
      </c>
      <c r="C1844">
        <v>1329552</v>
      </c>
      <c r="D1844" t="s">
        <v>78</v>
      </c>
      <c r="E1844">
        <v>820</v>
      </c>
      <c r="F1844">
        <v>820</v>
      </c>
      <c r="G1844" t="s">
        <v>136</v>
      </c>
      <c r="H1844" t="s">
        <v>250</v>
      </c>
      <c r="I1844" t="s">
        <v>78</v>
      </c>
      <c r="J1844" t="s">
        <v>42</v>
      </c>
      <c r="K1844" t="s">
        <v>83</v>
      </c>
      <c r="L1844" s="25">
        <v>44030</v>
      </c>
      <c r="M1844">
        <v>7</v>
      </c>
      <c r="N1844">
        <v>2020</v>
      </c>
      <c r="O1844" t="s">
        <v>110</v>
      </c>
      <c r="P1844">
        <v>170</v>
      </c>
      <c r="Q1844" s="17">
        <v>44030.47698900463</v>
      </c>
      <c r="R1844" t="s">
        <v>126</v>
      </c>
    </row>
    <row r="1845" spans="1:18" x14ac:dyDescent="0.3">
      <c r="A1845">
        <v>9686546</v>
      </c>
      <c r="B1845" t="s">
        <v>78</v>
      </c>
      <c r="C1845">
        <v>1329979</v>
      </c>
      <c r="D1845" t="s">
        <v>78</v>
      </c>
      <c r="E1845" t="s">
        <v>138</v>
      </c>
      <c r="F1845" t="s">
        <v>17</v>
      </c>
      <c r="G1845" t="s">
        <v>145</v>
      </c>
      <c r="H1845" t="s">
        <v>134</v>
      </c>
      <c r="I1845" t="s">
        <v>78</v>
      </c>
      <c r="J1845" t="s">
        <v>42</v>
      </c>
      <c r="K1845" t="s">
        <v>87</v>
      </c>
      <c r="L1845" s="25">
        <v>44030</v>
      </c>
      <c r="M1845">
        <v>7</v>
      </c>
      <c r="N1845">
        <v>2020</v>
      </c>
      <c r="O1845" t="s">
        <v>110</v>
      </c>
      <c r="P1845">
        <v>170</v>
      </c>
      <c r="Q1845" s="17">
        <v>44030.484726967596</v>
      </c>
      <c r="R1845" t="s">
        <v>126</v>
      </c>
    </row>
    <row r="1846" spans="1:18" x14ac:dyDescent="0.3">
      <c r="A1846">
        <v>9684418</v>
      </c>
      <c r="B1846" t="s">
        <v>72</v>
      </c>
      <c r="C1846">
        <v>1328009</v>
      </c>
      <c r="D1846" t="s">
        <v>108</v>
      </c>
      <c r="E1846">
        <v>845</v>
      </c>
      <c r="F1846">
        <v>845</v>
      </c>
      <c r="G1846" t="s">
        <v>130</v>
      </c>
      <c r="H1846" t="s">
        <v>229</v>
      </c>
      <c r="I1846" t="s">
        <v>84</v>
      </c>
      <c r="J1846" t="s">
        <v>85</v>
      </c>
      <c r="K1846" t="s">
        <v>87</v>
      </c>
      <c r="L1846" s="25">
        <v>44030</v>
      </c>
      <c r="M1846">
        <v>7</v>
      </c>
      <c r="N1846">
        <v>2020</v>
      </c>
      <c r="O1846" t="s">
        <v>110</v>
      </c>
      <c r="P1846">
        <v>170</v>
      </c>
      <c r="Q1846" s="17">
        <v>44030.298431134259</v>
      </c>
      <c r="R1846" t="s">
        <v>126</v>
      </c>
    </row>
    <row r="1847" spans="1:18" x14ac:dyDescent="0.3">
      <c r="A1847">
        <v>9685597</v>
      </c>
      <c r="B1847" t="s">
        <v>80</v>
      </c>
      <c r="C1847">
        <v>1329581</v>
      </c>
      <c r="D1847" t="s">
        <v>113</v>
      </c>
      <c r="E1847" t="s">
        <v>146</v>
      </c>
      <c r="F1847" t="s">
        <v>17</v>
      </c>
      <c r="G1847" t="s">
        <v>153</v>
      </c>
      <c r="H1847" t="s">
        <v>232</v>
      </c>
      <c r="I1847" t="s">
        <v>84</v>
      </c>
      <c r="J1847" t="s">
        <v>85</v>
      </c>
      <c r="K1847" t="s">
        <v>87</v>
      </c>
      <c r="L1847" s="25">
        <v>44030</v>
      </c>
      <c r="M1847">
        <v>7</v>
      </c>
      <c r="N1847">
        <v>2020</v>
      </c>
      <c r="O1847" t="s">
        <v>110</v>
      </c>
      <c r="P1847">
        <v>170</v>
      </c>
      <c r="Q1847" s="17">
        <v>44030.428216435183</v>
      </c>
      <c r="R1847" t="s">
        <v>126</v>
      </c>
    </row>
    <row r="1848" spans="1:18" x14ac:dyDescent="0.3">
      <c r="A1848">
        <v>9686639</v>
      </c>
      <c r="B1848" t="s">
        <v>79</v>
      </c>
      <c r="C1848">
        <v>1330079</v>
      </c>
      <c r="D1848" t="s">
        <v>116</v>
      </c>
      <c r="E1848" t="s">
        <v>12</v>
      </c>
      <c r="F1848" t="s">
        <v>12</v>
      </c>
      <c r="G1848" t="s">
        <v>135</v>
      </c>
      <c r="H1848" t="s">
        <v>275</v>
      </c>
      <c r="I1848" t="s">
        <v>82</v>
      </c>
      <c r="J1848" t="s">
        <v>42</v>
      </c>
      <c r="K1848" t="s">
        <v>83</v>
      </c>
      <c r="L1848" s="25">
        <v>44030</v>
      </c>
      <c r="M1848">
        <v>7</v>
      </c>
      <c r="N1848">
        <v>2020</v>
      </c>
      <c r="O1848" t="s">
        <v>110</v>
      </c>
      <c r="P1848">
        <v>170</v>
      </c>
      <c r="Q1848" s="17">
        <v>44030.470450578701</v>
      </c>
      <c r="R1848" t="s">
        <v>126</v>
      </c>
    </row>
    <row r="1849" spans="1:18" x14ac:dyDescent="0.3">
      <c r="A1849">
        <v>9686737</v>
      </c>
      <c r="B1849" t="s">
        <v>80</v>
      </c>
      <c r="C1849">
        <v>1329781</v>
      </c>
      <c r="D1849" t="s">
        <v>113</v>
      </c>
      <c r="E1849" t="s">
        <v>146</v>
      </c>
      <c r="F1849" t="s">
        <v>17</v>
      </c>
      <c r="G1849" t="s">
        <v>153</v>
      </c>
      <c r="H1849" t="s">
        <v>232</v>
      </c>
      <c r="I1849" t="s">
        <v>84</v>
      </c>
      <c r="J1849" t="s">
        <v>85</v>
      </c>
      <c r="K1849" t="s">
        <v>87</v>
      </c>
      <c r="L1849" s="25">
        <v>44030</v>
      </c>
      <c r="M1849">
        <v>7</v>
      </c>
      <c r="N1849">
        <v>2020</v>
      </c>
      <c r="O1849" t="s">
        <v>110</v>
      </c>
      <c r="P1849">
        <v>170</v>
      </c>
      <c r="Q1849" s="17">
        <v>44030.471943865741</v>
      </c>
      <c r="R1849" t="s">
        <v>126</v>
      </c>
    </row>
    <row r="1850" spans="1:18" x14ac:dyDescent="0.3">
      <c r="A1850">
        <v>9685971</v>
      </c>
      <c r="B1850" t="s">
        <v>72</v>
      </c>
      <c r="C1850">
        <v>1329352</v>
      </c>
      <c r="D1850" t="s">
        <v>108</v>
      </c>
      <c r="E1850">
        <v>820</v>
      </c>
      <c r="F1850">
        <v>820</v>
      </c>
      <c r="G1850" t="s">
        <v>136</v>
      </c>
      <c r="H1850" t="s">
        <v>229</v>
      </c>
      <c r="I1850" t="s">
        <v>84</v>
      </c>
      <c r="J1850" t="s">
        <v>85</v>
      </c>
      <c r="K1850" t="s">
        <v>83</v>
      </c>
      <c r="L1850" s="25">
        <v>44030</v>
      </c>
      <c r="M1850">
        <v>7</v>
      </c>
      <c r="N1850">
        <v>2020</v>
      </c>
      <c r="O1850" t="s">
        <v>110</v>
      </c>
      <c r="P1850">
        <v>170</v>
      </c>
      <c r="Q1850" s="17">
        <v>44030.330528472223</v>
      </c>
      <c r="R1850" t="s">
        <v>126</v>
      </c>
    </row>
    <row r="1851" spans="1:18" x14ac:dyDescent="0.3">
      <c r="A1851">
        <v>9685990</v>
      </c>
      <c r="B1851" t="s">
        <v>72</v>
      </c>
      <c r="C1851">
        <v>1328945</v>
      </c>
      <c r="D1851" t="s">
        <v>108</v>
      </c>
      <c r="E1851">
        <v>820</v>
      </c>
      <c r="F1851">
        <v>820</v>
      </c>
      <c r="G1851" t="s">
        <v>136</v>
      </c>
      <c r="H1851" t="s">
        <v>270</v>
      </c>
      <c r="I1851" t="s">
        <v>82</v>
      </c>
      <c r="J1851" t="s">
        <v>42</v>
      </c>
      <c r="K1851" t="s">
        <v>83</v>
      </c>
      <c r="L1851" s="25">
        <v>44030</v>
      </c>
      <c r="M1851">
        <v>7</v>
      </c>
      <c r="N1851">
        <v>2020</v>
      </c>
      <c r="O1851" t="s">
        <v>110</v>
      </c>
      <c r="P1851">
        <v>170</v>
      </c>
      <c r="Q1851" s="17">
        <v>44030.445106712963</v>
      </c>
      <c r="R1851" t="s">
        <v>126</v>
      </c>
    </row>
    <row r="1852" spans="1:18" x14ac:dyDescent="0.3">
      <c r="A1852">
        <v>9683717</v>
      </c>
      <c r="B1852" t="s">
        <v>72</v>
      </c>
      <c r="C1852">
        <v>1331653</v>
      </c>
      <c r="D1852" t="s">
        <v>108</v>
      </c>
      <c r="E1852" t="s">
        <v>26</v>
      </c>
      <c r="F1852" t="s">
        <v>26</v>
      </c>
      <c r="G1852" t="s">
        <v>137</v>
      </c>
      <c r="H1852" t="s">
        <v>229</v>
      </c>
      <c r="I1852" t="s">
        <v>84</v>
      </c>
      <c r="J1852" t="s">
        <v>85</v>
      </c>
      <c r="K1852" t="s">
        <v>83</v>
      </c>
      <c r="L1852" s="25">
        <v>44030</v>
      </c>
      <c r="M1852">
        <v>7</v>
      </c>
      <c r="N1852">
        <v>2020</v>
      </c>
      <c r="O1852" t="s">
        <v>110</v>
      </c>
      <c r="P1852">
        <v>170</v>
      </c>
      <c r="Q1852" s="17">
        <v>44030.380518287035</v>
      </c>
      <c r="R1852" t="s">
        <v>126</v>
      </c>
    </row>
    <row r="1853" spans="1:18" x14ac:dyDescent="0.3">
      <c r="A1853">
        <v>9687402</v>
      </c>
      <c r="B1853" t="s">
        <v>78</v>
      </c>
      <c r="C1853">
        <v>1330179</v>
      </c>
      <c r="D1853" t="s">
        <v>78</v>
      </c>
      <c r="E1853" t="s">
        <v>146</v>
      </c>
      <c r="F1853" t="s">
        <v>17</v>
      </c>
      <c r="G1853" t="s">
        <v>147</v>
      </c>
      <c r="H1853" t="s">
        <v>134</v>
      </c>
      <c r="I1853" t="s">
        <v>78</v>
      </c>
      <c r="J1853" t="s">
        <v>42</v>
      </c>
      <c r="K1853" t="s">
        <v>87</v>
      </c>
      <c r="L1853" s="25">
        <v>44030</v>
      </c>
      <c r="M1853">
        <v>7</v>
      </c>
      <c r="N1853">
        <v>2020</v>
      </c>
      <c r="O1853" t="s">
        <v>110</v>
      </c>
      <c r="P1853">
        <v>170</v>
      </c>
      <c r="Q1853" s="17">
        <v>44030.490135185188</v>
      </c>
      <c r="R1853" t="s">
        <v>126</v>
      </c>
    </row>
    <row r="1854" spans="1:18" x14ac:dyDescent="0.3">
      <c r="A1854">
        <v>9678108</v>
      </c>
      <c r="B1854" t="s">
        <v>72</v>
      </c>
      <c r="C1854">
        <v>1320455</v>
      </c>
      <c r="D1854" t="s">
        <v>108</v>
      </c>
      <c r="E1854" t="s">
        <v>26</v>
      </c>
      <c r="F1854" t="s">
        <v>26</v>
      </c>
      <c r="G1854" t="s">
        <v>137</v>
      </c>
      <c r="H1854" t="s">
        <v>229</v>
      </c>
      <c r="I1854" t="s">
        <v>84</v>
      </c>
      <c r="J1854" t="s">
        <v>85</v>
      </c>
      <c r="K1854" t="s">
        <v>83</v>
      </c>
      <c r="L1854" s="25">
        <v>44030</v>
      </c>
      <c r="M1854">
        <v>7</v>
      </c>
      <c r="N1854">
        <v>2020</v>
      </c>
      <c r="O1854" t="s">
        <v>110</v>
      </c>
      <c r="P1854">
        <v>170</v>
      </c>
      <c r="Q1854" s="17">
        <v>44030.433119444446</v>
      </c>
      <c r="R1854" t="s">
        <v>126</v>
      </c>
    </row>
    <row r="1855" spans="1:18" x14ac:dyDescent="0.3">
      <c r="A1855">
        <v>9685946</v>
      </c>
      <c r="B1855" t="s">
        <v>78</v>
      </c>
      <c r="C1855">
        <v>1329243</v>
      </c>
      <c r="D1855" t="s">
        <v>78</v>
      </c>
      <c r="E1855">
        <v>820</v>
      </c>
      <c r="F1855">
        <v>820</v>
      </c>
      <c r="G1855" t="s">
        <v>136</v>
      </c>
      <c r="H1855" t="s">
        <v>250</v>
      </c>
      <c r="I1855" t="s">
        <v>78</v>
      </c>
      <c r="J1855" t="s">
        <v>42</v>
      </c>
      <c r="K1855" t="s">
        <v>83</v>
      </c>
      <c r="L1855" s="25">
        <v>44030</v>
      </c>
      <c r="M1855">
        <v>7</v>
      </c>
      <c r="N1855">
        <v>2020</v>
      </c>
      <c r="O1855" t="s">
        <v>110</v>
      </c>
      <c r="P1855">
        <v>170</v>
      </c>
      <c r="Q1855" s="17">
        <v>44030.456378819443</v>
      </c>
      <c r="R1855" t="s">
        <v>126</v>
      </c>
    </row>
    <row r="1856" spans="1:18" x14ac:dyDescent="0.3">
      <c r="A1856">
        <v>21526501</v>
      </c>
      <c r="B1856" t="s">
        <v>78</v>
      </c>
      <c r="C1856">
        <v>1323029</v>
      </c>
      <c r="D1856" t="s">
        <v>78</v>
      </c>
      <c r="E1856">
        <v>966</v>
      </c>
      <c r="F1856">
        <v>966</v>
      </c>
      <c r="G1856" t="s">
        <v>139</v>
      </c>
      <c r="H1856" t="s">
        <v>105</v>
      </c>
      <c r="I1856" t="s">
        <v>78</v>
      </c>
      <c r="J1856" t="s">
        <v>42</v>
      </c>
      <c r="K1856" t="s">
        <v>87</v>
      </c>
      <c r="L1856" s="25">
        <v>44030</v>
      </c>
      <c r="M1856">
        <v>7</v>
      </c>
      <c r="N1856">
        <v>2020</v>
      </c>
      <c r="O1856" t="s">
        <v>110</v>
      </c>
      <c r="P1856">
        <v>170</v>
      </c>
      <c r="Q1856" s="17">
        <v>44030.454201736109</v>
      </c>
      <c r="R1856" t="s">
        <v>126</v>
      </c>
    </row>
    <row r="1857" spans="1:18" x14ac:dyDescent="0.3">
      <c r="A1857">
        <v>9687718</v>
      </c>
      <c r="B1857" t="s">
        <v>78</v>
      </c>
      <c r="C1857">
        <v>1330617</v>
      </c>
      <c r="D1857" t="s">
        <v>78</v>
      </c>
      <c r="E1857">
        <v>820</v>
      </c>
      <c r="F1857">
        <v>820</v>
      </c>
      <c r="G1857" t="s">
        <v>136</v>
      </c>
      <c r="H1857" t="s">
        <v>250</v>
      </c>
      <c r="I1857" t="s">
        <v>78</v>
      </c>
      <c r="J1857" t="s">
        <v>42</v>
      </c>
      <c r="K1857" t="s">
        <v>83</v>
      </c>
      <c r="L1857" s="25">
        <v>44030</v>
      </c>
      <c r="M1857">
        <v>7</v>
      </c>
      <c r="N1857">
        <v>2020</v>
      </c>
      <c r="O1857" t="s">
        <v>110</v>
      </c>
      <c r="P1857">
        <v>170</v>
      </c>
      <c r="Q1857" s="17">
        <v>44030.494765509262</v>
      </c>
      <c r="R1857" t="s">
        <v>126</v>
      </c>
    </row>
    <row r="1858" spans="1:18" x14ac:dyDescent="0.3">
      <c r="A1858">
        <v>9685708</v>
      </c>
      <c r="B1858" t="s">
        <v>78</v>
      </c>
      <c r="C1858">
        <v>1328645</v>
      </c>
      <c r="D1858" t="s">
        <v>78</v>
      </c>
      <c r="E1858">
        <v>820</v>
      </c>
      <c r="F1858">
        <v>820</v>
      </c>
      <c r="G1858" t="s">
        <v>136</v>
      </c>
      <c r="H1858" t="s">
        <v>249</v>
      </c>
      <c r="I1858" t="s">
        <v>78</v>
      </c>
      <c r="J1858" t="s">
        <v>42</v>
      </c>
      <c r="K1858" t="s">
        <v>83</v>
      </c>
      <c r="L1858" s="25">
        <v>44030</v>
      </c>
      <c r="M1858">
        <v>7</v>
      </c>
      <c r="N1858">
        <v>2020</v>
      </c>
      <c r="O1858" t="s">
        <v>110</v>
      </c>
      <c r="P1858">
        <v>170</v>
      </c>
      <c r="Q1858" s="17">
        <v>44030.425656712963</v>
      </c>
      <c r="R1858" t="s">
        <v>126</v>
      </c>
    </row>
    <row r="1859" spans="1:18" x14ac:dyDescent="0.3">
      <c r="A1859">
        <v>9681799</v>
      </c>
      <c r="B1859" t="s">
        <v>72</v>
      </c>
      <c r="C1859">
        <v>1327614</v>
      </c>
      <c r="D1859" t="s">
        <v>108</v>
      </c>
      <c r="E1859">
        <v>820</v>
      </c>
      <c r="F1859">
        <v>820</v>
      </c>
      <c r="G1859" t="s">
        <v>136</v>
      </c>
      <c r="H1859" t="s">
        <v>229</v>
      </c>
      <c r="I1859" t="s">
        <v>84</v>
      </c>
      <c r="J1859" t="s">
        <v>85</v>
      </c>
      <c r="K1859" t="s">
        <v>83</v>
      </c>
      <c r="L1859" s="25">
        <v>44030</v>
      </c>
      <c r="M1859">
        <v>7</v>
      </c>
      <c r="N1859">
        <v>2020</v>
      </c>
      <c r="O1859" t="s">
        <v>110</v>
      </c>
      <c r="P1859">
        <v>170</v>
      </c>
      <c r="Q1859" s="17">
        <v>44030.292931597221</v>
      </c>
      <c r="R1859" t="s">
        <v>126</v>
      </c>
    </row>
    <row r="1860" spans="1:18" x14ac:dyDescent="0.3">
      <c r="A1860">
        <v>9686884</v>
      </c>
      <c r="B1860" t="s">
        <v>80</v>
      </c>
      <c r="C1860">
        <v>1329779</v>
      </c>
      <c r="D1860" t="s">
        <v>113</v>
      </c>
      <c r="E1860" t="s">
        <v>146</v>
      </c>
      <c r="F1860" t="s">
        <v>17</v>
      </c>
      <c r="G1860" t="s">
        <v>153</v>
      </c>
      <c r="H1860" t="s">
        <v>232</v>
      </c>
      <c r="I1860" t="s">
        <v>84</v>
      </c>
      <c r="J1860" t="s">
        <v>85</v>
      </c>
      <c r="K1860" t="s">
        <v>87</v>
      </c>
      <c r="L1860" s="25">
        <v>44030</v>
      </c>
      <c r="M1860">
        <v>7</v>
      </c>
      <c r="N1860">
        <v>2020</v>
      </c>
      <c r="O1860" t="s">
        <v>110</v>
      </c>
      <c r="P1860">
        <v>170</v>
      </c>
      <c r="Q1860" s="17">
        <v>44030.480828819447</v>
      </c>
      <c r="R1860" t="s">
        <v>126</v>
      </c>
    </row>
    <row r="1861" spans="1:18" x14ac:dyDescent="0.3">
      <c r="A1861">
        <v>9687294</v>
      </c>
      <c r="B1861" t="s">
        <v>78</v>
      </c>
      <c r="C1861">
        <v>1330088</v>
      </c>
      <c r="D1861" t="s">
        <v>78</v>
      </c>
      <c r="E1861">
        <v>4138</v>
      </c>
      <c r="F1861" t="s">
        <v>17</v>
      </c>
      <c r="G1861" t="s">
        <v>129</v>
      </c>
      <c r="H1861" t="s">
        <v>134</v>
      </c>
      <c r="I1861" t="s">
        <v>78</v>
      </c>
      <c r="J1861" t="s">
        <v>42</v>
      </c>
      <c r="K1861" t="s">
        <v>87</v>
      </c>
      <c r="L1861" s="25">
        <v>44030</v>
      </c>
      <c r="M1861">
        <v>7</v>
      </c>
      <c r="N1861">
        <v>2020</v>
      </c>
      <c r="O1861" t="s">
        <v>110</v>
      </c>
      <c r="P1861">
        <v>170</v>
      </c>
      <c r="Q1861" s="17">
        <v>44030.486185648151</v>
      </c>
      <c r="R1861" t="s">
        <v>126</v>
      </c>
    </row>
    <row r="1862" spans="1:18" x14ac:dyDescent="0.3">
      <c r="A1862">
        <v>9685627</v>
      </c>
      <c r="B1862" t="s">
        <v>78</v>
      </c>
      <c r="C1862">
        <v>1328952</v>
      </c>
      <c r="D1862" t="s">
        <v>78</v>
      </c>
      <c r="E1862">
        <v>820</v>
      </c>
      <c r="F1862">
        <v>820</v>
      </c>
      <c r="G1862" t="s">
        <v>136</v>
      </c>
      <c r="H1862" t="s">
        <v>250</v>
      </c>
      <c r="I1862" t="s">
        <v>78</v>
      </c>
      <c r="J1862" t="s">
        <v>42</v>
      </c>
      <c r="K1862" t="s">
        <v>83</v>
      </c>
      <c r="L1862" s="25">
        <v>44030</v>
      </c>
      <c r="M1862">
        <v>7</v>
      </c>
      <c r="N1862">
        <v>2020</v>
      </c>
      <c r="O1862" t="s">
        <v>110</v>
      </c>
      <c r="P1862">
        <v>170</v>
      </c>
      <c r="Q1862" s="17">
        <v>44030.443084259263</v>
      </c>
      <c r="R1862" t="s">
        <v>126</v>
      </c>
    </row>
    <row r="1863" spans="1:18" x14ac:dyDescent="0.3">
      <c r="A1863">
        <v>21534113</v>
      </c>
      <c r="B1863" t="s">
        <v>72</v>
      </c>
      <c r="C1863">
        <v>1333832</v>
      </c>
      <c r="D1863" t="s">
        <v>108</v>
      </c>
      <c r="E1863" t="s">
        <v>12</v>
      </c>
      <c r="F1863" t="s">
        <v>12</v>
      </c>
      <c r="G1863" t="s">
        <v>135</v>
      </c>
      <c r="H1863" t="s">
        <v>229</v>
      </c>
      <c r="I1863" t="s">
        <v>84</v>
      </c>
      <c r="J1863" t="s">
        <v>85</v>
      </c>
      <c r="K1863" t="s">
        <v>83</v>
      </c>
      <c r="L1863" s="25">
        <v>44030</v>
      </c>
      <c r="M1863">
        <v>7</v>
      </c>
      <c r="N1863">
        <v>2020</v>
      </c>
      <c r="O1863" t="s">
        <v>110</v>
      </c>
      <c r="P1863">
        <v>170</v>
      </c>
      <c r="Q1863" s="17">
        <v>44031.13752488426</v>
      </c>
      <c r="R1863" t="s">
        <v>126</v>
      </c>
    </row>
    <row r="1864" spans="1:18" x14ac:dyDescent="0.3">
      <c r="A1864">
        <v>21526183</v>
      </c>
      <c r="B1864" t="s">
        <v>78</v>
      </c>
      <c r="C1864">
        <v>1322391</v>
      </c>
      <c r="D1864" t="s">
        <v>78</v>
      </c>
      <c r="E1864" t="s">
        <v>26</v>
      </c>
      <c r="F1864" t="s">
        <v>26</v>
      </c>
      <c r="G1864" t="s">
        <v>137</v>
      </c>
      <c r="H1864" t="s">
        <v>260</v>
      </c>
      <c r="I1864" t="s">
        <v>78</v>
      </c>
      <c r="J1864" t="s">
        <v>42</v>
      </c>
      <c r="K1864" t="s">
        <v>83</v>
      </c>
      <c r="L1864" s="25">
        <v>44030</v>
      </c>
      <c r="M1864">
        <v>7</v>
      </c>
      <c r="N1864">
        <v>2020</v>
      </c>
      <c r="O1864" t="s">
        <v>110</v>
      </c>
      <c r="P1864">
        <v>170</v>
      </c>
      <c r="Q1864" s="17">
        <v>44030.490297800927</v>
      </c>
      <c r="R1864" t="s">
        <v>126</v>
      </c>
    </row>
    <row r="1865" spans="1:18" x14ac:dyDescent="0.3">
      <c r="A1865">
        <v>9685684</v>
      </c>
      <c r="B1865" t="s">
        <v>78</v>
      </c>
      <c r="C1865">
        <v>1329152</v>
      </c>
      <c r="D1865" t="s">
        <v>78</v>
      </c>
      <c r="E1865">
        <v>820</v>
      </c>
      <c r="F1865">
        <v>820</v>
      </c>
      <c r="G1865" t="s">
        <v>136</v>
      </c>
      <c r="H1865" t="s">
        <v>250</v>
      </c>
      <c r="I1865" t="s">
        <v>78</v>
      </c>
      <c r="J1865" t="s">
        <v>42</v>
      </c>
      <c r="K1865" t="s">
        <v>83</v>
      </c>
      <c r="L1865" s="25">
        <v>44030</v>
      </c>
      <c r="M1865">
        <v>7</v>
      </c>
      <c r="N1865">
        <v>2020</v>
      </c>
      <c r="O1865" t="s">
        <v>110</v>
      </c>
      <c r="P1865">
        <v>170</v>
      </c>
      <c r="Q1865" s="17">
        <v>44030.45017314815</v>
      </c>
      <c r="R1865" t="s">
        <v>126</v>
      </c>
    </row>
    <row r="1866" spans="1:18" x14ac:dyDescent="0.3">
      <c r="A1866">
        <v>9685276</v>
      </c>
      <c r="B1866" t="s">
        <v>78</v>
      </c>
      <c r="C1866">
        <v>1329052</v>
      </c>
      <c r="D1866" t="s">
        <v>78</v>
      </c>
      <c r="E1866">
        <v>820</v>
      </c>
      <c r="F1866">
        <v>820</v>
      </c>
      <c r="G1866" t="s">
        <v>136</v>
      </c>
      <c r="H1866" t="s">
        <v>250</v>
      </c>
      <c r="I1866" t="s">
        <v>78</v>
      </c>
      <c r="J1866" t="s">
        <v>42</v>
      </c>
      <c r="K1866" t="s">
        <v>83</v>
      </c>
      <c r="L1866" s="25">
        <v>44030</v>
      </c>
      <c r="M1866">
        <v>7</v>
      </c>
      <c r="N1866">
        <v>2020</v>
      </c>
      <c r="O1866" t="s">
        <v>110</v>
      </c>
      <c r="P1866">
        <v>170</v>
      </c>
      <c r="Q1866" s="17">
        <v>44030.44913252315</v>
      </c>
      <c r="R1866" t="s">
        <v>126</v>
      </c>
    </row>
    <row r="1867" spans="1:18" x14ac:dyDescent="0.3">
      <c r="A1867">
        <v>9685598</v>
      </c>
      <c r="B1867" t="s">
        <v>80</v>
      </c>
      <c r="C1867">
        <v>1329579</v>
      </c>
      <c r="D1867" t="s">
        <v>113</v>
      </c>
      <c r="E1867" t="s">
        <v>146</v>
      </c>
      <c r="F1867" t="s">
        <v>17</v>
      </c>
      <c r="G1867" t="s">
        <v>153</v>
      </c>
      <c r="H1867" t="s">
        <v>232</v>
      </c>
      <c r="I1867" t="s">
        <v>84</v>
      </c>
      <c r="J1867" t="s">
        <v>85</v>
      </c>
      <c r="K1867" t="s">
        <v>87</v>
      </c>
      <c r="L1867" s="25">
        <v>44030</v>
      </c>
      <c r="M1867">
        <v>7</v>
      </c>
      <c r="N1867">
        <v>2020</v>
      </c>
      <c r="O1867" t="s">
        <v>110</v>
      </c>
      <c r="P1867">
        <v>170</v>
      </c>
      <c r="Q1867" s="17">
        <v>44030.42865115741</v>
      </c>
      <c r="R1867" t="s">
        <v>126</v>
      </c>
    </row>
    <row r="1868" spans="1:18" x14ac:dyDescent="0.3">
      <c r="A1868">
        <v>9686903</v>
      </c>
      <c r="B1868" t="s">
        <v>80</v>
      </c>
      <c r="C1868">
        <v>1329822</v>
      </c>
      <c r="D1868" t="s">
        <v>113</v>
      </c>
      <c r="E1868" t="s">
        <v>146</v>
      </c>
      <c r="F1868" t="s">
        <v>17</v>
      </c>
      <c r="G1868" t="s">
        <v>153</v>
      </c>
      <c r="H1868" t="s">
        <v>232</v>
      </c>
      <c r="I1868" t="s">
        <v>84</v>
      </c>
      <c r="J1868" t="s">
        <v>85</v>
      </c>
      <c r="K1868" t="s">
        <v>87</v>
      </c>
      <c r="L1868" s="25">
        <v>44030</v>
      </c>
      <c r="M1868">
        <v>7</v>
      </c>
      <c r="N1868">
        <v>2020</v>
      </c>
      <c r="O1868" t="s">
        <v>110</v>
      </c>
      <c r="P1868">
        <v>170</v>
      </c>
      <c r="Q1868" s="17">
        <v>44030.481482291667</v>
      </c>
      <c r="R1868" t="s">
        <v>126</v>
      </c>
    </row>
    <row r="1869" spans="1:18" x14ac:dyDescent="0.3">
      <c r="A1869">
        <v>9686271</v>
      </c>
      <c r="B1869" t="s">
        <v>80</v>
      </c>
      <c r="C1869">
        <v>1329679</v>
      </c>
      <c r="D1869" t="s">
        <v>113</v>
      </c>
      <c r="E1869" t="s">
        <v>146</v>
      </c>
      <c r="F1869" t="s">
        <v>17</v>
      </c>
      <c r="G1869" t="s">
        <v>153</v>
      </c>
      <c r="H1869" t="s">
        <v>232</v>
      </c>
      <c r="I1869" t="s">
        <v>84</v>
      </c>
      <c r="J1869" t="s">
        <v>85</v>
      </c>
      <c r="K1869" t="s">
        <v>87</v>
      </c>
      <c r="L1869" s="25">
        <v>44030</v>
      </c>
      <c r="M1869">
        <v>7</v>
      </c>
      <c r="N1869">
        <v>2020</v>
      </c>
      <c r="O1869" t="s">
        <v>110</v>
      </c>
      <c r="P1869">
        <v>170</v>
      </c>
      <c r="Q1869" s="17">
        <v>44030.456253124998</v>
      </c>
      <c r="R1869" t="s">
        <v>126</v>
      </c>
    </row>
    <row r="1870" spans="1:18" x14ac:dyDescent="0.3">
      <c r="A1870">
        <v>9686851</v>
      </c>
      <c r="B1870" t="s">
        <v>80</v>
      </c>
      <c r="C1870">
        <v>1329722</v>
      </c>
      <c r="D1870" t="s">
        <v>113</v>
      </c>
      <c r="E1870" t="s">
        <v>146</v>
      </c>
      <c r="F1870" t="s">
        <v>17</v>
      </c>
      <c r="G1870" t="s">
        <v>153</v>
      </c>
      <c r="H1870" t="s">
        <v>232</v>
      </c>
      <c r="I1870" t="s">
        <v>84</v>
      </c>
      <c r="J1870" t="s">
        <v>85</v>
      </c>
      <c r="K1870" t="s">
        <v>87</v>
      </c>
      <c r="L1870" s="25">
        <v>44030</v>
      </c>
      <c r="M1870">
        <v>7</v>
      </c>
      <c r="N1870">
        <v>2020</v>
      </c>
      <c r="O1870" t="s">
        <v>110</v>
      </c>
      <c r="P1870">
        <v>170</v>
      </c>
      <c r="Q1870" s="17">
        <v>44030.45856446759</v>
      </c>
      <c r="R1870" t="s">
        <v>126</v>
      </c>
    </row>
    <row r="1871" spans="1:18" x14ac:dyDescent="0.3">
      <c r="A1871">
        <v>9685822</v>
      </c>
      <c r="B1871" t="s">
        <v>78</v>
      </c>
      <c r="C1871">
        <v>1328909</v>
      </c>
      <c r="D1871" t="s">
        <v>78</v>
      </c>
      <c r="E1871">
        <v>820</v>
      </c>
      <c r="F1871">
        <v>820</v>
      </c>
      <c r="G1871" t="s">
        <v>136</v>
      </c>
      <c r="H1871" t="s">
        <v>228</v>
      </c>
      <c r="I1871" t="s">
        <v>78</v>
      </c>
      <c r="J1871" t="s">
        <v>42</v>
      </c>
      <c r="K1871" t="s">
        <v>83</v>
      </c>
      <c r="L1871" s="25">
        <v>44030</v>
      </c>
      <c r="M1871">
        <v>7</v>
      </c>
      <c r="N1871">
        <v>2020</v>
      </c>
      <c r="O1871" t="s">
        <v>110</v>
      </c>
      <c r="P1871">
        <v>170</v>
      </c>
      <c r="Q1871" s="17">
        <v>44030.447133449074</v>
      </c>
      <c r="R1871" t="s">
        <v>126</v>
      </c>
    </row>
    <row r="1872" spans="1:18" x14ac:dyDescent="0.3">
      <c r="A1872">
        <v>9686713</v>
      </c>
      <c r="B1872" t="s">
        <v>80</v>
      </c>
      <c r="C1872">
        <v>1329745</v>
      </c>
      <c r="D1872" t="s">
        <v>113</v>
      </c>
      <c r="E1872" t="s">
        <v>146</v>
      </c>
      <c r="F1872" t="s">
        <v>17</v>
      </c>
      <c r="G1872" t="s">
        <v>153</v>
      </c>
      <c r="H1872" t="s">
        <v>232</v>
      </c>
      <c r="I1872" t="s">
        <v>84</v>
      </c>
      <c r="J1872" t="s">
        <v>85</v>
      </c>
      <c r="K1872" t="s">
        <v>87</v>
      </c>
      <c r="L1872" s="25">
        <v>44030</v>
      </c>
      <c r="M1872">
        <v>7</v>
      </c>
      <c r="N1872">
        <v>2020</v>
      </c>
      <c r="O1872" t="s">
        <v>110</v>
      </c>
      <c r="P1872">
        <v>170</v>
      </c>
      <c r="Q1872" s="17">
        <v>44030.46580740741</v>
      </c>
      <c r="R1872" t="s">
        <v>126</v>
      </c>
    </row>
    <row r="1873" spans="1:18" x14ac:dyDescent="0.3">
      <c r="A1873">
        <v>9685806</v>
      </c>
      <c r="B1873" t="s">
        <v>78</v>
      </c>
      <c r="C1873">
        <v>1329845</v>
      </c>
      <c r="D1873" t="s">
        <v>78</v>
      </c>
      <c r="E1873">
        <v>820</v>
      </c>
      <c r="F1873">
        <v>820</v>
      </c>
      <c r="G1873" t="s">
        <v>136</v>
      </c>
      <c r="H1873" t="s">
        <v>249</v>
      </c>
      <c r="I1873" t="s">
        <v>78</v>
      </c>
      <c r="J1873" t="s">
        <v>42</v>
      </c>
      <c r="K1873" t="s">
        <v>83</v>
      </c>
      <c r="L1873" s="25">
        <v>44030</v>
      </c>
      <c r="M1873">
        <v>7</v>
      </c>
      <c r="N1873">
        <v>2020</v>
      </c>
      <c r="O1873" t="s">
        <v>110</v>
      </c>
      <c r="P1873">
        <v>170</v>
      </c>
      <c r="Q1873" s="17">
        <v>44030.483172916669</v>
      </c>
      <c r="R1873" t="s">
        <v>126</v>
      </c>
    </row>
    <row r="1874" spans="1:18" x14ac:dyDescent="0.3">
      <c r="A1874">
        <v>9686818</v>
      </c>
      <c r="B1874" t="s">
        <v>72</v>
      </c>
      <c r="C1874">
        <v>1329945</v>
      </c>
      <c r="D1874" t="s">
        <v>108</v>
      </c>
      <c r="E1874">
        <v>4138</v>
      </c>
      <c r="F1874" t="s">
        <v>17</v>
      </c>
      <c r="G1874" t="s">
        <v>129</v>
      </c>
      <c r="H1874" t="s">
        <v>263</v>
      </c>
      <c r="I1874" t="s">
        <v>82</v>
      </c>
      <c r="J1874" t="s">
        <v>42</v>
      </c>
      <c r="K1874" t="s">
        <v>87</v>
      </c>
      <c r="L1874" s="25">
        <v>44030</v>
      </c>
      <c r="M1874">
        <v>7</v>
      </c>
      <c r="N1874">
        <v>2020</v>
      </c>
      <c r="O1874" t="s">
        <v>110</v>
      </c>
      <c r="P1874">
        <v>170</v>
      </c>
      <c r="Q1874" s="17">
        <v>44030.485735532406</v>
      </c>
      <c r="R1874" t="s">
        <v>126</v>
      </c>
    </row>
    <row r="1875" spans="1:18" x14ac:dyDescent="0.3">
      <c r="A1875">
        <v>9687262</v>
      </c>
      <c r="B1875" t="s">
        <v>78</v>
      </c>
      <c r="C1875">
        <v>1330045</v>
      </c>
      <c r="D1875" t="s">
        <v>78</v>
      </c>
      <c r="E1875" t="s">
        <v>124</v>
      </c>
      <c r="F1875" t="s">
        <v>17</v>
      </c>
      <c r="G1875" t="s">
        <v>125</v>
      </c>
      <c r="H1875" t="s">
        <v>134</v>
      </c>
      <c r="I1875" t="s">
        <v>78</v>
      </c>
      <c r="J1875" t="s">
        <v>42</v>
      </c>
      <c r="K1875" t="s">
        <v>87</v>
      </c>
      <c r="L1875" s="25">
        <v>44030</v>
      </c>
      <c r="M1875">
        <v>7</v>
      </c>
      <c r="N1875">
        <v>2020</v>
      </c>
      <c r="O1875" t="s">
        <v>110</v>
      </c>
      <c r="P1875">
        <v>170</v>
      </c>
      <c r="Q1875" s="17">
        <v>44030.485087615743</v>
      </c>
      <c r="R1875" t="s">
        <v>126</v>
      </c>
    </row>
    <row r="1876" spans="1:18" x14ac:dyDescent="0.3">
      <c r="A1876">
        <v>9684261</v>
      </c>
      <c r="B1876" t="s">
        <v>72</v>
      </c>
      <c r="C1876">
        <v>1331660</v>
      </c>
      <c r="D1876" t="s">
        <v>108</v>
      </c>
      <c r="E1876" t="s">
        <v>26</v>
      </c>
      <c r="F1876" t="s">
        <v>26</v>
      </c>
      <c r="G1876" t="s">
        <v>137</v>
      </c>
      <c r="H1876" t="s">
        <v>229</v>
      </c>
      <c r="I1876" t="s">
        <v>84</v>
      </c>
      <c r="J1876" t="s">
        <v>85</v>
      </c>
      <c r="K1876" t="s">
        <v>83</v>
      </c>
      <c r="L1876" s="25">
        <v>44030</v>
      </c>
      <c r="M1876">
        <v>7</v>
      </c>
      <c r="N1876">
        <v>2020</v>
      </c>
      <c r="O1876" t="s">
        <v>110</v>
      </c>
      <c r="P1876">
        <v>170</v>
      </c>
      <c r="Q1876" s="17">
        <v>44030.381495138892</v>
      </c>
      <c r="R1876" t="s">
        <v>126</v>
      </c>
    </row>
    <row r="1877" spans="1:18" x14ac:dyDescent="0.3">
      <c r="A1877">
        <v>9685751</v>
      </c>
      <c r="B1877" t="s">
        <v>78</v>
      </c>
      <c r="C1877">
        <v>1329086</v>
      </c>
      <c r="D1877" t="s">
        <v>78</v>
      </c>
      <c r="E1877">
        <v>820</v>
      </c>
      <c r="F1877">
        <v>820</v>
      </c>
      <c r="G1877" t="s">
        <v>136</v>
      </c>
      <c r="H1877" t="s">
        <v>250</v>
      </c>
      <c r="I1877" t="s">
        <v>78</v>
      </c>
      <c r="J1877" t="s">
        <v>42</v>
      </c>
      <c r="K1877" t="s">
        <v>83</v>
      </c>
      <c r="L1877" s="25">
        <v>44030</v>
      </c>
      <c r="M1877">
        <v>7</v>
      </c>
      <c r="N1877">
        <v>2020</v>
      </c>
      <c r="O1877" t="s">
        <v>110</v>
      </c>
      <c r="P1877">
        <v>170</v>
      </c>
      <c r="Q1877" s="17">
        <v>44030.449617592596</v>
      </c>
      <c r="R1877" t="s">
        <v>126</v>
      </c>
    </row>
    <row r="1878" spans="1:18" x14ac:dyDescent="0.3">
      <c r="A1878">
        <v>9680253</v>
      </c>
      <c r="B1878" t="s">
        <v>78</v>
      </c>
      <c r="C1878">
        <v>1331560</v>
      </c>
      <c r="D1878" t="s">
        <v>78</v>
      </c>
      <c r="E1878" t="s">
        <v>12</v>
      </c>
      <c r="F1878" t="s">
        <v>12</v>
      </c>
      <c r="G1878" t="s">
        <v>135</v>
      </c>
      <c r="H1878" t="s">
        <v>251</v>
      </c>
      <c r="I1878" t="s">
        <v>78</v>
      </c>
      <c r="J1878" t="s">
        <v>42</v>
      </c>
      <c r="K1878" t="s">
        <v>83</v>
      </c>
      <c r="L1878" s="25">
        <v>44030</v>
      </c>
      <c r="M1878">
        <v>7</v>
      </c>
      <c r="N1878">
        <v>2020</v>
      </c>
      <c r="O1878" t="s">
        <v>110</v>
      </c>
      <c r="P1878">
        <v>170</v>
      </c>
      <c r="Q1878" s="17">
        <v>44030.491285995369</v>
      </c>
      <c r="R1878" t="s">
        <v>126</v>
      </c>
    </row>
    <row r="1879" spans="1:18" x14ac:dyDescent="0.3">
      <c r="A1879">
        <v>9686535</v>
      </c>
      <c r="B1879" t="s">
        <v>72</v>
      </c>
      <c r="C1879">
        <v>1329345</v>
      </c>
      <c r="D1879" t="s">
        <v>108</v>
      </c>
      <c r="E1879">
        <v>845</v>
      </c>
      <c r="F1879">
        <v>845</v>
      </c>
      <c r="G1879" t="s">
        <v>130</v>
      </c>
      <c r="H1879" t="s">
        <v>229</v>
      </c>
      <c r="I1879" t="s">
        <v>84</v>
      </c>
      <c r="J1879" t="s">
        <v>85</v>
      </c>
      <c r="K1879" t="s">
        <v>87</v>
      </c>
      <c r="L1879" s="25">
        <v>44030</v>
      </c>
      <c r="M1879">
        <v>7</v>
      </c>
      <c r="N1879">
        <v>2020</v>
      </c>
      <c r="O1879" t="s">
        <v>110</v>
      </c>
      <c r="P1879">
        <v>170</v>
      </c>
      <c r="Q1879" s="17">
        <v>44030.378319328702</v>
      </c>
      <c r="R1879" t="s">
        <v>126</v>
      </c>
    </row>
    <row r="1880" spans="1:18" x14ac:dyDescent="0.3">
      <c r="A1880">
        <v>9685582</v>
      </c>
      <c r="B1880" t="s">
        <v>80</v>
      </c>
      <c r="C1880">
        <v>1329545</v>
      </c>
      <c r="D1880" t="s">
        <v>113</v>
      </c>
      <c r="E1880" t="s">
        <v>146</v>
      </c>
      <c r="F1880" t="s">
        <v>17</v>
      </c>
      <c r="G1880" t="s">
        <v>153</v>
      </c>
      <c r="H1880" t="s">
        <v>232</v>
      </c>
      <c r="I1880" t="s">
        <v>84</v>
      </c>
      <c r="J1880" t="s">
        <v>85</v>
      </c>
      <c r="K1880" t="s">
        <v>87</v>
      </c>
      <c r="L1880" s="25">
        <v>44030</v>
      </c>
      <c r="M1880">
        <v>7</v>
      </c>
      <c r="N1880">
        <v>2020</v>
      </c>
      <c r="O1880" t="s">
        <v>110</v>
      </c>
      <c r="P1880">
        <v>170</v>
      </c>
      <c r="Q1880" s="17">
        <v>44030.425116203704</v>
      </c>
      <c r="R1880" t="s">
        <v>126</v>
      </c>
    </row>
    <row r="1881" spans="1:18" x14ac:dyDescent="0.3">
      <c r="A1881">
        <v>9686137</v>
      </c>
      <c r="B1881" t="s">
        <v>80</v>
      </c>
      <c r="C1881">
        <v>1329622</v>
      </c>
      <c r="D1881" t="s">
        <v>113</v>
      </c>
      <c r="E1881" t="s">
        <v>146</v>
      </c>
      <c r="F1881" t="s">
        <v>17</v>
      </c>
      <c r="G1881" t="s">
        <v>153</v>
      </c>
      <c r="H1881" t="s">
        <v>232</v>
      </c>
      <c r="I1881" t="s">
        <v>84</v>
      </c>
      <c r="J1881" t="s">
        <v>85</v>
      </c>
      <c r="K1881" t="s">
        <v>87</v>
      </c>
      <c r="L1881" s="25">
        <v>44030</v>
      </c>
      <c r="M1881">
        <v>7</v>
      </c>
      <c r="N1881">
        <v>2020</v>
      </c>
      <c r="O1881" t="s">
        <v>110</v>
      </c>
      <c r="P1881">
        <v>170</v>
      </c>
      <c r="Q1881" s="17">
        <v>44030.440942361114</v>
      </c>
      <c r="R1881" t="s">
        <v>126</v>
      </c>
    </row>
    <row r="1882" spans="1:18" x14ac:dyDescent="0.3">
      <c r="A1882">
        <v>9687270</v>
      </c>
      <c r="B1882" t="s">
        <v>79</v>
      </c>
      <c r="C1882">
        <v>1330624</v>
      </c>
      <c r="D1882" t="s">
        <v>116</v>
      </c>
      <c r="E1882" t="s">
        <v>12</v>
      </c>
      <c r="F1882" t="s">
        <v>12</v>
      </c>
      <c r="G1882" t="s">
        <v>135</v>
      </c>
      <c r="H1882" t="s">
        <v>285</v>
      </c>
      <c r="I1882" t="s">
        <v>82</v>
      </c>
      <c r="J1882" t="s">
        <v>42</v>
      </c>
      <c r="K1882" t="s">
        <v>83</v>
      </c>
      <c r="L1882" s="25">
        <v>44030</v>
      </c>
      <c r="M1882">
        <v>7</v>
      </c>
      <c r="N1882">
        <v>2020</v>
      </c>
      <c r="O1882" t="s">
        <v>110</v>
      </c>
      <c r="P1882">
        <v>170</v>
      </c>
      <c r="Q1882" s="17">
        <v>44030.475685300924</v>
      </c>
      <c r="R1882" t="s">
        <v>126</v>
      </c>
    </row>
    <row r="1883" spans="1:18" x14ac:dyDescent="0.3">
      <c r="A1883">
        <v>9685694</v>
      </c>
      <c r="B1883" t="s">
        <v>72</v>
      </c>
      <c r="C1883">
        <v>1329522</v>
      </c>
      <c r="D1883" t="s">
        <v>108</v>
      </c>
      <c r="E1883">
        <v>820</v>
      </c>
      <c r="F1883">
        <v>820</v>
      </c>
      <c r="G1883" t="s">
        <v>136</v>
      </c>
      <c r="H1883" t="s">
        <v>270</v>
      </c>
      <c r="I1883" t="s">
        <v>82</v>
      </c>
      <c r="J1883" t="s">
        <v>42</v>
      </c>
      <c r="K1883" t="s">
        <v>83</v>
      </c>
      <c r="L1883" s="25">
        <v>44030</v>
      </c>
      <c r="M1883">
        <v>7</v>
      </c>
      <c r="N1883">
        <v>2020</v>
      </c>
      <c r="O1883" t="s">
        <v>110</v>
      </c>
      <c r="P1883">
        <v>170</v>
      </c>
      <c r="Q1883" s="17">
        <v>44030.473326388892</v>
      </c>
      <c r="R1883" t="s">
        <v>126</v>
      </c>
    </row>
    <row r="1884" spans="1:18" x14ac:dyDescent="0.3">
      <c r="A1884">
        <v>241170</v>
      </c>
      <c r="B1884" t="s">
        <v>78</v>
      </c>
      <c r="C1884">
        <v>1321121</v>
      </c>
      <c r="D1884" t="s">
        <v>78</v>
      </c>
      <c r="E1884" t="s">
        <v>26</v>
      </c>
      <c r="F1884" t="s">
        <v>26</v>
      </c>
      <c r="G1884" t="s">
        <v>137</v>
      </c>
      <c r="H1884" t="s">
        <v>245</v>
      </c>
      <c r="I1884" t="s">
        <v>78</v>
      </c>
      <c r="J1884" t="s">
        <v>42</v>
      </c>
      <c r="K1884" t="s">
        <v>83</v>
      </c>
      <c r="L1884" s="25">
        <v>44030</v>
      </c>
      <c r="M1884">
        <v>7</v>
      </c>
      <c r="N1884">
        <v>2020</v>
      </c>
      <c r="O1884" t="s">
        <v>110</v>
      </c>
      <c r="P1884">
        <v>170</v>
      </c>
      <c r="Q1884" s="17">
        <v>44030.447316666665</v>
      </c>
      <c r="R1884" t="s">
        <v>126</v>
      </c>
    </row>
    <row r="1885" spans="1:18" x14ac:dyDescent="0.3">
      <c r="A1885">
        <v>9685712</v>
      </c>
      <c r="B1885" t="s">
        <v>78</v>
      </c>
      <c r="C1885">
        <v>1328686</v>
      </c>
      <c r="D1885" t="s">
        <v>78</v>
      </c>
      <c r="E1885">
        <v>820</v>
      </c>
      <c r="F1885">
        <v>820</v>
      </c>
      <c r="G1885" t="s">
        <v>136</v>
      </c>
      <c r="H1885" t="s">
        <v>250</v>
      </c>
      <c r="I1885" t="s">
        <v>78</v>
      </c>
      <c r="J1885" t="s">
        <v>42</v>
      </c>
      <c r="K1885" t="s">
        <v>83</v>
      </c>
      <c r="L1885" s="25">
        <v>44030</v>
      </c>
      <c r="M1885">
        <v>7</v>
      </c>
      <c r="N1885">
        <v>2020</v>
      </c>
      <c r="O1885" t="s">
        <v>110</v>
      </c>
      <c r="P1885">
        <v>170</v>
      </c>
      <c r="Q1885" s="17">
        <v>44030.423419444443</v>
      </c>
      <c r="R1885" t="s">
        <v>126</v>
      </c>
    </row>
    <row r="1886" spans="1:18" x14ac:dyDescent="0.3">
      <c r="A1886">
        <v>9686246</v>
      </c>
      <c r="B1886" t="s">
        <v>80</v>
      </c>
      <c r="C1886">
        <v>1329688</v>
      </c>
      <c r="D1886" t="s">
        <v>113</v>
      </c>
      <c r="E1886" t="s">
        <v>146</v>
      </c>
      <c r="F1886" t="s">
        <v>17</v>
      </c>
      <c r="G1886" t="s">
        <v>153</v>
      </c>
      <c r="H1886" t="s">
        <v>232</v>
      </c>
      <c r="I1886" t="s">
        <v>84</v>
      </c>
      <c r="J1886" t="s">
        <v>85</v>
      </c>
      <c r="K1886" t="s">
        <v>87</v>
      </c>
      <c r="L1886" s="25">
        <v>44030</v>
      </c>
      <c r="M1886">
        <v>7</v>
      </c>
      <c r="N1886">
        <v>2020</v>
      </c>
      <c r="O1886" t="s">
        <v>110</v>
      </c>
      <c r="P1886">
        <v>170</v>
      </c>
      <c r="Q1886" s="17">
        <v>44030.462096180556</v>
      </c>
      <c r="R1886" t="s">
        <v>126</v>
      </c>
    </row>
    <row r="1887" spans="1:18" x14ac:dyDescent="0.3">
      <c r="A1887">
        <v>9681704</v>
      </c>
      <c r="B1887" t="s">
        <v>72</v>
      </c>
      <c r="C1887">
        <v>1327673</v>
      </c>
      <c r="D1887" t="s">
        <v>108</v>
      </c>
      <c r="E1887">
        <v>820</v>
      </c>
      <c r="F1887">
        <v>820</v>
      </c>
      <c r="G1887" t="s">
        <v>136</v>
      </c>
      <c r="H1887" t="s">
        <v>229</v>
      </c>
      <c r="I1887" t="s">
        <v>84</v>
      </c>
      <c r="J1887" t="s">
        <v>85</v>
      </c>
      <c r="K1887" t="s">
        <v>83</v>
      </c>
      <c r="L1887" s="25">
        <v>44030</v>
      </c>
      <c r="M1887">
        <v>7</v>
      </c>
      <c r="N1887">
        <v>2020</v>
      </c>
      <c r="O1887" t="s">
        <v>110</v>
      </c>
      <c r="P1887">
        <v>170</v>
      </c>
      <c r="Q1887" s="17">
        <v>44030.298383680558</v>
      </c>
      <c r="R1887" t="s">
        <v>126</v>
      </c>
    </row>
    <row r="1888" spans="1:18" x14ac:dyDescent="0.3">
      <c r="A1888">
        <v>9685525</v>
      </c>
      <c r="B1888" t="s">
        <v>72</v>
      </c>
      <c r="C1888">
        <v>1331517</v>
      </c>
      <c r="D1888" t="s">
        <v>108</v>
      </c>
      <c r="E1888" t="s">
        <v>26</v>
      </c>
      <c r="F1888" t="s">
        <v>26</v>
      </c>
      <c r="G1888" t="s">
        <v>137</v>
      </c>
      <c r="H1888" t="s">
        <v>229</v>
      </c>
      <c r="I1888" t="s">
        <v>84</v>
      </c>
      <c r="J1888" t="s">
        <v>85</v>
      </c>
      <c r="K1888" t="s">
        <v>83</v>
      </c>
      <c r="L1888" s="25">
        <v>44030</v>
      </c>
      <c r="M1888">
        <v>7</v>
      </c>
      <c r="N1888">
        <v>2020</v>
      </c>
      <c r="O1888" t="s">
        <v>110</v>
      </c>
      <c r="P1888">
        <v>170</v>
      </c>
      <c r="Q1888" s="17">
        <v>44030.381750231485</v>
      </c>
      <c r="R1888" t="s">
        <v>126</v>
      </c>
    </row>
    <row r="1889" spans="1:18" x14ac:dyDescent="0.3">
      <c r="A1889">
        <v>9679207</v>
      </c>
      <c r="B1889" t="s">
        <v>72</v>
      </c>
      <c r="C1889">
        <v>1320185</v>
      </c>
      <c r="D1889" t="s">
        <v>108</v>
      </c>
      <c r="E1889" t="s">
        <v>26</v>
      </c>
      <c r="F1889" t="s">
        <v>26</v>
      </c>
      <c r="G1889" t="s">
        <v>137</v>
      </c>
      <c r="H1889" t="s">
        <v>229</v>
      </c>
      <c r="I1889" t="s">
        <v>84</v>
      </c>
      <c r="J1889" t="s">
        <v>85</v>
      </c>
      <c r="K1889" t="s">
        <v>83</v>
      </c>
      <c r="L1889" s="25">
        <v>44030</v>
      </c>
      <c r="M1889">
        <v>7</v>
      </c>
      <c r="N1889">
        <v>2020</v>
      </c>
      <c r="O1889" t="s">
        <v>110</v>
      </c>
      <c r="P1889">
        <v>170</v>
      </c>
      <c r="Q1889" s="17">
        <v>44030.423162268518</v>
      </c>
      <c r="R1889" t="s">
        <v>126</v>
      </c>
    </row>
    <row r="1890" spans="1:18" x14ac:dyDescent="0.3">
      <c r="A1890">
        <v>9686183</v>
      </c>
      <c r="B1890" t="s">
        <v>80</v>
      </c>
      <c r="C1890">
        <v>1329645</v>
      </c>
      <c r="D1890" t="s">
        <v>113</v>
      </c>
      <c r="E1890" t="s">
        <v>146</v>
      </c>
      <c r="F1890" t="s">
        <v>17</v>
      </c>
      <c r="G1890" t="s">
        <v>153</v>
      </c>
      <c r="H1890" t="s">
        <v>232</v>
      </c>
      <c r="I1890" t="s">
        <v>84</v>
      </c>
      <c r="J1890" t="s">
        <v>85</v>
      </c>
      <c r="K1890" t="s">
        <v>87</v>
      </c>
      <c r="L1890" s="25">
        <v>44030</v>
      </c>
      <c r="M1890">
        <v>7</v>
      </c>
      <c r="N1890">
        <v>2020</v>
      </c>
      <c r="O1890" t="s">
        <v>110</v>
      </c>
      <c r="P1890">
        <v>170</v>
      </c>
      <c r="Q1890" s="17">
        <v>44030.443060185185</v>
      </c>
      <c r="R1890" t="s">
        <v>126</v>
      </c>
    </row>
    <row r="1891" spans="1:18" x14ac:dyDescent="0.3">
      <c r="A1891">
        <v>9686889</v>
      </c>
      <c r="B1891" t="s">
        <v>80</v>
      </c>
      <c r="C1891">
        <v>1329788</v>
      </c>
      <c r="D1891" t="s">
        <v>113</v>
      </c>
      <c r="E1891" t="s">
        <v>146</v>
      </c>
      <c r="F1891" t="s">
        <v>17</v>
      </c>
      <c r="G1891" t="s">
        <v>153</v>
      </c>
      <c r="H1891" t="s">
        <v>232</v>
      </c>
      <c r="I1891" t="s">
        <v>84</v>
      </c>
      <c r="J1891" t="s">
        <v>85</v>
      </c>
      <c r="K1891" t="s">
        <v>87</v>
      </c>
      <c r="L1891" s="25">
        <v>44030</v>
      </c>
      <c r="M1891">
        <v>7</v>
      </c>
      <c r="N1891">
        <v>2020</v>
      </c>
      <c r="O1891" t="s">
        <v>110</v>
      </c>
      <c r="P1891">
        <v>170</v>
      </c>
      <c r="Q1891" s="17">
        <v>44030.473568287038</v>
      </c>
      <c r="R1891" t="s">
        <v>126</v>
      </c>
    </row>
    <row r="1892" spans="1:18" x14ac:dyDescent="0.3">
      <c r="A1892">
        <v>9686990</v>
      </c>
      <c r="B1892" t="s">
        <v>80</v>
      </c>
      <c r="C1892">
        <v>1330258</v>
      </c>
      <c r="D1892" t="s">
        <v>113</v>
      </c>
      <c r="E1892" t="s">
        <v>146</v>
      </c>
      <c r="F1892" t="s">
        <v>17</v>
      </c>
      <c r="G1892" t="s">
        <v>153</v>
      </c>
      <c r="H1892" t="s">
        <v>232</v>
      </c>
      <c r="I1892" t="s">
        <v>84</v>
      </c>
      <c r="J1892" t="s">
        <v>85</v>
      </c>
      <c r="K1892" t="s">
        <v>87</v>
      </c>
      <c r="L1892" s="25">
        <v>44030</v>
      </c>
      <c r="M1892">
        <v>7</v>
      </c>
      <c r="N1892">
        <v>2020</v>
      </c>
      <c r="O1892" t="s">
        <v>110</v>
      </c>
      <c r="P1892">
        <v>170</v>
      </c>
      <c r="Q1892" s="17">
        <v>44030.499480555554</v>
      </c>
      <c r="R1892" t="s">
        <v>126</v>
      </c>
    </row>
    <row r="1893" spans="1:18" x14ac:dyDescent="0.3">
      <c r="A1893">
        <v>9680501</v>
      </c>
      <c r="B1893" t="s">
        <v>72</v>
      </c>
      <c r="C1893">
        <v>1322157</v>
      </c>
      <c r="D1893" t="s">
        <v>108</v>
      </c>
      <c r="E1893">
        <v>966</v>
      </c>
      <c r="F1893">
        <v>966</v>
      </c>
      <c r="G1893" t="s">
        <v>139</v>
      </c>
      <c r="H1893" t="s">
        <v>261</v>
      </c>
      <c r="I1893" t="s">
        <v>84</v>
      </c>
      <c r="J1893" t="s">
        <v>85</v>
      </c>
      <c r="K1893" t="s">
        <v>87</v>
      </c>
      <c r="L1893" s="25">
        <v>44030</v>
      </c>
      <c r="M1893">
        <v>7</v>
      </c>
      <c r="N1893">
        <v>2020</v>
      </c>
      <c r="O1893" t="s">
        <v>110</v>
      </c>
      <c r="P1893">
        <v>170</v>
      </c>
      <c r="Q1893" s="17">
        <v>44030.446508217596</v>
      </c>
      <c r="R1893" t="s">
        <v>126</v>
      </c>
    </row>
    <row r="1894" spans="1:18" x14ac:dyDescent="0.3">
      <c r="A1894">
        <v>241732</v>
      </c>
      <c r="B1894" t="s">
        <v>78</v>
      </c>
      <c r="C1894">
        <v>1322400</v>
      </c>
      <c r="D1894" t="s">
        <v>78</v>
      </c>
      <c r="E1894" t="s">
        <v>26</v>
      </c>
      <c r="F1894" t="s">
        <v>26</v>
      </c>
      <c r="G1894" t="s">
        <v>137</v>
      </c>
      <c r="H1894" t="s">
        <v>260</v>
      </c>
      <c r="I1894" t="s">
        <v>78</v>
      </c>
      <c r="J1894" t="s">
        <v>42</v>
      </c>
      <c r="K1894" t="s">
        <v>83</v>
      </c>
      <c r="L1894" s="25">
        <v>44030</v>
      </c>
      <c r="M1894">
        <v>7</v>
      </c>
      <c r="N1894">
        <v>2020</v>
      </c>
      <c r="O1894" t="s">
        <v>110</v>
      </c>
      <c r="P1894">
        <v>170</v>
      </c>
      <c r="Q1894" s="17">
        <v>44030.49381284722</v>
      </c>
      <c r="R1894" t="s">
        <v>126</v>
      </c>
    </row>
    <row r="1895" spans="1:18" x14ac:dyDescent="0.3">
      <c r="A1895">
        <v>9678840</v>
      </c>
      <c r="B1895" t="s">
        <v>72</v>
      </c>
      <c r="C1895">
        <v>1331558</v>
      </c>
      <c r="D1895" t="s">
        <v>108</v>
      </c>
      <c r="E1895" t="s">
        <v>12</v>
      </c>
      <c r="F1895" t="s">
        <v>12</v>
      </c>
      <c r="G1895" t="s">
        <v>135</v>
      </c>
      <c r="H1895" t="s">
        <v>275</v>
      </c>
      <c r="I1895" t="s">
        <v>82</v>
      </c>
      <c r="J1895" t="s">
        <v>42</v>
      </c>
      <c r="K1895" t="s">
        <v>83</v>
      </c>
      <c r="L1895" s="25">
        <v>44030</v>
      </c>
      <c r="M1895">
        <v>7</v>
      </c>
      <c r="N1895">
        <v>2020</v>
      </c>
      <c r="O1895" t="s">
        <v>110</v>
      </c>
      <c r="P1895">
        <v>170</v>
      </c>
      <c r="Q1895" s="17">
        <v>44030.489171412039</v>
      </c>
      <c r="R1895" t="s">
        <v>126</v>
      </c>
    </row>
    <row r="1896" spans="1:18" x14ac:dyDescent="0.3">
      <c r="A1896">
        <v>9673826</v>
      </c>
      <c r="B1896" t="s">
        <v>72</v>
      </c>
      <c r="C1896">
        <v>1331458</v>
      </c>
      <c r="D1896" t="s">
        <v>108</v>
      </c>
      <c r="E1896" t="s">
        <v>12</v>
      </c>
      <c r="F1896" t="s">
        <v>12</v>
      </c>
      <c r="G1896" t="s">
        <v>135</v>
      </c>
      <c r="H1896" t="s">
        <v>229</v>
      </c>
      <c r="I1896" t="s">
        <v>84</v>
      </c>
      <c r="J1896" t="s">
        <v>85</v>
      </c>
      <c r="K1896" t="s">
        <v>83</v>
      </c>
      <c r="L1896" s="25">
        <v>44030</v>
      </c>
      <c r="M1896">
        <v>7</v>
      </c>
      <c r="N1896">
        <v>2020</v>
      </c>
      <c r="O1896" t="s">
        <v>110</v>
      </c>
      <c r="P1896">
        <v>170</v>
      </c>
      <c r="Q1896" s="17">
        <v>44030.433916203707</v>
      </c>
      <c r="R1896" t="s">
        <v>126</v>
      </c>
    </row>
    <row r="1897" spans="1:18" x14ac:dyDescent="0.3">
      <c r="A1897">
        <v>9680277</v>
      </c>
      <c r="B1897" t="s">
        <v>72</v>
      </c>
      <c r="C1897">
        <v>1321734</v>
      </c>
      <c r="D1897" t="s">
        <v>108</v>
      </c>
      <c r="E1897">
        <v>966</v>
      </c>
      <c r="F1897">
        <v>966</v>
      </c>
      <c r="G1897" t="s">
        <v>139</v>
      </c>
      <c r="H1897" t="s">
        <v>261</v>
      </c>
      <c r="I1897" t="s">
        <v>84</v>
      </c>
      <c r="J1897" t="s">
        <v>85</v>
      </c>
      <c r="K1897" t="s">
        <v>87</v>
      </c>
      <c r="L1897" s="25">
        <v>44030</v>
      </c>
      <c r="M1897">
        <v>7</v>
      </c>
      <c r="N1897">
        <v>2020</v>
      </c>
      <c r="O1897" t="s">
        <v>110</v>
      </c>
      <c r="P1897">
        <v>170</v>
      </c>
      <c r="Q1897" s="17">
        <v>44030.442676620369</v>
      </c>
      <c r="R1897" t="s">
        <v>126</v>
      </c>
    </row>
    <row r="1898" spans="1:18" x14ac:dyDescent="0.3">
      <c r="A1898">
        <v>241368</v>
      </c>
      <c r="B1898" t="s">
        <v>78</v>
      </c>
      <c r="C1898">
        <v>1321064</v>
      </c>
      <c r="D1898" t="s">
        <v>78</v>
      </c>
      <c r="E1898" t="s">
        <v>26</v>
      </c>
      <c r="F1898" t="s">
        <v>26</v>
      </c>
      <c r="G1898" t="s">
        <v>137</v>
      </c>
      <c r="H1898" t="s">
        <v>245</v>
      </c>
      <c r="I1898" t="s">
        <v>78</v>
      </c>
      <c r="J1898" t="s">
        <v>42</v>
      </c>
      <c r="K1898" t="s">
        <v>83</v>
      </c>
      <c r="L1898" s="25">
        <v>44030</v>
      </c>
      <c r="M1898">
        <v>7</v>
      </c>
      <c r="N1898">
        <v>2020</v>
      </c>
      <c r="O1898" t="s">
        <v>110</v>
      </c>
      <c r="P1898">
        <v>170</v>
      </c>
      <c r="Q1898" s="17">
        <v>44030.445648726854</v>
      </c>
      <c r="R1898" t="s">
        <v>126</v>
      </c>
    </row>
    <row r="1899" spans="1:18" x14ac:dyDescent="0.3">
      <c r="A1899">
        <v>9686537</v>
      </c>
      <c r="B1899" t="s">
        <v>78</v>
      </c>
      <c r="C1899">
        <v>1329981</v>
      </c>
      <c r="D1899" t="s">
        <v>78</v>
      </c>
      <c r="E1899" t="s">
        <v>124</v>
      </c>
      <c r="F1899" t="s">
        <v>17</v>
      </c>
      <c r="G1899" t="s">
        <v>125</v>
      </c>
      <c r="H1899" t="s">
        <v>293</v>
      </c>
      <c r="I1899" t="s">
        <v>78</v>
      </c>
      <c r="J1899" t="s">
        <v>42</v>
      </c>
      <c r="K1899" t="s">
        <v>87</v>
      </c>
      <c r="L1899" s="25">
        <v>44030</v>
      </c>
      <c r="M1899">
        <v>7</v>
      </c>
      <c r="N1899">
        <v>2020</v>
      </c>
      <c r="O1899" t="s">
        <v>110</v>
      </c>
      <c r="P1899">
        <v>170</v>
      </c>
      <c r="Q1899" s="17">
        <v>44030.489492476852</v>
      </c>
      <c r="R1899" t="s">
        <v>126</v>
      </c>
    </row>
    <row r="1900" spans="1:18" x14ac:dyDescent="0.3">
      <c r="A1900">
        <v>9687005</v>
      </c>
      <c r="B1900" t="s">
        <v>80</v>
      </c>
      <c r="C1900">
        <v>1330224</v>
      </c>
      <c r="D1900" t="s">
        <v>113</v>
      </c>
      <c r="E1900" t="s">
        <v>146</v>
      </c>
      <c r="F1900" t="s">
        <v>17</v>
      </c>
      <c r="G1900" t="s">
        <v>153</v>
      </c>
      <c r="H1900" t="s">
        <v>232</v>
      </c>
      <c r="I1900" t="s">
        <v>84</v>
      </c>
      <c r="J1900" t="s">
        <v>85</v>
      </c>
      <c r="K1900" t="s">
        <v>87</v>
      </c>
      <c r="L1900" s="25">
        <v>44030</v>
      </c>
      <c r="M1900">
        <v>7</v>
      </c>
      <c r="N1900">
        <v>2020</v>
      </c>
      <c r="O1900" t="s">
        <v>110</v>
      </c>
      <c r="P1900">
        <v>170</v>
      </c>
      <c r="Q1900" s="17">
        <v>44030.493286574078</v>
      </c>
      <c r="R1900" t="s">
        <v>126</v>
      </c>
    </row>
    <row r="1901" spans="1:18" x14ac:dyDescent="0.3">
      <c r="A1901">
        <v>240992</v>
      </c>
      <c r="B1901" t="s">
        <v>78</v>
      </c>
      <c r="C1901">
        <v>1318849</v>
      </c>
      <c r="D1901" t="s">
        <v>78</v>
      </c>
      <c r="E1901">
        <v>966</v>
      </c>
      <c r="F1901">
        <v>966</v>
      </c>
      <c r="G1901" t="s">
        <v>139</v>
      </c>
      <c r="H1901" t="s">
        <v>105</v>
      </c>
      <c r="I1901" t="s">
        <v>78</v>
      </c>
      <c r="J1901" t="s">
        <v>42</v>
      </c>
      <c r="K1901" t="s">
        <v>87</v>
      </c>
      <c r="L1901" s="25">
        <v>44030</v>
      </c>
      <c r="M1901">
        <v>7</v>
      </c>
      <c r="N1901">
        <v>2020</v>
      </c>
      <c r="O1901" t="s">
        <v>110</v>
      </c>
      <c r="P1901">
        <v>170</v>
      </c>
      <c r="Q1901" s="17">
        <v>44030.433216203703</v>
      </c>
      <c r="R1901" t="s">
        <v>126</v>
      </c>
    </row>
    <row r="1902" spans="1:18" x14ac:dyDescent="0.3">
      <c r="A1902">
        <v>9686286</v>
      </c>
      <c r="B1902" t="s">
        <v>80</v>
      </c>
      <c r="C1902">
        <v>1329686</v>
      </c>
      <c r="D1902" t="s">
        <v>113</v>
      </c>
      <c r="E1902" t="s">
        <v>146</v>
      </c>
      <c r="F1902" t="s">
        <v>17</v>
      </c>
      <c r="G1902" t="s">
        <v>153</v>
      </c>
      <c r="H1902" t="s">
        <v>232</v>
      </c>
      <c r="I1902" t="s">
        <v>84</v>
      </c>
      <c r="J1902" t="s">
        <v>85</v>
      </c>
      <c r="K1902" t="s">
        <v>87</v>
      </c>
      <c r="L1902" s="25">
        <v>44030</v>
      </c>
      <c r="M1902">
        <v>7</v>
      </c>
      <c r="N1902">
        <v>2020</v>
      </c>
      <c r="O1902" t="s">
        <v>110</v>
      </c>
      <c r="P1902">
        <v>170</v>
      </c>
      <c r="Q1902" s="17">
        <v>44030.458225231479</v>
      </c>
      <c r="R1902" t="s">
        <v>126</v>
      </c>
    </row>
    <row r="1903" spans="1:18" x14ac:dyDescent="0.3">
      <c r="A1903">
        <v>9685584</v>
      </c>
      <c r="B1903" t="s">
        <v>80</v>
      </c>
      <c r="C1903">
        <v>1329586</v>
      </c>
      <c r="D1903" t="s">
        <v>113</v>
      </c>
      <c r="E1903" t="s">
        <v>146</v>
      </c>
      <c r="F1903" t="s">
        <v>17</v>
      </c>
      <c r="G1903" t="s">
        <v>153</v>
      </c>
      <c r="H1903" t="s">
        <v>232</v>
      </c>
      <c r="I1903" t="s">
        <v>84</v>
      </c>
      <c r="J1903" t="s">
        <v>85</v>
      </c>
      <c r="K1903" t="s">
        <v>87</v>
      </c>
      <c r="L1903" s="25">
        <v>44030</v>
      </c>
      <c r="M1903">
        <v>7</v>
      </c>
      <c r="N1903">
        <v>2020</v>
      </c>
      <c r="O1903" t="s">
        <v>110</v>
      </c>
      <c r="P1903">
        <v>170</v>
      </c>
      <c r="Q1903" s="17">
        <v>44030.433801157407</v>
      </c>
      <c r="R1903" t="s">
        <v>126</v>
      </c>
    </row>
    <row r="1904" spans="1:18" x14ac:dyDescent="0.3">
      <c r="A1904">
        <v>9686920</v>
      </c>
      <c r="B1904" t="s">
        <v>80</v>
      </c>
      <c r="C1904">
        <v>1329815</v>
      </c>
      <c r="D1904" t="s">
        <v>113</v>
      </c>
      <c r="E1904" t="s">
        <v>146</v>
      </c>
      <c r="F1904" t="s">
        <v>17</v>
      </c>
      <c r="G1904" t="s">
        <v>153</v>
      </c>
      <c r="H1904" t="s">
        <v>232</v>
      </c>
      <c r="I1904" t="s">
        <v>84</v>
      </c>
      <c r="J1904" t="s">
        <v>85</v>
      </c>
      <c r="K1904" t="s">
        <v>87</v>
      </c>
      <c r="L1904" s="25">
        <v>44030</v>
      </c>
      <c r="M1904">
        <v>7</v>
      </c>
      <c r="N1904">
        <v>2020</v>
      </c>
      <c r="O1904" t="s">
        <v>110</v>
      </c>
      <c r="P1904">
        <v>170</v>
      </c>
      <c r="Q1904" s="17">
        <v>44030.477202893519</v>
      </c>
      <c r="R1904" t="s">
        <v>126</v>
      </c>
    </row>
    <row r="1905" spans="1:18" x14ac:dyDescent="0.3">
      <c r="A1905">
        <v>9685973</v>
      </c>
      <c r="B1905" t="s">
        <v>78</v>
      </c>
      <c r="C1905">
        <v>1329245</v>
      </c>
      <c r="D1905" t="s">
        <v>78</v>
      </c>
      <c r="E1905">
        <v>820</v>
      </c>
      <c r="F1905">
        <v>820</v>
      </c>
      <c r="G1905" t="s">
        <v>136</v>
      </c>
      <c r="H1905" t="s">
        <v>250</v>
      </c>
      <c r="I1905" t="s">
        <v>78</v>
      </c>
      <c r="J1905" t="s">
        <v>42</v>
      </c>
      <c r="K1905" t="s">
        <v>83</v>
      </c>
      <c r="L1905" s="25">
        <v>44030</v>
      </c>
      <c r="M1905">
        <v>7</v>
      </c>
      <c r="N1905">
        <v>2020</v>
      </c>
      <c r="O1905" t="s">
        <v>110</v>
      </c>
      <c r="P1905">
        <v>170</v>
      </c>
      <c r="Q1905" s="17">
        <v>44030.4572625</v>
      </c>
      <c r="R1905" t="s">
        <v>126</v>
      </c>
    </row>
    <row r="1906" spans="1:18" x14ac:dyDescent="0.3">
      <c r="A1906">
        <v>9686888</v>
      </c>
      <c r="B1906" t="s">
        <v>80</v>
      </c>
      <c r="C1906">
        <v>1329786</v>
      </c>
      <c r="D1906" t="s">
        <v>113</v>
      </c>
      <c r="E1906" t="s">
        <v>146</v>
      </c>
      <c r="F1906" t="s">
        <v>17</v>
      </c>
      <c r="G1906" t="s">
        <v>153</v>
      </c>
      <c r="H1906" t="s">
        <v>232</v>
      </c>
      <c r="I1906" t="s">
        <v>84</v>
      </c>
      <c r="J1906" t="s">
        <v>85</v>
      </c>
      <c r="K1906" t="s">
        <v>87</v>
      </c>
      <c r="L1906" s="25">
        <v>44030</v>
      </c>
      <c r="M1906">
        <v>7</v>
      </c>
      <c r="N1906">
        <v>2020</v>
      </c>
      <c r="O1906" t="s">
        <v>110</v>
      </c>
      <c r="P1906">
        <v>170</v>
      </c>
      <c r="Q1906" s="17">
        <v>44030.472098726852</v>
      </c>
      <c r="R1906" t="s">
        <v>126</v>
      </c>
    </row>
    <row r="1907" spans="1:18" x14ac:dyDescent="0.3">
      <c r="A1907">
        <v>9661804</v>
      </c>
      <c r="B1907" t="s">
        <v>78</v>
      </c>
      <c r="C1907">
        <v>1321900</v>
      </c>
      <c r="D1907" t="s">
        <v>78</v>
      </c>
      <c r="E1907" t="s">
        <v>26</v>
      </c>
      <c r="F1907" t="s">
        <v>26</v>
      </c>
      <c r="G1907" t="s">
        <v>137</v>
      </c>
      <c r="H1907" t="s">
        <v>260</v>
      </c>
      <c r="I1907" t="s">
        <v>78</v>
      </c>
      <c r="J1907" t="s">
        <v>42</v>
      </c>
      <c r="K1907" t="s">
        <v>83</v>
      </c>
      <c r="L1907" s="25">
        <v>44030</v>
      </c>
      <c r="M1907">
        <v>7</v>
      </c>
      <c r="N1907">
        <v>2020</v>
      </c>
      <c r="O1907" t="s">
        <v>110</v>
      </c>
      <c r="P1907">
        <v>170</v>
      </c>
      <c r="Q1907" s="17">
        <v>44030.478689930555</v>
      </c>
      <c r="R1907" t="s">
        <v>126</v>
      </c>
    </row>
    <row r="1908" spans="1:18" x14ac:dyDescent="0.3">
      <c r="A1908">
        <v>21525865</v>
      </c>
      <c r="B1908" t="s">
        <v>78</v>
      </c>
      <c r="C1908">
        <v>1321693</v>
      </c>
      <c r="D1908" t="s">
        <v>78</v>
      </c>
      <c r="E1908" t="s">
        <v>26</v>
      </c>
      <c r="F1908" t="s">
        <v>26</v>
      </c>
      <c r="G1908" t="s">
        <v>137</v>
      </c>
      <c r="H1908" t="s">
        <v>245</v>
      </c>
      <c r="I1908" t="s">
        <v>78</v>
      </c>
      <c r="J1908" t="s">
        <v>42</v>
      </c>
      <c r="K1908" t="s">
        <v>83</v>
      </c>
      <c r="L1908" s="25">
        <v>44030</v>
      </c>
      <c r="M1908">
        <v>7</v>
      </c>
      <c r="N1908">
        <v>2020</v>
      </c>
      <c r="O1908" t="s">
        <v>110</v>
      </c>
      <c r="P1908">
        <v>170</v>
      </c>
      <c r="Q1908" s="17">
        <v>44030.47291759259</v>
      </c>
      <c r="R1908" t="s">
        <v>126</v>
      </c>
    </row>
    <row r="1909" spans="1:18" x14ac:dyDescent="0.3">
      <c r="A1909">
        <v>9687009</v>
      </c>
      <c r="B1909" t="s">
        <v>80</v>
      </c>
      <c r="C1909">
        <v>1330235</v>
      </c>
      <c r="D1909" t="s">
        <v>113</v>
      </c>
      <c r="E1909" t="s">
        <v>146</v>
      </c>
      <c r="F1909" t="s">
        <v>17</v>
      </c>
      <c r="G1909" t="s">
        <v>153</v>
      </c>
      <c r="H1909" t="s">
        <v>232</v>
      </c>
      <c r="I1909" t="s">
        <v>84</v>
      </c>
      <c r="J1909" t="s">
        <v>85</v>
      </c>
      <c r="K1909" t="s">
        <v>87</v>
      </c>
      <c r="L1909" s="25">
        <v>44030</v>
      </c>
      <c r="M1909">
        <v>7</v>
      </c>
      <c r="N1909">
        <v>2020</v>
      </c>
      <c r="O1909" t="s">
        <v>110</v>
      </c>
      <c r="P1909">
        <v>170</v>
      </c>
      <c r="Q1909" s="17">
        <v>44030.493844675926</v>
      </c>
      <c r="R1909" t="s">
        <v>126</v>
      </c>
    </row>
    <row r="1910" spans="1:18" x14ac:dyDescent="0.3">
      <c r="A1910">
        <v>9685851</v>
      </c>
      <c r="B1910" t="s">
        <v>78</v>
      </c>
      <c r="C1910">
        <v>1329164</v>
      </c>
      <c r="D1910" t="s">
        <v>78</v>
      </c>
      <c r="E1910">
        <v>820</v>
      </c>
      <c r="F1910">
        <v>820</v>
      </c>
      <c r="G1910" t="s">
        <v>136</v>
      </c>
      <c r="H1910" t="s">
        <v>249</v>
      </c>
      <c r="I1910" t="s">
        <v>78</v>
      </c>
      <c r="J1910" t="s">
        <v>42</v>
      </c>
      <c r="K1910" t="s">
        <v>83</v>
      </c>
      <c r="L1910" s="25">
        <v>44030</v>
      </c>
      <c r="M1910">
        <v>7</v>
      </c>
      <c r="N1910">
        <v>2020</v>
      </c>
      <c r="O1910" t="s">
        <v>110</v>
      </c>
      <c r="P1910">
        <v>170</v>
      </c>
      <c r="Q1910" s="17">
        <v>44030.453387037036</v>
      </c>
      <c r="R1910" t="s">
        <v>126</v>
      </c>
    </row>
    <row r="1911" spans="1:18" x14ac:dyDescent="0.3">
      <c r="A1911">
        <v>9680658</v>
      </c>
      <c r="B1911" t="s">
        <v>72</v>
      </c>
      <c r="C1911">
        <v>1331572</v>
      </c>
      <c r="D1911" t="s">
        <v>108</v>
      </c>
      <c r="E1911" t="s">
        <v>26</v>
      </c>
      <c r="F1911" t="s">
        <v>26</v>
      </c>
      <c r="G1911" t="s">
        <v>137</v>
      </c>
      <c r="H1911" t="s">
        <v>229</v>
      </c>
      <c r="I1911" t="s">
        <v>84</v>
      </c>
      <c r="J1911" t="s">
        <v>85</v>
      </c>
      <c r="K1911" t="s">
        <v>83</v>
      </c>
      <c r="L1911" s="25">
        <v>44030</v>
      </c>
      <c r="M1911">
        <v>7</v>
      </c>
      <c r="N1911">
        <v>2020</v>
      </c>
      <c r="O1911" t="s">
        <v>110</v>
      </c>
      <c r="P1911">
        <v>170</v>
      </c>
      <c r="Q1911" s="17">
        <v>44030.38364699074</v>
      </c>
      <c r="R1911" t="s">
        <v>126</v>
      </c>
    </row>
    <row r="1912" spans="1:18" x14ac:dyDescent="0.3">
      <c r="A1912">
        <v>9685869</v>
      </c>
      <c r="B1912" t="s">
        <v>78</v>
      </c>
      <c r="C1912">
        <v>1328964</v>
      </c>
      <c r="D1912" t="s">
        <v>78</v>
      </c>
      <c r="E1912">
        <v>820</v>
      </c>
      <c r="F1912">
        <v>820</v>
      </c>
      <c r="G1912" t="s">
        <v>136</v>
      </c>
      <c r="H1912" t="s">
        <v>249</v>
      </c>
      <c r="I1912" t="s">
        <v>78</v>
      </c>
      <c r="J1912" t="s">
        <v>42</v>
      </c>
      <c r="K1912" t="s">
        <v>83</v>
      </c>
      <c r="L1912" s="25">
        <v>44030</v>
      </c>
      <c r="M1912">
        <v>7</v>
      </c>
      <c r="N1912">
        <v>2020</v>
      </c>
      <c r="O1912" t="s">
        <v>110</v>
      </c>
      <c r="P1912">
        <v>170</v>
      </c>
      <c r="Q1912" s="17">
        <v>44030.44740474537</v>
      </c>
      <c r="R1912" t="s">
        <v>126</v>
      </c>
    </row>
    <row r="1913" spans="1:18" x14ac:dyDescent="0.3">
      <c r="A1913">
        <v>9686848</v>
      </c>
      <c r="B1913" t="s">
        <v>80</v>
      </c>
      <c r="C1913">
        <v>1329717</v>
      </c>
      <c r="D1913" t="s">
        <v>113</v>
      </c>
      <c r="E1913" t="s">
        <v>146</v>
      </c>
      <c r="F1913" t="s">
        <v>17</v>
      </c>
      <c r="G1913" t="s">
        <v>153</v>
      </c>
      <c r="H1913" t="s">
        <v>232</v>
      </c>
      <c r="I1913" t="s">
        <v>84</v>
      </c>
      <c r="J1913" t="s">
        <v>85</v>
      </c>
      <c r="K1913" t="s">
        <v>87</v>
      </c>
      <c r="L1913" s="25">
        <v>44030</v>
      </c>
      <c r="M1913">
        <v>7</v>
      </c>
      <c r="N1913">
        <v>2020</v>
      </c>
      <c r="O1913" t="s">
        <v>110</v>
      </c>
      <c r="P1913">
        <v>170</v>
      </c>
      <c r="Q1913" s="17">
        <v>44030.464526041666</v>
      </c>
      <c r="R1913" t="s">
        <v>126</v>
      </c>
    </row>
    <row r="1914" spans="1:18" x14ac:dyDescent="0.3">
      <c r="A1914">
        <v>9686877</v>
      </c>
      <c r="B1914" t="s">
        <v>80</v>
      </c>
      <c r="C1914">
        <v>1329768</v>
      </c>
      <c r="D1914" t="s">
        <v>113</v>
      </c>
      <c r="E1914" t="s">
        <v>146</v>
      </c>
      <c r="F1914" t="s">
        <v>17</v>
      </c>
      <c r="G1914" t="s">
        <v>153</v>
      </c>
      <c r="H1914" t="s">
        <v>232</v>
      </c>
      <c r="I1914" t="s">
        <v>84</v>
      </c>
      <c r="J1914" t="s">
        <v>85</v>
      </c>
      <c r="K1914" t="s">
        <v>87</v>
      </c>
      <c r="L1914" s="25">
        <v>44030</v>
      </c>
      <c r="M1914">
        <v>7</v>
      </c>
      <c r="N1914">
        <v>2020</v>
      </c>
      <c r="O1914" t="s">
        <v>110</v>
      </c>
      <c r="P1914">
        <v>170</v>
      </c>
      <c r="Q1914" s="17">
        <v>44030.468416898148</v>
      </c>
      <c r="R1914" t="s">
        <v>126</v>
      </c>
    </row>
    <row r="1915" spans="1:18" x14ac:dyDescent="0.3">
      <c r="A1915">
        <v>21527003</v>
      </c>
      <c r="B1915" t="s">
        <v>80</v>
      </c>
      <c r="C1915">
        <v>1326542</v>
      </c>
      <c r="D1915" t="s">
        <v>122</v>
      </c>
      <c r="E1915">
        <v>966</v>
      </c>
      <c r="F1915">
        <v>966</v>
      </c>
      <c r="G1915" t="s">
        <v>139</v>
      </c>
      <c r="H1915" t="s">
        <v>257</v>
      </c>
      <c r="I1915" t="s">
        <v>84</v>
      </c>
      <c r="J1915" t="s">
        <v>85</v>
      </c>
      <c r="K1915" t="s">
        <v>87</v>
      </c>
      <c r="L1915" s="25">
        <v>44030</v>
      </c>
      <c r="M1915">
        <v>7</v>
      </c>
      <c r="N1915">
        <v>2020</v>
      </c>
      <c r="O1915" t="s">
        <v>110</v>
      </c>
      <c r="P1915">
        <v>170</v>
      </c>
      <c r="Q1915" s="17">
        <v>44029.935510995369</v>
      </c>
      <c r="R1915" t="s">
        <v>126</v>
      </c>
    </row>
    <row r="1916" spans="1:18" x14ac:dyDescent="0.3">
      <c r="A1916">
        <v>21532541</v>
      </c>
      <c r="B1916" t="s">
        <v>72</v>
      </c>
      <c r="C1916">
        <v>1336452</v>
      </c>
      <c r="D1916" t="s">
        <v>108</v>
      </c>
      <c r="E1916" t="s">
        <v>26</v>
      </c>
      <c r="F1916" t="s">
        <v>26</v>
      </c>
      <c r="G1916" t="s">
        <v>137</v>
      </c>
      <c r="H1916" t="s">
        <v>229</v>
      </c>
      <c r="I1916" t="s">
        <v>84</v>
      </c>
      <c r="J1916" t="s">
        <v>85</v>
      </c>
      <c r="K1916" t="s">
        <v>83</v>
      </c>
      <c r="L1916" s="25">
        <v>44030</v>
      </c>
      <c r="M1916">
        <v>7</v>
      </c>
      <c r="N1916">
        <v>2020</v>
      </c>
      <c r="O1916" t="s">
        <v>110</v>
      </c>
      <c r="P1916">
        <v>170</v>
      </c>
      <c r="Q1916" s="17">
        <v>44031.14819699074</v>
      </c>
      <c r="R1916" t="s">
        <v>126</v>
      </c>
    </row>
    <row r="1917" spans="1:18" x14ac:dyDescent="0.3">
      <c r="A1917">
        <v>9685804</v>
      </c>
      <c r="B1917" t="s">
        <v>78</v>
      </c>
      <c r="C1917">
        <v>1329282</v>
      </c>
      <c r="D1917" t="s">
        <v>78</v>
      </c>
      <c r="E1917">
        <v>820</v>
      </c>
      <c r="F1917">
        <v>820</v>
      </c>
      <c r="G1917" t="s">
        <v>136</v>
      </c>
      <c r="H1917" t="s">
        <v>250</v>
      </c>
      <c r="I1917" t="s">
        <v>78</v>
      </c>
      <c r="J1917" t="s">
        <v>42</v>
      </c>
      <c r="K1917" t="s">
        <v>83</v>
      </c>
      <c r="L1917" s="25">
        <v>44030</v>
      </c>
      <c r="M1917">
        <v>7</v>
      </c>
      <c r="N1917">
        <v>2020</v>
      </c>
      <c r="O1917" t="s">
        <v>110</v>
      </c>
      <c r="P1917">
        <v>170</v>
      </c>
      <c r="Q1917" s="17">
        <v>44030.457908796299</v>
      </c>
      <c r="R1917" t="s">
        <v>126</v>
      </c>
    </row>
    <row r="1918" spans="1:18" x14ac:dyDescent="0.3">
      <c r="A1918">
        <v>9687398</v>
      </c>
      <c r="B1918" t="s">
        <v>72</v>
      </c>
      <c r="C1918">
        <v>1331389</v>
      </c>
      <c r="D1918" t="s">
        <v>108</v>
      </c>
      <c r="E1918" t="s">
        <v>12</v>
      </c>
      <c r="F1918" t="s">
        <v>12</v>
      </c>
      <c r="G1918" t="s">
        <v>135</v>
      </c>
      <c r="H1918" t="s">
        <v>229</v>
      </c>
      <c r="I1918" t="s">
        <v>84</v>
      </c>
      <c r="J1918" t="s">
        <v>85</v>
      </c>
      <c r="K1918" t="s">
        <v>83</v>
      </c>
      <c r="L1918" s="25">
        <v>44030</v>
      </c>
      <c r="M1918">
        <v>7</v>
      </c>
      <c r="N1918">
        <v>2020</v>
      </c>
      <c r="O1918" t="s">
        <v>110</v>
      </c>
      <c r="P1918">
        <v>170</v>
      </c>
      <c r="Q1918" s="17">
        <v>44030.381068750001</v>
      </c>
      <c r="R1918" t="s">
        <v>126</v>
      </c>
    </row>
    <row r="1919" spans="1:18" x14ac:dyDescent="0.3">
      <c r="A1919">
        <v>9687023</v>
      </c>
      <c r="B1919" t="s">
        <v>80</v>
      </c>
      <c r="C1919">
        <v>1330253</v>
      </c>
      <c r="D1919" t="s">
        <v>122</v>
      </c>
      <c r="E1919" t="s">
        <v>146</v>
      </c>
      <c r="F1919" t="s">
        <v>17</v>
      </c>
      <c r="G1919" t="s">
        <v>153</v>
      </c>
      <c r="H1919" t="s">
        <v>228</v>
      </c>
      <c r="I1919" t="s">
        <v>84</v>
      </c>
      <c r="J1919" t="s">
        <v>85</v>
      </c>
      <c r="K1919" t="s">
        <v>87</v>
      </c>
      <c r="L1919" s="25">
        <v>44030</v>
      </c>
      <c r="M1919">
        <v>7</v>
      </c>
      <c r="N1919">
        <v>2020</v>
      </c>
      <c r="O1919" t="s">
        <v>110</v>
      </c>
      <c r="P1919">
        <v>170</v>
      </c>
      <c r="Q1919" s="17">
        <v>44030.137771527778</v>
      </c>
      <c r="R1919" t="s">
        <v>126</v>
      </c>
    </row>
    <row r="1920" spans="1:18" x14ac:dyDescent="0.3">
      <c r="A1920">
        <v>9684723</v>
      </c>
      <c r="B1920" t="s">
        <v>72</v>
      </c>
      <c r="C1920">
        <v>1328764</v>
      </c>
      <c r="D1920" t="s">
        <v>108</v>
      </c>
      <c r="E1920">
        <v>845</v>
      </c>
      <c r="F1920">
        <v>845</v>
      </c>
      <c r="G1920" t="s">
        <v>130</v>
      </c>
      <c r="H1920" t="s">
        <v>229</v>
      </c>
      <c r="I1920" t="s">
        <v>84</v>
      </c>
      <c r="J1920" t="s">
        <v>85</v>
      </c>
      <c r="K1920" t="s">
        <v>87</v>
      </c>
      <c r="L1920" s="25">
        <v>44030</v>
      </c>
      <c r="M1920">
        <v>7</v>
      </c>
      <c r="N1920">
        <v>2020</v>
      </c>
      <c r="O1920" t="s">
        <v>110</v>
      </c>
      <c r="P1920">
        <v>170</v>
      </c>
      <c r="Q1920" s="17">
        <v>44030.305568981479</v>
      </c>
      <c r="R1920" t="s">
        <v>126</v>
      </c>
    </row>
    <row r="1921" spans="1:18" x14ac:dyDescent="0.3">
      <c r="A1921">
        <v>9685824</v>
      </c>
      <c r="B1921" t="s">
        <v>72</v>
      </c>
      <c r="C1921">
        <v>1328913</v>
      </c>
      <c r="D1921" t="s">
        <v>108</v>
      </c>
      <c r="E1921">
        <v>820</v>
      </c>
      <c r="F1921">
        <v>820</v>
      </c>
      <c r="G1921" t="s">
        <v>136</v>
      </c>
      <c r="H1921" t="s">
        <v>270</v>
      </c>
      <c r="I1921" t="s">
        <v>82</v>
      </c>
      <c r="J1921" t="s">
        <v>42</v>
      </c>
      <c r="K1921" t="s">
        <v>83</v>
      </c>
      <c r="L1921" s="25">
        <v>44030</v>
      </c>
      <c r="M1921">
        <v>7</v>
      </c>
      <c r="N1921">
        <v>2020</v>
      </c>
      <c r="O1921" t="s">
        <v>110</v>
      </c>
      <c r="P1921">
        <v>170</v>
      </c>
      <c r="Q1921" s="17">
        <v>44030.441645601852</v>
      </c>
      <c r="R1921" t="s">
        <v>126</v>
      </c>
    </row>
    <row r="1922" spans="1:18" x14ac:dyDescent="0.3">
      <c r="A1922">
        <v>9686562</v>
      </c>
      <c r="B1922" t="s">
        <v>78</v>
      </c>
      <c r="C1922">
        <v>1329700</v>
      </c>
      <c r="D1922" t="s">
        <v>78</v>
      </c>
      <c r="E1922" t="s">
        <v>146</v>
      </c>
      <c r="F1922" t="s">
        <v>17</v>
      </c>
      <c r="G1922" t="s">
        <v>147</v>
      </c>
      <c r="H1922" t="s">
        <v>134</v>
      </c>
      <c r="I1922" t="s">
        <v>78</v>
      </c>
      <c r="J1922" t="s">
        <v>42</v>
      </c>
      <c r="K1922" t="s">
        <v>87</v>
      </c>
      <c r="L1922" s="25">
        <v>44030</v>
      </c>
      <c r="M1922">
        <v>7</v>
      </c>
      <c r="N1922">
        <v>2020</v>
      </c>
      <c r="O1922" t="s">
        <v>110</v>
      </c>
      <c r="P1922">
        <v>170</v>
      </c>
      <c r="Q1922" s="17">
        <v>44030.451960763887</v>
      </c>
      <c r="R1922" t="s">
        <v>126</v>
      </c>
    </row>
    <row r="1923" spans="1:18" x14ac:dyDescent="0.3">
      <c r="A1923">
        <v>9685125</v>
      </c>
      <c r="B1923" t="s">
        <v>72</v>
      </c>
      <c r="C1923">
        <v>1331521</v>
      </c>
      <c r="D1923" t="s">
        <v>108</v>
      </c>
      <c r="E1923" t="s">
        <v>26</v>
      </c>
      <c r="F1923" t="s">
        <v>26</v>
      </c>
      <c r="G1923" t="s">
        <v>137</v>
      </c>
      <c r="H1923" t="s">
        <v>229</v>
      </c>
      <c r="I1923" t="s">
        <v>84</v>
      </c>
      <c r="J1923" t="s">
        <v>85</v>
      </c>
      <c r="K1923" t="s">
        <v>83</v>
      </c>
      <c r="L1923" s="25">
        <v>44030</v>
      </c>
      <c r="M1923">
        <v>7</v>
      </c>
      <c r="N1923">
        <v>2020</v>
      </c>
      <c r="O1923" t="s">
        <v>110</v>
      </c>
      <c r="P1923">
        <v>170</v>
      </c>
      <c r="Q1923" s="17">
        <v>44030.381399999998</v>
      </c>
      <c r="R1923" t="s">
        <v>126</v>
      </c>
    </row>
    <row r="1924" spans="1:18" x14ac:dyDescent="0.3">
      <c r="A1924">
        <v>9685667</v>
      </c>
      <c r="B1924" t="s">
        <v>78</v>
      </c>
      <c r="C1924">
        <v>1329832</v>
      </c>
      <c r="D1924" t="s">
        <v>78</v>
      </c>
      <c r="E1924">
        <v>820</v>
      </c>
      <c r="F1924">
        <v>820</v>
      </c>
      <c r="G1924" t="s">
        <v>136</v>
      </c>
      <c r="H1924" t="s">
        <v>250</v>
      </c>
      <c r="I1924" t="s">
        <v>78</v>
      </c>
      <c r="J1924" t="s">
        <v>42</v>
      </c>
      <c r="K1924" t="s">
        <v>83</v>
      </c>
      <c r="L1924" s="25">
        <v>44030</v>
      </c>
      <c r="M1924">
        <v>7</v>
      </c>
      <c r="N1924">
        <v>2020</v>
      </c>
      <c r="O1924" t="s">
        <v>110</v>
      </c>
      <c r="P1924">
        <v>170</v>
      </c>
      <c r="Q1924" s="17">
        <v>44030.479382986108</v>
      </c>
      <c r="R1924" t="s">
        <v>126</v>
      </c>
    </row>
    <row r="1925" spans="1:18" x14ac:dyDescent="0.3">
      <c r="A1925">
        <v>9681086</v>
      </c>
      <c r="B1925" t="s">
        <v>72</v>
      </c>
      <c r="C1925">
        <v>1331504</v>
      </c>
      <c r="D1925" t="s">
        <v>108</v>
      </c>
      <c r="E1925" t="s">
        <v>26</v>
      </c>
      <c r="F1925" t="s">
        <v>26</v>
      </c>
      <c r="G1925" t="s">
        <v>137</v>
      </c>
      <c r="H1925" t="s">
        <v>229</v>
      </c>
      <c r="I1925" t="s">
        <v>84</v>
      </c>
      <c r="J1925" t="s">
        <v>85</v>
      </c>
      <c r="K1925" t="s">
        <v>83</v>
      </c>
      <c r="L1925" s="25">
        <v>44030</v>
      </c>
      <c r="M1925">
        <v>7</v>
      </c>
      <c r="N1925">
        <v>2020</v>
      </c>
      <c r="O1925" t="s">
        <v>110</v>
      </c>
      <c r="P1925">
        <v>170</v>
      </c>
      <c r="Q1925" s="17">
        <v>44030.380753472222</v>
      </c>
      <c r="R1925" t="s">
        <v>126</v>
      </c>
    </row>
    <row r="1926" spans="1:18" x14ac:dyDescent="0.3">
      <c r="A1926">
        <v>9686929</v>
      </c>
      <c r="B1926" t="s">
        <v>80</v>
      </c>
      <c r="C1926">
        <v>1329818</v>
      </c>
      <c r="D1926" t="s">
        <v>113</v>
      </c>
      <c r="E1926" t="s">
        <v>146</v>
      </c>
      <c r="F1926" t="s">
        <v>17</v>
      </c>
      <c r="G1926" t="s">
        <v>153</v>
      </c>
      <c r="H1926" t="s">
        <v>232</v>
      </c>
      <c r="I1926" t="s">
        <v>84</v>
      </c>
      <c r="J1926" t="s">
        <v>85</v>
      </c>
      <c r="K1926" t="s">
        <v>87</v>
      </c>
      <c r="L1926" s="25">
        <v>44030</v>
      </c>
      <c r="M1926">
        <v>7</v>
      </c>
      <c r="N1926">
        <v>2020</v>
      </c>
      <c r="O1926" t="s">
        <v>110</v>
      </c>
      <c r="P1926">
        <v>170</v>
      </c>
      <c r="Q1926" s="17">
        <v>44030.482584259262</v>
      </c>
      <c r="R1926" t="s">
        <v>126</v>
      </c>
    </row>
    <row r="1927" spans="1:18" x14ac:dyDescent="0.3">
      <c r="A1927">
        <v>244728</v>
      </c>
      <c r="B1927" t="s">
        <v>72</v>
      </c>
      <c r="C1927">
        <v>1330167</v>
      </c>
      <c r="D1927" t="s">
        <v>108</v>
      </c>
      <c r="E1927" t="s">
        <v>142</v>
      </c>
      <c r="F1927" t="s">
        <v>17</v>
      </c>
      <c r="G1927" t="s">
        <v>143</v>
      </c>
      <c r="H1927" t="s">
        <v>263</v>
      </c>
      <c r="I1927" t="s">
        <v>82</v>
      </c>
      <c r="J1927" t="s">
        <v>42</v>
      </c>
      <c r="K1927" t="s">
        <v>87</v>
      </c>
      <c r="L1927" s="25">
        <v>44030</v>
      </c>
      <c r="M1927">
        <v>7</v>
      </c>
      <c r="N1927">
        <v>2020</v>
      </c>
      <c r="O1927" t="s">
        <v>110</v>
      </c>
      <c r="P1927">
        <v>170</v>
      </c>
      <c r="Q1927" s="17">
        <v>44030.489009837962</v>
      </c>
      <c r="R1927" t="s">
        <v>126</v>
      </c>
    </row>
    <row r="1928" spans="1:18" x14ac:dyDescent="0.3">
      <c r="A1928">
        <v>9685689</v>
      </c>
      <c r="B1928" t="s">
        <v>78</v>
      </c>
      <c r="C1928">
        <v>1328899</v>
      </c>
      <c r="D1928" t="s">
        <v>78</v>
      </c>
      <c r="E1928">
        <v>820</v>
      </c>
      <c r="F1928">
        <v>820</v>
      </c>
      <c r="G1928" t="s">
        <v>136</v>
      </c>
      <c r="H1928" t="s">
        <v>228</v>
      </c>
      <c r="I1928" t="s">
        <v>78</v>
      </c>
      <c r="J1928" t="s">
        <v>42</v>
      </c>
      <c r="K1928" t="s">
        <v>83</v>
      </c>
      <c r="L1928" s="25">
        <v>44030</v>
      </c>
      <c r="M1928">
        <v>7</v>
      </c>
      <c r="N1928">
        <v>2020</v>
      </c>
      <c r="O1928" t="s">
        <v>110</v>
      </c>
      <c r="P1928">
        <v>170</v>
      </c>
      <c r="Q1928" s="17">
        <v>44030.439858449077</v>
      </c>
      <c r="R1928" t="s">
        <v>126</v>
      </c>
    </row>
    <row r="1929" spans="1:18" x14ac:dyDescent="0.3">
      <c r="A1929">
        <v>9685814</v>
      </c>
      <c r="B1929" t="s">
        <v>78</v>
      </c>
      <c r="C1929">
        <v>1329500</v>
      </c>
      <c r="D1929" t="s">
        <v>78</v>
      </c>
      <c r="E1929">
        <v>820</v>
      </c>
      <c r="F1929">
        <v>820</v>
      </c>
      <c r="G1929" t="s">
        <v>136</v>
      </c>
      <c r="H1929" t="s">
        <v>250</v>
      </c>
      <c r="I1929" t="s">
        <v>78</v>
      </c>
      <c r="J1929" t="s">
        <v>42</v>
      </c>
      <c r="K1929" t="s">
        <v>83</v>
      </c>
      <c r="L1929" s="25">
        <v>44030</v>
      </c>
      <c r="M1929">
        <v>7</v>
      </c>
      <c r="N1929">
        <v>2020</v>
      </c>
      <c r="O1929" t="s">
        <v>110</v>
      </c>
      <c r="P1929">
        <v>170</v>
      </c>
      <c r="Q1929" s="17">
        <v>44030.470655671299</v>
      </c>
      <c r="R1929" t="s">
        <v>126</v>
      </c>
    </row>
    <row r="1930" spans="1:18" x14ac:dyDescent="0.3">
      <c r="A1930">
        <v>9686536</v>
      </c>
      <c r="B1930" t="s">
        <v>78</v>
      </c>
      <c r="C1930">
        <v>1330150</v>
      </c>
      <c r="D1930" t="s">
        <v>78</v>
      </c>
      <c r="E1930" t="s">
        <v>146</v>
      </c>
      <c r="F1930" t="s">
        <v>17</v>
      </c>
      <c r="G1930" t="s">
        <v>147</v>
      </c>
      <c r="H1930" t="s">
        <v>134</v>
      </c>
      <c r="I1930" t="s">
        <v>78</v>
      </c>
      <c r="J1930" t="s">
        <v>42</v>
      </c>
      <c r="K1930" t="s">
        <v>87</v>
      </c>
      <c r="L1930" s="25">
        <v>44030</v>
      </c>
      <c r="M1930">
        <v>7</v>
      </c>
      <c r="N1930">
        <v>2020</v>
      </c>
      <c r="O1930" t="s">
        <v>110</v>
      </c>
      <c r="P1930">
        <v>170</v>
      </c>
      <c r="Q1930" s="17">
        <v>44030.488712962964</v>
      </c>
      <c r="R1930" t="s">
        <v>126</v>
      </c>
    </row>
    <row r="1931" spans="1:18" x14ac:dyDescent="0.3">
      <c r="A1931">
        <v>9686241</v>
      </c>
      <c r="B1931" t="s">
        <v>80</v>
      </c>
      <c r="C1931">
        <v>1329649</v>
      </c>
      <c r="D1931" t="s">
        <v>113</v>
      </c>
      <c r="E1931" t="s">
        <v>146</v>
      </c>
      <c r="F1931" t="s">
        <v>17</v>
      </c>
      <c r="G1931" t="s">
        <v>153</v>
      </c>
      <c r="H1931" t="s">
        <v>232</v>
      </c>
      <c r="I1931" t="s">
        <v>84</v>
      </c>
      <c r="J1931" t="s">
        <v>85</v>
      </c>
      <c r="K1931" t="s">
        <v>87</v>
      </c>
      <c r="L1931" s="25">
        <v>44030</v>
      </c>
      <c r="M1931">
        <v>7</v>
      </c>
      <c r="N1931">
        <v>2020</v>
      </c>
      <c r="O1931" t="s">
        <v>110</v>
      </c>
      <c r="P1931">
        <v>170</v>
      </c>
      <c r="Q1931" s="17">
        <v>44030.444581828706</v>
      </c>
      <c r="R1931" t="s">
        <v>126</v>
      </c>
    </row>
    <row r="1932" spans="1:18" x14ac:dyDescent="0.3">
      <c r="A1932">
        <v>21533434</v>
      </c>
      <c r="B1932" t="s">
        <v>72</v>
      </c>
      <c r="C1932">
        <v>1333044</v>
      </c>
      <c r="D1932" t="s">
        <v>108</v>
      </c>
      <c r="E1932" t="s">
        <v>12</v>
      </c>
      <c r="F1932" t="s">
        <v>12</v>
      </c>
      <c r="G1932" t="s">
        <v>135</v>
      </c>
      <c r="H1932" t="s">
        <v>229</v>
      </c>
      <c r="I1932" t="s">
        <v>84</v>
      </c>
      <c r="J1932" t="s">
        <v>85</v>
      </c>
      <c r="K1932" t="s">
        <v>83</v>
      </c>
      <c r="L1932" s="25">
        <v>44030</v>
      </c>
      <c r="M1932">
        <v>7</v>
      </c>
      <c r="N1932">
        <v>2020</v>
      </c>
      <c r="O1932" t="s">
        <v>110</v>
      </c>
      <c r="P1932">
        <v>170</v>
      </c>
      <c r="Q1932" s="17">
        <v>44031.08074513889</v>
      </c>
      <c r="R1932" t="s">
        <v>126</v>
      </c>
    </row>
    <row r="1933" spans="1:18" x14ac:dyDescent="0.3">
      <c r="A1933">
        <v>242596</v>
      </c>
      <c r="B1933" t="s">
        <v>72</v>
      </c>
      <c r="C1933">
        <v>1325756</v>
      </c>
      <c r="D1933" t="s">
        <v>108</v>
      </c>
      <c r="E1933">
        <v>966</v>
      </c>
      <c r="F1933">
        <v>966</v>
      </c>
      <c r="G1933" t="s">
        <v>139</v>
      </c>
      <c r="H1933" t="s">
        <v>294</v>
      </c>
      <c r="I1933" t="s">
        <v>82</v>
      </c>
      <c r="J1933" t="s">
        <v>42</v>
      </c>
      <c r="K1933" t="s">
        <v>87</v>
      </c>
      <c r="L1933" s="25">
        <v>44030</v>
      </c>
      <c r="M1933">
        <v>7</v>
      </c>
      <c r="N1933">
        <v>2020</v>
      </c>
      <c r="O1933" t="s">
        <v>110</v>
      </c>
      <c r="P1933">
        <v>170</v>
      </c>
      <c r="Q1933" s="17">
        <v>44030.48376145833</v>
      </c>
      <c r="R1933" t="s">
        <v>126</v>
      </c>
    </row>
    <row r="1934" spans="1:18" x14ac:dyDescent="0.3">
      <c r="A1934">
        <v>9686931</v>
      </c>
      <c r="B1934" t="s">
        <v>80</v>
      </c>
      <c r="C1934">
        <v>1329835</v>
      </c>
      <c r="D1934" t="s">
        <v>113</v>
      </c>
      <c r="E1934" t="s">
        <v>146</v>
      </c>
      <c r="F1934" t="s">
        <v>17</v>
      </c>
      <c r="G1934" t="s">
        <v>153</v>
      </c>
      <c r="H1934" t="s">
        <v>232</v>
      </c>
      <c r="I1934" t="s">
        <v>84</v>
      </c>
      <c r="J1934" t="s">
        <v>85</v>
      </c>
      <c r="K1934" t="s">
        <v>87</v>
      </c>
      <c r="L1934" s="25">
        <v>44030</v>
      </c>
      <c r="M1934">
        <v>7</v>
      </c>
      <c r="N1934">
        <v>2020</v>
      </c>
      <c r="O1934" t="s">
        <v>110</v>
      </c>
      <c r="P1934">
        <v>170</v>
      </c>
      <c r="Q1934" s="17">
        <v>44030.480733796299</v>
      </c>
      <c r="R1934" t="s">
        <v>126</v>
      </c>
    </row>
    <row r="1935" spans="1:18" x14ac:dyDescent="0.3">
      <c r="A1935">
        <v>9685706</v>
      </c>
      <c r="B1935" t="s">
        <v>72</v>
      </c>
      <c r="C1935">
        <v>1328896</v>
      </c>
      <c r="D1935" t="s">
        <v>108</v>
      </c>
      <c r="E1935">
        <v>820</v>
      </c>
      <c r="F1935">
        <v>820</v>
      </c>
      <c r="G1935" t="s">
        <v>136</v>
      </c>
      <c r="H1935" t="s">
        <v>270</v>
      </c>
      <c r="I1935" t="s">
        <v>82</v>
      </c>
      <c r="J1935" t="s">
        <v>42</v>
      </c>
      <c r="K1935" t="s">
        <v>83</v>
      </c>
      <c r="L1935" s="25">
        <v>44030</v>
      </c>
      <c r="M1935">
        <v>7</v>
      </c>
      <c r="N1935">
        <v>2020</v>
      </c>
      <c r="O1935" t="s">
        <v>110</v>
      </c>
      <c r="P1935">
        <v>170</v>
      </c>
      <c r="Q1935" s="17">
        <v>44030.443973958332</v>
      </c>
      <c r="R1935" t="s">
        <v>126</v>
      </c>
    </row>
    <row r="1936" spans="1:18" x14ac:dyDescent="0.3">
      <c r="A1936">
        <v>9687675</v>
      </c>
      <c r="B1936" t="s">
        <v>78</v>
      </c>
      <c r="C1936">
        <v>1330568</v>
      </c>
      <c r="D1936" t="s">
        <v>78</v>
      </c>
      <c r="E1936">
        <v>820</v>
      </c>
      <c r="F1936">
        <v>820</v>
      </c>
      <c r="G1936" t="s">
        <v>136</v>
      </c>
      <c r="H1936" t="s">
        <v>249</v>
      </c>
      <c r="I1936" t="s">
        <v>78</v>
      </c>
      <c r="J1936" t="s">
        <v>42</v>
      </c>
      <c r="K1936" t="s">
        <v>83</v>
      </c>
      <c r="L1936" s="25">
        <v>44030</v>
      </c>
      <c r="M1936">
        <v>7</v>
      </c>
      <c r="N1936">
        <v>2020</v>
      </c>
      <c r="O1936" t="s">
        <v>110</v>
      </c>
      <c r="P1936">
        <v>170</v>
      </c>
      <c r="Q1936" s="17">
        <v>44030.489814004628</v>
      </c>
      <c r="R1936" t="s">
        <v>126</v>
      </c>
    </row>
    <row r="1937" spans="1:18" x14ac:dyDescent="0.3">
      <c r="A1937">
        <v>9685902</v>
      </c>
      <c r="B1937" t="s">
        <v>78</v>
      </c>
      <c r="C1937">
        <v>1329431</v>
      </c>
      <c r="D1937" t="s">
        <v>78</v>
      </c>
      <c r="E1937">
        <v>820</v>
      </c>
      <c r="F1937">
        <v>820</v>
      </c>
      <c r="G1937" t="s">
        <v>136</v>
      </c>
      <c r="H1937" t="s">
        <v>249</v>
      </c>
      <c r="I1937" t="s">
        <v>78</v>
      </c>
      <c r="J1937" t="s">
        <v>42</v>
      </c>
      <c r="K1937" t="s">
        <v>83</v>
      </c>
      <c r="L1937" s="25">
        <v>44030</v>
      </c>
      <c r="M1937">
        <v>7</v>
      </c>
      <c r="N1937">
        <v>2020</v>
      </c>
      <c r="O1937" t="s">
        <v>110</v>
      </c>
      <c r="P1937">
        <v>170</v>
      </c>
      <c r="Q1937" s="17">
        <v>44030.472530902778</v>
      </c>
      <c r="R1937" t="s">
        <v>126</v>
      </c>
    </row>
    <row r="1938" spans="1:18" x14ac:dyDescent="0.3">
      <c r="A1938">
        <v>9685762</v>
      </c>
      <c r="B1938" t="s">
        <v>78</v>
      </c>
      <c r="C1938">
        <v>1329231</v>
      </c>
      <c r="D1938" t="s">
        <v>78</v>
      </c>
      <c r="E1938">
        <v>820</v>
      </c>
      <c r="F1938">
        <v>820</v>
      </c>
      <c r="G1938" t="s">
        <v>136</v>
      </c>
      <c r="H1938" t="s">
        <v>250</v>
      </c>
      <c r="I1938" t="s">
        <v>78</v>
      </c>
      <c r="J1938" t="s">
        <v>42</v>
      </c>
      <c r="K1938" t="s">
        <v>83</v>
      </c>
      <c r="L1938" s="25">
        <v>44030</v>
      </c>
      <c r="M1938">
        <v>7</v>
      </c>
      <c r="N1938">
        <v>2020</v>
      </c>
      <c r="O1938" t="s">
        <v>110</v>
      </c>
      <c r="P1938">
        <v>170</v>
      </c>
      <c r="Q1938" s="17">
        <v>44030.455284606483</v>
      </c>
      <c r="R1938" t="s">
        <v>126</v>
      </c>
    </row>
    <row r="1939" spans="1:18" x14ac:dyDescent="0.3">
      <c r="L1939" s="25"/>
      <c r="Q1939" s="17"/>
    </row>
    <row r="1940" spans="1:18" x14ac:dyDescent="0.3">
      <c r="L1940" s="25"/>
      <c r="Q1940" s="17"/>
    </row>
    <row r="1941" spans="1:18" x14ac:dyDescent="0.3">
      <c r="L1941" s="25"/>
      <c r="Q1941" s="17"/>
    </row>
    <row r="1942" spans="1:18" x14ac:dyDescent="0.3">
      <c r="L1942" s="25"/>
      <c r="Q1942" s="17"/>
    </row>
    <row r="1943" spans="1:18" x14ac:dyDescent="0.3">
      <c r="L1943" s="25"/>
      <c r="Q1943" s="17"/>
    </row>
    <row r="1944" spans="1:18" x14ac:dyDescent="0.3">
      <c r="L1944" s="25"/>
      <c r="Q1944" s="17"/>
    </row>
    <row r="1945" spans="1:18" x14ac:dyDescent="0.3">
      <c r="L1945" s="25"/>
      <c r="Q1945" s="17"/>
    </row>
    <row r="1946" spans="1:18" x14ac:dyDescent="0.3">
      <c r="L1946" s="25"/>
      <c r="Q1946" s="17"/>
    </row>
    <row r="1947" spans="1:18" x14ac:dyDescent="0.3">
      <c r="L1947" s="25"/>
      <c r="Q1947" s="17"/>
    </row>
    <row r="1948" spans="1:18" x14ac:dyDescent="0.3">
      <c r="L1948" s="25"/>
      <c r="Q1948" s="17"/>
    </row>
    <row r="1949" spans="1:18" x14ac:dyDescent="0.3">
      <c r="L1949" s="25"/>
      <c r="Q1949" s="17"/>
    </row>
    <row r="1950" spans="1:18" x14ac:dyDescent="0.3">
      <c r="L1950" s="25"/>
      <c r="Q1950" s="17"/>
    </row>
    <row r="1951" spans="1:18" x14ac:dyDescent="0.3">
      <c r="L1951" s="25"/>
      <c r="Q1951" s="17"/>
    </row>
    <row r="1952" spans="1:18" x14ac:dyDescent="0.3">
      <c r="L1952" s="25"/>
      <c r="Q1952" s="17"/>
    </row>
    <row r="1953" spans="12:17" x14ac:dyDescent="0.3">
      <c r="L1953" s="25"/>
      <c r="Q1953" s="17"/>
    </row>
    <row r="1954" spans="12:17" x14ac:dyDescent="0.3">
      <c r="L1954" s="25"/>
      <c r="Q1954" s="17"/>
    </row>
    <row r="1955" spans="12:17" x14ac:dyDescent="0.3">
      <c r="L1955" s="25"/>
      <c r="Q1955" s="17"/>
    </row>
    <row r="1956" spans="12:17" x14ac:dyDescent="0.3">
      <c r="L1956" s="25"/>
      <c r="Q1956" s="17"/>
    </row>
    <row r="1957" spans="12:17" x14ac:dyDescent="0.3">
      <c r="L1957" s="25"/>
      <c r="Q1957" s="17"/>
    </row>
    <row r="1958" spans="12:17" x14ac:dyDescent="0.3">
      <c r="L1958" s="25"/>
      <c r="Q1958" s="17"/>
    </row>
    <row r="1959" spans="12:17" x14ac:dyDescent="0.3">
      <c r="L1959" s="25"/>
      <c r="Q1959" s="17"/>
    </row>
    <row r="1960" spans="12:17" x14ac:dyDescent="0.3">
      <c r="L1960" s="25"/>
      <c r="Q1960" s="17"/>
    </row>
    <row r="1961" spans="12:17" x14ac:dyDescent="0.3">
      <c r="L1961" s="25"/>
      <c r="Q1961" s="17"/>
    </row>
    <row r="1962" spans="12:17" x14ac:dyDescent="0.3">
      <c r="L1962" s="25"/>
      <c r="Q1962" s="17"/>
    </row>
    <row r="1963" spans="12:17" x14ac:dyDescent="0.3">
      <c r="L1963" s="25"/>
      <c r="Q1963" s="17"/>
    </row>
    <row r="1964" spans="12:17" x14ac:dyDescent="0.3">
      <c r="L1964" s="25"/>
      <c r="Q1964" s="17"/>
    </row>
    <row r="1965" spans="12:17" x14ac:dyDescent="0.3">
      <c r="L1965" s="25"/>
      <c r="Q1965" s="17"/>
    </row>
    <row r="1966" spans="12:17" x14ac:dyDescent="0.3">
      <c r="L1966" s="25"/>
      <c r="Q1966" s="17"/>
    </row>
    <row r="1967" spans="12:17" x14ac:dyDescent="0.3">
      <c r="L1967" s="25"/>
      <c r="Q1967" s="17"/>
    </row>
    <row r="1968" spans="12:17" x14ac:dyDescent="0.3">
      <c r="L1968" s="25"/>
      <c r="Q1968" s="17"/>
    </row>
    <row r="1969" spans="12:17" x14ac:dyDescent="0.3">
      <c r="L1969" s="25"/>
      <c r="Q1969" s="17"/>
    </row>
    <row r="1970" spans="12:17" x14ac:dyDescent="0.3">
      <c r="L1970" s="25"/>
      <c r="Q1970" s="17"/>
    </row>
    <row r="1971" spans="12:17" x14ac:dyDescent="0.3">
      <c r="L1971" s="25"/>
      <c r="Q1971" s="17"/>
    </row>
    <row r="1972" spans="12:17" x14ac:dyDescent="0.3">
      <c r="L1972" s="25"/>
      <c r="Q1972" s="17"/>
    </row>
    <row r="1973" spans="12:17" x14ac:dyDescent="0.3">
      <c r="L1973" s="25"/>
      <c r="Q1973" s="17"/>
    </row>
    <row r="1974" spans="12:17" x14ac:dyDescent="0.3">
      <c r="L1974" s="25"/>
      <c r="Q1974" s="17"/>
    </row>
    <row r="1975" spans="12:17" x14ac:dyDescent="0.3">
      <c r="L1975" s="25"/>
      <c r="Q1975" s="17"/>
    </row>
    <row r="1976" spans="12:17" x14ac:dyDescent="0.3">
      <c r="L1976" s="25"/>
      <c r="Q1976" s="17"/>
    </row>
    <row r="1977" spans="12:17" x14ac:dyDescent="0.3">
      <c r="L1977" s="25"/>
      <c r="Q1977" s="17"/>
    </row>
    <row r="1978" spans="12:17" x14ac:dyDescent="0.3">
      <c r="L1978" s="25"/>
      <c r="Q1978" s="17"/>
    </row>
    <row r="1979" spans="12:17" x14ac:dyDescent="0.3">
      <c r="L1979" s="25"/>
      <c r="Q1979" s="17"/>
    </row>
    <row r="1980" spans="12:17" x14ac:dyDescent="0.3">
      <c r="L1980" s="25"/>
      <c r="Q1980" s="17"/>
    </row>
    <row r="1981" spans="12:17" x14ac:dyDescent="0.3">
      <c r="L1981" s="25"/>
      <c r="Q1981" s="17"/>
    </row>
    <row r="1982" spans="12:17" x14ac:dyDescent="0.3">
      <c r="L1982" s="25"/>
      <c r="Q1982" s="17"/>
    </row>
    <row r="1983" spans="12:17" x14ac:dyDescent="0.3">
      <c r="L1983" s="25"/>
      <c r="Q1983" s="17"/>
    </row>
    <row r="1984" spans="12:17" x14ac:dyDescent="0.3">
      <c r="L1984" s="25"/>
      <c r="Q1984" s="17"/>
    </row>
    <row r="1985" spans="12:17" x14ac:dyDescent="0.3">
      <c r="L1985" s="25"/>
      <c r="Q1985" s="17"/>
    </row>
    <row r="1986" spans="12:17" x14ac:dyDescent="0.3">
      <c r="L1986" s="25"/>
      <c r="Q1986" s="17"/>
    </row>
    <row r="1987" spans="12:17" x14ac:dyDescent="0.3">
      <c r="L1987" s="25"/>
      <c r="Q1987" s="17"/>
    </row>
    <row r="1988" spans="12:17" x14ac:dyDescent="0.3">
      <c r="L1988" s="25"/>
      <c r="Q1988" s="17"/>
    </row>
    <row r="1989" spans="12:17" x14ac:dyDescent="0.3">
      <c r="L1989" s="25"/>
      <c r="Q1989" s="17"/>
    </row>
    <row r="1990" spans="12:17" x14ac:dyDescent="0.3">
      <c r="L1990" s="25"/>
      <c r="Q1990" s="17"/>
    </row>
    <row r="1991" spans="12:17" x14ac:dyDescent="0.3">
      <c r="L1991" s="25"/>
      <c r="Q1991" s="17"/>
    </row>
    <row r="1992" spans="12:17" x14ac:dyDescent="0.3">
      <c r="L1992" s="25"/>
      <c r="Q1992" s="17"/>
    </row>
    <row r="1993" spans="12:17" x14ac:dyDescent="0.3">
      <c r="L1993" s="25"/>
      <c r="Q1993" s="17"/>
    </row>
    <row r="1994" spans="12:17" x14ac:dyDescent="0.3">
      <c r="L1994" s="25"/>
      <c r="Q1994" s="17"/>
    </row>
    <row r="1995" spans="12:17" x14ac:dyDescent="0.3">
      <c r="L1995" s="25"/>
      <c r="Q1995" s="17"/>
    </row>
    <row r="1996" spans="12:17" x14ac:dyDescent="0.3">
      <c r="L1996" s="25"/>
      <c r="Q1996" s="17"/>
    </row>
    <row r="1997" spans="12:17" x14ac:dyDescent="0.3">
      <c r="L1997" s="25"/>
      <c r="Q1997" s="17"/>
    </row>
    <row r="1998" spans="12:17" x14ac:dyDescent="0.3">
      <c r="L1998" s="25"/>
      <c r="Q1998" s="17"/>
    </row>
    <row r="1999" spans="12:17" x14ac:dyDescent="0.3">
      <c r="L1999" s="25"/>
      <c r="Q1999" s="17"/>
    </row>
    <row r="2000" spans="12:17" x14ac:dyDescent="0.3">
      <c r="L2000" s="25"/>
      <c r="Q2000" s="17"/>
    </row>
    <row r="2001" spans="12:17" x14ac:dyDescent="0.3">
      <c r="L2001" s="25"/>
      <c r="Q2001" s="17"/>
    </row>
    <row r="2002" spans="12:17" x14ac:dyDescent="0.3">
      <c r="L2002" s="25"/>
      <c r="Q2002" s="17"/>
    </row>
    <row r="2003" spans="12:17" x14ac:dyDescent="0.3">
      <c r="L2003" s="25"/>
      <c r="Q2003" s="17"/>
    </row>
    <row r="2004" spans="12:17" x14ac:dyDescent="0.3">
      <c r="L2004" s="25"/>
      <c r="Q2004" s="17"/>
    </row>
    <row r="2005" spans="12:17" x14ac:dyDescent="0.3">
      <c r="L2005" s="25"/>
      <c r="Q2005" s="17"/>
    </row>
    <row r="2006" spans="12:17" x14ac:dyDescent="0.3">
      <c r="L2006" s="25"/>
      <c r="Q2006" s="17"/>
    </row>
    <row r="2007" spans="12:17" x14ac:dyDescent="0.3">
      <c r="L2007" s="25"/>
      <c r="Q2007" s="17"/>
    </row>
    <row r="2008" spans="12:17" x14ac:dyDescent="0.3">
      <c r="L2008" s="25"/>
      <c r="Q2008" s="17"/>
    </row>
    <row r="2009" spans="12:17" x14ac:dyDescent="0.3">
      <c r="L2009" s="25"/>
      <c r="Q2009" s="17"/>
    </row>
    <row r="2010" spans="12:17" x14ac:dyDescent="0.3">
      <c r="L2010" s="25"/>
      <c r="Q2010" s="17"/>
    </row>
    <row r="2011" spans="12:17" x14ac:dyDescent="0.3">
      <c r="L2011" s="25"/>
      <c r="Q2011" s="17"/>
    </row>
    <row r="2012" spans="12:17" x14ac:dyDescent="0.3">
      <c r="L2012" s="25"/>
      <c r="Q2012" s="17"/>
    </row>
    <row r="2013" spans="12:17" x14ac:dyDescent="0.3">
      <c r="L2013" s="25"/>
      <c r="Q2013" s="17"/>
    </row>
    <row r="2014" spans="12:17" x14ac:dyDescent="0.3">
      <c r="L2014" s="25"/>
      <c r="Q2014" s="17"/>
    </row>
    <row r="2015" spans="12:17" x14ac:dyDescent="0.3">
      <c r="L2015" s="25"/>
      <c r="Q2015" s="17"/>
    </row>
    <row r="2016" spans="12:17" x14ac:dyDescent="0.3">
      <c r="L2016" s="25"/>
      <c r="Q2016" s="17"/>
    </row>
    <row r="2017" spans="12:17" x14ac:dyDescent="0.3">
      <c r="L2017" s="25"/>
      <c r="Q2017" s="17"/>
    </row>
    <row r="2018" spans="12:17" x14ac:dyDescent="0.3">
      <c r="L2018" s="25"/>
      <c r="Q2018" s="17"/>
    </row>
    <row r="2019" spans="12:17" x14ac:dyDescent="0.3">
      <c r="L2019" s="25"/>
      <c r="Q2019" s="17"/>
    </row>
    <row r="2020" spans="12:17" x14ac:dyDescent="0.3">
      <c r="L2020" s="25"/>
      <c r="Q2020" s="17"/>
    </row>
    <row r="2021" spans="12:17" x14ac:dyDescent="0.3">
      <c r="L2021" s="25"/>
      <c r="Q2021" s="17"/>
    </row>
    <row r="2022" spans="12:17" x14ac:dyDescent="0.3">
      <c r="L2022" s="25"/>
      <c r="Q2022" s="17"/>
    </row>
    <row r="2023" spans="12:17" x14ac:dyDescent="0.3">
      <c r="L2023" s="25"/>
      <c r="Q2023" s="17"/>
    </row>
    <row r="2024" spans="12:17" x14ac:dyDescent="0.3">
      <c r="L2024" s="25"/>
      <c r="Q2024" s="17"/>
    </row>
    <row r="2025" spans="12:17" x14ac:dyDescent="0.3">
      <c r="L2025" s="25"/>
      <c r="Q2025" s="17"/>
    </row>
    <row r="2026" spans="12:17" x14ac:dyDescent="0.3">
      <c r="L2026" s="25"/>
      <c r="Q2026" s="17"/>
    </row>
    <row r="2027" spans="12:17" x14ac:dyDescent="0.3">
      <c r="L2027" s="25"/>
      <c r="Q2027" s="17"/>
    </row>
    <row r="2028" spans="12:17" x14ac:dyDescent="0.3">
      <c r="L2028" s="25"/>
      <c r="Q2028" s="17"/>
    </row>
    <row r="2029" spans="12:17" x14ac:dyDescent="0.3">
      <c r="L2029" s="25"/>
      <c r="Q2029" s="17"/>
    </row>
    <row r="2030" spans="12:17" x14ac:dyDescent="0.3">
      <c r="L2030" s="25"/>
      <c r="Q2030" s="17"/>
    </row>
    <row r="2031" spans="12:17" x14ac:dyDescent="0.3">
      <c r="L2031" s="25"/>
      <c r="Q2031" s="17"/>
    </row>
    <row r="2032" spans="12:17" x14ac:dyDescent="0.3">
      <c r="L2032" s="25"/>
      <c r="Q2032" s="17"/>
    </row>
    <row r="2033" spans="12:17" x14ac:dyDescent="0.3">
      <c r="L2033" s="25"/>
      <c r="Q2033" s="17"/>
    </row>
    <row r="2034" spans="12:17" x14ac:dyDescent="0.3">
      <c r="L2034" s="25"/>
      <c r="Q2034" s="17"/>
    </row>
    <row r="2035" spans="12:17" x14ac:dyDescent="0.3">
      <c r="L2035" s="25"/>
      <c r="Q2035" s="17"/>
    </row>
    <row r="2036" spans="12:17" x14ac:dyDescent="0.3">
      <c r="L2036" s="25"/>
      <c r="Q2036" s="17"/>
    </row>
    <row r="2037" spans="12:17" x14ac:dyDescent="0.3">
      <c r="L2037" s="25"/>
      <c r="Q2037" s="17"/>
    </row>
    <row r="2038" spans="12:17" x14ac:dyDescent="0.3">
      <c r="L2038" s="25"/>
      <c r="Q2038" s="17"/>
    </row>
    <row r="2039" spans="12:17" x14ac:dyDescent="0.3">
      <c r="L2039" s="25"/>
      <c r="Q2039" s="17"/>
    </row>
    <row r="2040" spans="12:17" x14ac:dyDescent="0.3">
      <c r="L2040" s="25"/>
      <c r="Q2040" s="17"/>
    </row>
    <row r="2041" spans="12:17" x14ac:dyDescent="0.3">
      <c r="L2041" s="25"/>
      <c r="Q2041" s="17"/>
    </row>
    <row r="2042" spans="12:17" x14ac:dyDescent="0.3">
      <c r="L2042" s="25"/>
      <c r="Q2042" s="17"/>
    </row>
    <row r="2043" spans="12:17" x14ac:dyDescent="0.3">
      <c r="L2043" s="25"/>
      <c r="Q2043" s="17"/>
    </row>
    <row r="2044" spans="12:17" x14ac:dyDescent="0.3">
      <c r="L2044" s="25"/>
      <c r="Q2044" s="17"/>
    </row>
    <row r="2045" spans="12:17" x14ac:dyDescent="0.3">
      <c r="L2045" s="25"/>
      <c r="Q2045" s="17"/>
    </row>
    <row r="2046" spans="12:17" x14ac:dyDescent="0.3">
      <c r="L2046" s="25"/>
      <c r="Q2046" s="17"/>
    </row>
    <row r="2047" spans="12:17" x14ac:dyDescent="0.3">
      <c r="L2047" s="25"/>
      <c r="Q2047" s="17"/>
    </row>
    <row r="2048" spans="12:17" x14ac:dyDescent="0.3">
      <c r="L2048" s="25"/>
      <c r="Q2048" s="17"/>
    </row>
    <row r="2049" spans="12:17" x14ac:dyDescent="0.3">
      <c r="L2049" s="25"/>
      <c r="Q2049" s="17"/>
    </row>
    <row r="2050" spans="12:17" x14ac:dyDescent="0.3">
      <c r="L2050" s="25"/>
      <c r="Q2050" s="17"/>
    </row>
    <row r="2051" spans="12:17" x14ac:dyDescent="0.3">
      <c r="L2051" s="25"/>
      <c r="Q2051" s="17"/>
    </row>
    <row r="2052" spans="12:17" x14ac:dyDescent="0.3">
      <c r="L2052" s="25"/>
      <c r="Q2052" s="17"/>
    </row>
    <row r="2053" spans="12:17" x14ac:dyDescent="0.3">
      <c r="L2053" s="25"/>
      <c r="Q2053" s="17"/>
    </row>
    <row r="2054" spans="12:17" x14ac:dyDescent="0.3">
      <c r="L2054" s="25"/>
      <c r="Q2054" s="17"/>
    </row>
    <row r="2055" spans="12:17" x14ac:dyDescent="0.3">
      <c r="L2055" s="25"/>
      <c r="Q2055" s="17"/>
    </row>
    <row r="2056" spans="12:17" x14ac:dyDescent="0.3">
      <c r="L2056" s="25"/>
      <c r="Q2056" s="17"/>
    </row>
    <row r="2057" spans="12:17" x14ac:dyDescent="0.3">
      <c r="L2057" s="25"/>
      <c r="Q2057" s="17"/>
    </row>
    <row r="2058" spans="12:17" x14ac:dyDescent="0.3">
      <c r="L2058" s="25"/>
      <c r="Q2058" s="17"/>
    </row>
    <row r="2059" spans="12:17" x14ac:dyDescent="0.3">
      <c r="L2059" s="25"/>
      <c r="Q2059" s="17"/>
    </row>
    <row r="2060" spans="12:17" x14ac:dyDescent="0.3">
      <c r="L2060" s="25"/>
      <c r="Q2060" s="17"/>
    </row>
    <row r="2061" spans="12:17" x14ac:dyDescent="0.3">
      <c r="L2061" s="25"/>
      <c r="Q2061" s="17"/>
    </row>
    <row r="2062" spans="12:17" x14ac:dyDescent="0.3">
      <c r="L2062" s="25"/>
      <c r="Q2062" s="17"/>
    </row>
    <row r="2063" spans="12:17" x14ac:dyDescent="0.3">
      <c r="L2063" s="25"/>
      <c r="Q2063" s="17"/>
    </row>
    <row r="2064" spans="12:17" x14ac:dyDescent="0.3">
      <c r="L2064" s="25"/>
      <c r="Q2064" s="17"/>
    </row>
    <row r="2065" spans="12:17" x14ac:dyDescent="0.3">
      <c r="L2065" s="25"/>
      <c r="Q2065" s="17"/>
    </row>
    <row r="2066" spans="12:17" x14ac:dyDescent="0.3">
      <c r="L2066" s="25"/>
      <c r="Q2066" s="17"/>
    </row>
    <row r="2067" spans="12:17" x14ac:dyDescent="0.3">
      <c r="L2067" s="25"/>
      <c r="Q2067" s="17"/>
    </row>
    <row r="2068" spans="12:17" x14ac:dyDescent="0.3">
      <c r="L2068" s="25"/>
      <c r="Q2068" s="17"/>
    </row>
    <row r="2069" spans="12:17" x14ac:dyDescent="0.3">
      <c r="L2069" s="25"/>
      <c r="Q2069" s="17"/>
    </row>
    <row r="2070" spans="12:17" x14ac:dyDescent="0.3">
      <c r="L2070" s="25"/>
      <c r="Q2070" s="17"/>
    </row>
    <row r="2071" spans="12:17" x14ac:dyDescent="0.3">
      <c r="L2071" s="25"/>
      <c r="Q2071" s="17"/>
    </row>
    <row r="2072" spans="12:17" x14ac:dyDescent="0.3">
      <c r="L2072" s="25"/>
      <c r="Q2072" s="17"/>
    </row>
    <row r="2073" spans="12:17" x14ac:dyDescent="0.3">
      <c r="L2073" s="25"/>
      <c r="Q2073" s="17"/>
    </row>
    <row r="2074" spans="12:17" x14ac:dyDescent="0.3">
      <c r="L2074" s="25"/>
      <c r="Q2074" s="17"/>
    </row>
    <row r="2075" spans="12:17" x14ac:dyDescent="0.3">
      <c r="L2075" s="25"/>
      <c r="Q2075" s="17"/>
    </row>
    <row r="2076" spans="12:17" x14ac:dyDescent="0.3">
      <c r="L2076" s="25"/>
      <c r="Q2076" s="17"/>
    </row>
    <row r="2077" spans="12:17" x14ac:dyDescent="0.3">
      <c r="L2077" s="25"/>
      <c r="Q2077" s="17"/>
    </row>
    <row r="2078" spans="12:17" x14ac:dyDescent="0.3">
      <c r="L2078" s="25"/>
      <c r="Q2078" s="17"/>
    </row>
    <row r="2079" spans="12:17" x14ac:dyDescent="0.3">
      <c r="L2079" s="25"/>
      <c r="Q2079" s="17"/>
    </row>
    <row r="2080" spans="12:17" x14ac:dyDescent="0.3">
      <c r="L2080" s="25"/>
      <c r="Q2080" s="17"/>
    </row>
    <row r="2081" spans="12:17" x14ac:dyDescent="0.3">
      <c r="L2081" s="25"/>
      <c r="Q2081" s="17"/>
    </row>
    <row r="2082" spans="12:17" x14ac:dyDescent="0.3">
      <c r="L2082" s="25"/>
      <c r="Q2082" s="17"/>
    </row>
    <row r="2083" spans="12:17" x14ac:dyDescent="0.3">
      <c r="L2083" s="25"/>
      <c r="Q2083" s="17"/>
    </row>
    <row r="2084" spans="12:17" x14ac:dyDescent="0.3">
      <c r="L2084" s="25"/>
      <c r="Q2084" s="17"/>
    </row>
    <row r="2085" spans="12:17" x14ac:dyDescent="0.3">
      <c r="L2085" s="25"/>
      <c r="Q2085" s="17"/>
    </row>
    <row r="2086" spans="12:17" x14ac:dyDescent="0.3">
      <c r="L2086" s="25"/>
      <c r="Q2086" s="17"/>
    </row>
    <row r="2087" spans="12:17" x14ac:dyDescent="0.3">
      <c r="L2087" s="25"/>
      <c r="Q2087" s="17"/>
    </row>
    <row r="2088" spans="12:17" x14ac:dyDescent="0.3">
      <c r="L2088" s="25"/>
      <c r="Q2088" s="17"/>
    </row>
    <row r="2089" spans="12:17" x14ac:dyDescent="0.3">
      <c r="L2089" s="25"/>
      <c r="Q2089" s="17"/>
    </row>
    <row r="2090" spans="12:17" x14ac:dyDescent="0.3">
      <c r="L2090" s="25"/>
      <c r="Q2090" s="17"/>
    </row>
    <row r="2091" spans="12:17" x14ac:dyDescent="0.3">
      <c r="L2091" s="25"/>
      <c r="Q2091" s="17"/>
    </row>
    <row r="2092" spans="12:17" x14ac:dyDescent="0.3">
      <c r="L2092" s="25"/>
      <c r="Q2092" s="17"/>
    </row>
    <row r="2093" spans="12:17" x14ac:dyDescent="0.3">
      <c r="L2093" s="25"/>
      <c r="Q2093" s="17"/>
    </row>
    <row r="2094" spans="12:17" x14ac:dyDescent="0.3">
      <c r="L2094" s="25"/>
      <c r="Q2094" s="17"/>
    </row>
    <row r="2095" spans="12:17" x14ac:dyDescent="0.3">
      <c r="L2095" s="25"/>
      <c r="Q2095" s="17"/>
    </row>
    <row r="2096" spans="12:17" x14ac:dyDescent="0.3">
      <c r="L2096" s="25"/>
      <c r="Q2096" s="17"/>
    </row>
    <row r="2097" spans="12:17" x14ac:dyDescent="0.3">
      <c r="L2097" s="25"/>
      <c r="Q2097" s="17"/>
    </row>
    <row r="2098" spans="12:17" x14ac:dyDescent="0.3">
      <c r="L2098" s="25"/>
      <c r="Q2098" s="17"/>
    </row>
    <row r="2099" spans="12:17" x14ac:dyDescent="0.3">
      <c r="L2099" s="25"/>
      <c r="Q2099" s="17"/>
    </row>
    <row r="2100" spans="12:17" x14ac:dyDescent="0.3">
      <c r="L2100" s="25"/>
      <c r="Q2100" s="17"/>
    </row>
    <row r="2101" spans="12:17" x14ac:dyDescent="0.3">
      <c r="L2101" s="25"/>
      <c r="Q2101" s="17"/>
    </row>
    <row r="2102" spans="12:17" x14ac:dyDescent="0.3">
      <c r="L2102" s="25"/>
      <c r="Q2102" s="17"/>
    </row>
    <row r="2103" spans="12:17" x14ac:dyDescent="0.3">
      <c r="L2103" s="25"/>
      <c r="Q2103" s="17"/>
    </row>
    <row r="2104" spans="12:17" x14ac:dyDescent="0.3">
      <c r="L2104" s="25"/>
      <c r="Q2104" s="17"/>
    </row>
    <row r="2105" spans="12:17" x14ac:dyDescent="0.3">
      <c r="L2105" s="25"/>
      <c r="Q2105" s="17"/>
    </row>
    <row r="2106" spans="12:17" x14ac:dyDescent="0.3">
      <c r="L2106" s="25"/>
      <c r="Q2106" s="17"/>
    </row>
    <row r="2107" spans="12:17" x14ac:dyDescent="0.3">
      <c r="L2107" s="25"/>
      <c r="Q2107" s="17"/>
    </row>
    <row r="2108" spans="12:17" x14ac:dyDescent="0.3">
      <c r="L2108" s="25"/>
      <c r="Q2108" s="17"/>
    </row>
    <row r="2109" spans="12:17" x14ac:dyDescent="0.3">
      <c r="L2109" s="25"/>
      <c r="Q2109" s="17"/>
    </row>
    <row r="2110" spans="12:17" x14ac:dyDescent="0.3">
      <c r="L2110" s="25"/>
      <c r="Q2110" s="17"/>
    </row>
    <row r="2111" spans="12:17" x14ac:dyDescent="0.3">
      <c r="L2111" s="25"/>
      <c r="Q2111" s="17"/>
    </row>
    <row r="2112" spans="12:17" x14ac:dyDescent="0.3">
      <c r="L2112" s="25"/>
      <c r="Q2112" s="17"/>
    </row>
    <row r="2113" spans="12:17" x14ac:dyDescent="0.3">
      <c r="L2113" s="25"/>
      <c r="Q2113" s="17"/>
    </row>
    <row r="2114" spans="12:17" x14ac:dyDescent="0.3">
      <c r="L2114" s="25"/>
      <c r="Q2114" s="17"/>
    </row>
    <row r="2115" spans="12:17" x14ac:dyDescent="0.3">
      <c r="L2115" s="25"/>
      <c r="Q2115" s="17"/>
    </row>
    <row r="2116" spans="12:17" x14ac:dyDescent="0.3">
      <c r="L2116" s="25"/>
      <c r="Q2116" s="17"/>
    </row>
    <row r="2117" spans="12:17" x14ac:dyDescent="0.3">
      <c r="L2117" s="25"/>
      <c r="Q2117" s="17"/>
    </row>
    <row r="2118" spans="12:17" x14ac:dyDescent="0.3">
      <c r="L2118" s="25"/>
      <c r="Q2118" s="17"/>
    </row>
    <row r="2119" spans="12:17" x14ac:dyDescent="0.3">
      <c r="L2119" s="25"/>
      <c r="Q2119" s="17"/>
    </row>
    <row r="2120" spans="12:17" x14ac:dyDescent="0.3">
      <c r="L2120" s="25"/>
      <c r="Q2120" s="17"/>
    </row>
    <row r="2121" spans="12:17" x14ac:dyDescent="0.3">
      <c r="L2121" s="25"/>
      <c r="Q2121" s="17"/>
    </row>
    <row r="2122" spans="12:17" x14ac:dyDescent="0.3">
      <c r="L2122" s="25"/>
      <c r="Q2122" s="17"/>
    </row>
    <row r="2123" spans="12:17" x14ac:dyDescent="0.3">
      <c r="L2123" s="25"/>
      <c r="Q2123" s="17"/>
    </row>
    <row r="2124" spans="12:17" x14ac:dyDescent="0.3">
      <c r="L2124" s="25"/>
      <c r="Q2124" s="17"/>
    </row>
    <row r="2125" spans="12:17" x14ac:dyDescent="0.3">
      <c r="L2125" s="25"/>
      <c r="Q2125" s="17"/>
    </row>
    <row r="2126" spans="12:17" x14ac:dyDescent="0.3">
      <c r="L2126" s="25"/>
      <c r="Q2126" s="17"/>
    </row>
    <row r="2127" spans="12:17" x14ac:dyDescent="0.3">
      <c r="L2127" s="25"/>
      <c r="Q2127" s="17"/>
    </row>
    <row r="2128" spans="12:17" x14ac:dyDescent="0.3">
      <c r="L2128" s="25"/>
      <c r="Q2128" s="17"/>
    </row>
    <row r="2129" spans="12:17" x14ac:dyDescent="0.3">
      <c r="L2129" s="25"/>
      <c r="Q2129" s="17"/>
    </row>
    <row r="2130" spans="12:17" x14ac:dyDescent="0.3">
      <c r="L2130" s="25"/>
      <c r="Q2130" s="17"/>
    </row>
    <row r="2131" spans="12:17" x14ac:dyDescent="0.3">
      <c r="L2131" s="25"/>
      <c r="Q2131" s="17"/>
    </row>
    <row r="2132" spans="12:17" x14ac:dyDescent="0.3">
      <c r="L2132" s="25"/>
      <c r="Q2132" s="17"/>
    </row>
    <row r="2133" spans="12:17" x14ac:dyDescent="0.3">
      <c r="L2133" s="25"/>
      <c r="Q2133" s="17"/>
    </row>
    <row r="2134" spans="12:17" x14ac:dyDescent="0.3">
      <c r="L2134" s="25"/>
      <c r="Q2134" s="17"/>
    </row>
    <row r="2135" spans="12:17" x14ac:dyDescent="0.3">
      <c r="L2135" s="25"/>
      <c r="Q2135" s="17"/>
    </row>
    <row r="2136" spans="12:17" x14ac:dyDescent="0.3">
      <c r="L2136" s="25"/>
      <c r="Q2136" s="17"/>
    </row>
    <row r="2137" spans="12:17" x14ac:dyDescent="0.3">
      <c r="L2137" s="25"/>
      <c r="Q2137" s="17"/>
    </row>
    <row r="2138" spans="12:17" x14ac:dyDescent="0.3">
      <c r="L2138" s="25"/>
      <c r="Q2138" s="17"/>
    </row>
    <row r="2139" spans="12:17" x14ac:dyDescent="0.3">
      <c r="L2139" s="25"/>
      <c r="Q2139" s="17"/>
    </row>
    <row r="2140" spans="12:17" x14ac:dyDescent="0.3">
      <c r="L2140" s="25"/>
      <c r="Q2140" s="17"/>
    </row>
    <row r="2141" spans="12:17" x14ac:dyDescent="0.3">
      <c r="L2141" s="25"/>
      <c r="Q2141" s="17"/>
    </row>
    <row r="2142" spans="12:17" x14ac:dyDescent="0.3">
      <c r="L2142" s="25"/>
      <c r="Q2142" s="17"/>
    </row>
    <row r="2143" spans="12:17" x14ac:dyDescent="0.3">
      <c r="L2143" s="25"/>
      <c r="Q2143" s="17"/>
    </row>
    <row r="2144" spans="12:17" x14ac:dyDescent="0.3">
      <c r="L2144" s="25"/>
      <c r="Q2144" s="17"/>
    </row>
    <row r="2145" spans="12:17" x14ac:dyDescent="0.3">
      <c r="L2145" s="25"/>
      <c r="Q2145" s="17"/>
    </row>
    <row r="2146" spans="12:17" x14ac:dyDescent="0.3">
      <c r="L2146" s="25"/>
      <c r="Q2146" s="17"/>
    </row>
    <row r="2147" spans="12:17" x14ac:dyDescent="0.3">
      <c r="L2147" s="25"/>
      <c r="Q2147" s="17"/>
    </row>
    <row r="2148" spans="12:17" x14ac:dyDescent="0.3">
      <c r="L2148" s="25"/>
      <c r="Q2148" s="17"/>
    </row>
    <row r="2149" spans="12:17" x14ac:dyDescent="0.3">
      <c r="L2149" s="25"/>
      <c r="Q2149" s="17"/>
    </row>
    <row r="2150" spans="12:17" x14ac:dyDescent="0.3">
      <c r="L2150" s="25"/>
      <c r="Q2150" s="17"/>
    </row>
    <row r="2151" spans="12:17" x14ac:dyDescent="0.3">
      <c r="L2151" s="25"/>
      <c r="Q2151" s="17"/>
    </row>
    <row r="2152" spans="12:17" x14ac:dyDescent="0.3">
      <c r="L2152" s="25"/>
      <c r="Q2152" s="17"/>
    </row>
    <row r="2153" spans="12:17" x14ac:dyDescent="0.3">
      <c r="L2153" s="25"/>
      <c r="Q2153" s="17"/>
    </row>
    <row r="2154" spans="12:17" x14ac:dyDescent="0.3">
      <c r="L2154" s="25"/>
      <c r="Q2154" s="17"/>
    </row>
    <row r="2155" spans="12:17" x14ac:dyDescent="0.3">
      <c r="L2155" s="25"/>
      <c r="Q2155" s="17"/>
    </row>
    <row r="2156" spans="12:17" x14ac:dyDescent="0.3">
      <c r="L2156" s="25"/>
      <c r="Q2156" s="17"/>
    </row>
    <row r="2157" spans="12:17" x14ac:dyDescent="0.3">
      <c r="L2157" s="25"/>
      <c r="Q2157" s="17"/>
    </row>
    <row r="2158" spans="12:17" x14ac:dyDescent="0.3">
      <c r="L2158" s="25"/>
      <c r="Q2158" s="17"/>
    </row>
    <row r="2159" spans="12:17" x14ac:dyDescent="0.3">
      <c r="L2159" s="25"/>
      <c r="Q2159" s="17"/>
    </row>
    <row r="2160" spans="12:17" x14ac:dyDescent="0.3">
      <c r="L2160" s="25"/>
      <c r="Q2160" s="17"/>
    </row>
    <row r="2161" spans="12:17" x14ac:dyDescent="0.3">
      <c r="L2161" s="25"/>
      <c r="Q2161" s="17"/>
    </row>
    <row r="2162" spans="12:17" x14ac:dyDescent="0.3">
      <c r="L2162" s="25"/>
      <c r="Q2162" s="17"/>
    </row>
    <row r="2163" spans="12:17" x14ac:dyDescent="0.3">
      <c r="L2163" s="25"/>
      <c r="Q2163" s="17"/>
    </row>
    <row r="2164" spans="12:17" x14ac:dyDescent="0.3">
      <c r="L2164" s="25"/>
      <c r="Q2164" s="17"/>
    </row>
    <row r="2165" spans="12:17" x14ac:dyDescent="0.3">
      <c r="L2165" s="25"/>
      <c r="Q2165" s="17"/>
    </row>
    <row r="2166" spans="12:17" x14ac:dyDescent="0.3">
      <c r="L2166" s="25"/>
      <c r="Q2166" s="17"/>
    </row>
    <row r="2167" spans="12:17" x14ac:dyDescent="0.3">
      <c r="L2167" s="25"/>
      <c r="Q2167" s="17"/>
    </row>
    <row r="2168" spans="12:17" x14ac:dyDescent="0.3">
      <c r="L2168" s="25"/>
      <c r="Q2168" s="17"/>
    </row>
    <row r="2169" spans="12:17" x14ac:dyDescent="0.3">
      <c r="L2169" s="25"/>
      <c r="Q2169" s="17"/>
    </row>
    <row r="2170" spans="12:17" x14ac:dyDescent="0.3">
      <c r="L2170" s="25"/>
      <c r="Q2170" s="17"/>
    </row>
    <row r="2171" spans="12:17" x14ac:dyDescent="0.3">
      <c r="L2171" s="25"/>
      <c r="Q2171" s="17"/>
    </row>
    <row r="2172" spans="12:17" x14ac:dyDescent="0.3">
      <c r="L2172" s="25"/>
      <c r="Q2172" s="17"/>
    </row>
    <row r="2173" spans="12:17" x14ac:dyDescent="0.3">
      <c r="L2173" s="25"/>
      <c r="Q2173" s="17"/>
    </row>
    <row r="2174" spans="12:17" x14ac:dyDescent="0.3">
      <c r="L2174" s="25"/>
      <c r="Q2174" s="17"/>
    </row>
    <row r="2175" spans="12:17" x14ac:dyDescent="0.3">
      <c r="L2175" s="25"/>
      <c r="Q2175" s="17"/>
    </row>
    <row r="2176" spans="12:17" x14ac:dyDescent="0.3">
      <c r="L2176" s="25"/>
      <c r="Q2176" s="17"/>
    </row>
    <row r="2177" spans="12:17" x14ac:dyDescent="0.3">
      <c r="L2177" s="25"/>
      <c r="Q2177" s="17"/>
    </row>
    <row r="2178" spans="12:17" x14ac:dyDescent="0.3">
      <c r="L2178" s="25"/>
      <c r="Q2178" s="17"/>
    </row>
    <row r="2179" spans="12:17" x14ac:dyDescent="0.3">
      <c r="L2179" s="25"/>
      <c r="Q2179" s="17"/>
    </row>
    <row r="2180" spans="12:17" x14ac:dyDescent="0.3">
      <c r="L2180" s="25"/>
      <c r="Q2180" s="17"/>
    </row>
    <row r="2181" spans="12:17" x14ac:dyDescent="0.3">
      <c r="L2181" s="25"/>
      <c r="Q2181" s="17"/>
    </row>
    <row r="2182" spans="12:17" x14ac:dyDescent="0.3">
      <c r="L2182" s="25"/>
      <c r="Q2182" s="17"/>
    </row>
    <row r="2183" spans="12:17" x14ac:dyDescent="0.3">
      <c r="L2183" s="25"/>
      <c r="Q2183" s="17"/>
    </row>
    <row r="2184" spans="12:17" x14ac:dyDescent="0.3">
      <c r="L2184" s="25"/>
      <c r="Q2184" s="17"/>
    </row>
    <row r="2185" spans="12:17" x14ac:dyDescent="0.3">
      <c r="L2185" s="25"/>
      <c r="Q2185" s="17"/>
    </row>
    <row r="2186" spans="12:17" x14ac:dyDescent="0.3">
      <c r="L2186" s="25"/>
      <c r="Q2186" s="17"/>
    </row>
    <row r="2187" spans="12:17" x14ac:dyDescent="0.3">
      <c r="L2187" s="25"/>
      <c r="Q2187" s="17"/>
    </row>
    <row r="2188" spans="12:17" x14ac:dyDescent="0.3">
      <c r="L2188" s="25"/>
      <c r="Q2188" s="17"/>
    </row>
    <row r="2189" spans="12:17" x14ac:dyDescent="0.3">
      <c r="L2189" s="25"/>
      <c r="Q2189" s="17"/>
    </row>
    <row r="2190" spans="12:17" x14ac:dyDescent="0.3">
      <c r="L2190" s="25"/>
      <c r="Q2190" s="17"/>
    </row>
    <row r="2191" spans="12:17" x14ac:dyDescent="0.3">
      <c r="L2191" s="25"/>
      <c r="Q2191" s="17"/>
    </row>
    <row r="2192" spans="12:17" x14ac:dyDescent="0.3">
      <c r="L2192" s="25"/>
      <c r="Q2192" s="17"/>
    </row>
    <row r="2193" spans="12:17" x14ac:dyDescent="0.3">
      <c r="L2193" s="25"/>
      <c r="Q2193" s="17"/>
    </row>
    <row r="2194" spans="12:17" x14ac:dyDescent="0.3">
      <c r="L2194" s="25"/>
      <c r="Q2194" s="17"/>
    </row>
    <row r="2195" spans="12:17" x14ac:dyDescent="0.3">
      <c r="L2195" s="25"/>
      <c r="Q2195" s="17"/>
    </row>
    <row r="2196" spans="12:17" x14ac:dyDescent="0.3">
      <c r="L2196" s="25"/>
      <c r="Q2196" s="17"/>
    </row>
    <row r="2197" spans="12:17" x14ac:dyDescent="0.3">
      <c r="L2197" s="25"/>
      <c r="Q2197" s="17"/>
    </row>
    <row r="2198" spans="12:17" x14ac:dyDescent="0.3">
      <c r="L2198" s="25"/>
      <c r="Q2198" s="17"/>
    </row>
    <row r="2199" spans="12:17" x14ac:dyDescent="0.3">
      <c r="L2199" s="25"/>
      <c r="Q2199" s="17"/>
    </row>
    <row r="2200" spans="12:17" x14ac:dyDescent="0.3">
      <c r="L2200" s="25"/>
      <c r="Q2200" s="17"/>
    </row>
    <row r="2201" spans="12:17" x14ac:dyDescent="0.3">
      <c r="L2201" s="25"/>
      <c r="Q2201" s="17"/>
    </row>
    <row r="2202" spans="12:17" x14ac:dyDescent="0.3">
      <c r="L2202" s="25"/>
      <c r="Q2202" s="17"/>
    </row>
    <row r="2203" spans="12:17" x14ac:dyDescent="0.3">
      <c r="L2203" s="25"/>
      <c r="Q2203" s="17"/>
    </row>
    <row r="2204" spans="12:17" x14ac:dyDescent="0.3">
      <c r="L2204" s="25"/>
      <c r="Q2204" s="17"/>
    </row>
    <row r="2205" spans="12:17" x14ac:dyDescent="0.3">
      <c r="L2205" s="25"/>
      <c r="Q2205" s="17"/>
    </row>
    <row r="2206" spans="12:17" x14ac:dyDescent="0.3">
      <c r="L2206" s="25"/>
      <c r="Q2206" s="17"/>
    </row>
    <row r="2207" spans="12:17" x14ac:dyDescent="0.3">
      <c r="L2207" s="25"/>
      <c r="Q2207" s="17"/>
    </row>
    <row r="2208" spans="12:17" x14ac:dyDescent="0.3">
      <c r="L2208" s="25"/>
      <c r="Q2208" s="17"/>
    </row>
    <row r="2209" spans="12:17" x14ac:dyDescent="0.3">
      <c r="L2209" s="25"/>
      <c r="Q2209" s="17"/>
    </row>
    <row r="2210" spans="12:17" x14ac:dyDescent="0.3">
      <c r="L2210" s="25"/>
      <c r="Q2210" s="17"/>
    </row>
    <row r="2211" spans="12:17" x14ac:dyDescent="0.3">
      <c r="L2211" s="25"/>
      <c r="Q2211" s="17"/>
    </row>
    <row r="2212" spans="12:17" x14ac:dyDescent="0.3">
      <c r="L2212" s="25"/>
      <c r="Q2212" s="17"/>
    </row>
    <row r="2213" spans="12:17" x14ac:dyDescent="0.3">
      <c r="L2213" s="25"/>
      <c r="Q2213" s="17"/>
    </row>
    <row r="2214" spans="12:17" x14ac:dyDescent="0.3">
      <c r="L2214" s="25"/>
      <c r="Q2214" s="17"/>
    </row>
    <row r="2215" spans="12:17" x14ac:dyDescent="0.3">
      <c r="L2215" s="25"/>
      <c r="Q2215" s="17"/>
    </row>
    <row r="2216" spans="12:17" x14ac:dyDescent="0.3">
      <c r="L2216" s="25"/>
      <c r="Q2216" s="17"/>
    </row>
    <row r="2217" spans="12:17" x14ac:dyDescent="0.3">
      <c r="L2217" s="25"/>
      <c r="Q2217" s="17"/>
    </row>
    <row r="2218" spans="12:17" x14ac:dyDescent="0.3">
      <c r="L2218" s="25"/>
      <c r="Q2218" s="17"/>
    </row>
    <row r="2219" spans="12:17" x14ac:dyDescent="0.3">
      <c r="L2219" s="25"/>
      <c r="Q2219" s="17"/>
    </row>
    <row r="2220" spans="12:17" x14ac:dyDescent="0.3">
      <c r="L2220" s="25"/>
      <c r="Q2220" s="17"/>
    </row>
    <row r="2221" spans="12:17" x14ac:dyDescent="0.3">
      <c r="L2221" s="25"/>
      <c r="Q2221" s="17"/>
    </row>
    <row r="2222" spans="12:17" x14ac:dyDescent="0.3">
      <c r="L2222" s="25"/>
      <c r="Q2222" s="17"/>
    </row>
    <row r="2223" spans="12:17" x14ac:dyDescent="0.3">
      <c r="L2223" s="25"/>
      <c r="Q2223" s="17"/>
    </row>
    <row r="2224" spans="12:17" x14ac:dyDescent="0.3">
      <c r="L2224" s="25"/>
      <c r="Q2224" s="17"/>
    </row>
    <row r="2225" spans="12:17" x14ac:dyDescent="0.3">
      <c r="L2225" s="25"/>
      <c r="Q2225" s="17"/>
    </row>
    <row r="2226" spans="12:17" x14ac:dyDescent="0.3">
      <c r="L2226" s="25"/>
      <c r="Q2226" s="17"/>
    </row>
    <row r="2227" spans="12:17" x14ac:dyDescent="0.3">
      <c r="L2227" s="25"/>
      <c r="Q2227" s="17"/>
    </row>
    <row r="2228" spans="12:17" x14ac:dyDescent="0.3">
      <c r="L2228" s="25"/>
      <c r="Q2228" s="17"/>
    </row>
    <row r="2229" spans="12:17" x14ac:dyDescent="0.3">
      <c r="L2229" s="25"/>
      <c r="Q2229" s="17"/>
    </row>
    <row r="2230" spans="12:17" x14ac:dyDescent="0.3">
      <c r="L2230" s="25"/>
      <c r="Q2230" s="17"/>
    </row>
    <row r="2231" spans="12:17" x14ac:dyDescent="0.3">
      <c r="L2231" s="25"/>
      <c r="Q2231" s="17"/>
    </row>
    <row r="2232" spans="12:17" x14ac:dyDescent="0.3">
      <c r="L2232" s="25"/>
      <c r="Q2232" s="17"/>
    </row>
    <row r="2233" spans="12:17" x14ac:dyDescent="0.3">
      <c r="L2233" s="25"/>
      <c r="Q2233" s="17"/>
    </row>
    <row r="2234" spans="12:17" x14ac:dyDescent="0.3">
      <c r="L2234" s="25"/>
      <c r="Q2234" s="17"/>
    </row>
    <row r="2235" spans="12:17" x14ac:dyDescent="0.3">
      <c r="L2235" s="25"/>
      <c r="Q2235" s="17"/>
    </row>
    <row r="2236" spans="12:17" x14ac:dyDescent="0.3">
      <c r="L2236" s="25"/>
      <c r="Q2236" s="17"/>
    </row>
    <row r="2237" spans="12:17" x14ac:dyDescent="0.3">
      <c r="L2237" s="25"/>
      <c r="Q2237" s="17"/>
    </row>
    <row r="2238" spans="12:17" x14ac:dyDescent="0.3">
      <c r="L2238" s="25"/>
      <c r="Q2238" s="17"/>
    </row>
    <row r="2239" spans="12:17" x14ac:dyDescent="0.3">
      <c r="L2239" s="25"/>
      <c r="Q2239" s="17"/>
    </row>
    <row r="2240" spans="12:17" x14ac:dyDescent="0.3">
      <c r="L2240" s="25"/>
      <c r="Q2240" s="17"/>
    </row>
    <row r="2241" spans="12:17" x14ac:dyDescent="0.3">
      <c r="L2241" s="25"/>
      <c r="Q2241" s="17"/>
    </row>
    <row r="2242" spans="12:17" x14ac:dyDescent="0.3">
      <c r="L2242" s="25"/>
      <c r="Q2242" s="17"/>
    </row>
    <row r="2243" spans="12:17" x14ac:dyDescent="0.3">
      <c r="L2243" s="25"/>
      <c r="Q2243" s="17"/>
    </row>
    <row r="2244" spans="12:17" x14ac:dyDescent="0.3">
      <c r="L2244" s="25"/>
      <c r="Q2244" s="17"/>
    </row>
    <row r="2245" spans="12:17" x14ac:dyDescent="0.3">
      <c r="L2245" s="25"/>
      <c r="Q2245" s="17"/>
    </row>
    <row r="2246" spans="12:17" x14ac:dyDescent="0.3">
      <c r="L2246" s="25"/>
      <c r="Q2246" s="17"/>
    </row>
    <row r="2247" spans="12:17" x14ac:dyDescent="0.3">
      <c r="L2247" s="25"/>
      <c r="Q2247" s="17"/>
    </row>
    <row r="2248" spans="12:17" x14ac:dyDescent="0.3">
      <c r="L2248" s="25"/>
      <c r="Q2248" s="17"/>
    </row>
    <row r="2249" spans="12:17" x14ac:dyDescent="0.3">
      <c r="L2249" s="25"/>
      <c r="Q2249" s="17"/>
    </row>
    <row r="2250" spans="12:17" x14ac:dyDescent="0.3">
      <c r="L2250" s="25"/>
      <c r="Q2250" s="17"/>
    </row>
    <row r="2251" spans="12:17" x14ac:dyDescent="0.3">
      <c r="L2251" s="25"/>
      <c r="Q2251" s="17"/>
    </row>
    <row r="2252" spans="12:17" x14ac:dyDescent="0.3">
      <c r="L2252" s="25"/>
      <c r="Q2252" s="17"/>
    </row>
    <row r="2253" spans="12:17" x14ac:dyDescent="0.3">
      <c r="L2253" s="25"/>
      <c r="Q2253" s="17"/>
    </row>
    <row r="2254" spans="12:17" x14ac:dyDescent="0.3">
      <c r="L2254" s="25"/>
      <c r="Q2254" s="17"/>
    </row>
    <row r="2255" spans="12:17" x14ac:dyDescent="0.3">
      <c r="L2255" s="25"/>
      <c r="Q2255" s="17"/>
    </row>
    <row r="2256" spans="12:17" x14ac:dyDescent="0.3">
      <c r="L2256" s="25"/>
      <c r="Q2256" s="17"/>
    </row>
    <row r="2257" spans="12:17" x14ac:dyDescent="0.3">
      <c r="L2257" s="25"/>
      <c r="Q2257" s="17"/>
    </row>
    <row r="2258" spans="12:17" x14ac:dyDescent="0.3">
      <c r="L2258" s="25"/>
      <c r="Q2258" s="17"/>
    </row>
    <row r="2259" spans="12:17" x14ac:dyDescent="0.3">
      <c r="L2259" s="25"/>
      <c r="Q2259" s="17"/>
    </row>
    <row r="2260" spans="12:17" x14ac:dyDescent="0.3">
      <c r="L2260" s="25"/>
      <c r="Q2260" s="17"/>
    </row>
    <row r="2261" spans="12:17" x14ac:dyDescent="0.3">
      <c r="L2261" s="25"/>
      <c r="Q2261" s="17"/>
    </row>
    <row r="2262" spans="12:17" x14ac:dyDescent="0.3">
      <c r="L2262" s="25"/>
      <c r="Q2262" s="17"/>
    </row>
    <row r="2263" spans="12:17" x14ac:dyDescent="0.3">
      <c r="L2263" s="25"/>
      <c r="Q2263" s="17"/>
    </row>
    <row r="2264" spans="12:17" x14ac:dyDescent="0.3">
      <c r="L2264" s="25"/>
      <c r="Q2264" s="17"/>
    </row>
    <row r="2265" spans="12:17" x14ac:dyDescent="0.3">
      <c r="L2265" s="25"/>
      <c r="Q2265" s="17"/>
    </row>
    <row r="2266" spans="12:17" x14ac:dyDescent="0.3">
      <c r="L2266" s="25"/>
      <c r="Q2266" s="17"/>
    </row>
    <row r="2267" spans="12:17" x14ac:dyDescent="0.3">
      <c r="L2267" s="25"/>
      <c r="Q2267" s="17"/>
    </row>
    <row r="2268" spans="12:17" x14ac:dyDescent="0.3">
      <c r="L2268" s="25"/>
      <c r="Q2268" s="17"/>
    </row>
    <row r="2269" spans="12:17" x14ac:dyDescent="0.3">
      <c r="L2269" s="25"/>
      <c r="Q2269" s="17"/>
    </row>
    <row r="2270" spans="12:17" x14ac:dyDescent="0.3">
      <c r="L2270" s="25"/>
      <c r="Q2270" s="17"/>
    </row>
    <row r="2271" spans="12:17" x14ac:dyDescent="0.3">
      <c r="L2271" s="25"/>
      <c r="Q2271" s="17"/>
    </row>
    <row r="2272" spans="12:17" x14ac:dyDescent="0.3">
      <c r="L2272" s="25"/>
      <c r="Q2272" s="17"/>
    </row>
    <row r="2273" spans="12:17" x14ac:dyDescent="0.3">
      <c r="L2273" s="25"/>
      <c r="Q2273" s="17"/>
    </row>
    <row r="2274" spans="12:17" x14ac:dyDescent="0.3">
      <c r="L2274" s="25"/>
      <c r="Q2274" s="17"/>
    </row>
    <row r="2275" spans="12:17" x14ac:dyDescent="0.3">
      <c r="L2275" s="25"/>
      <c r="Q2275" s="17"/>
    </row>
    <row r="2276" spans="12:17" x14ac:dyDescent="0.3">
      <c r="L2276" s="25"/>
      <c r="Q2276" s="17"/>
    </row>
    <row r="2277" spans="12:17" x14ac:dyDescent="0.3">
      <c r="L2277" s="25"/>
      <c r="Q2277" s="17"/>
    </row>
    <row r="2278" spans="12:17" x14ac:dyDescent="0.3">
      <c r="L2278" s="25"/>
      <c r="Q2278" s="17"/>
    </row>
    <row r="2279" spans="12:17" x14ac:dyDescent="0.3">
      <c r="L2279" s="25"/>
      <c r="Q2279" s="17"/>
    </row>
    <row r="2280" spans="12:17" x14ac:dyDescent="0.3">
      <c r="L2280" s="25"/>
      <c r="Q2280" s="17"/>
    </row>
    <row r="2281" spans="12:17" x14ac:dyDescent="0.3">
      <c r="L2281" s="25"/>
      <c r="Q2281" s="17"/>
    </row>
    <row r="2282" spans="12:17" x14ac:dyDescent="0.3">
      <c r="L2282" s="25"/>
      <c r="Q2282" s="17"/>
    </row>
    <row r="2283" spans="12:17" x14ac:dyDescent="0.3">
      <c r="L2283" s="25"/>
      <c r="Q2283" s="17"/>
    </row>
    <row r="2284" spans="12:17" x14ac:dyDescent="0.3">
      <c r="L2284" s="25"/>
      <c r="Q2284" s="17"/>
    </row>
    <row r="2285" spans="12:17" x14ac:dyDescent="0.3">
      <c r="L2285" s="25"/>
      <c r="Q2285" s="17"/>
    </row>
    <row r="2286" spans="12:17" x14ac:dyDescent="0.3">
      <c r="L2286" s="25"/>
      <c r="Q2286" s="17"/>
    </row>
    <row r="2287" spans="12:17" x14ac:dyDescent="0.3">
      <c r="L2287" s="25"/>
      <c r="Q2287" s="17"/>
    </row>
    <row r="2288" spans="12:17" x14ac:dyDescent="0.3">
      <c r="L2288" s="25"/>
      <c r="Q2288" s="17"/>
    </row>
    <row r="2289" spans="12:17" x14ac:dyDescent="0.3">
      <c r="L2289" s="25"/>
      <c r="Q2289" s="17"/>
    </row>
    <row r="2290" spans="12:17" x14ac:dyDescent="0.3">
      <c r="L2290" s="25"/>
      <c r="Q2290" s="17"/>
    </row>
    <row r="2291" spans="12:17" x14ac:dyDescent="0.3">
      <c r="L2291" s="25"/>
      <c r="Q2291" s="17"/>
    </row>
    <row r="2292" spans="12:17" x14ac:dyDescent="0.3">
      <c r="L2292" s="25"/>
      <c r="Q2292" s="17"/>
    </row>
    <row r="2293" spans="12:17" x14ac:dyDescent="0.3">
      <c r="L2293" s="25"/>
      <c r="Q2293" s="17"/>
    </row>
    <row r="2294" spans="12:17" x14ac:dyDescent="0.3">
      <c r="L2294" s="25"/>
      <c r="Q2294" s="17"/>
    </row>
    <row r="2295" spans="12:17" x14ac:dyDescent="0.3">
      <c r="L2295" s="25"/>
      <c r="Q2295" s="17"/>
    </row>
    <row r="2296" spans="12:17" x14ac:dyDescent="0.3">
      <c r="L2296" s="25"/>
      <c r="Q2296" s="17"/>
    </row>
    <row r="2297" spans="12:17" x14ac:dyDescent="0.3">
      <c r="L2297" s="25"/>
      <c r="Q2297" s="17"/>
    </row>
    <row r="2298" spans="12:17" x14ac:dyDescent="0.3">
      <c r="L2298" s="25"/>
      <c r="Q2298" s="17"/>
    </row>
    <row r="2299" spans="12:17" x14ac:dyDescent="0.3">
      <c r="L2299" s="25"/>
      <c r="Q2299" s="17"/>
    </row>
    <row r="2300" spans="12:17" x14ac:dyDescent="0.3">
      <c r="L2300" s="25"/>
      <c r="Q2300" s="17"/>
    </row>
    <row r="2301" spans="12:17" x14ac:dyDescent="0.3">
      <c r="L2301" s="25"/>
      <c r="Q2301" s="17"/>
    </row>
    <row r="2302" spans="12:17" x14ac:dyDescent="0.3">
      <c r="L2302" s="25"/>
      <c r="Q2302" s="17"/>
    </row>
    <row r="2303" spans="12:17" x14ac:dyDescent="0.3">
      <c r="L2303" s="25"/>
      <c r="Q2303" s="17"/>
    </row>
    <row r="2304" spans="12:17" x14ac:dyDescent="0.3">
      <c r="L2304" s="25"/>
      <c r="Q2304" s="17"/>
    </row>
    <row r="2305" spans="12:17" x14ac:dyDescent="0.3">
      <c r="L2305" s="25"/>
      <c r="Q2305" s="17"/>
    </row>
    <row r="2306" spans="12:17" x14ac:dyDescent="0.3">
      <c r="L2306" s="25"/>
      <c r="Q2306" s="17"/>
    </row>
    <row r="2307" spans="12:17" x14ac:dyDescent="0.3">
      <c r="L2307" s="25"/>
      <c r="Q2307" s="17"/>
    </row>
    <row r="2308" spans="12:17" x14ac:dyDescent="0.3">
      <c r="L2308" s="25"/>
      <c r="Q2308" s="17"/>
    </row>
    <row r="2309" spans="12:17" x14ac:dyDescent="0.3">
      <c r="L2309" s="25"/>
      <c r="Q2309" s="17"/>
    </row>
    <row r="2310" spans="12:17" x14ac:dyDescent="0.3">
      <c r="L2310" s="25"/>
      <c r="Q2310" s="17"/>
    </row>
    <row r="2311" spans="12:17" x14ac:dyDescent="0.3">
      <c r="L2311" s="25"/>
      <c r="Q2311" s="17"/>
    </row>
    <row r="2312" spans="12:17" x14ac:dyDescent="0.3">
      <c r="L2312" s="25"/>
      <c r="Q2312" s="17"/>
    </row>
    <row r="2313" spans="12:17" x14ac:dyDescent="0.3">
      <c r="L2313" s="25"/>
      <c r="Q2313" s="17"/>
    </row>
    <row r="2314" spans="12:17" x14ac:dyDescent="0.3">
      <c r="L2314" s="25"/>
      <c r="Q2314" s="17"/>
    </row>
    <row r="2315" spans="12:17" x14ac:dyDescent="0.3">
      <c r="L2315" s="25"/>
      <c r="Q2315" s="17"/>
    </row>
    <row r="2316" spans="12:17" x14ac:dyDescent="0.3">
      <c r="L2316" s="25"/>
      <c r="Q2316" s="17"/>
    </row>
    <row r="2317" spans="12:17" x14ac:dyDescent="0.3">
      <c r="L2317" s="25"/>
      <c r="Q2317" s="17"/>
    </row>
    <row r="2318" spans="12:17" x14ac:dyDescent="0.3">
      <c r="L2318" s="25"/>
      <c r="Q2318" s="17"/>
    </row>
    <row r="2319" spans="12:17" x14ac:dyDescent="0.3">
      <c r="L2319" s="25"/>
      <c r="Q2319" s="17"/>
    </row>
    <row r="2320" spans="12:17" x14ac:dyDescent="0.3">
      <c r="L2320" s="25"/>
      <c r="Q2320" s="17"/>
    </row>
    <row r="2321" spans="12:17" x14ac:dyDescent="0.3">
      <c r="L2321" s="25"/>
      <c r="Q2321" s="17"/>
    </row>
    <row r="2322" spans="12:17" x14ac:dyDescent="0.3">
      <c r="L2322" s="25"/>
      <c r="Q2322" s="17"/>
    </row>
    <row r="2323" spans="12:17" x14ac:dyDescent="0.3">
      <c r="L2323" s="25"/>
      <c r="Q2323" s="17"/>
    </row>
    <row r="2324" spans="12:17" x14ac:dyDescent="0.3">
      <c r="L2324" s="25"/>
      <c r="Q2324" s="17"/>
    </row>
    <row r="2325" spans="12:17" x14ac:dyDescent="0.3">
      <c r="L2325" s="25"/>
      <c r="Q2325" s="17"/>
    </row>
    <row r="2326" spans="12:17" x14ac:dyDescent="0.3">
      <c r="L2326" s="25"/>
      <c r="Q2326" s="17"/>
    </row>
    <row r="2327" spans="12:17" x14ac:dyDescent="0.3">
      <c r="L2327" s="25"/>
      <c r="Q2327" s="17"/>
    </row>
    <row r="2328" spans="12:17" x14ac:dyDescent="0.3">
      <c r="L2328" s="25"/>
      <c r="Q2328" s="17"/>
    </row>
    <row r="2329" spans="12:17" x14ac:dyDescent="0.3">
      <c r="L2329" s="25"/>
      <c r="Q2329" s="17"/>
    </row>
    <row r="2330" spans="12:17" x14ac:dyDescent="0.3">
      <c r="L2330" s="25"/>
      <c r="Q2330" s="17"/>
    </row>
    <row r="2331" spans="12:17" x14ac:dyDescent="0.3">
      <c r="L2331" s="25"/>
      <c r="Q2331" s="17"/>
    </row>
    <row r="2332" spans="12:17" x14ac:dyDescent="0.3">
      <c r="L2332" s="25"/>
      <c r="Q2332" s="17"/>
    </row>
    <row r="2333" spans="12:17" x14ac:dyDescent="0.3">
      <c r="L2333" s="25"/>
      <c r="Q2333" s="17"/>
    </row>
    <row r="2334" spans="12:17" x14ac:dyDescent="0.3">
      <c r="L2334" s="25"/>
      <c r="Q2334" s="17"/>
    </row>
    <row r="2335" spans="12:17" x14ac:dyDescent="0.3">
      <c r="L2335" s="25"/>
      <c r="Q2335" s="17"/>
    </row>
    <row r="2336" spans="12:17" x14ac:dyDescent="0.3">
      <c r="L2336" s="25"/>
      <c r="Q2336" s="17"/>
    </row>
    <row r="2337" spans="12:17" x14ac:dyDescent="0.3">
      <c r="L2337" s="25"/>
      <c r="Q2337" s="17"/>
    </row>
    <row r="2338" spans="12:17" x14ac:dyDescent="0.3">
      <c r="L2338" s="25"/>
      <c r="Q2338" s="17"/>
    </row>
    <row r="2339" spans="12:17" x14ac:dyDescent="0.3">
      <c r="L2339" s="25"/>
      <c r="Q2339" s="17"/>
    </row>
    <row r="2340" spans="12:17" x14ac:dyDescent="0.3">
      <c r="L2340" s="25"/>
      <c r="Q2340" s="17"/>
    </row>
    <row r="2341" spans="12:17" x14ac:dyDescent="0.3">
      <c r="L2341" s="25"/>
      <c r="Q2341" s="17"/>
    </row>
    <row r="2342" spans="12:17" x14ac:dyDescent="0.3">
      <c r="L2342" s="25"/>
      <c r="Q2342" s="17"/>
    </row>
    <row r="2343" spans="12:17" x14ac:dyDescent="0.3">
      <c r="L2343" s="25"/>
      <c r="Q2343" s="17"/>
    </row>
    <row r="2344" spans="12:17" x14ac:dyDescent="0.3">
      <c r="L2344" s="25"/>
      <c r="Q2344" s="17"/>
    </row>
    <row r="2345" spans="12:17" x14ac:dyDescent="0.3">
      <c r="L2345" s="25"/>
      <c r="Q2345" s="17"/>
    </row>
    <row r="2346" spans="12:17" x14ac:dyDescent="0.3">
      <c r="L2346" s="25"/>
      <c r="Q2346" s="17"/>
    </row>
    <row r="2347" spans="12:17" x14ac:dyDescent="0.3">
      <c r="L2347" s="25"/>
      <c r="Q2347" s="17"/>
    </row>
    <row r="2348" spans="12:17" x14ac:dyDescent="0.3">
      <c r="L2348" s="25"/>
      <c r="Q2348" s="17"/>
    </row>
    <row r="2349" spans="12:17" x14ac:dyDescent="0.3">
      <c r="L2349" s="25"/>
      <c r="Q2349" s="17"/>
    </row>
    <row r="2350" spans="12:17" x14ac:dyDescent="0.3">
      <c r="L2350" s="25"/>
      <c r="Q2350" s="17"/>
    </row>
    <row r="2351" spans="12:17" x14ac:dyDescent="0.3">
      <c r="L2351" s="25"/>
      <c r="Q2351" s="17"/>
    </row>
    <row r="2352" spans="12:17" x14ac:dyDescent="0.3">
      <c r="L2352" s="25"/>
      <c r="Q2352" s="17"/>
    </row>
    <row r="2353" spans="12:17" x14ac:dyDescent="0.3">
      <c r="L2353" s="25"/>
      <c r="Q2353" s="17"/>
    </row>
    <row r="2354" spans="12:17" x14ac:dyDescent="0.3">
      <c r="L2354" s="25"/>
      <c r="Q2354" s="17"/>
    </row>
    <row r="2355" spans="12:17" x14ac:dyDescent="0.3">
      <c r="L2355" s="25"/>
      <c r="Q2355" s="17"/>
    </row>
    <row r="2356" spans="12:17" x14ac:dyDescent="0.3">
      <c r="L2356" s="25"/>
      <c r="Q2356" s="17"/>
    </row>
    <row r="2357" spans="12:17" x14ac:dyDescent="0.3">
      <c r="L2357" s="25"/>
      <c r="Q2357" s="17"/>
    </row>
    <row r="2358" spans="12:17" x14ac:dyDescent="0.3">
      <c r="L2358" s="25"/>
      <c r="Q2358" s="17"/>
    </row>
    <row r="2359" spans="12:17" x14ac:dyDescent="0.3">
      <c r="L2359" s="25"/>
      <c r="Q2359" s="17"/>
    </row>
    <row r="2360" spans="12:17" x14ac:dyDescent="0.3">
      <c r="L2360" s="25"/>
      <c r="Q2360" s="17"/>
    </row>
    <row r="2361" spans="12:17" x14ac:dyDescent="0.3">
      <c r="L2361" s="25"/>
      <c r="Q2361" s="17"/>
    </row>
    <row r="2362" spans="12:17" x14ac:dyDescent="0.3">
      <c r="L2362" s="25"/>
      <c r="Q2362" s="17"/>
    </row>
    <row r="2363" spans="12:17" x14ac:dyDescent="0.3">
      <c r="L2363" s="25"/>
      <c r="Q2363" s="17"/>
    </row>
    <row r="2364" spans="12:17" x14ac:dyDescent="0.3">
      <c r="L2364" s="25"/>
      <c r="Q2364" s="17"/>
    </row>
    <row r="2365" spans="12:17" x14ac:dyDescent="0.3">
      <c r="L2365" s="25"/>
      <c r="Q2365" s="17"/>
    </row>
    <row r="2366" spans="12:17" x14ac:dyDescent="0.3">
      <c r="L2366" s="25"/>
      <c r="Q2366" s="17"/>
    </row>
    <row r="2367" spans="12:17" x14ac:dyDescent="0.3">
      <c r="L2367" s="25"/>
      <c r="Q2367" s="17"/>
    </row>
    <row r="2368" spans="12:17" x14ac:dyDescent="0.3">
      <c r="L2368" s="25"/>
      <c r="Q2368" s="17"/>
    </row>
    <row r="2369" spans="12:17" x14ac:dyDescent="0.3">
      <c r="L2369" s="25"/>
      <c r="Q2369" s="17"/>
    </row>
    <row r="2370" spans="12:17" x14ac:dyDescent="0.3">
      <c r="L2370" s="25"/>
      <c r="Q2370" s="17"/>
    </row>
    <row r="2371" spans="12:17" x14ac:dyDescent="0.3">
      <c r="L2371" s="25"/>
      <c r="Q2371" s="17"/>
    </row>
    <row r="2372" spans="12:17" x14ac:dyDescent="0.3">
      <c r="L2372" s="25"/>
      <c r="Q2372" s="17"/>
    </row>
    <row r="2373" spans="12:17" x14ac:dyDescent="0.3">
      <c r="L2373" s="25"/>
      <c r="Q2373" s="17"/>
    </row>
    <row r="2374" spans="12:17" x14ac:dyDescent="0.3">
      <c r="L2374" s="25"/>
      <c r="Q2374" s="17"/>
    </row>
    <row r="2375" spans="12:17" x14ac:dyDescent="0.3">
      <c r="L2375" s="25"/>
      <c r="Q2375" s="17"/>
    </row>
    <row r="2376" spans="12:17" x14ac:dyDescent="0.3">
      <c r="L2376" s="25"/>
      <c r="Q2376" s="17"/>
    </row>
    <row r="2377" spans="12:17" x14ac:dyDescent="0.3">
      <c r="L2377" s="25"/>
      <c r="Q2377" s="17"/>
    </row>
    <row r="2378" spans="12:17" x14ac:dyDescent="0.3">
      <c r="L2378" s="25"/>
      <c r="Q2378" s="17"/>
    </row>
    <row r="2379" spans="12:17" x14ac:dyDescent="0.3">
      <c r="L2379" s="25"/>
      <c r="Q2379" s="17"/>
    </row>
    <row r="2380" spans="12:17" x14ac:dyDescent="0.3">
      <c r="L2380" s="25"/>
      <c r="Q2380" s="17"/>
    </row>
    <row r="2381" spans="12:17" x14ac:dyDescent="0.3">
      <c r="L2381" s="25"/>
      <c r="Q2381" s="17"/>
    </row>
    <row r="2382" spans="12:17" x14ac:dyDescent="0.3">
      <c r="L2382" s="25"/>
      <c r="Q2382" s="17"/>
    </row>
    <row r="2383" spans="12:17" x14ac:dyDescent="0.3">
      <c r="L2383" s="25"/>
      <c r="Q2383" s="17"/>
    </row>
    <row r="2384" spans="12:17" x14ac:dyDescent="0.3">
      <c r="L2384" s="25"/>
      <c r="Q2384" s="17"/>
    </row>
    <row r="2385" spans="12:17" x14ac:dyDescent="0.3">
      <c r="L2385" s="25"/>
      <c r="Q2385" s="17"/>
    </row>
    <row r="2386" spans="12:17" x14ac:dyDescent="0.3">
      <c r="L2386" s="25"/>
      <c r="Q2386" s="17"/>
    </row>
    <row r="2387" spans="12:17" x14ac:dyDescent="0.3">
      <c r="L2387" s="25"/>
      <c r="Q2387" s="17"/>
    </row>
    <row r="2388" spans="12:17" x14ac:dyDescent="0.3">
      <c r="L2388" s="25"/>
      <c r="Q2388" s="17"/>
    </row>
    <row r="2389" spans="12:17" x14ac:dyDescent="0.3">
      <c r="L2389" s="25"/>
      <c r="Q2389" s="17"/>
    </row>
    <row r="2390" spans="12:17" x14ac:dyDescent="0.3">
      <c r="L2390" s="25"/>
      <c r="Q2390" s="17"/>
    </row>
    <row r="2391" spans="12:17" x14ac:dyDescent="0.3">
      <c r="L2391" s="25"/>
      <c r="Q2391" s="17"/>
    </row>
    <row r="2392" spans="12:17" x14ac:dyDescent="0.3">
      <c r="L2392" s="25"/>
      <c r="Q2392" s="17"/>
    </row>
    <row r="2393" spans="12:17" x14ac:dyDescent="0.3">
      <c r="L2393" s="25"/>
      <c r="Q2393" s="17"/>
    </row>
    <row r="2394" spans="12:17" x14ac:dyDescent="0.3">
      <c r="L2394" s="25"/>
      <c r="Q2394" s="17"/>
    </row>
    <row r="2395" spans="12:17" x14ac:dyDescent="0.3">
      <c r="L2395" s="25"/>
      <c r="Q2395" s="17"/>
    </row>
    <row r="2396" spans="12:17" x14ac:dyDescent="0.3">
      <c r="L2396" s="25"/>
      <c r="Q2396" s="17"/>
    </row>
    <row r="2397" spans="12:17" x14ac:dyDescent="0.3">
      <c r="L2397" s="25"/>
      <c r="Q2397" s="17"/>
    </row>
    <row r="2398" spans="12:17" x14ac:dyDescent="0.3">
      <c r="L2398" s="25"/>
      <c r="Q2398" s="17"/>
    </row>
    <row r="2399" spans="12:17" x14ac:dyDescent="0.3">
      <c r="L2399" s="25"/>
      <c r="Q2399" s="17"/>
    </row>
    <row r="2400" spans="12:17" x14ac:dyDescent="0.3">
      <c r="L2400" s="25"/>
      <c r="Q2400" s="17"/>
    </row>
    <row r="2401" spans="12:17" x14ac:dyDescent="0.3">
      <c r="L2401" s="25"/>
      <c r="Q2401" s="17"/>
    </row>
    <row r="2402" spans="12:17" x14ac:dyDescent="0.3">
      <c r="L2402" s="25"/>
      <c r="Q2402" s="17"/>
    </row>
    <row r="2403" spans="12:17" x14ac:dyDescent="0.3">
      <c r="L2403" s="25"/>
      <c r="Q2403" s="17"/>
    </row>
    <row r="2404" spans="12:17" x14ac:dyDescent="0.3">
      <c r="L2404" s="25"/>
      <c r="Q2404" s="17"/>
    </row>
    <row r="2405" spans="12:17" x14ac:dyDescent="0.3">
      <c r="L2405" s="25"/>
      <c r="Q2405" s="17"/>
    </row>
    <row r="2406" spans="12:17" x14ac:dyDescent="0.3">
      <c r="L2406" s="25"/>
      <c r="Q2406" s="17"/>
    </row>
    <row r="2407" spans="12:17" x14ac:dyDescent="0.3">
      <c r="L2407" s="25"/>
      <c r="Q2407" s="17"/>
    </row>
    <row r="2408" spans="12:17" x14ac:dyDescent="0.3">
      <c r="L2408" s="25"/>
      <c r="Q2408" s="17"/>
    </row>
    <row r="2409" spans="12:17" x14ac:dyDescent="0.3">
      <c r="L2409" s="25"/>
      <c r="Q2409" s="17"/>
    </row>
    <row r="2410" spans="12:17" x14ac:dyDescent="0.3">
      <c r="L2410" s="25"/>
      <c r="Q2410" s="17"/>
    </row>
    <row r="2411" spans="12:17" x14ac:dyDescent="0.3">
      <c r="L2411" s="25"/>
      <c r="Q2411" s="17"/>
    </row>
    <row r="2412" spans="12:17" x14ac:dyDescent="0.3">
      <c r="L2412" s="25"/>
      <c r="Q2412" s="17"/>
    </row>
    <row r="2413" spans="12:17" x14ac:dyDescent="0.3">
      <c r="L2413" s="25"/>
      <c r="Q2413" s="17"/>
    </row>
    <row r="2414" spans="12:17" x14ac:dyDescent="0.3">
      <c r="L2414" s="25"/>
      <c r="Q2414" s="17"/>
    </row>
    <row r="2415" spans="12:17" x14ac:dyDescent="0.3">
      <c r="L2415" s="25"/>
      <c r="Q2415" s="17"/>
    </row>
    <row r="2416" spans="12:17" x14ac:dyDescent="0.3">
      <c r="L2416" s="25"/>
      <c r="Q2416" s="17"/>
    </row>
    <row r="2417" spans="12:17" x14ac:dyDescent="0.3">
      <c r="L2417" s="25"/>
      <c r="Q2417" s="17"/>
    </row>
    <row r="2418" spans="12:17" x14ac:dyDescent="0.3">
      <c r="L2418" s="25"/>
      <c r="Q2418" s="17"/>
    </row>
    <row r="2419" spans="12:17" x14ac:dyDescent="0.3">
      <c r="L2419" s="25"/>
      <c r="Q2419" s="17"/>
    </row>
    <row r="2420" spans="12:17" x14ac:dyDescent="0.3">
      <c r="L2420" s="25"/>
      <c r="Q2420" s="17"/>
    </row>
    <row r="2421" spans="12:17" x14ac:dyDescent="0.3">
      <c r="L2421" s="25"/>
      <c r="Q2421" s="17"/>
    </row>
    <row r="2422" spans="12:17" x14ac:dyDescent="0.3">
      <c r="L2422" s="25"/>
      <c r="Q2422" s="17"/>
    </row>
    <row r="2423" spans="12:17" x14ac:dyDescent="0.3">
      <c r="L2423" s="25"/>
      <c r="Q2423" s="17"/>
    </row>
    <row r="2424" spans="12:17" x14ac:dyDescent="0.3">
      <c r="L2424" s="25"/>
      <c r="Q2424" s="17"/>
    </row>
    <row r="2425" spans="12:17" x14ac:dyDescent="0.3">
      <c r="L2425" s="25"/>
      <c r="Q2425" s="17"/>
    </row>
    <row r="2426" spans="12:17" x14ac:dyDescent="0.3">
      <c r="L2426" s="25"/>
      <c r="Q2426" s="17"/>
    </row>
    <row r="2427" spans="12:17" x14ac:dyDescent="0.3">
      <c r="L2427" s="25"/>
      <c r="Q2427" s="17"/>
    </row>
    <row r="2428" spans="12:17" x14ac:dyDescent="0.3">
      <c r="L2428" s="25"/>
      <c r="Q2428" s="17"/>
    </row>
    <row r="2429" spans="12:17" x14ac:dyDescent="0.3">
      <c r="L2429" s="25"/>
      <c r="Q2429" s="17"/>
    </row>
    <row r="2430" spans="12:17" x14ac:dyDescent="0.3">
      <c r="L2430" s="25"/>
      <c r="Q2430" s="17"/>
    </row>
    <row r="2431" spans="12:17" x14ac:dyDescent="0.3">
      <c r="L2431" s="25"/>
      <c r="Q2431" s="17"/>
    </row>
    <row r="2432" spans="12:17" x14ac:dyDescent="0.3">
      <c r="L2432" s="25"/>
      <c r="Q2432" s="17"/>
    </row>
    <row r="2433" spans="12:17" x14ac:dyDescent="0.3">
      <c r="L2433" s="25"/>
      <c r="Q2433" s="17"/>
    </row>
    <row r="2434" spans="12:17" x14ac:dyDescent="0.3">
      <c r="L2434" s="25"/>
      <c r="Q2434" s="17"/>
    </row>
    <row r="2435" spans="12:17" x14ac:dyDescent="0.3">
      <c r="L2435" s="25"/>
      <c r="Q2435" s="17"/>
    </row>
    <row r="2436" spans="12:17" x14ac:dyDescent="0.3">
      <c r="L2436" s="25"/>
      <c r="Q2436" s="17"/>
    </row>
    <row r="2437" spans="12:17" x14ac:dyDescent="0.3">
      <c r="L2437" s="25"/>
      <c r="Q2437" s="17"/>
    </row>
    <row r="2438" spans="12:17" x14ac:dyDescent="0.3">
      <c r="L2438" s="25"/>
      <c r="Q2438" s="17"/>
    </row>
    <row r="2439" spans="12:17" x14ac:dyDescent="0.3">
      <c r="L2439" s="25"/>
      <c r="Q2439" s="17"/>
    </row>
    <row r="2440" spans="12:17" x14ac:dyDescent="0.3">
      <c r="L2440" s="25"/>
      <c r="Q2440" s="17"/>
    </row>
    <row r="2441" spans="12:17" x14ac:dyDescent="0.3">
      <c r="L2441" s="25"/>
      <c r="Q2441" s="17"/>
    </row>
    <row r="2442" spans="12:17" x14ac:dyDescent="0.3">
      <c r="L2442" s="25"/>
      <c r="Q2442" s="17"/>
    </row>
    <row r="2443" spans="12:17" x14ac:dyDescent="0.3">
      <c r="L2443" s="25"/>
      <c r="Q2443" s="17"/>
    </row>
    <row r="2444" spans="12:17" x14ac:dyDescent="0.3">
      <c r="L2444" s="25"/>
      <c r="Q2444" s="17"/>
    </row>
    <row r="2445" spans="12:17" x14ac:dyDescent="0.3">
      <c r="L2445" s="25"/>
      <c r="Q2445" s="17"/>
    </row>
    <row r="2446" spans="12:17" x14ac:dyDescent="0.3">
      <c r="L2446" s="25"/>
      <c r="Q2446" s="17"/>
    </row>
    <row r="2447" spans="12:17" x14ac:dyDescent="0.3">
      <c r="L2447" s="25"/>
      <c r="Q2447" s="17"/>
    </row>
    <row r="2448" spans="12:17" x14ac:dyDescent="0.3">
      <c r="L2448" s="25"/>
      <c r="Q2448" s="17"/>
    </row>
    <row r="2449" spans="12:17" x14ac:dyDescent="0.3">
      <c r="L2449" s="25"/>
      <c r="Q2449" s="17"/>
    </row>
    <row r="2450" spans="12:17" x14ac:dyDescent="0.3">
      <c r="L2450" s="25"/>
      <c r="Q2450" s="17"/>
    </row>
    <row r="2451" spans="12:17" x14ac:dyDescent="0.3">
      <c r="L2451" s="25"/>
      <c r="Q2451" s="17"/>
    </row>
    <row r="2452" spans="12:17" x14ac:dyDescent="0.3">
      <c r="L2452" s="25"/>
      <c r="Q2452" s="17"/>
    </row>
    <row r="2453" spans="12:17" x14ac:dyDescent="0.3">
      <c r="L2453" s="25"/>
      <c r="Q2453" s="17"/>
    </row>
    <row r="2454" spans="12:17" x14ac:dyDescent="0.3">
      <c r="L2454" s="25"/>
      <c r="Q2454" s="17"/>
    </row>
    <row r="2455" spans="12:17" x14ac:dyDescent="0.3">
      <c r="L2455" s="25"/>
      <c r="Q2455" s="17"/>
    </row>
    <row r="2456" spans="12:17" x14ac:dyDescent="0.3">
      <c r="L2456" s="25"/>
      <c r="Q2456" s="17"/>
    </row>
    <row r="2457" spans="12:17" x14ac:dyDescent="0.3">
      <c r="L2457" s="25"/>
      <c r="Q2457" s="17"/>
    </row>
    <row r="2458" spans="12:17" x14ac:dyDescent="0.3">
      <c r="L2458" s="25"/>
      <c r="Q2458" s="17"/>
    </row>
    <row r="2459" spans="12:17" x14ac:dyDescent="0.3">
      <c r="L2459" s="25"/>
      <c r="Q2459" s="17"/>
    </row>
    <row r="2460" spans="12:17" x14ac:dyDescent="0.3">
      <c r="L2460" s="25"/>
      <c r="Q2460" s="17"/>
    </row>
    <row r="2461" spans="12:17" x14ac:dyDescent="0.3">
      <c r="L2461" s="25"/>
      <c r="Q2461" s="17"/>
    </row>
    <row r="2462" spans="12:17" x14ac:dyDescent="0.3">
      <c r="L2462" s="25"/>
      <c r="Q2462" s="17"/>
    </row>
    <row r="2463" spans="12:17" x14ac:dyDescent="0.3">
      <c r="L2463" s="25"/>
      <c r="Q2463" s="17"/>
    </row>
    <row r="2464" spans="12:17" x14ac:dyDescent="0.3">
      <c r="L2464" s="25"/>
      <c r="Q2464" s="17"/>
    </row>
    <row r="2465" spans="12:17" x14ac:dyDescent="0.3">
      <c r="L2465" s="25"/>
      <c r="Q2465" s="17"/>
    </row>
    <row r="2466" spans="12:17" x14ac:dyDescent="0.3">
      <c r="L2466" s="25"/>
      <c r="Q2466" s="17"/>
    </row>
    <row r="2467" spans="12:17" x14ac:dyDescent="0.3">
      <c r="L2467" s="25"/>
      <c r="Q2467" s="17"/>
    </row>
    <row r="2468" spans="12:17" x14ac:dyDescent="0.3">
      <c r="L2468" s="25"/>
      <c r="Q2468" s="17"/>
    </row>
    <row r="2469" spans="12:17" x14ac:dyDescent="0.3">
      <c r="L2469" s="25"/>
      <c r="Q2469" s="17"/>
    </row>
    <row r="2470" spans="12:17" x14ac:dyDescent="0.3">
      <c r="L2470" s="25"/>
      <c r="Q2470" s="17"/>
    </row>
    <row r="2471" spans="12:17" x14ac:dyDescent="0.3">
      <c r="L2471" s="25"/>
      <c r="Q2471" s="17"/>
    </row>
    <row r="2472" spans="12:17" x14ac:dyDescent="0.3">
      <c r="L2472" s="25"/>
      <c r="Q2472" s="17"/>
    </row>
    <row r="2473" spans="12:17" x14ac:dyDescent="0.3">
      <c r="L2473" s="25"/>
      <c r="Q2473" s="17"/>
    </row>
    <row r="2474" spans="12:17" x14ac:dyDescent="0.3">
      <c r="L2474" s="25"/>
      <c r="Q2474" s="17"/>
    </row>
    <row r="2475" spans="12:17" x14ac:dyDescent="0.3">
      <c r="L2475" s="25"/>
      <c r="Q2475" s="17"/>
    </row>
    <row r="2476" spans="12:17" x14ac:dyDescent="0.3">
      <c r="L2476" s="25"/>
      <c r="Q2476" s="17"/>
    </row>
    <row r="2477" spans="12:17" x14ac:dyDescent="0.3">
      <c r="L2477" s="25"/>
      <c r="Q2477" s="17"/>
    </row>
    <row r="2478" spans="12:17" x14ac:dyDescent="0.3">
      <c r="L2478" s="25"/>
      <c r="Q2478" s="17"/>
    </row>
    <row r="2479" spans="12:17" x14ac:dyDescent="0.3">
      <c r="L2479" s="25"/>
      <c r="Q2479" s="17"/>
    </row>
    <row r="2480" spans="12:17" x14ac:dyDescent="0.3">
      <c r="L2480" s="25"/>
      <c r="Q2480" s="17"/>
    </row>
    <row r="2481" spans="12:17" x14ac:dyDescent="0.3">
      <c r="L2481" s="25"/>
      <c r="Q2481" s="17"/>
    </row>
    <row r="2482" spans="12:17" x14ac:dyDescent="0.3">
      <c r="L2482" s="25"/>
      <c r="Q2482" s="17"/>
    </row>
    <row r="2483" spans="12:17" x14ac:dyDescent="0.3">
      <c r="L2483" s="25"/>
      <c r="Q2483" s="17"/>
    </row>
    <row r="2484" spans="12:17" x14ac:dyDescent="0.3">
      <c r="L2484" s="25"/>
      <c r="Q2484" s="17"/>
    </row>
    <row r="2485" spans="12:17" x14ac:dyDescent="0.3">
      <c r="L2485" s="25"/>
      <c r="Q2485" s="17"/>
    </row>
    <row r="2486" spans="12:17" x14ac:dyDescent="0.3">
      <c r="L2486" s="25"/>
      <c r="Q2486" s="17"/>
    </row>
    <row r="2487" spans="12:17" x14ac:dyDescent="0.3">
      <c r="L2487" s="25"/>
      <c r="Q2487" s="17"/>
    </row>
    <row r="2488" spans="12:17" x14ac:dyDescent="0.3">
      <c r="L2488" s="25"/>
      <c r="Q2488" s="17"/>
    </row>
    <row r="2489" spans="12:17" x14ac:dyDescent="0.3">
      <c r="L2489" s="25"/>
      <c r="Q2489" s="17"/>
    </row>
    <row r="2490" spans="12:17" x14ac:dyDescent="0.3">
      <c r="L2490" s="25"/>
      <c r="Q2490" s="17"/>
    </row>
    <row r="2491" spans="12:17" x14ac:dyDescent="0.3">
      <c r="L2491" s="25"/>
      <c r="Q2491" s="17"/>
    </row>
    <row r="2492" spans="12:17" x14ac:dyDescent="0.3">
      <c r="L2492" s="25"/>
      <c r="Q2492" s="17"/>
    </row>
    <row r="2493" spans="12:17" x14ac:dyDescent="0.3">
      <c r="L2493" s="25"/>
      <c r="Q2493" s="17"/>
    </row>
    <row r="2494" spans="12:17" x14ac:dyDescent="0.3">
      <c r="L2494" s="25"/>
      <c r="Q2494" s="17"/>
    </row>
    <row r="2495" spans="12:17" x14ac:dyDescent="0.3">
      <c r="L2495" s="25"/>
      <c r="Q2495" s="17"/>
    </row>
    <row r="2496" spans="12:17" x14ac:dyDescent="0.3">
      <c r="L2496" s="25"/>
      <c r="Q2496" s="17"/>
    </row>
    <row r="2497" spans="12:17" x14ac:dyDescent="0.3">
      <c r="L2497" s="25"/>
      <c r="Q2497" s="17"/>
    </row>
    <row r="2498" spans="12:17" x14ac:dyDescent="0.3">
      <c r="L2498" s="25"/>
      <c r="Q2498" s="17"/>
    </row>
    <row r="2499" spans="12:17" x14ac:dyDescent="0.3">
      <c r="L2499" s="25"/>
      <c r="Q2499" s="17"/>
    </row>
    <row r="2500" spans="12:17" x14ac:dyDescent="0.3">
      <c r="L2500" s="25"/>
      <c r="Q2500" s="17"/>
    </row>
    <row r="2501" spans="12:17" x14ac:dyDescent="0.3">
      <c r="L2501" s="25"/>
      <c r="Q2501" s="17"/>
    </row>
    <row r="2502" spans="12:17" x14ac:dyDescent="0.3">
      <c r="L2502" s="25"/>
      <c r="Q2502" s="17"/>
    </row>
    <row r="2503" spans="12:17" x14ac:dyDescent="0.3">
      <c r="L2503" s="25"/>
      <c r="Q2503" s="17"/>
    </row>
    <row r="2504" spans="12:17" x14ac:dyDescent="0.3">
      <c r="L2504" s="25"/>
      <c r="Q2504" s="17"/>
    </row>
    <row r="2505" spans="12:17" x14ac:dyDescent="0.3">
      <c r="L2505" s="25"/>
      <c r="Q2505" s="17"/>
    </row>
    <row r="2506" spans="12:17" x14ac:dyDescent="0.3">
      <c r="L2506" s="25"/>
      <c r="Q2506" s="17"/>
    </row>
    <row r="2507" spans="12:17" x14ac:dyDescent="0.3">
      <c r="L2507" s="25"/>
      <c r="Q2507" s="17"/>
    </row>
    <row r="2508" spans="12:17" x14ac:dyDescent="0.3">
      <c r="L2508" s="25"/>
      <c r="Q2508" s="17"/>
    </row>
    <row r="2509" spans="12:17" x14ac:dyDescent="0.3">
      <c r="L2509" s="25"/>
      <c r="Q2509" s="17"/>
    </row>
    <row r="2510" spans="12:17" x14ac:dyDescent="0.3">
      <c r="L2510" s="25"/>
      <c r="Q2510" s="17"/>
    </row>
    <row r="2511" spans="12:17" x14ac:dyDescent="0.3">
      <c r="L2511" s="25"/>
      <c r="Q2511" s="17"/>
    </row>
    <row r="2512" spans="12:17" x14ac:dyDescent="0.3">
      <c r="L2512" s="25"/>
      <c r="Q2512" s="17"/>
    </row>
    <row r="2513" spans="12:17" x14ac:dyDescent="0.3">
      <c r="L2513" s="25"/>
      <c r="Q2513" s="17"/>
    </row>
    <row r="2514" spans="12:17" x14ac:dyDescent="0.3">
      <c r="L2514" s="25"/>
      <c r="Q2514" s="17"/>
    </row>
    <row r="2515" spans="12:17" x14ac:dyDescent="0.3">
      <c r="L2515" s="25"/>
      <c r="Q2515" s="17"/>
    </row>
    <row r="2516" spans="12:17" x14ac:dyDescent="0.3">
      <c r="L2516" s="25"/>
      <c r="Q2516" s="17"/>
    </row>
    <row r="2517" spans="12:17" x14ac:dyDescent="0.3">
      <c r="L2517" s="25"/>
      <c r="Q2517" s="17"/>
    </row>
    <row r="2518" spans="12:17" x14ac:dyDescent="0.3">
      <c r="L2518" s="25"/>
      <c r="Q2518" s="17"/>
    </row>
    <row r="2519" spans="12:17" x14ac:dyDescent="0.3">
      <c r="L2519" s="25"/>
      <c r="Q2519" s="17"/>
    </row>
    <row r="2520" spans="12:17" x14ac:dyDescent="0.3">
      <c r="L2520" s="25"/>
      <c r="Q2520" s="17"/>
    </row>
    <row r="2521" spans="12:17" x14ac:dyDescent="0.3">
      <c r="L2521" s="25"/>
      <c r="Q2521" s="17"/>
    </row>
    <row r="2522" spans="12:17" x14ac:dyDescent="0.3">
      <c r="L2522" s="25"/>
      <c r="Q2522" s="17"/>
    </row>
    <row r="2523" spans="12:17" x14ac:dyDescent="0.3">
      <c r="L2523" s="25"/>
      <c r="Q2523" s="17"/>
    </row>
    <row r="2524" spans="12:17" x14ac:dyDescent="0.3">
      <c r="L2524" s="25"/>
      <c r="Q2524" s="17"/>
    </row>
    <row r="2525" spans="12:17" x14ac:dyDescent="0.3">
      <c r="L2525" s="25"/>
      <c r="Q2525" s="17"/>
    </row>
    <row r="2526" spans="12:17" x14ac:dyDescent="0.3">
      <c r="L2526" s="25"/>
      <c r="Q2526" s="17"/>
    </row>
    <row r="2527" spans="12:17" x14ac:dyDescent="0.3">
      <c r="L2527" s="25"/>
      <c r="Q2527" s="17"/>
    </row>
    <row r="2528" spans="12:17" x14ac:dyDescent="0.3">
      <c r="L2528" s="25"/>
      <c r="Q2528" s="17"/>
    </row>
    <row r="2529" spans="12:17" x14ac:dyDescent="0.3">
      <c r="L2529" s="25"/>
      <c r="Q2529" s="17"/>
    </row>
    <row r="2530" spans="12:17" x14ac:dyDescent="0.3">
      <c r="L2530" s="25"/>
      <c r="Q2530" s="17"/>
    </row>
    <row r="2531" spans="12:17" x14ac:dyDescent="0.3">
      <c r="L2531" s="25"/>
      <c r="Q2531" s="17"/>
    </row>
    <row r="2532" spans="12:17" x14ac:dyDescent="0.3">
      <c r="L2532" s="25"/>
      <c r="Q2532" s="17"/>
    </row>
    <row r="2533" spans="12:17" x14ac:dyDescent="0.3">
      <c r="L2533" s="25"/>
      <c r="Q2533" s="17"/>
    </row>
    <row r="2534" spans="12:17" x14ac:dyDescent="0.3">
      <c r="L2534" s="25"/>
      <c r="Q2534" s="17"/>
    </row>
    <row r="2535" spans="12:17" x14ac:dyDescent="0.3">
      <c r="L2535" s="25"/>
      <c r="Q2535" s="17"/>
    </row>
    <row r="2536" spans="12:17" x14ac:dyDescent="0.3">
      <c r="L2536" s="25"/>
      <c r="Q2536" s="17"/>
    </row>
    <row r="2537" spans="12:17" x14ac:dyDescent="0.3">
      <c r="L2537" s="25"/>
      <c r="Q2537" s="17"/>
    </row>
    <row r="2538" spans="12:17" x14ac:dyDescent="0.3">
      <c r="L2538" s="25"/>
      <c r="Q2538" s="17"/>
    </row>
    <row r="2539" spans="12:17" x14ac:dyDescent="0.3">
      <c r="L2539" s="25"/>
      <c r="Q2539" s="17"/>
    </row>
    <row r="2540" spans="12:17" x14ac:dyDescent="0.3">
      <c r="L2540" s="25"/>
      <c r="Q2540" s="17"/>
    </row>
    <row r="2541" spans="12:17" x14ac:dyDescent="0.3">
      <c r="L2541" s="25"/>
      <c r="Q2541" s="17"/>
    </row>
    <row r="2542" spans="12:17" x14ac:dyDescent="0.3">
      <c r="L2542" s="25"/>
      <c r="Q2542" s="17"/>
    </row>
    <row r="2543" spans="12:17" x14ac:dyDescent="0.3">
      <c r="L2543" s="25"/>
      <c r="Q2543" s="17"/>
    </row>
    <row r="2544" spans="12:17" x14ac:dyDescent="0.3">
      <c r="L2544" s="25"/>
      <c r="Q2544" s="17"/>
    </row>
    <row r="2545" spans="12:17" x14ac:dyDescent="0.3">
      <c r="L2545" s="25"/>
      <c r="Q2545" s="17"/>
    </row>
    <row r="2546" spans="12:17" x14ac:dyDescent="0.3">
      <c r="L2546" s="25"/>
      <c r="Q2546" s="17"/>
    </row>
    <row r="2547" spans="12:17" x14ac:dyDescent="0.3">
      <c r="L2547" s="25"/>
      <c r="Q2547" s="17"/>
    </row>
    <row r="2548" spans="12:17" x14ac:dyDescent="0.3">
      <c r="L2548" s="25"/>
      <c r="Q2548" s="17"/>
    </row>
    <row r="2549" spans="12:17" x14ac:dyDescent="0.3">
      <c r="L2549" s="25"/>
      <c r="Q2549" s="17"/>
    </row>
    <row r="2550" spans="12:17" x14ac:dyDescent="0.3">
      <c r="L2550" s="25"/>
      <c r="Q2550" s="17"/>
    </row>
    <row r="2551" spans="12:17" x14ac:dyDescent="0.3">
      <c r="L2551" s="25"/>
      <c r="Q2551" s="17"/>
    </row>
    <row r="2552" spans="12:17" x14ac:dyDescent="0.3">
      <c r="L2552" s="25"/>
      <c r="Q2552" s="17"/>
    </row>
    <row r="2553" spans="12:17" x14ac:dyDescent="0.3">
      <c r="L2553" s="25"/>
      <c r="Q2553" s="17"/>
    </row>
    <row r="2554" spans="12:17" x14ac:dyDescent="0.3">
      <c r="L2554" s="25"/>
      <c r="Q2554" s="17"/>
    </row>
    <row r="2555" spans="12:17" x14ac:dyDescent="0.3">
      <c r="L2555" s="25"/>
      <c r="Q2555" s="17"/>
    </row>
    <row r="2556" spans="12:17" x14ac:dyDescent="0.3">
      <c r="L2556" s="25"/>
      <c r="Q2556" s="17"/>
    </row>
    <row r="2557" spans="12:17" x14ac:dyDescent="0.3">
      <c r="L2557" s="25"/>
      <c r="Q2557" s="17"/>
    </row>
    <row r="2558" spans="12:17" x14ac:dyDescent="0.3">
      <c r="L2558" s="25"/>
      <c r="Q2558" s="17"/>
    </row>
    <row r="2559" spans="12:17" x14ac:dyDescent="0.3">
      <c r="L2559" s="25"/>
      <c r="Q2559" s="17"/>
    </row>
    <row r="2560" spans="12:17" x14ac:dyDescent="0.3">
      <c r="L2560" s="25"/>
      <c r="Q2560" s="17"/>
    </row>
    <row r="2561" spans="12:17" x14ac:dyDescent="0.3">
      <c r="L2561" s="25"/>
      <c r="Q2561" s="17"/>
    </row>
    <row r="2562" spans="12:17" x14ac:dyDescent="0.3">
      <c r="L2562" s="25"/>
      <c r="Q2562" s="17"/>
    </row>
    <row r="2563" spans="12:17" x14ac:dyDescent="0.3">
      <c r="L2563" s="25"/>
      <c r="Q2563" s="17"/>
    </row>
    <row r="2564" spans="12:17" x14ac:dyDescent="0.3">
      <c r="L2564" s="25"/>
      <c r="Q2564" s="17"/>
    </row>
    <row r="2565" spans="12:17" x14ac:dyDescent="0.3">
      <c r="L2565" s="25"/>
      <c r="Q2565" s="17"/>
    </row>
    <row r="2566" spans="12:17" x14ac:dyDescent="0.3">
      <c r="L2566" s="25"/>
      <c r="Q2566" s="17"/>
    </row>
    <row r="2567" spans="12:17" x14ac:dyDescent="0.3">
      <c r="L2567" s="25"/>
      <c r="Q2567" s="17"/>
    </row>
    <row r="2568" spans="12:17" x14ac:dyDescent="0.3">
      <c r="L2568" s="25"/>
      <c r="Q2568" s="17"/>
    </row>
    <row r="2569" spans="12:17" x14ac:dyDescent="0.3">
      <c r="L2569" s="25"/>
      <c r="Q2569" s="17"/>
    </row>
    <row r="2570" spans="12:17" x14ac:dyDescent="0.3">
      <c r="L2570" s="25"/>
      <c r="Q2570" s="17"/>
    </row>
    <row r="2571" spans="12:17" x14ac:dyDescent="0.3">
      <c r="L2571" s="25"/>
      <c r="Q2571" s="17"/>
    </row>
    <row r="2572" spans="12:17" x14ac:dyDescent="0.3">
      <c r="L2572" s="25"/>
      <c r="Q2572" s="17"/>
    </row>
    <row r="2573" spans="12:17" x14ac:dyDescent="0.3">
      <c r="L2573" s="25"/>
      <c r="Q2573" s="17"/>
    </row>
    <row r="2574" spans="12:17" x14ac:dyDescent="0.3">
      <c r="L2574" s="25"/>
      <c r="Q2574" s="17"/>
    </row>
    <row r="2575" spans="12:17" x14ac:dyDescent="0.3">
      <c r="L2575" s="25"/>
      <c r="Q2575" s="17"/>
    </row>
    <row r="2576" spans="12:17" x14ac:dyDescent="0.3">
      <c r="L2576" s="25"/>
      <c r="Q2576" s="17"/>
    </row>
    <row r="2577" spans="12:17" x14ac:dyDescent="0.3">
      <c r="L2577" s="25"/>
      <c r="Q2577" s="17"/>
    </row>
    <row r="2578" spans="12:17" x14ac:dyDescent="0.3">
      <c r="L2578" s="25"/>
      <c r="Q2578" s="17"/>
    </row>
    <row r="2579" spans="12:17" x14ac:dyDescent="0.3">
      <c r="L2579" s="25"/>
      <c r="Q2579" s="17"/>
    </row>
    <row r="2580" spans="12:17" x14ac:dyDescent="0.3">
      <c r="L2580" s="25"/>
      <c r="Q2580" s="17"/>
    </row>
    <row r="2581" spans="12:17" x14ac:dyDescent="0.3">
      <c r="L2581" s="25"/>
      <c r="Q2581" s="17"/>
    </row>
    <row r="2582" spans="12:17" x14ac:dyDescent="0.3">
      <c r="L2582" s="25"/>
      <c r="Q2582" s="17"/>
    </row>
    <row r="2583" spans="12:17" x14ac:dyDescent="0.3">
      <c r="L2583" s="25"/>
      <c r="Q2583" s="17"/>
    </row>
    <row r="2584" spans="12:17" x14ac:dyDescent="0.3">
      <c r="L2584" s="25"/>
      <c r="Q2584" s="17"/>
    </row>
    <row r="2585" spans="12:17" x14ac:dyDescent="0.3">
      <c r="L2585" s="25"/>
      <c r="Q2585" s="17"/>
    </row>
    <row r="2586" spans="12:17" x14ac:dyDescent="0.3">
      <c r="L2586" s="25"/>
      <c r="Q2586" s="17"/>
    </row>
    <row r="2587" spans="12:17" x14ac:dyDescent="0.3">
      <c r="L2587" s="25"/>
      <c r="Q2587" s="17"/>
    </row>
    <row r="2588" spans="12:17" x14ac:dyDescent="0.3">
      <c r="L2588" s="25"/>
      <c r="Q2588" s="17"/>
    </row>
    <row r="2589" spans="12:17" x14ac:dyDescent="0.3">
      <c r="L2589" s="25"/>
      <c r="Q2589" s="17"/>
    </row>
    <row r="2590" spans="12:17" x14ac:dyDescent="0.3">
      <c r="L2590" s="25"/>
      <c r="Q2590" s="17"/>
    </row>
    <row r="2591" spans="12:17" x14ac:dyDescent="0.3">
      <c r="L2591" s="25"/>
      <c r="Q2591" s="17"/>
    </row>
    <row r="2592" spans="12:17" x14ac:dyDescent="0.3">
      <c r="L2592" s="25"/>
      <c r="Q2592" s="17"/>
    </row>
    <row r="2593" spans="12:17" x14ac:dyDescent="0.3">
      <c r="L2593" s="25"/>
      <c r="Q2593" s="17"/>
    </row>
    <row r="2594" spans="12:17" x14ac:dyDescent="0.3">
      <c r="L2594" s="25"/>
      <c r="Q2594" s="17"/>
    </row>
    <row r="2595" spans="12:17" x14ac:dyDescent="0.3">
      <c r="L2595" s="25"/>
      <c r="Q2595" s="17"/>
    </row>
    <row r="2596" spans="12:17" x14ac:dyDescent="0.3">
      <c r="L2596" s="25"/>
      <c r="Q2596" s="17"/>
    </row>
    <row r="2597" spans="12:17" x14ac:dyDescent="0.3">
      <c r="L2597" s="25"/>
      <c r="Q2597" s="17"/>
    </row>
    <row r="2598" spans="12:17" x14ac:dyDescent="0.3">
      <c r="L2598" s="25"/>
      <c r="Q2598" s="17"/>
    </row>
    <row r="2599" spans="12:17" x14ac:dyDescent="0.3">
      <c r="L2599" s="25"/>
      <c r="Q2599" s="17"/>
    </row>
    <row r="2600" spans="12:17" x14ac:dyDescent="0.3">
      <c r="L2600" s="25"/>
      <c r="Q2600" s="17"/>
    </row>
    <row r="2601" spans="12:17" x14ac:dyDescent="0.3">
      <c r="L2601" s="25"/>
      <c r="Q2601" s="17"/>
    </row>
    <row r="2602" spans="12:17" x14ac:dyDescent="0.3">
      <c r="L2602" s="25"/>
      <c r="Q2602" s="17"/>
    </row>
    <row r="2603" spans="12:17" x14ac:dyDescent="0.3">
      <c r="L2603" s="25"/>
      <c r="Q2603" s="17"/>
    </row>
    <row r="2604" spans="12:17" x14ac:dyDescent="0.3">
      <c r="L2604" s="25"/>
      <c r="Q2604" s="17"/>
    </row>
    <row r="2605" spans="12:17" x14ac:dyDescent="0.3">
      <c r="L2605" s="25"/>
      <c r="Q2605" s="17"/>
    </row>
    <row r="2606" spans="12:17" x14ac:dyDescent="0.3">
      <c r="L2606" s="25"/>
      <c r="Q2606" s="17"/>
    </row>
    <row r="2607" spans="12:17" x14ac:dyDescent="0.3">
      <c r="L2607" s="25"/>
      <c r="Q2607" s="17"/>
    </row>
    <row r="2608" spans="12:17" x14ac:dyDescent="0.3">
      <c r="L2608" s="25"/>
      <c r="Q2608" s="17"/>
    </row>
    <row r="2609" spans="12:17" x14ac:dyDescent="0.3">
      <c r="L2609" s="25"/>
      <c r="Q2609" s="17"/>
    </row>
    <row r="2610" spans="12:17" x14ac:dyDescent="0.3">
      <c r="L2610" s="25"/>
      <c r="Q2610" s="17"/>
    </row>
    <row r="2611" spans="12:17" x14ac:dyDescent="0.3">
      <c r="L2611" s="25"/>
      <c r="Q2611" s="17"/>
    </row>
    <row r="2612" spans="12:17" x14ac:dyDescent="0.3">
      <c r="L2612" s="25"/>
      <c r="Q2612" s="17"/>
    </row>
    <row r="2613" spans="12:17" x14ac:dyDescent="0.3">
      <c r="L2613" s="25"/>
      <c r="Q2613" s="17"/>
    </row>
    <row r="2614" spans="12:17" x14ac:dyDescent="0.3">
      <c r="L2614" s="25"/>
      <c r="Q2614" s="17"/>
    </row>
    <row r="2615" spans="12:17" x14ac:dyDescent="0.3">
      <c r="L2615" s="25"/>
      <c r="Q2615" s="17"/>
    </row>
    <row r="2616" spans="12:17" x14ac:dyDescent="0.3">
      <c r="L2616" s="25"/>
      <c r="Q2616" s="17"/>
    </row>
    <row r="2617" spans="12:17" x14ac:dyDescent="0.3">
      <c r="L2617" s="25"/>
      <c r="Q2617" s="17"/>
    </row>
    <row r="2618" spans="12:17" x14ac:dyDescent="0.3">
      <c r="L2618" s="25"/>
      <c r="Q2618" s="17"/>
    </row>
    <row r="2619" spans="12:17" x14ac:dyDescent="0.3">
      <c r="L2619" s="25"/>
      <c r="Q2619" s="17"/>
    </row>
    <row r="2620" spans="12:17" x14ac:dyDescent="0.3">
      <c r="L2620" s="25"/>
      <c r="Q2620" s="17"/>
    </row>
    <row r="2621" spans="12:17" x14ac:dyDescent="0.3">
      <c r="L2621" s="25"/>
      <c r="Q2621" s="17"/>
    </row>
    <row r="2622" spans="12:17" x14ac:dyDescent="0.3">
      <c r="L2622" s="25"/>
      <c r="Q2622" s="17"/>
    </row>
    <row r="2623" spans="12:17" x14ac:dyDescent="0.3">
      <c r="L2623" s="25"/>
      <c r="Q2623" s="17"/>
    </row>
    <row r="2624" spans="12:17" x14ac:dyDescent="0.3">
      <c r="L2624" s="25"/>
      <c r="Q2624" s="17"/>
    </row>
    <row r="2625" spans="12:17" x14ac:dyDescent="0.3">
      <c r="L2625" s="25"/>
      <c r="Q2625" s="17"/>
    </row>
    <row r="2626" spans="12:17" x14ac:dyDescent="0.3">
      <c r="L2626" s="25"/>
      <c r="Q2626" s="17"/>
    </row>
    <row r="2627" spans="12:17" x14ac:dyDescent="0.3">
      <c r="L2627" s="25"/>
      <c r="Q2627" s="17"/>
    </row>
    <row r="2628" spans="12:17" x14ac:dyDescent="0.3">
      <c r="L2628" s="25"/>
      <c r="Q2628" s="17"/>
    </row>
    <row r="2629" spans="12:17" x14ac:dyDescent="0.3">
      <c r="L2629" s="25"/>
      <c r="Q2629" s="17"/>
    </row>
    <row r="2630" spans="12:17" x14ac:dyDescent="0.3">
      <c r="L2630" s="25"/>
      <c r="Q2630" s="17"/>
    </row>
    <row r="2631" spans="12:17" x14ac:dyDescent="0.3">
      <c r="L2631" s="25"/>
      <c r="Q2631" s="17"/>
    </row>
    <row r="2632" spans="12:17" x14ac:dyDescent="0.3">
      <c r="L2632" s="25"/>
      <c r="Q2632" s="17"/>
    </row>
    <row r="2633" spans="12:17" x14ac:dyDescent="0.3">
      <c r="L2633" s="25"/>
      <c r="Q2633" s="17"/>
    </row>
    <row r="2634" spans="12:17" x14ac:dyDescent="0.3">
      <c r="L2634" s="25"/>
      <c r="Q2634" s="17"/>
    </row>
    <row r="2635" spans="12:17" x14ac:dyDescent="0.3">
      <c r="L2635" s="25"/>
      <c r="Q2635" s="17"/>
    </row>
    <row r="2636" spans="12:17" x14ac:dyDescent="0.3">
      <c r="L2636" s="25"/>
      <c r="Q2636" s="17"/>
    </row>
    <row r="2637" spans="12:17" x14ac:dyDescent="0.3">
      <c r="L2637" s="25"/>
      <c r="Q2637" s="17"/>
    </row>
    <row r="2638" spans="12:17" x14ac:dyDescent="0.3">
      <c r="L2638" s="25"/>
      <c r="Q2638" s="17"/>
    </row>
    <row r="2639" spans="12:17" x14ac:dyDescent="0.3">
      <c r="L2639" s="25"/>
      <c r="Q2639" s="17"/>
    </row>
    <row r="2640" spans="12:17" x14ac:dyDescent="0.3">
      <c r="L2640" s="25"/>
      <c r="Q2640" s="17"/>
    </row>
    <row r="2641" spans="12:17" x14ac:dyDescent="0.3">
      <c r="L2641" s="25"/>
      <c r="Q2641" s="17"/>
    </row>
    <row r="2642" spans="12:17" x14ac:dyDescent="0.3">
      <c r="L2642" s="25"/>
      <c r="Q2642" s="17"/>
    </row>
    <row r="2643" spans="12:17" x14ac:dyDescent="0.3">
      <c r="L2643" s="25"/>
      <c r="Q2643" s="17"/>
    </row>
    <row r="2644" spans="12:17" x14ac:dyDescent="0.3">
      <c r="L2644" s="25"/>
      <c r="Q2644" s="17"/>
    </row>
    <row r="2645" spans="12:17" x14ac:dyDescent="0.3">
      <c r="L2645" s="25"/>
      <c r="Q2645" s="17"/>
    </row>
    <row r="2646" spans="12:17" x14ac:dyDescent="0.3">
      <c r="L2646" s="25"/>
      <c r="Q2646" s="17"/>
    </row>
    <row r="2647" spans="12:17" x14ac:dyDescent="0.3">
      <c r="L2647" s="25"/>
      <c r="Q2647" s="17"/>
    </row>
    <row r="2648" spans="12:17" x14ac:dyDescent="0.3">
      <c r="L2648" s="25"/>
      <c r="Q2648" s="17"/>
    </row>
    <row r="2649" spans="12:17" x14ac:dyDescent="0.3">
      <c r="L2649" s="25"/>
      <c r="Q2649" s="17"/>
    </row>
    <row r="2650" spans="12:17" x14ac:dyDescent="0.3">
      <c r="L2650" s="25"/>
      <c r="Q2650" s="17"/>
    </row>
    <row r="2651" spans="12:17" x14ac:dyDescent="0.3">
      <c r="L2651" s="25"/>
      <c r="Q2651" s="17"/>
    </row>
    <row r="2652" spans="12:17" x14ac:dyDescent="0.3">
      <c r="L2652" s="25"/>
      <c r="Q2652" s="17"/>
    </row>
    <row r="2653" spans="12:17" x14ac:dyDescent="0.3">
      <c r="L2653" s="25"/>
      <c r="Q2653" s="17"/>
    </row>
    <row r="2654" spans="12:17" x14ac:dyDescent="0.3">
      <c r="L2654" s="25"/>
      <c r="Q2654" s="17"/>
    </row>
    <row r="2655" spans="12:17" x14ac:dyDescent="0.3">
      <c r="L2655" s="25"/>
      <c r="Q2655" s="17"/>
    </row>
    <row r="2656" spans="12:17" x14ac:dyDescent="0.3">
      <c r="L2656" s="25"/>
      <c r="Q2656" s="17"/>
    </row>
    <row r="2657" spans="12:17" x14ac:dyDescent="0.3">
      <c r="L2657" s="25"/>
      <c r="Q2657" s="17"/>
    </row>
    <row r="2658" spans="12:17" x14ac:dyDescent="0.3">
      <c r="L2658" s="25"/>
      <c r="Q2658" s="17"/>
    </row>
    <row r="2659" spans="12:17" x14ac:dyDescent="0.3">
      <c r="L2659" s="25"/>
      <c r="Q2659" s="17"/>
    </row>
    <row r="2660" spans="12:17" x14ac:dyDescent="0.3">
      <c r="L2660" s="25"/>
      <c r="Q2660" s="17"/>
    </row>
    <row r="2661" spans="12:17" x14ac:dyDescent="0.3">
      <c r="L2661" s="25"/>
      <c r="Q2661" s="17"/>
    </row>
    <row r="2662" spans="12:17" x14ac:dyDescent="0.3">
      <c r="L2662" s="25"/>
      <c r="Q2662" s="17"/>
    </row>
    <row r="2663" spans="12:17" x14ac:dyDescent="0.3">
      <c r="L2663" s="25"/>
      <c r="Q2663" s="17"/>
    </row>
    <row r="2664" spans="12:17" x14ac:dyDescent="0.3">
      <c r="L2664" s="25"/>
      <c r="Q2664" s="17"/>
    </row>
    <row r="2665" spans="12:17" x14ac:dyDescent="0.3">
      <c r="L2665" s="25"/>
      <c r="Q2665" s="17"/>
    </row>
    <row r="2666" spans="12:17" x14ac:dyDescent="0.3">
      <c r="L2666" s="25"/>
      <c r="Q2666" s="17"/>
    </row>
    <row r="2667" spans="12:17" x14ac:dyDescent="0.3">
      <c r="L2667" s="25"/>
      <c r="Q2667" s="17"/>
    </row>
    <row r="2668" spans="12:17" x14ac:dyDescent="0.3">
      <c r="L2668" s="25"/>
      <c r="Q2668" s="17"/>
    </row>
    <row r="2669" spans="12:17" x14ac:dyDescent="0.3">
      <c r="L2669" s="25"/>
      <c r="Q2669" s="17"/>
    </row>
    <row r="2670" spans="12:17" x14ac:dyDescent="0.3">
      <c r="L2670" s="25"/>
      <c r="Q2670" s="17"/>
    </row>
    <row r="2671" spans="12:17" x14ac:dyDescent="0.3">
      <c r="L2671" s="25"/>
      <c r="Q2671" s="17"/>
    </row>
    <row r="2672" spans="12:17" x14ac:dyDescent="0.3">
      <c r="L2672" s="25"/>
      <c r="Q2672" s="17"/>
    </row>
    <row r="2673" spans="12:17" x14ac:dyDescent="0.3">
      <c r="L2673" s="25"/>
      <c r="Q2673" s="17"/>
    </row>
    <row r="2674" spans="12:17" x14ac:dyDescent="0.3">
      <c r="L2674" s="25"/>
      <c r="Q2674" s="17"/>
    </row>
    <row r="2675" spans="12:17" x14ac:dyDescent="0.3">
      <c r="L2675" s="25"/>
      <c r="Q2675" s="17"/>
    </row>
    <row r="2676" spans="12:17" x14ac:dyDescent="0.3">
      <c r="L2676" s="25"/>
      <c r="Q2676" s="17"/>
    </row>
    <row r="2677" spans="12:17" x14ac:dyDescent="0.3">
      <c r="L2677" s="25"/>
      <c r="Q2677" s="17"/>
    </row>
    <row r="2678" spans="12:17" x14ac:dyDescent="0.3">
      <c r="L2678" s="25"/>
      <c r="Q2678" s="17"/>
    </row>
    <row r="2679" spans="12:17" x14ac:dyDescent="0.3">
      <c r="L2679" s="25"/>
      <c r="Q2679" s="17"/>
    </row>
    <row r="2680" spans="12:17" x14ac:dyDescent="0.3">
      <c r="L2680" s="25"/>
      <c r="Q2680" s="17"/>
    </row>
    <row r="2681" spans="12:17" x14ac:dyDescent="0.3">
      <c r="L2681" s="25"/>
      <c r="Q2681" s="17"/>
    </row>
    <row r="2682" spans="12:17" x14ac:dyDescent="0.3">
      <c r="L2682" s="25"/>
      <c r="Q2682" s="17"/>
    </row>
    <row r="2683" spans="12:17" x14ac:dyDescent="0.3">
      <c r="L2683" s="25"/>
      <c r="Q2683" s="17"/>
    </row>
    <row r="2684" spans="12:17" x14ac:dyDescent="0.3">
      <c r="L2684" s="25"/>
      <c r="Q2684" s="17"/>
    </row>
    <row r="2685" spans="12:17" x14ac:dyDescent="0.3">
      <c r="L2685" s="25"/>
      <c r="Q2685" s="17"/>
    </row>
    <row r="2686" spans="12:17" x14ac:dyDescent="0.3">
      <c r="L2686" s="25"/>
      <c r="Q2686" s="17"/>
    </row>
    <row r="2687" spans="12:17" x14ac:dyDescent="0.3">
      <c r="L2687" s="25"/>
      <c r="Q2687" s="17"/>
    </row>
    <row r="2688" spans="12:17" x14ac:dyDescent="0.3">
      <c r="L2688" s="25"/>
      <c r="Q2688" s="17"/>
    </row>
    <row r="2689" spans="12:17" x14ac:dyDescent="0.3">
      <c r="L2689" s="25"/>
      <c r="Q2689" s="17"/>
    </row>
    <row r="2690" spans="12:17" x14ac:dyDescent="0.3">
      <c r="L2690" s="25"/>
      <c r="Q2690" s="17"/>
    </row>
    <row r="2691" spans="12:17" x14ac:dyDescent="0.3">
      <c r="L2691" s="25"/>
      <c r="Q2691" s="17"/>
    </row>
    <row r="2692" spans="12:17" x14ac:dyDescent="0.3">
      <c r="L2692" s="25"/>
      <c r="Q2692" s="17"/>
    </row>
    <row r="2693" spans="12:17" x14ac:dyDescent="0.3">
      <c r="L2693" s="25"/>
      <c r="Q2693" s="17"/>
    </row>
    <row r="2694" spans="12:17" x14ac:dyDescent="0.3">
      <c r="L2694" s="25"/>
      <c r="Q2694" s="17"/>
    </row>
    <row r="2695" spans="12:17" x14ac:dyDescent="0.3">
      <c r="L2695" s="25"/>
      <c r="Q2695" s="17"/>
    </row>
    <row r="2696" spans="12:17" x14ac:dyDescent="0.3">
      <c r="L2696" s="25"/>
      <c r="Q2696" s="17"/>
    </row>
    <row r="2697" spans="12:17" x14ac:dyDescent="0.3">
      <c r="L2697" s="25"/>
      <c r="Q2697" s="17"/>
    </row>
    <row r="2698" spans="12:17" x14ac:dyDescent="0.3">
      <c r="L2698" s="25"/>
      <c r="Q2698" s="17"/>
    </row>
    <row r="2699" spans="12:17" x14ac:dyDescent="0.3">
      <c r="L2699" s="25"/>
      <c r="Q2699" s="17"/>
    </row>
    <row r="2700" spans="12:17" x14ac:dyDescent="0.3">
      <c r="L2700" s="25"/>
      <c r="Q2700" s="17"/>
    </row>
    <row r="2701" spans="12:17" x14ac:dyDescent="0.3">
      <c r="L2701" s="25"/>
      <c r="Q2701" s="17"/>
    </row>
    <row r="2702" spans="12:17" x14ac:dyDescent="0.3">
      <c r="L2702" s="25"/>
      <c r="Q2702" s="17"/>
    </row>
    <row r="2703" spans="12:17" x14ac:dyDescent="0.3">
      <c r="L2703" s="25"/>
      <c r="Q2703" s="17"/>
    </row>
    <row r="2704" spans="12:17" x14ac:dyDescent="0.3">
      <c r="L2704" s="25"/>
      <c r="Q2704" s="17"/>
    </row>
    <row r="2705" spans="12:17" x14ac:dyDescent="0.3">
      <c r="L2705" s="25"/>
      <c r="Q2705" s="17"/>
    </row>
    <row r="2706" spans="12:17" x14ac:dyDescent="0.3">
      <c r="L2706" s="25"/>
      <c r="Q2706" s="17"/>
    </row>
    <row r="2707" spans="12:17" x14ac:dyDescent="0.3">
      <c r="L2707" s="25"/>
      <c r="Q2707" s="17"/>
    </row>
    <row r="2708" spans="12:17" x14ac:dyDescent="0.3">
      <c r="L2708" s="25"/>
      <c r="Q2708" s="17"/>
    </row>
    <row r="2709" spans="12:17" x14ac:dyDescent="0.3">
      <c r="L2709" s="25"/>
      <c r="Q2709" s="17"/>
    </row>
    <row r="2710" spans="12:17" x14ac:dyDescent="0.3">
      <c r="L2710" s="25"/>
      <c r="Q2710" s="17"/>
    </row>
    <row r="2711" spans="12:17" x14ac:dyDescent="0.3">
      <c r="L2711" s="25"/>
      <c r="Q2711" s="17"/>
    </row>
    <row r="2712" spans="12:17" x14ac:dyDescent="0.3">
      <c r="L2712" s="25"/>
      <c r="Q2712" s="17"/>
    </row>
    <row r="2713" spans="12:17" x14ac:dyDescent="0.3">
      <c r="L2713" s="25"/>
      <c r="Q2713" s="17"/>
    </row>
    <row r="2714" spans="12:17" x14ac:dyDescent="0.3">
      <c r="L2714" s="25"/>
      <c r="Q2714" s="17"/>
    </row>
    <row r="2715" spans="12:17" x14ac:dyDescent="0.3">
      <c r="L2715" s="25"/>
      <c r="Q2715" s="17"/>
    </row>
    <row r="2716" spans="12:17" x14ac:dyDescent="0.3">
      <c r="L2716" s="25"/>
      <c r="Q2716" s="17"/>
    </row>
    <row r="2717" spans="12:17" x14ac:dyDescent="0.3">
      <c r="L2717" s="25"/>
      <c r="Q2717" s="17"/>
    </row>
    <row r="2718" spans="12:17" x14ac:dyDescent="0.3">
      <c r="L2718" s="25"/>
      <c r="Q2718" s="17"/>
    </row>
    <row r="2719" spans="12:17" x14ac:dyDescent="0.3">
      <c r="L2719" s="25"/>
      <c r="Q2719" s="17"/>
    </row>
    <row r="2720" spans="12:17" x14ac:dyDescent="0.3">
      <c r="L2720" s="25"/>
      <c r="Q2720" s="17"/>
    </row>
    <row r="2721" spans="12:17" x14ac:dyDescent="0.3">
      <c r="L2721" s="25"/>
      <c r="Q2721" s="17"/>
    </row>
    <row r="2722" spans="12:17" x14ac:dyDescent="0.3">
      <c r="L2722" s="25"/>
      <c r="Q2722" s="17"/>
    </row>
    <row r="2723" spans="12:17" x14ac:dyDescent="0.3">
      <c r="L2723" s="25"/>
      <c r="Q2723" s="17"/>
    </row>
    <row r="2724" spans="12:17" x14ac:dyDescent="0.3">
      <c r="L2724" s="25"/>
      <c r="Q2724" s="17"/>
    </row>
    <row r="2725" spans="12:17" x14ac:dyDescent="0.3">
      <c r="L2725" s="25"/>
      <c r="Q2725" s="17"/>
    </row>
    <row r="2726" spans="12:17" x14ac:dyDescent="0.3">
      <c r="L2726" s="25"/>
      <c r="Q2726" s="17"/>
    </row>
    <row r="2727" spans="12:17" x14ac:dyDescent="0.3">
      <c r="L2727" s="25"/>
      <c r="Q2727" s="17"/>
    </row>
    <row r="2728" spans="12:17" x14ac:dyDescent="0.3">
      <c r="L2728" s="25"/>
      <c r="Q2728" s="17"/>
    </row>
    <row r="2729" spans="12:17" x14ac:dyDescent="0.3">
      <c r="L2729" s="25"/>
      <c r="Q2729" s="17"/>
    </row>
    <row r="2730" spans="12:17" x14ac:dyDescent="0.3">
      <c r="L2730" s="25"/>
      <c r="Q2730" s="17"/>
    </row>
    <row r="2731" spans="12:17" x14ac:dyDescent="0.3">
      <c r="L2731" s="25"/>
      <c r="Q2731" s="17"/>
    </row>
    <row r="2732" spans="12:17" x14ac:dyDescent="0.3">
      <c r="L2732" s="25"/>
      <c r="Q2732" s="17"/>
    </row>
    <row r="2733" spans="12:17" x14ac:dyDescent="0.3">
      <c r="L2733" s="25"/>
      <c r="Q2733" s="17"/>
    </row>
    <row r="2734" spans="12:17" x14ac:dyDescent="0.3">
      <c r="L2734" s="25"/>
      <c r="Q2734" s="17"/>
    </row>
    <row r="2735" spans="12:17" x14ac:dyDescent="0.3">
      <c r="L2735" s="25"/>
      <c r="Q2735" s="17"/>
    </row>
    <row r="2736" spans="12:17" x14ac:dyDescent="0.3">
      <c r="L2736" s="25"/>
      <c r="Q2736" s="17"/>
    </row>
    <row r="2737" spans="12:17" x14ac:dyDescent="0.3">
      <c r="L2737" s="25"/>
      <c r="Q2737" s="17"/>
    </row>
    <row r="2738" spans="12:17" x14ac:dyDescent="0.3">
      <c r="L2738" s="25"/>
      <c r="Q2738" s="17"/>
    </row>
    <row r="2739" spans="12:17" x14ac:dyDescent="0.3">
      <c r="L2739" s="25"/>
      <c r="Q2739" s="17"/>
    </row>
    <row r="2740" spans="12:17" x14ac:dyDescent="0.3">
      <c r="L2740" s="25"/>
      <c r="Q2740" s="17"/>
    </row>
    <row r="2741" spans="12:17" x14ac:dyDescent="0.3">
      <c r="L2741" s="25"/>
      <c r="Q2741" s="17"/>
    </row>
    <row r="2742" spans="12:17" x14ac:dyDescent="0.3">
      <c r="L2742" s="25"/>
      <c r="Q2742" s="17"/>
    </row>
    <row r="2743" spans="12:17" x14ac:dyDescent="0.3">
      <c r="L2743" s="25"/>
      <c r="Q2743" s="17"/>
    </row>
    <row r="2744" spans="12:17" x14ac:dyDescent="0.3">
      <c r="L2744" s="25"/>
      <c r="Q2744" s="17"/>
    </row>
    <row r="2745" spans="12:17" x14ac:dyDescent="0.3">
      <c r="L2745" s="25"/>
      <c r="Q2745" s="17"/>
    </row>
    <row r="2746" spans="12:17" x14ac:dyDescent="0.3">
      <c r="L2746" s="25"/>
      <c r="Q2746" s="17"/>
    </row>
    <row r="2747" spans="12:17" x14ac:dyDescent="0.3">
      <c r="L2747" s="25"/>
      <c r="Q2747" s="17"/>
    </row>
    <row r="2748" spans="12:17" x14ac:dyDescent="0.3">
      <c r="L2748" s="25"/>
      <c r="Q2748" s="17"/>
    </row>
    <row r="2749" spans="12:17" x14ac:dyDescent="0.3">
      <c r="L2749" s="25"/>
      <c r="Q2749" s="17"/>
    </row>
    <row r="2750" spans="12:17" x14ac:dyDescent="0.3">
      <c r="L2750" s="25"/>
      <c r="Q2750" s="17"/>
    </row>
    <row r="2751" spans="12:17" x14ac:dyDescent="0.3">
      <c r="L2751" s="25"/>
      <c r="Q2751" s="17"/>
    </row>
    <row r="2752" spans="12:17" x14ac:dyDescent="0.3">
      <c r="L2752" s="25"/>
      <c r="Q2752" s="17"/>
    </row>
    <row r="2753" spans="12:17" x14ac:dyDescent="0.3">
      <c r="L2753" s="25"/>
      <c r="Q2753" s="17"/>
    </row>
    <row r="2754" spans="12:17" x14ac:dyDescent="0.3">
      <c r="L2754" s="25"/>
      <c r="Q2754" s="17"/>
    </row>
    <row r="2755" spans="12:17" x14ac:dyDescent="0.3">
      <c r="L2755" s="25"/>
      <c r="Q2755" s="17"/>
    </row>
    <row r="2756" spans="12:17" x14ac:dyDescent="0.3">
      <c r="L2756" s="25"/>
      <c r="Q2756" s="17"/>
    </row>
    <row r="2757" spans="12:17" x14ac:dyDescent="0.3">
      <c r="L2757" s="25"/>
      <c r="Q2757" s="17"/>
    </row>
    <row r="2758" spans="12:17" x14ac:dyDescent="0.3">
      <c r="L2758" s="25"/>
      <c r="Q2758" s="17"/>
    </row>
    <row r="2759" spans="12:17" x14ac:dyDescent="0.3">
      <c r="L2759" s="25"/>
      <c r="Q2759" s="17"/>
    </row>
    <row r="2760" spans="12:17" x14ac:dyDescent="0.3">
      <c r="L2760" s="25"/>
      <c r="Q2760" s="17"/>
    </row>
    <row r="2761" spans="12:17" x14ac:dyDescent="0.3">
      <c r="L2761" s="25"/>
      <c r="Q2761" s="17"/>
    </row>
    <row r="2762" spans="12:17" x14ac:dyDescent="0.3">
      <c r="L2762" s="25"/>
      <c r="Q2762" s="17"/>
    </row>
    <row r="2763" spans="12:17" x14ac:dyDescent="0.3">
      <c r="L2763" s="25"/>
      <c r="Q2763" s="17"/>
    </row>
    <row r="2764" spans="12:17" x14ac:dyDescent="0.3">
      <c r="L2764" s="25"/>
      <c r="Q2764" s="17"/>
    </row>
    <row r="2765" spans="12:17" x14ac:dyDescent="0.3">
      <c r="L2765" s="25"/>
      <c r="Q2765" s="17"/>
    </row>
    <row r="2766" spans="12:17" x14ac:dyDescent="0.3">
      <c r="L2766" s="25"/>
      <c r="Q2766" s="17"/>
    </row>
    <row r="2767" spans="12:17" x14ac:dyDescent="0.3">
      <c r="L2767" s="25"/>
      <c r="Q2767" s="17"/>
    </row>
    <row r="2768" spans="12:17" x14ac:dyDescent="0.3">
      <c r="L2768" s="25"/>
      <c r="Q2768" s="17"/>
    </row>
    <row r="2769" spans="12:17" x14ac:dyDescent="0.3">
      <c r="L2769" s="25"/>
      <c r="Q2769" s="17"/>
    </row>
    <row r="2770" spans="12:17" x14ac:dyDescent="0.3">
      <c r="L2770" s="25"/>
      <c r="Q2770" s="17"/>
    </row>
    <row r="2771" spans="12:17" x14ac:dyDescent="0.3">
      <c r="L2771" s="25"/>
      <c r="Q2771" s="17"/>
    </row>
    <row r="2772" spans="12:17" x14ac:dyDescent="0.3">
      <c r="L2772" s="25"/>
      <c r="Q2772" s="17"/>
    </row>
    <row r="2773" spans="12:17" x14ac:dyDescent="0.3">
      <c r="L2773" s="25"/>
      <c r="Q2773" s="17"/>
    </row>
    <row r="2774" spans="12:17" x14ac:dyDescent="0.3">
      <c r="L2774" s="25"/>
      <c r="Q2774" s="17"/>
    </row>
    <row r="2775" spans="12:17" x14ac:dyDescent="0.3">
      <c r="L2775" s="25"/>
      <c r="Q2775" s="17"/>
    </row>
    <row r="2776" spans="12:17" x14ac:dyDescent="0.3">
      <c r="L2776" s="25"/>
      <c r="Q2776" s="17"/>
    </row>
    <row r="2777" spans="12:17" x14ac:dyDescent="0.3">
      <c r="L2777" s="25"/>
      <c r="Q2777" s="17"/>
    </row>
    <row r="2778" spans="12:17" x14ac:dyDescent="0.3">
      <c r="L2778" s="25"/>
      <c r="Q2778" s="17"/>
    </row>
    <row r="2779" spans="12:17" x14ac:dyDescent="0.3">
      <c r="L2779" s="25"/>
      <c r="Q2779" s="17"/>
    </row>
    <row r="2780" spans="12:17" x14ac:dyDescent="0.3">
      <c r="L2780" s="25"/>
      <c r="Q2780" s="17"/>
    </row>
    <row r="2781" spans="12:17" x14ac:dyDescent="0.3">
      <c r="L2781" s="25"/>
      <c r="Q2781" s="17"/>
    </row>
    <row r="2782" spans="12:17" x14ac:dyDescent="0.3">
      <c r="L2782" s="25"/>
      <c r="Q2782" s="17"/>
    </row>
    <row r="2783" spans="12:17" x14ac:dyDescent="0.3">
      <c r="L2783" s="25"/>
      <c r="Q2783" s="17"/>
    </row>
    <row r="2784" spans="12:17" x14ac:dyDescent="0.3">
      <c r="L2784" s="25"/>
      <c r="Q2784" s="17"/>
    </row>
    <row r="2785" spans="12:17" x14ac:dyDescent="0.3">
      <c r="L2785" s="25"/>
      <c r="Q2785" s="17"/>
    </row>
    <row r="2786" spans="12:17" x14ac:dyDescent="0.3">
      <c r="L2786" s="25"/>
      <c r="Q2786" s="17"/>
    </row>
    <row r="2787" spans="12:17" x14ac:dyDescent="0.3">
      <c r="L2787" s="25"/>
      <c r="Q2787" s="17"/>
    </row>
    <row r="2788" spans="12:17" x14ac:dyDescent="0.3">
      <c r="L2788" s="25"/>
      <c r="Q2788" s="17"/>
    </row>
    <row r="2789" spans="12:17" x14ac:dyDescent="0.3">
      <c r="L2789" s="25"/>
      <c r="Q2789" s="17"/>
    </row>
    <row r="2790" spans="12:17" x14ac:dyDescent="0.3">
      <c r="L2790" s="25"/>
      <c r="Q2790" s="17"/>
    </row>
    <row r="2791" spans="12:17" x14ac:dyDescent="0.3">
      <c r="L2791" s="25"/>
      <c r="Q2791" s="17"/>
    </row>
    <row r="2792" spans="12:17" x14ac:dyDescent="0.3">
      <c r="L2792" s="25"/>
      <c r="Q2792" s="17"/>
    </row>
    <row r="2793" spans="12:17" x14ac:dyDescent="0.3">
      <c r="L2793" s="25"/>
      <c r="Q2793" s="17"/>
    </row>
    <row r="2794" spans="12:17" x14ac:dyDescent="0.3">
      <c r="L2794" s="25"/>
      <c r="Q2794" s="17"/>
    </row>
    <row r="2795" spans="12:17" x14ac:dyDescent="0.3">
      <c r="L2795" s="25"/>
      <c r="Q2795" s="17"/>
    </row>
    <row r="2796" spans="12:17" x14ac:dyDescent="0.3">
      <c r="L2796" s="25"/>
      <c r="Q2796" s="17"/>
    </row>
    <row r="2797" spans="12:17" x14ac:dyDescent="0.3">
      <c r="L2797" s="25"/>
      <c r="Q2797" s="17"/>
    </row>
    <row r="2798" spans="12:17" x14ac:dyDescent="0.3">
      <c r="L2798" s="25"/>
      <c r="Q2798" s="17"/>
    </row>
    <row r="2799" spans="12:17" x14ac:dyDescent="0.3">
      <c r="L2799" s="25"/>
      <c r="Q2799" s="17"/>
    </row>
    <row r="2800" spans="12:17" x14ac:dyDescent="0.3">
      <c r="L2800" s="25"/>
      <c r="Q2800" s="17"/>
    </row>
    <row r="2801" spans="12:17" x14ac:dyDescent="0.3">
      <c r="L2801" s="25"/>
      <c r="Q2801" s="17"/>
    </row>
    <row r="2802" spans="12:17" x14ac:dyDescent="0.3">
      <c r="L2802" s="25"/>
      <c r="Q2802" s="17"/>
    </row>
    <row r="2803" spans="12:17" x14ac:dyDescent="0.3">
      <c r="L2803" s="25"/>
      <c r="Q2803" s="17"/>
    </row>
    <row r="2804" spans="12:17" x14ac:dyDescent="0.3">
      <c r="L2804" s="25"/>
      <c r="Q2804" s="17"/>
    </row>
    <row r="2805" spans="12:17" x14ac:dyDescent="0.3">
      <c r="L2805" s="25"/>
      <c r="Q2805" s="17"/>
    </row>
    <row r="2806" spans="12:17" x14ac:dyDescent="0.3">
      <c r="L2806" s="25"/>
      <c r="Q2806" s="17"/>
    </row>
    <row r="2807" spans="12:17" x14ac:dyDescent="0.3">
      <c r="L2807" s="25"/>
      <c r="Q2807" s="17"/>
    </row>
    <row r="2808" spans="12:17" x14ac:dyDescent="0.3">
      <c r="L2808" s="25"/>
      <c r="Q2808" s="17"/>
    </row>
    <row r="2809" spans="12:17" x14ac:dyDescent="0.3">
      <c r="L2809" s="25"/>
      <c r="Q2809" s="17"/>
    </row>
    <row r="2810" spans="12:17" x14ac:dyDescent="0.3">
      <c r="L2810" s="25"/>
      <c r="Q2810" s="17"/>
    </row>
    <row r="2811" spans="12:17" x14ac:dyDescent="0.3">
      <c r="L2811" s="25"/>
      <c r="Q2811" s="17"/>
    </row>
    <row r="2812" spans="12:17" x14ac:dyDescent="0.3">
      <c r="L2812" s="25"/>
      <c r="Q2812" s="17"/>
    </row>
    <row r="2813" spans="12:17" x14ac:dyDescent="0.3">
      <c r="L2813" s="25"/>
      <c r="Q2813" s="17"/>
    </row>
    <row r="2814" spans="12:17" x14ac:dyDescent="0.3">
      <c r="L2814" s="25"/>
      <c r="Q2814" s="17"/>
    </row>
    <row r="2815" spans="12:17" x14ac:dyDescent="0.3">
      <c r="L2815" s="25"/>
      <c r="Q2815" s="17"/>
    </row>
    <row r="2816" spans="12:17" x14ac:dyDescent="0.3">
      <c r="L2816" s="25"/>
      <c r="Q2816" s="17"/>
    </row>
    <row r="2817" spans="12:17" x14ac:dyDescent="0.3">
      <c r="L2817" s="25"/>
      <c r="Q2817" s="17"/>
    </row>
    <row r="2818" spans="12:17" x14ac:dyDescent="0.3">
      <c r="L2818" s="25"/>
      <c r="Q2818" s="17"/>
    </row>
    <row r="2819" spans="12:17" x14ac:dyDescent="0.3">
      <c r="L2819" s="25"/>
      <c r="Q2819" s="17"/>
    </row>
    <row r="2820" spans="12:17" x14ac:dyDescent="0.3">
      <c r="L2820" s="25"/>
      <c r="Q2820" s="17"/>
    </row>
    <row r="2821" spans="12:17" x14ac:dyDescent="0.3">
      <c r="L2821" s="25"/>
      <c r="Q2821" s="17"/>
    </row>
    <row r="2822" spans="12:17" x14ac:dyDescent="0.3">
      <c r="L2822" s="25"/>
      <c r="Q2822" s="17"/>
    </row>
    <row r="2823" spans="12:17" x14ac:dyDescent="0.3">
      <c r="L2823" s="25"/>
      <c r="Q2823" s="17"/>
    </row>
    <row r="2824" spans="12:17" x14ac:dyDescent="0.3">
      <c r="L2824" s="25"/>
      <c r="Q2824" s="17"/>
    </row>
    <row r="2825" spans="12:17" x14ac:dyDescent="0.3">
      <c r="L2825" s="25"/>
      <c r="Q2825" s="17"/>
    </row>
    <row r="2826" spans="12:17" x14ac:dyDescent="0.3">
      <c r="L2826" s="25"/>
      <c r="Q2826" s="17"/>
    </row>
    <row r="2827" spans="12:17" x14ac:dyDescent="0.3">
      <c r="L2827" s="25"/>
      <c r="Q2827" s="17"/>
    </row>
    <row r="2828" spans="12:17" x14ac:dyDescent="0.3">
      <c r="L2828" s="25"/>
      <c r="Q2828" s="17"/>
    </row>
    <row r="2829" spans="12:17" x14ac:dyDescent="0.3">
      <c r="L2829" s="25"/>
      <c r="Q2829" s="17"/>
    </row>
    <row r="2830" spans="12:17" x14ac:dyDescent="0.3">
      <c r="L2830" s="25"/>
      <c r="Q2830" s="17"/>
    </row>
    <row r="2831" spans="12:17" x14ac:dyDescent="0.3">
      <c r="L2831" s="25"/>
      <c r="Q2831" s="17"/>
    </row>
    <row r="2832" spans="12:17" x14ac:dyDescent="0.3">
      <c r="L2832" s="25"/>
      <c r="Q2832" s="17"/>
    </row>
    <row r="2833" spans="12:17" x14ac:dyDescent="0.3">
      <c r="L2833" s="25"/>
      <c r="Q2833" s="17"/>
    </row>
    <row r="2834" spans="12:17" x14ac:dyDescent="0.3">
      <c r="L2834" s="25"/>
      <c r="Q2834" s="17"/>
    </row>
    <row r="2835" spans="12:17" x14ac:dyDescent="0.3">
      <c r="L2835" s="25"/>
      <c r="Q2835" s="17"/>
    </row>
    <row r="2836" spans="12:17" x14ac:dyDescent="0.3">
      <c r="L2836" s="25"/>
      <c r="Q2836" s="17"/>
    </row>
    <row r="2837" spans="12:17" x14ac:dyDescent="0.3">
      <c r="L2837" s="25"/>
      <c r="Q2837" s="17"/>
    </row>
    <row r="2838" spans="12:17" x14ac:dyDescent="0.3">
      <c r="L2838" s="25"/>
      <c r="Q2838" s="17"/>
    </row>
    <row r="2839" spans="12:17" x14ac:dyDescent="0.3">
      <c r="L2839" s="25"/>
      <c r="Q2839" s="17"/>
    </row>
    <row r="2840" spans="12:17" x14ac:dyDescent="0.3">
      <c r="L2840" s="25"/>
      <c r="Q2840" s="17"/>
    </row>
    <row r="2841" spans="12:17" x14ac:dyDescent="0.3">
      <c r="L2841" s="25"/>
      <c r="Q2841" s="17"/>
    </row>
    <row r="2842" spans="12:17" x14ac:dyDescent="0.3">
      <c r="L2842" s="25"/>
      <c r="Q2842" s="17"/>
    </row>
    <row r="2843" spans="12:17" x14ac:dyDescent="0.3">
      <c r="L2843" s="25"/>
      <c r="Q2843" s="17"/>
    </row>
    <row r="2844" spans="12:17" x14ac:dyDescent="0.3">
      <c r="L2844" s="25"/>
      <c r="Q2844" s="17"/>
    </row>
    <row r="2845" spans="12:17" x14ac:dyDescent="0.3">
      <c r="L2845" s="25"/>
      <c r="Q2845" s="17"/>
    </row>
    <row r="2846" spans="12:17" x14ac:dyDescent="0.3">
      <c r="L2846" s="25"/>
      <c r="Q2846" s="17"/>
    </row>
    <row r="2847" spans="12:17" x14ac:dyDescent="0.3">
      <c r="L2847" s="25"/>
      <c r="Q2847" s="17"/>
    </row>
    <row r="2848" spans="12:17" x14ac:dyDescent="0.3">
      <c r="L2848" s="25"/>
      <c r="Q2848" s="17"/>
    </row>
    <row r="2849" spans="12:17" x14ac:dyDescent="0.3">
      <c r="L2849" s="25"/>
      <c r="Q2849" s="17"/>
    </row>
    <row r="2850" spans="12:17" x14ac:dyDescent="0.3">
      <c r="L2850" s="25"/>
      <c r="Q2850" s="17"/>
    </row>
    <row r="2851" spans="12:17" x14ac:dyDescent="0.3">
      <c r="L2851" s="25"/>
      <c r="Q2851" s="17"/>
    </row>
    <row r="2852" spans="12:17" x14ac:dyDescent="0.3">
      <c r="L2852" s="25"/>
      <c r="Q2852" s="17"/>
    </row>
    <row r="2853" spans="12:17" x14ac:dyDescent="0.3">
      <c r="L2853" s="25"/>
      <c r="Q2853" s="17"/>
    </row>
    <row r="2854" spans="12:17" x14ac:dyDescent="0.3">
      <c r="L2854" s="25"/>
      <c r="Q2854" s="17"/>
    </row>
    <row r="2855" spans="12:17" x14ac:dyDescent="0.3">
      <c r="L2855" s="25"/>
      <c r="Q2855" s="17"/>
    </row>
    <row r="2856" spans="12:17" x14ac:dyDescent="0.3">
      <c r="L2856" s="25"/>
      <c r="Q2856" s="17"/>
    </row>
    <row r="2857" spans="12:17" x14ac:dyDescent="0.3">
      <c r="L2857" s="25"/>
      <c r="Q2857" s="17"/>
    </row>
    <row r="2858" spans="12:17" x14ac:dyDescent="0.3">
      <c r="L2858" s="25"/>
      <c r="Q2858" s="17"/>
    </row>
    <row r="2859" spans="12:17" x14ac:dyDescent="0.3">
      <c r="L2859" s="25"/>
      <c r="Q2859" s="17"/>
    </row>
    <row r="2860" spans="12:17" x14ac:dyDescent="0.3">
      <c r="L2860" s="25"/>
      <c r="Q2860" s="17"/>
    </row>
    <row r="2861" spans="12:17" x14ac:dyDescent="0.3">
      <c r="L2861" s="25"/>
      <c r="Q2861" s="17"/>
    </row>
    <row r="2862" spans="12:17" x14ac:dyDescent="0.3">
      <c r="L2862" s="25"/>
      <c r="Q2862" s="17"/>
    </row>
    <row r="2863" spans="12:17" x14ac:dyDescent="0.3">
      <c r="L2863" s="25"/>
      <c r="Q2863" s="17"/>
    </row>
    <row r="2864" spans="12:17" x14ac:dyDescent="0.3">
      <c r="L2864" s="25"/>
      <c r="Q2864" s="17"/>
    </row>
    <row r="2865" spans="12:17" x14ac:dyDescent="0.3">
      <c r="L2865" s="25"/>
      <c r="Q2865" s="17"/>
    </row>
    <row r="2866" spans="12:17" x14ac:dyDescent="0.3">
      <c r="L2866" s="25"/>
      <c r="Q2866" s="17"/>
    </row>
    <row r="2867" spans="12:17" x14ac:dyDescent="0.3">
      <c r="L2867" s="25"/>
      <c r="Q2867" s="17"/>
    </row>
    <row r="2868" spans="12:17" x14ac:dyDescent="0.3">
      <c r="L2868" s="25"/>
      <c r="Q2868" s="17"/>
    </row>
    <row r="2869" spans="12:17" x14ac:dyDescent="0.3">
      <c r="L2869" s="25"/>
      <c r="Q2869" s="17"/>
    </row>
    <row r="2870" spans="12:17" x14ac:dyDescent="0.3">
      <c r="L2870" s="25"/>
      <c r="Q2870" s="17"/>
    </row>
    <row r="2871" spans="12:17" x14ac:dyDescent="0.3">
      <c r="L2871" s="25"/>
      <c r="Q2871" s="17"/>
    </row>
    <row r="2872" spans="12:17" x14ac:dyDescent="0.3">
      <c r="L2872" s="25"/>
      <c r="Q2872" s="17"/>
    </row>
    <row r="2873" spans="12:17" x14ac:dyDescent="0.3">
      <c r="L2873" s="25"/>
      <c r="Q2873" s="17"/>
    </row>
    <row r="2874" spans="12:17" x14ac:dyDescent="0.3">
      <c r="L2874" s="25"/>
      <c r="Q2874" s="17"/>
    </row>
    <row r="2875" spans="12:17" x14ac:dyDescent="0.3">
      <c r="L2875" s="25"/>
      <c r="Q2875" s="17"/>
    </row>
    <row r="2876" spans="12:17" x14ac:dyDescent="0.3">
      <c r="L2876" s="25"/>
      <c r="Q2876" s="17"/>
    </row>
    <row r="2877" spans="12:17" x14ac:dyDescent="0.3">
      <c r="L2877" s="25"/>
      <c r="Q2877" s="17"/>
    </row>
    <row r="2878" spans="12:17" x14ac:dyDescent="0.3">
      <c r="L2878" s="25"/>
      <c r="Q2878" s="17"/>
    </row>
    <row r="2879" spans="12:17" x14ac:dyDescent="0.3">
      <c r="L2879" s="25"/>
      <c r="Q2879" s="17"/>
    </row>
    <row r="2880" spans="12:17" x14ac:dyDescent="0.3">
      <c r="L2880" s="25"/>
      <c r="Q2880" s="17"/>
    </row>
    <row r="2881" spans="12:17" x14ac:dyDescent="0.3">
      <c r="L2881" s="25"/>
      <c r="Q2881" s="17"/>
    </row>
    <row r="2882" spans="12:17" x14ac:dyDescent="0.3">
      <c r="L2882" s="25"/>
      <c r="Q2882" s="17"/>
    </row>
    <row r="2883" spans="12:17" x14ac:dyDescent="0.3">
      <c r="L2883" s="25"/>
      <c r="Q2883" s="17"/>
    </row>
    <row r="2884" spans="12:17" x14ac:dyDescent="0.3">
      <c r="L2884" s="25"/>
      <c r="Q2884" s="17"/>
    </row>
    <row r="2885" spans="12:17" x14ac:dyDescent="0.3">
      <c r="L2885" s="25"/>
      <c r="Q2885" s="17"/>
    </row>
    <row r="2886" spans="12:17" x14ac:dyDescent="0.3">
      <c r="L2886" s="25"/>
      <c r="Q2886" s="17"/>
    </row>
    <row r="2887" spans="12:17" x14ac:dyDescent="0.3">
      <c r="L2887" s="25"/>
      <c r="Q2887" s="17"/>
    </row>
    <row r="2888" spans="12:17" x14ac:dyDescent="0.3">
      <c r="L2888" s="25"/>
      <c r="Q2888" s="17"/>
    </row>
    <row r="2889" spans="12:17" x14ac:dyDescent="0.3">
      <c r="L2889" s="25"/>
      <c r="Q2889" s="17"/>
    </row>
    <row r="2890" spans="12:17" x14ac:dyDescent="0.3">
      <c r="L2890" s="25"/>
      <c r="Q2890" s="17"/>
    </row>
    <row r="2891" spans="12:17" x14ac:dyDescent="0.3">
      <c r="L2891" s="25"/>
      <c r="Q2891" s="17"/>
    </row>
    <row r="2892" spans="12:17" x14ac:dyDescent="0.3">
      <c r="L2892" s="25"/>
      <c r="Q2892" s="17"/>
    </row>
    <row r="2893" spans="12:17" x14ac:dyDescent="0.3">
      <c r="L2893" s="25"/>
      <c r="Q2893" s="17"/>
    </row>
    <row r="2894" spans="12:17" x14ac:dyDescent="0.3">
      <c r="L2894" s="25"/>
      <c r="Q2894" s="17"/>
    </row>
    <row r="2895" spans="12:17" x14ac:dyDescent="0.3">
      <c r="L2895" s="25"/>
      <c r="Q2895" s="17"/>
    </row>
    <row r="2896" spans="12:17" x14ac:dyDescent="0.3">
      <c r="L2896" s="25"/>
      <c r="Q2896" s="17"/>
    </row>
    <row r="2897" spans="12:17" x14ac:dyDescent="0.3">
      <c r="L2897" s="25"/>
      <c r="Q2897" s="17"/>
    </row>
    <row r="2898" spans="12:17" x14ac:dyDescent="0.3">
      <c r="L2898" s="25"/>
      <c r="Q2898" s="17"/>
    </row>
    <row r="2899" spans="12:17" x14ac:dyDescent="0.3">
      <c r="L2899" s="25"/>
      <c r="Q2899" s="17"/>
    </row>
    <row r="2900" spans="12:17" x14ac:dyDescent="0.3">
      <c r="L2900" s="25"/>
      <c r="Q2900" s="17"/>
    </row>
    <row r="2901" spans="12:17" x14ac:dyDescent="0.3">
      <c r="L2901" s="25"/>
      <c r="Q2901" s="17"/>
    </row>
    <row r="2902" spans="12:17" x14ac:dyDescent="0.3">
      <c r="L2902" s="25"/>
      <c r="Q2902" s="17"/>
    </row>
    <row r="2903" spans="12:17" x14ac:dyDescent="0.3">
      <c r="L2903" s="25"/>
      <c r="Q2903" s="17"/>
    </row>
    <row r="2904" spans="12:17" x14ac:dyDescent="0.3">
      <c r="L2904" s="25"/>
      <c r="Q2904" s="17"/>
    </row>
    <row r="2905" spans="12:17" x14ac:dyDescent="0.3">
      <c r="L2905" s="25"/>
      <c r="Q2905" s="17"/>
    </row>
    <row r="2906" spans="12:17" x14ac:dyDescent="0.3">
      <c r="L2906" s="25"/>
      <c r="Q2906" s="17"/>
    </row>
    <row r="2907" spans="12:17" x14ac:dyDescent="0.3">
      <c r="L2907" s="25"/>
      <c r="Q2907" s="17"/>
    </row>
    <row r="2908" spans="12:17" x14ac:dyDescent="0.3">
      <c r="L2908" s="25"/>
      <c r="Q2908" s="17"/>
    </row>
    <row r="2909" spans="12:17" x14ac:dyDescent="0.3">
      <c r="L2909" s="25"/>
      <c r="Q2909" s="17"/>
    </row>
    <row r="2910" spans="12:17" x14ac:dyDescent="0.3">
      <c r="L2910" s="25"/>
      <c r="Q2910" s="17"/>
    </row>
    <row r="2911" spans="12:17" x14ac:dyDescent="0.3">
      <c r="L2911" s="25"/>
      <c r="Q2911" s="17"/>
    </row>
    <row r="2912" spans="12:17" x14ac:dyDescent="0.3">
      <c r="L2912" s="25"/>
      <c r="Q2912" s="17"/>
    </row>
    <row r="2913" spans="12:17" x14ac:dyDescent="0.3">
      <c r="L2913" s="25"/>
      <c r="Q2913" s="17"/>
    </row>
    <row r="2914" spans="12:17" x14ac:dyDescent="0.3">
      <c r="L2914" s="25"/>
      <c r="Q2914" s="17"/>
    </row>
    <row r="2915" spans="12:17" x14ac:dyDescent="0.3">
      <c r="L2915" s="25"/>
      <c r="Q2915" s="17"/>
    </row>
    <row r="2916" spans="12:17" x14ac:dyDescent="0.3">
      <c r="L2916" s="25"/>
      <c r="Q2916" s="17"/>
    </row>
    <row r="2917" spans="12:17" x14ac:dyDescent="0.3">
      <c r="L2917" s="25"/>
      <c r="Q2917" s="17"/>
    </row>
    <row r="2918" spans="12:17" x14ac:dyDescent="0.3">
      <c r="L2918" s="25"/>
      <c r="Q2918" s="17"/>
    </row>
    <row r="2919" spans="12:17" x14ac:dyDescent="0.3">
      <c r="L2919" s="25"/>
      <c r="Q2919" s="17"/>
    </row>
    <row r="2920" spans="12:17" x14ac:dyDescent="0.3">
      <c r="L2920" s="25"/>
      <c r="Q2920" s="17"/>
    </row>
    <row r="2921" spans="12:17" x14ac:dyDescent="0.3">
      <c r="L2921" s="25"/>
      <c r="Q2921" s="17"/>
    </row>
    <row r="2922" spans="12:17" x14ac:dyDescent="0.3">
      <c r="L2922" s="25"/>
      <c r="Q2922" s="17"/>
    </row>
    <row r="2923" spans="12:17" x14ac:dyDescent="0.3">
      <c r="L2923" s="25"/>
      <c r="Q2923" s="17"/>
    </row>
    <row r="2924" spans="12:17" x14ac:dyDescent="0.3">
      <c r="L2924" s="25"/>
      <c r="Q2924" s="17"/>
    </row>
    <row r="2925" spans="12:17" x14ac:dyDescent="0.3">
      <c r="L2925" s="25"/>
      <c r="Q2925" s="17"/>
    </row>
    <row r="2926" spans="12:17" x14ac:dyDescent="0.3">
      <c r="L2926" s="25"/>
      <c r="Q2926" s="17"/>
    </row>
    <row r="2927" spans="12:17" x14ac:dyDescent="0.3">
      <c r="L2927" s="25"/>
      <c r="Q2927" s="17"/>
    </row>
    <row r="2928" spans="12:17" x14ac:dyDescent="0.3">
      <c r="L2928" s="25"/>
      <c r="Q2928" s="17"/>
    </row>
    <row r="2929" spans="12:17" x14ac:dyDescent="0.3">
      <c r="L2929" s="25"/>
      <c r="Q2929" s="17"/>
    </row>
    <row r="2930" spans="12:17" x14ac:dyDescent="0.3">
      <c r="L2930" s="25"/>
      <c r="Q2930" s="17"/>
    </row>
    <row r="2931" spans="12:17" x14ac:dyDescent="0.3">
      <c r="L2931" s="25"/>
      <c r="Q2931" s="17"/>
    </row>
    <row r="2932" spans="12:17" x14ac:dyDescent="0.3">
      <c r="L2932" s="25"/>
      <c r="Q2932" s="17"/>
    </row>
    <row r="2933" spans="12:17" x14ac:dyDescent="0.3">
      <c r="L2933" s="25"/>
      <c r="Q2933" s="17"/>
    </row>
    <row r="2934" spans="12:17" x14ac:dyDescent="0.3">
      <c r="L2934" s="25"/>
      <c r="Q2934" s="17"/>
    </row>
    <row r="2935" spans="12:17" x14ac:dyDescent="0.3">
      <c r="L2935" s="25"/>
      <c r="Q2935" s="17"/>
    </row>
    <row r="2936" spans="12:17" x14ac:dyDescent="0.3">
      <c r="L2936" s="25"/>
      <c r="Q2936" s="17"/>
    </row>
    <row r="2937" spans="12:17" x14ac:dyDescent="0.3">
      <c r="L2937" s="25"/>
      <c r="Q2937" s="17"/>
    </row>
    <row r="2938" spans="12:17" x14ac:dyDescent="0.3">
      <c r="L2938" s="25"/>
      <c r="Q2938" s="17"/>
    </row>
    <row r="2939" spans="12:17" x14ac:dyDescent="0.3">
      <c r="L2939" s="25"/>
      <c r="Q2939" s="17"/>
    </row>
    <row r="2940" spans="12:17" x14ac:dyDescent="0.3">
      <c r="L2940" s="25"/>
      <c r="Q2940" s="17"/>
    </row>
    <row r="2941" spans="12:17" x14ac:dyDescent="0.3">
      <c r="L2941" s="25"/>
      <c r="Q2941" s="17"/>
    </row>
    <row r="2942" spans="12:17" x14ac:dyDescent="0.3">
      <c r="L2942" s="25"/>
      <c r="Q2942" s="17"/>
    </row>
    <row r="2943" spans="12:17" x14ac:dyDescent="0.3">
      <c r="L2943" s="25"/>
      <c r="Q2943" s="17"/>
    </row>
    <row r="2944" spans="12:17" x14ac:dyDescent="0.3">
      <c r="L2944" s="25"/>
      <c r="Q2944" s="17"/>
    </row>
    <row r="2945" spans="12:17" x14ac:dyDescent="0.3">
      <c r="L2945" s="25"/>
      <c r="Q2945" s="17"/>
    </row>
    <row r="2946" spans="12:17" x14ac:dyDescent="0.3">
      <c r="L2946" s="25"/>
      <c r="Q2946" s="17"/>
    </row>
    <row r="2947" spans="12:17" x14ac:dyDescent="0.3">
      <c r="L2947" s="25"/>
      <c r="Q2947" s="17"/>
    </row>
    <row r="2948" spans="12:17" x14ac:dyDescent="0.3">
      <c r="L2948" s="25"/>
      <c r="Q2948" s="17"/>
    </row>
    <row r="2949" spans="12:17" x14ac:dyDescent="0.3">
      <c r="L2949" s="25"/>
      <c r="Q2949" s="17"/>
    </row>
    <row r="2950" spans="12:17" x14ac:dyDescent="0.3">
      <c r="L2950" s="25"/>
      <c r="Q2950" s="17"/>
    </row>
    <row r="2951" spans="12:17" x14ac:dyDescent="0.3">
      <c r="L2951" s="25"/>
      <c r="Q2951" s="17"/>
    </row>
    <row r="2952" spans="12:17" x14ac:dyDescent="0.3">
      <c r="L2952" s="25"/>
      <c r="Q2952" s="17"/>
    </row>
    <row r="2953" spans="12:17" x14ac:dyDescent="0.3">
      <c r="L2953" s="25"/>
      <c r="Q2953" s="17"/>
    </row>
    <row r="2954" spans="12:17" x14ac:dyDescent="0.3">
      <c r="L2954" s="25"/>
      <c r="Q2954" s="17"/>
    </row>
    <row r="2955" spans="12:17" x14ac:dyDescent="0.3">
      <c r="L2955" s="25"/>
      <c r="Q2955" s="17"/>
    </row>
    <row r="2956" spans="12:17" x14ac:dyDescent="0.3">
      <c r="L2956" s="25"/>
      <c r="Q2956" s="17"/>
    </row>
    <row r="2957" spans="12:17" x14ac:dyDescent="0.3">
      <c r="L2957" s="25"/>
      <c r="Q2957" s="17"/>
    </row>
    <row r="2958" spans="12:17" x14ac:dyDescent="0.3">
      <c r="L2958" s="25"/>
      <c r="Q2958" s="17"/>
    </row>
    <row r="2959" spans="12:17" x14ac:dyDescent="0.3">
      <c r="L2959" s="25"/>
      <c r="Q2959" s="17"/>
    </row>
    <row r="2960" spans="12:17" x14ac:dyDescent="0.3">
      <c r="L2960" s="25"/>
      <c r="Q2960" s="17"/>
    </row>
    <row r="2961" spans="12:17" x14ac:dyDescent="0.3">
      <c r="L2961" s="25"/>
      <c r="Q2961" s="17"/>
    </row>
    <row r="2962" spans="12:17" x14ac:dyDescent="0.3">
      <c r="L2962" s="25"/>
      <c r="Q2962" s="17"/>
    </row>
    <row r="2963" spans="12:17" x14ac:dyDescent="0.3">
      <c r="L2963" s="25"/>
      <c r="Q2963" s="17"/>
    </row>
    <row r="2964" spans="12:17" x14ac:dyDescent="0.3">
      <c r="L2964" s="25"/>
      <c r="Q2964" s="17"/>
    </row>
    <row r="2965" spans="12:17" x14ac:dyDescent="0.3">
      <c r="L2965" s="25"/>
      <c r="Q2965" s="17"/>
    </row>
    <row r="2966" spans="12:17" x14ac:dyDescent="0.3">
      <c r="L2966" s="25"/>
      <c r="Q2966" s="17"/>
    </row>
    <row r="2967" spans="12:17" x14ac:dyDescent="0.3">
      <c r="L2967" s="25"/>
      <c r="Q2967" s="17"/>
    </row>
    <row r="2968" spans="12:17" x14ac:dyDescent="0.3">
      <c r="L2968" s="25"/>
      <c r="Q2968" s="17"/>
    </row>
    <row r="2969" spans="12:17" x14ac:dyDescent="0.3">
      <c r="L2969" s="25"/>
      <c r="Q2969" s="17"/>
    </row>
    <row r="2970" spans="12:17" x14ac:dyDescent="0.3">
      <c r="L2970" s="25"/>
      <c r="Q2970" s="17"/>
    </row>
    <row r="2971" spans="12:17" x14ac:dyDescent="0.3">
      <c r="L2971" s="25"/>
      <c r="Q2971" s="17"/>
    </row>
    <row r="2972" spans="12:17" x14ac:dyDescent="0.3">
      <c r="L2972" s="25"/>
      <c r="Q2972" s="17"/>
    </row>
    <row r="2973" spans="12:17" x14ac:dyDescent="0.3">
      <c r="L2973" s="25"/>
      <c r="Q2973" s="17"/>
    </row>
    <row r="2974" spans="12:17" x14ac:dyDescent="0.3">
      <c r="L2974" s="25"/>
      <c r="Q2974" s="17"/>
    </row>
    <row r="2975" spans="12:17" x14ac:dyDescent="0.3">
      <c r="L2975" s="25"/>
      <c r="Q2975" s="17"/>
    </row>
    <row r="2976" spans="12:17" x14ac:dyDescent="0.3">
      <c r="L2976" s="25"/>
      <c r="Q2976" s="17"/>
    </row>
    <row r="2977" spans="12:17" x14ac:dyDescent="0.3">
      <c r="L2977" s="25"/>
      <c r="Q2977" s="17"/>
    </row>
    <row r="2978" spans="12:17" x14ac:dyDescent="0.3">
      <c r="L2978" s="25"/>
      <c r="Q2978" s="17"/>
    </row>
    <row r="2979" spans="12:17" x14ac:dyDescent="0.3">
      <c r="L2979" s="25"/>
      <c r="Q2979" s="17"/>
    </row>
    <row r="2980" spans="12:17" x14ac:dyDescent="0.3">
      <c r="L2980" s="25"/>
      <c r="Q2980" s="17"/>
    </row>
    <row r="2981" spans="12:17" x14ac:dyDescent="0.3">
      <c r="L2981" s="25"/>
      <c r="Q2981" s="17"/>
    </row>
    <row r="2982" spans="12:17" x14ac:dyDescent="0.3">
      <c r="L2982" s="25"/>
      <c r="Q2982" s="17"/>
    </row>
    <row r="2983" spans="12:17" x14ac:dyDescent="0.3">
      <c r="L2983" s="25"/>
      <c r="Q2983" s="17"/>
    </row>
    <row r="2984" spans="12:17" x14ac:dyDescent="0.3">
      <c r="L2984" s="25"/>
      <c r="Q2984" s="17"/>
    </row>
    <row r="2985" spans="12:17" x14ac:dyDescent="0.3">
      <c r="L2985" s="25"/>
      <c r="Q2985" s="17"/>
    </row>
    <row r="2986" spans="12:17" x14ac:dyDescent="0.3">
      <c r="L2986" s="25"/>
      <c r="Q2986" s="17"/>
    </row>
    <row r="2987" spans="12:17" x14ac:dyDescent="0.3">
      <c r="L2987" s="25"/>
      <c r="Q2987" s="17"/>
    </row>
    <row r="2988" spans="12:17" x14ac:dyDescent="0.3">
      <c r="L2988" s="25"/>
      <c r="Q2988" s="17"/>
    </row>
    <row r="2989" spans="12:17" x14ac:dyDescent="0.3">
      <c r="L2989" s="25"/>
      <c r="Q2989" s="17"/>
    </row>
    <row r="2990" spans="12:17" x14ac:dyDescent="0.3">
      <c r="L2990" s="25"/>
      <c r="Q2990" s="17"/>
    </row>
    <row r="2991" spans="12:17" x14ac:dyDescent="0.3">
      <c r="L2991" s="25"/>
      <c r="Q2991" s="17"/>
    </row>
    <row r="2992" spans="12:17" x14ac:dyDescent="0.3">
      <c r="L2992" s="25"/>
      <c r="Q2992" s="17"/>
    </row>
    <row r="2993" spans="12:17" x14ac:dyDescent="0.3">
      <c r="L2993" s="25"/>
      <c r="Q2993" s="17"/>
    </row>
    <row r="2994" spans="12:17" x14ac:dyDescent="0.3">
      <c r="L2994" s="25"/>
      <c r="Q2994" s="17"/>
    </row>
    <row r="2995" spans="12:17" x14ac:dyDescent="0.3">
      <c r="L2995" s="25"/>
      <c r="Q2995" s="17"/>
    </row>
    <row r="2996" spans="12:17" x14ac:dyDescent="0.3">
      <c r="L2996" s="25"/>
      <c r="Q2996" s="17"/>
    </row>
    <row r="2997" spans="12:17" x14ac:dyDescent="0.3">
      <c r="L2997" s="25"/>
      <c r="Q2997" s="17"/>
    </row>
    <row r="2998" spans="12:17" x14ac:dyDescent="0.3">
      <c r="L2998" s="25"/>
      <c r="Q2998" s="17"/>
    </row>
    <row r="2999" spans="12:17" x14ac:dyDescent="0.3">
      <c r="L2999" s="25"/>
      <c r="Q2999" s="17"/>
    </row>
    <row r="3000" spans="12:17" x14ac:dyDescent="0.3">
      <c r="L3000" s="25"/>
      <c r="Q3000" s="17"/>
    </row>
    <row r="3001" spans="12:17" x14ac:dyDescent="0.3">
      <c r="L3001" s="25"/>
      <c r="Q3001" s="17"/>
    </row>
    <row r="3002" spans="12:17" x14ac:dyDescent="0.3">
      <c r="L3002" s="25"/>
      <c r="Q3002" s="17"/>
    </row>
    <row r="3003" spans="12:17" x14ac:dyDescent="0.3">
      <c r="L3003" s="25"/>
      <c r="Q3003" s="17"/>
    </row>
    <row r="3004" spans="12:17" x14ac:dyDescent="0.3">
      <c r="L3004" s="25"/>
      <c r="Q3004" s="17"/>
    </row>
    <row r="3005" spans="12:17" x14ac:dyDescent="0.3">
      <c r="L3005" s="25"/>
      <c r="Q3005" s="17"/>
    </row>
    <row r="3006" spans="12:17" x14ac:dyDescent="0.3">
      <c r="L3006" s="25"/>
      <c r="Q3006" s="17"/>
    </row>
    <row r="3007" spans="12:17" x14ac:dyDescent="0.3">
      <c r="L3007" s="25"/>
      <c r="Q3007" s="17"/>
    </row>
    <row r="3008" spans="12:17" x14ac:dyDescent="0.3">
      <c r="L3008" s="25"/>
      <c r="Q3008" s="17"/>
    </row>
    <row r="3009" spans="12:17" x14ac:dyDescent="0.3">
      <c r="L3009" s="25"/>
      <c r="Q3009" s="17"/>
    </row>
    <row r="3010" spans="12:17" x14ac:dyDescent="0.3">
      <c r="L3010" s="25"/>
      <c r="Q3010" s="17"/>
    </row>
    <row r="3011" spans="12:17" x14ac:dyDescent="0.3">
      <c r="L3011" s="25"/>
      <c r="Q3011" s="17"/>
    </row>
    <row r="3012" spans="12:17" x14ac:dyDescent="0.3">
      <c r="L3012" s="25"/>
      <c r="Q3012" s="17"/>
    </row>
    <row r="3013" spans="12:17" x14ac:dyDescent="0.3">
      <c r="L3013" s="25"/>
      <c r="Q3013" s="17"/>
    </row>
    <row r="3014" spans="12:17" x14ac:dyDescent="0.3">
      <c r="L3014" s="25"/>
      <c r="Q3014" s="17"/>
    </row>
    <row r="3015" spans="12:17" x14ac:dyDescent="0.3">
      <c r="L3015" s="25"/>
      <c r="Q3015" s="17"/>
    </row>
    <row r="3016" spans="12:17" x14ac:dyDescent="0.3">
      <c r="L3016" s="25"/>
      <c r="Q3016" s="17"/>
    </row>
    <row r="3017" spans="12:17" x14ac:dyDescent="0.3">
      <c r="L3017" s="25"/>
      <c r="Q3017" s="17"/>
    </row>
    <row r="3018" spans="12:17" x14ac:dyDescent="0.3">
      <c r="L3018" s="25"/>
      <c r="Q3018" s="17"/>
    </row>
    <row r="3019" spans="12:17" x14ac:dyDescent="0.3">
      <c r="L3019" s="25"/>
      <c r="Q3019" s="17"/>
    </row>
    <row r="3020" spans="12:17" x14ac:dyDescent="0.3">
      <c r="L3020" s="25"/>
      <c r="Q3020" s="17"/>
    </row>
    <row r="3021" spans="12:17" x14ac:dyDescent="0.3">
      <c r="L3021" s="25"/>
      <c r="Q3021" s="17"/>
    </row>
    <row r="3022" spans="12:17" x14ac:dyDescent="0.3">
      <c r="L3022" s="25"/>
      <c r="Q3022" s="17"/>
    </row>
    <row r="3023" spans="12:17" x14ac:dyDescent="0.3">
      <c r="L3023" s="25"/>
      <c r="Q3023" s="17"/>
    </row>
    <row r="3024" spans="12:17" x14ac:dyDescent="0.3">
      <c r="L3024" s="25"/>
      <c r="Q3024" s="17"/>
    </row>
    <row r="3025" spans="12:17" x14ac:dyDescent="0.3">
      <c r="L3025" s="25"/>
      <c r="Q3025" s="17"/>
    </row>
    <row r="3026" spans="12:17" x14ac:dyDescent="0.3">
      <c r="L3026" s="25"/>
      <c r="Q3026" s="17"/>
    </row>
    <row r="3027" spans="12:17" x14ac:dyDescent="0.3">
      <c r="L3027" s="25"/>
      <c r="Q3027" s="17"/>
    </row>
    <row r="3028" spans="12:17" x14ac:dyDescent="0.3">
      <c r="L3028" s="25"/>
      <c r="Q3028" s="17"/>
    </row>
    <row r="3029" spans="12:17" x14ac:dyDescent="0.3">
      <c r="L3029" s="25"/>
      <c r="Q3029" s="17"/>
    </row>
    <row r="3030" spans="12:17" x14ac:dyDescent="0.3">
      <c r="L3030" s="25"/>
      <c r="Q3030" s="17"/>
    </row>
    <row r="3031" spans="12:17" x14ac:dyDescent="0.3">
      <c r="L3031" s="25"/>
      <c r="Q3031" s="17"/>
    </row>
    <row r="3032" spans="12:17" x14ac:dyDescent="0.3">
      <c r="L3032" s="25"/>
      <c r="Q3032" s="17"/>
    </row>
    <row r="3033" spans="12:17" x14ac:dyDescent="0.3">
      <c r="L3033" s="25"/>
      <c r="Q3033" s="17"/>
    </row>
    <row r="3034" spans="12:17" x14ac:dyDescent="0.3">
      <c r="L3034" s="25"/>
      <c r="Q3034" s="17"/>
    </row>
    <row r="3035" spans="12:17" x14ac:dyDescent="0.3">
      <c r="L3035" s="25"/>
      <c r="Q3035" s="17"/>
    </row>
    <row r="3036" spans="12:17" x14ac:dyDescent="0.3">
      <c r="L3036" s="25"/>
      <c r="Q3036" s="17"/>
    </row>
    <row r="3037" spans="12:17" x14ac:dyDescent="0.3">
      <c r="L3037" s="25"/>
      <c r="Q3037" s="17"/>
    </row>
    <row r="3038" spans="12:17" x14ac:dyDescent="0.3">
      <c r="L3038" s="25"/>
      <c r="Q3038" s="17"/>
    </row>
    <row r="3039" spans="12:17" x14ac:dyDescent="0.3">
      <c r="L3039" s="25"/>
      <c r="Q3039" s="17"/>
    </row>
    <row r="3040" spans="12:17" x14ac:dyDescent="0.3">
      <c r="L3040" s="25"/>
      <c r="Q3040" s="17"/>
    </row>
    <row r="3041" spans="12:17" x14ac:dyDescent="0.3">
      <c r="L3041" s="25"/>
      <c r="Q3041" s="17"/>
    </row>
    <row r="3042" spans="12:17" x14ac:dyDescent="0.3">
      <c r="L3042" s="25"/>
      <c r="Q3042" s="17"/>
    </row>
    <row r="3043" spans="12:17" x14ac:dyDescent="0.3">
      <c r="L3043" s="25"/>
      <c r="Q3043" s="17"/>
    </row>
    <row r="3044" spans="12:17" x14ac:dyDescent="0.3">
      <c r="L3044" s="25"/>
      <c r="Q3044" s="17"/>
    </row>
    <row r="3045" spans="12:17" x14ac:dyDescent="0.3">
      <c r="L3045" s="25"/>
      <c r="Q3045" s="17"/>
    </row>
    <row r="3046" spans="12:17" x14ac:dyDescent="0.3">
      <c r="L3046" s="25"/>
      <c r="Q3046" s="17"/>
    </row>
    <row r="3047" spans="12:17" x14ac:dyDescent="0.3">
      <c r="L3047" s="25"/>
      <c r="Q3047" s="17"/>
    </row>
    <row r="3048" spans="12:17" x14ac:dyDescent="0.3">
      <c r="L3048" s="25"/>
      <c r="Q3048" s="17"/>
    </row>
    <row r="3049" spans="12:17" x14ac:dyDescent="0.3">
      <c r="L3049" s="25"/>
      <c r="Q3049" s="17"/>
    </row>
    <row r="3050" spans="12:17" x14ac:dyDescent="0.3">
      <c r="L3050" s="25"/>
      <c r="Q3050" s="17"/>
    </row>
    <row r="3051" spans="12:17" x14ac:dyDescent="0.3">
      <c r="L3051" s="25"/>
      <c r="Q3051" s="17"/>
    </row>
    <row r="3052" spans="12:17" x14ac:dyDescent="0.3">
      <c r="L3052" s="25"/>
      <c r="Q3052" s="17"/>
    </row>
    <row r="3053" spans="12:17" x14ac:dyDescent="0.3">
      <c r="L3053" s="25"/>
      <c r="Q3053" s="17"/>
    </row>
    <row r="3054" spans="12:17" x14ac:dyDescent="0.3">
      <c r="L3054" s="25"/>
      <c r="Q3054" s="17"/>
    </row>
    <row r="3055" spans="12:17" x14ac:dyDescent="0.3">
      <c r="L3055" s="25"/>
      <c r="Q3055" s="17"/>
    </row>
    <row r="3056" spans="12:17" x14ac:dyDescent="0.3">
      <c r="L3056" s="25"/>
      <c r="Q3056" s="17"/>
    </row>
    <row r="3057" spans="12:17" x14ac:dyDescent="0.3">
      <c r="L3057" s="25"/>
      <c r="Q3057" s="17"/>
    </row>
    <row r="3058" spans="12:17" x14ac:dyDescent="0.3">
      <c r="L3058" s="25"/>
      <c r="Q3058" s="17"/>
    </row>
    <row r="3059" spans="12:17" x14ac:dyDescent="0.3">
      <c r="L3059" s="25"/>
      <c r="Q3059" s="17"/>
    </row>
    <row r="3060" spans="12:17" x14ac:dyDescent="0.3">
      <c r="L3060" s="25"/>
      <c r="Q3060" s="17"/>
    </row>
    <row r="3061" spans="12:17" x14ac:dyDescent="0.3">
      <c r="L3061" s="25"/>
      <c r="Q3061" s="17"/>
    </row>
    <row r="3062" spans="12:17" x14ac:dyDescent="0.3">
      <c r="L3062" s="25"/>
      <c r="Q3062" s="17"/>
    </row>
    <row r="3063" spans="12:17" x14ac:dyDescent="0.3">
      <c r="L3063" s="25"/>
      <c r="Q3063" s="17"/>
    </row>
    <row r="3064" spans="12:17" x14ac:dyDescent="0.3">
      <c r="L3064" s="25"/>
      <c r="Q3064" s="17"/>
    </row>
    <row r="3065" spans="12:17" x14ac:dyDescent="0.3">
      <c r="L3065" s="25"/>
      <c r="Q3065" s="17"/>
    </row>
    <row r="3066" spans="12:17" x14ac:dyDescent="0.3">
      <c r="L3066" s="25"/>
      <c r="Q3066" s="17"/>
    </row>
    <row r="3067" spans="12:17" x14ac:dyDescent="0.3">
      <c r="L3067" s="25"/>
      <c r="Q3067" s="17"/>
    </row>
    <row r="3068" spans="12:17" x14ac:dyDescent="0.3">
      <c r="L3068" s="25"/>
      <c r="Q3068" s="17"/>
    </row>
    <row r="3069" spans="12:17" x14ac:dyDescent="0.3">
      <c r="L3069" s="25"/>
      <c r="Q3069" s="17"/>
    </row>
    <row r="3070" spans="12:17" x14ac:dyDescent="0.3">
      <c r="L3070" s="25"/>
      <c r="Q3070" s="17"/>
    </row>
    <row r="3071" spans="12:17" x14ac:dyDescent="0.3">
      <c r="L3071" s="25"/>
      <c r="Q3071" s="17"/>
    </row>
    <row r="3072" spans="12:17" x14ac:dyDescent="0.3">
      <c r="L3072" s="25"/>
      <c r="Q3072" s="17"/>
    </row>
    <row r="3073" spans="12:17" x14ac:dyDescent="0.3">
      <c r="L3073" s="25"/>
      <c r="Q3073" s="17"/>
    </row>
    <row r="3074" spans="12:17" x14ac:dyDescent="0.3">
      <c r="L3074" s="25"/>
      <c r="Q3074" s="17"/>
    </row>
    <row r="3075" spans="12:17" x14ac:dyDescent="0.3">
      <c r="L3075" s="25"/>
      <c r="Q3075" s="17"/>
    </row>
    <row r="3076" spans="12:17" x14ac:dyDescent="0.3">
      <c r="L3076" s="25"/>
      <c r="Q3076" s="17"/>
    </row>
    <row r="3077" spans="12:17" x14ac:dyDescent="0.3">
      <c r="L3077" s="25"/>
      <c r="Q3077" s="17"/>
    </row>
    <row r="3078" spans="12:17" x14ac:dyDescent="0.3">
      <c r="L3078" s="25"/>
      <c r="Q3078" s="17"/>
    </row>
    <row r="3079" spans="12:17" x14ac:dyDescent="0.3">
      <c r="L3079" s="25"/>
      <c r="Q3079" s="17"/>
    </row>
    <row r="3080" spans="12:17" x14ac:dyDescent="0.3">
      <c r="L3080" s="25"/>
      <c r="Q3080" s="17"/>
    </row>
    <row r="3081" spans="12:17" x14ac:dyDescent="0.3">
      <c r="L3081" s="25"/>
      <c r="Q3081" s="17"/>
    </row>
    <row r="3082" spans="12:17" x14ac:dyDescent="0.3">
      <c r="L3082" s="25"/>
      <c r="Q3082" s="17"/>
    </row>
    <row r="3083" spans="12:17" x14ac:dyDescent="0.3">
      <c r="L3083" s="25"/>
      <c r="Q3083" s="17"/>
    </row>
    <row r="3084" spans="12:17" x14ac:dyDescent="0.3">
      <c r="L3084" s="25"/>
      <c r="Q3084" s="17"/>
    </row>
    <row r="3085" spans="12:17" x14ac:dyDescent="0.3">
      <c r="L3085" s="25"/>
      <c r="Q3085" s="17"/>
    </row>
    <row r="3086" spans="12:17" x14ac:dyDescent="0.3">
      <c r="L3086" s="25"/>
      <c r="Q3086" s="17"/>
    </row>
    <row r="3087" spans="12:17" x14ac:dyDescent="0.3">
      <c r="L3087" s="25"/>
      <c r="Q3087" s="17"/>
    </row>
    <row r="3088" spans="12:17" x14ac:dyDescent="0.3">
      <c r="L3088" s="25"/>
      <c r="Q3088" s="17"/>
    </row>
    <row r="3089" spans="12:17" x14ac:dyDescent="0.3">
      <c r="L3089" s="25"/>
      <c r="Q3089" s="17"/>
    </row>
    <row r="3090" spans="12:17" x14ac:dyDescent="0.3">
      <c r="L3090" s="25"/>
      <c r="Q3090" s="17"/>
    </row>
    <row r="3091" spans="12:17" x14ac:dyDescent="0.3">
      <c r="L3091" s="25"/>
      <c r="Q3091" s="17"/>
    </row>
    <row r="3092" spans="12:17" x14ac:dyDescent="0.3">
      <c r="L3092" s="25"/>
      <c r="Q3092" s="17"/>
    </row>
    <row r="3093" spans="12:17" x14ac:dyDescent="0.3">
      <c r="L3093" s="25"/>
      <c r="Q3093" s="17"/>
    </row>
    <row r="3094" spans="12:17" x14ac:dyDescent="0.3">
      <c r="L3094" s="25"/>
      <c r="Q3094" s="17"/>
    </row>
    <row r="3095" spans="12:17" x14ac:dyDescent="0.3">
      <c r="L3095" s="25"/>
      <c r="Q3095" s="17"/>
    </row>
    <row r="3096" spans="12:17" x14ac:dyDescent="0.3">
      <c r="L3096" s="25"/>
      <c r="Q3096" s="17"/>
    </row>
    <row r="3097" spans="12:17" x14ac:dyDescent="0.3">
      <c r="L3097" s="25"/>
      <c r="Q3097" s="17"/>
    </row>
    <row r="3098" spans="12:17" x14ac:dyDescent="0.3">
      <c r="L3098" s="25"/>
      <c r="Q3098" s="17"/>
    </row>
    <row r="3099" spans="12:17" x14ac:dyDescent="0.3">
      <c r="L3099" s="25"/>
      <c r="Q3099" s="17"/>
    </row>
    <row r="3100" spans="12:17" x14ac:dyDescent="0.3">
      <c r="L3100" s="25"/>
      <c r="Q3100" s="17"/>
    </row>
    <row r="3101" spans="12:17" x14ac:dyDescent="0.3">
      <c r="L3101" s="25"/>
      <c r="Q3101" s="17"/>
    </row>
    <row r="3102" spans="12:17" x14ac:dyDescent="0.3">
      <c r="L3102" s="25"/>
      <c r="Q3102" s="17"/>
    </row>
    <row r="3103" spans="12:17" x14ac:dyDescent="0.3">
      <c r="L3103" s="25"/>
      <c r="Q3103" s="17"/>
    </row>
    <row r="3104" spans="12:17" x14ac:dyDescent="0.3">
      <c r="L3104" s="25"/>
      <c r="Q3104" s="17"/>
    </row>
    <row r="3105" spans="12:17" x14ac:dyDescent="0.3">
      <c r="L3105" s="25"/>
      <c r="Q3105" s="17"/>
    </row>
    <row r="3106" spans="12:17" x14ac:dyDescent="0.3">
      <c r="L3106" s="25"/>
      <c r="Q3106" s="17"/>
    </row>
    <row r="3107" spans="12:17" x14ac:dyDescent="0.3">
      <c r="L3107" s="25"/>
      <c r="Q3107" s="17"/>
    </row>
    <row r="3108" spans="12:17" x14ac:dyDescent="0.3">
      <c r="L3108" s="25"/>
      <c r="Q3108" s="17"/>
    </row>
    <row r="3109" spans="12:17" x14ac:dyDescent="0.3">
      <c r="L3109" s="25"/>
      <c r="Q3109" s="17"/>
    </row>
    <row r="3110" spans="12:17" x14ac:dyDescent="0.3">
      <c r="L3110" s="25"/>
      <c r="Q3110" s="17"/>
    </row>
    <row r="3111" spans="12:17" x14ac:dyDescent="0.3">
      <c r="L3111" s="25"/>
      <c r="Q3111" s="17"/>
    </row>
    <row r="3112" spans="12:17" x14ac:dyDescent="0.3">
      <c r="L3112" s="25"/>
      <c r="Q3112" s="17"/>
    </row>
    <row r="3113" spans="12:17" x14ac:dyDescent="0.3">
      <c r="L3113" s="25"/>
      <c r="Q3113" s="17"/>
    </row>
    <row r="3114" spans="12:17" x14ac:dyDescent="0.3">
      <c r="L3114" s="25"/>
      <c r="Q3114" s="17"/>
    </row>
    <row r="3115" spans="12:17" x14ac:dyDescent="0.3">
      <c r="L3115" s="25"/>
      <c r="Q3115" s="17"/>
    </row>
    <row r="3116" spans="12:17" x14ac:dyDescent="0.3">
      <c r="L3116" s="25"/>
      <c r="Q3116" s="17"/>
    </row>
    <row r="3117" spans="12:17" x14ac:dyDescent="0.3">
      <c r="L3117" s="25"/>
      <c r="Q3117" s="17"/>
    </row>
    <row r="3118" spans="12:17" x14ac:dyDescent="0.3">
      <c r="L3118" s="25"/>
      <c r="Q3118" s="17"/>
    </row>
    <row r="3119" spans="12:17" x14ac:dyDescent="0.3">
      <c r="L3119" s="25"/>
      <c r="Q3119" s="17"/>
    </row>
    <row r="3120" spans="12:17" x14ac:dyDescent="0.3">
      <c r="L3120" s="25"/>
      <c r="Q3120" s="17"/>
    </row>
    <row r="3121" spans="12:17" x14ac:dyDescent="0.3">
      <c r="L3121" s="25"/>
      <c r="Q3121" s="17"/>
    </row>
    <row r="3122" spans="12:17" x14ac:dyDescent="0.3">
      <c r="L3122" s="25"/>
      <c r="Q3122" s="17"/>
    </row>
    <row r="3123" spans="12:17" x14ac:dyDescent="0.3">
      <c r="L3123" s="25"/>
      <c r="Q3123" s="17"/>
    </row>
    <row r="3124" spans="12:17" x14ac:dyDescent="0.3">
      <c r="L3124" s="25"/>
      <c r="Q3124" s="17"/>
    </row>
    <row r="3125" spans="12:17" x14ac:dyDescent="0.3">
      <c r="L3125" s="25"/>
      <c r="Q3125" s="17"/>
    </row>
    <row r="3126" spans="12:17" x14ac:dyDescent="0.3">
      <c r="L3126" s="25"/>
      <c r="Q3126" s="17"/>
    </row>
    <row r="3127" spans="12:17" x14ac:dyDescent="0.3">
      <c r="L3127" s="25"/>
      <c r="Q3127" s="17"/>
    </row>
    <row r="3128" spans="12:17" x14ac:dyDescent="0.3">
      <c r="L3128" s="25"/>
      <c r="Q3128" s="17"/>
    </row>
    <row r="3129" spans="12:17" x14ac:dyDescent="0.3">
      <c r="L3129" s="25"/>
      <c r="Q3129" s="17"/>
    </row>
    <row r="3130" spans="12:17" x14ac:dyDescent="0.3">
      <c r="L3130" s="25"/>
      <c r="Q3130" s="17"/>
    </row>
    <row r="3131" spans="12:17" x14ac:dyDescent="0.3">
      <c r="L3131" s="25"/>
      <c r="Q3131" s="17"/>
    </row>
    <row r="3132" spans="12:17" x14ac:dyDescent="0.3">
      <c r="L3132" s="25"/>
      <c r="Q3132" s="17"/>
    </row>
    <row r="3133" spans="12:17" x14ac:dyDescent="0.3">
      <c r="L3133" s="25"/>
      <c r="Q3133" s="17"/>
    </row>
    <row r="3134" spans="12:17" x14ac:dyDescent="0.3">
      <c r="L3134" s="25"/>
      <c r="Q3134" s="17"/>
    </row>
    <row r="3135" spans="12:17" x14ac:dyDescent="0.3">
      <c r="L3135" s="25"/>
      <c r="Q3135" s="17"/>
    </row>
    <row r="3136" spans="12:17" x14ac:dyDescent="0.3">
      <c r="L3136" s="25"/>
      <c r="Q3136" s="17"/>
    </row>
    <row r="3137" spans="12:17" x14ac:dyDescent="0.3">
      <c r="L3137" s="25"/>
      <c r="Q3137" s="17"/>
    </row>
    <row r="3138" spans="12:17" x14ac:dyDescent="0.3">
      <c r="L3138" s="25"/>
      <c r="Q3138" s="17"/>
    </row>
    <row r="3139" spans="12:17" x14ac:dyDescent="0.3">
      <c r="L3139" s="25"/>
      <c r="Q3139" s="17"/>
    </row>
    <row r="3140" spans="12:17" x14ac:dyDescent="0.3">
      <c r="L3140" s="25"/>
      <c r="Q3140" s="17"/>
    </row>
    <row r="3141" spans="12:17" x14ac:dyDescent="0.3">
      <c r="L3141" s="25"/>
      <c r="Q3141" s="17"/>
    </row>
    <row r="3142" spans="12:17" x14ac:dyDescent="0.3">
      <c r="L3142" s="25"/>
      <c r="Q3142" s="17"/>
    </row>
    <row r="3143" spans="12:17" x14ac:dyDescent="0.3">
      <c r="L3143" s="25"/>
      <c r="Q3143" s="17"/>
    </row>
    <row r="3144" spans="12:17" x14ac:dyDescent="0.3">
      <c r="L3144" s="25"/>
      <c r="Q3144" s="17"/>
    </row>
    <row r="3145" spans="12:17" x14ac:dyDescent="0.3">
      <c r="L3145" s="25"/>
      <c r="Q3145" s="17"/>
    </row>
    <row r="3146" spans="12:17" x14ac:dyDescent="0.3">
      <c r="L3146" s="25"/>
      <c r="Q3146" s="17"/>
    </row>
    <row r="3147" spans="12:17" x14ac:dyDescent="0.3">
      <c r="L3147" s="25"/>
      <c r="Q3147" s="17"/>
    </row>
    <row r="3148" spans="12:17" x14ac:dyDescent="0.3">
      <c r="L3148" s="25"/>
      <c r="Q3148" s="17"/>
    </row>
    <row r="3149" spans="12:17" x14ac:dyDescent="0.3">
      <c r="L3149" s="25"/>
      <c r="Q3149" s="17"/>
    </row>
    <row r="3150" spans="12:17" x14ac:dyDescent="0.3">
      <c r="L3150" s="25"/>
      <c r="Q3150" s="17"/>
    </row>
    <row r="3151" spans="12:17" x14ac:dyDescent="0.3">
      <c r="L3151" s="25"/>
      <c r="Q3151" s="17"/>
    </row>
    <row r="3152" spans="12:17" x14ac:dyDescent="0.3">
      <c r="L3152" s="25"/>
      <c r="Q3152" s="17"/>
    </row>
    <row r="3153" spans="12:17" x14ac:dyDescent="0.3">
      <c r="L3153" s="25"/>
      <c r="Q3153" s="17"/>
    </row>
    <row r="3154" spans="12:17" x14ac:dyDescent="0.3">
      <c r="L3154" s="25"/>
      <c r="Q3154" s="17"/>
    </row>
    <row r="3155" spans="12:17" x14ac:dyDescent="0.3">
      <c r="L3155" s="25"/>
      <c r="Q3155" s="17"/>
    </row>
    <row r="3156" spans="12:17" x14ac:dyDescent="0.3">
      <c r="L3156" s="25"/>
      <c r="Q3156" s="17"/>
    </row>
    <row r="3157" spans="12:17" x14ac:dyDescent="0.3">
      <c r="L3157" s="25"/>
      <c r="Q3157" s="17"/>
    </row>
    <row r="3158" spans="12:17" x14ac:dyDescent="0.3">
      <c r="L3158" s="25"/>
      <c r="Q3158" s="17"/>
    </row>
    <row r="3159" spans="12:17" x14ac:dyDescent="0.3">
      <c r="L3159" s="25"/>
      <c r="Q3159" s="17"/>
    </row>
    <row r="3160" spans="12:17" x14ac:dyDescent="0.3">
      <c r="L3160" s="25"/>
      <c r="Q3160" s="17"/>
    </row>
    <row r="3161" spans="12:17" x14ac:dyDescent="0.3">
      <c r="L3161" s="25"/>
      <c r="Q3161" s="17"/>
    </row>
    <row r="3162" spans="12:17" x14ac:dyDescent="0.3">
      <c r="L3162" s="25"/>
      <c r="Q3162" s="17"/>
    </row>
    <row r="3163" spans="12:17" x14ac:dyDescent="0.3">
      <c r="L3163" s="25"/>
      <c r="Q3163" s="17"/>
    </row>
    <row r="3164" spans="12:17" x14ac:dyDescent="0.3">
      <c r="L3164" s="25"/>
      <c r="Q3164" s="17"/>
    </row>
    <row r="3165" spans="12:17" x14ac:dyDescent="0.3">
      <c r="L3165" s="25"/>
      <c r="Q3165" s="17"/>
    </row>
    <row r="3166" spans="12:17" x14ac:dyDescent="0.3">
      <c r="L3166" s="25"/>
      <c r="Q3166" s="17"/>
    </row>
    <row r="3167" spans="12:17" x14ac:dyDescent="0.3">
      <c r="L3167" s="25"/>
      <c r="Q3167" s="17"/>
    </row>
    <row r="3168" spans="12:17" x14ac:dyDescent="0.3">
      <c r="L3168" s="25"/>
      <c r="Q3168" s="17"/>
    </row>
    <row r="3169" spans="12:17" x14ac:dyDescent="0.3">
      <c r="L3169" s="25"/>
      <c r="Q3169" s="17"/>
    </row>
    <row r="3170" spans="12:17" x14ac:dyDescent="0.3">
      <c r="L3170" s="25"/>
      <c r="Q3170" s="17"/>
    </row>
    <row r="3171" spans="12:17" x14ac:dyDescent="0.3">
      <c r="L3171" s="25"/>
      <c r="Q3171" s="17"/>
    </row>
    <row r="3172" spans="12:17" x14ac:dyDescent="0.3">
      <c r="L3172" s="25"/>
      <c r="Q3172" s="17"/>
    </row>
    <row r="3173" spans="12:17" x14ac:dyDescent="0.3">
      <c r="L3173" s="25"/>
      <c r="Q3173" s="17"/>
    </row>
    <row r="3174" spans="12:17" x14ac:dyDescent="0.3">
      <c r="L3174" s="25"/>
      <c r="Q3174" s="17"/>
    </row>
    <row r="3175" spans="12:17" x14ac:dyDescent="0.3">
      <c r="L3175" s="25"/>
      <c r="Q3175" s="17"/>
    </row>
    <row r="3176" spans="12:17" x14ac:dyDescent="0.3">
      <c r="L3176" s="25"/>
      <c r="Q3176" s="17"/>
    </row>
    <row r="3177" spans="12:17" x14ac:dyDescent="0.3">
      <c r="L3177" s="25"/>
      <c r="Q3177" s="17"/>
    </row>
    <row r="3178" spans="12:17" x14ac:dyDescent="0.3">
      <c r="L3178" s="25"/>
      <c r="Q3178" s="17"/>
    </row>
    <row r="3179" spans="12:17" x14ac:dyDescent="0.3">
      <c r="L3179" s="25"/>
      <c r="Q3179" s="17"/>
    </row>
    <row r="3180" spans="12:17" x14ac:dyDescent="0.3">
      <c r="L3180" s="25"/>
      <c r="Q3180" s="17"/>
    </row>
    <row r="3181" spans="12:17" x14ac:dyDescent="0.3">
      <c r="L3181" s="25"/>
      <c r="Q3181" s="17"/>
    </row>
    <row r="3182" spans="12:17" x14ac:dyDescent="0.3">
      <c r="L3182" s="25"/>
      <c r="Q3182" s="17"/>
    </row>
    <row r="3183" spans="12:17" x14ac:dyDescent="0.3">
      <c r="L3183" s="25"/>
      <c r="Q3183" s="17"/>
    </row>
    <row r="3184" spans="12:17" x14ac:dyDescent="0.3">
      <c r="L3184" s="25"/>
      <c r="Q3184" s="17"/>
    </row>
    <row r="3185" spans="12:17" x14ac:dyDescent="0.3">
      <c r="L3185" s="25"/>
      <c r="Q3185" s="17"/>
    </row>
    <row r="3186" spans="12:17" x14ac:dyDescent="0.3">
      <c r="L3186" s="25"/>
      <c r="Q3186" s="17"/>
    </row>
    <row r="3187" spans="12:17" x14ac:dyDescent="0.3">
      <c r="L3187" s="25"/>
      <c r="Q3187" s="17"/>
    </row>
    <row r="3188" spans="12:17" x14ac:dyDescent="0.3">
      <c r="L3188" s="25"/>
      <c r="Q3188" s="17"/>
    </row>
    <row r="3189" spans="12:17" x14ac:dyDescent="0.3">
      <c r="L3189" s="25"/>
      <c r="Q3189" s="17"/>
    </row>
    <row r="3190" spans="12:17" x14ac:dyDescent="0.3">
      <c r="L3190" s="25"/>
      <c r="Q3190" s="17"/>
    </row>
    <row r="3191" spans="12:17" x14ac:dyDescent="0.3">
      <c r="L3191" s="25"/>
      <c r="Q3191" s="17"/>
    </row>
    <row r="3192" spans="12:17" x14ac:dyDescent="0.3">
      <c r="L3192" s="25"/>
      <c r="Q3192" s="17"/>
    </row>
    <row r="3193" spans="12:17" x14ac:dyDescent="0.3">
      <c r="L3193" s="25"/>
      <c r="Q3193" s="17"/>
    </row>
    <row r="3194" spans="12:17" x14ac:dyDescent="0.3">
      <c r="L3194" s="25"/>
      <c r="Q3194" s="17"/>
    </row>
    <row r="3195" spans="12:17" x14ac:dyDescent="0.3">
      <c r="L3195" s="25"/>
      <c r="Q3195" s="17"/>
    </row>
    <row r="3196" spans="12:17" x14ac:dyDescent="0.3">
      <c r="L3196" s="25"/>
      <c r="Q3196" s="17"/>
    </row>
    <row r="3197" spans="12:17" x14ac:dyDescent="0.3">
      <c r="L3197" s="25"/>
      <c r="Q3197" s="17"/>
    </row>
    <row r="3198" spans="12:17" x14ac:dyDescent="0.3">
      <c r="L3198" s="25"/>
      <c r="Q3198" s="17"/>
    </row>
    <row r="3199" spans="12:17" x14ac:dyDescent="0.3">
      <c r="L3199" s="25"/>
      <c r="Q3199" s="17"/>
    </row>
    <row r="3200" spans="12:17" x14ac:dyDescent="0.3">
      <c r="L3200" s="25"/>
      <c r="Q3200" s="17"/>
    </row>
    <row r="3201" spans="12:17" x14ac:dyDescent="0.3">
      <c r="L3201" s="25"/>
      <c r="Q3201" s="17"/>
    </row>
    <row r="3202" spans="12:17" x14ac:dyDescent="0.3">
      <c r="L3202" s="25"/>
      <c r="Q3202" s="17"/>
    </row>
    <row r="3203" spans="12:17" x14ac:dyDescent="0.3">
      <c r="L3203" s="25"/>
      <c r="Q3203" s="17"/>
    </row>
    <row r="3204" spans="12:17" x14ac:dyDescent="0.3">
      <c r="L3204" s="25"/>
      <c r="Q3204" s="17"/>
    </row>
    <row r="3205" spans="12:17" x14ac:dyDescent="0.3">
      <c r="L3205" s="25"/>
      <c r="Q3205" s="17"/>
    </row>
    <row r="3206" spans="12:17" x14ac:dyDescent="0.3">
      <c r="L3206" s="25"/>
      <c r="Q3206" s="17"/>
    </row>
    <row r="3207" spans="12:17" x14ac:dyDescent="0.3">
      <c r="L3207" s="25"/>
      <c r="Q3207" s="17"/>
    </row>
    <row r="3208" spans="12:17" x14ac:dyDescent="0.3">
      <c r="L3208" s="25"/>
      <c r="Q3208" s="17"/>
    </row>
    <row r="3209" spans="12:17" x14ac:dyDescent="0.3">
      <c r="L3209" s="25"/>
      <c r="Q3209" s="17"/>
    </row>
    <row r="3210" spans="12:17" x14ac:dyDescent="0.3">
      <c r="L3210" s="25"/>
      <c r="Q3210" s="17"/>
    </row>
    <row r="3211" spans="12:17" x14ac:dyDescent="0.3">
      <c r="L3211" s="25"/>
      <c r="Q3211" s="17"/>
    </row>
    <row r="3212" spans="12:17" x14ac:dyDescent="0.3">
      <c r="L3212" s="25"/>
      <c r="Q3212" s="17"/>
    </row>
    <row r="3213" spans="12:17" x14ac:dyDescent="0.3">
      <c r="L3213" s="25"/>
      <c r="Q3213" s="17"/>
    </row>
    <row r="3214" spans="12:17" x14ac:dyDescent="0.3">
      <c r="L3214" s="25"/>
      <c r="Q3214" s="17"/>
    </row>
    <row r="3215" spans="12:17" x14ac:dyDescent="0.3">
      <c r="L3215" s="25"/>
      <c r="Q3215" s="17"/>
    </row>
    <row r="3216" spans="12:17" x14ac:dyDescent="0.3">
      <c r="L3216" s="25"/>
      <c r="Q3216" s="17"/>
    </row>
    <row r="3217" spans="12:17" x14ac:dyDescent="0.3">
      <c r="L3217" s="25"/>
      <c r="Q3217" s="17"/>
    </row>
    <row r="3218" spans="12:17" x14ac:dyDescent="0.3">
      <c r="L3218" s="25"/>
      <c r="Q3218" s="17"/>
    </row>
    <row r="3219" spans="12:17" x14ac:dyDescent="0.3">
      <c r="L3219" s="25"/>
      <c r="Q3219" s="17"/>
    </row>
    <row r="3220" spans="12:17" x14ac:dyDescent="0.3">
      <c r="L3220" s="25"/>
      <c r="Q3220" s="17"/>
    </row>
    <row r="3221" spans="12:17" x14ac:dyDescent="0.3">
      <c r="L3221" s="25"/>
      <c r="Q3221" s="17"/>
    </row>
    <row r="3222" spans="12:17" x14ac:dyDescent="0.3">
      <c r="L3222" s="25"/>
      <c r="Q3222" s="17"/>
    </row>
    <row r="3223" spans="12:17" x14ac:dyDescent="0.3">
      <c r="L3223" s="25"/>
      <c r="Q3223" s="17"/>
    </row>
    <row r="3224" spans="12:17" x14ac:dyDescent="0.3">
      <c r="L3224" s="25"/>
      <c r="Q3224" s="17"/>
    </row>
    <row r="3225" spans="12:17" x14ac:dyDescent="0.3">
      <c r="L3225" s="25"/>
      <c r="Q3225" s="17"/>
    </row>
    <row r="3226" spans="12:17" x14ac:dyDescent="0.3">
      <c r="L3226" s="25"/>
      <c r="Q3226" s="17"/>
    </row>
    <row r="3227" spans="12:17" x14ac:dyDescent="0.3">
      <c r="L3227" s="25"/>
      <c r="Q3227" s="17"/>
    </row>
    <row r="3228" spans="12:17" x14ac:dyDescent="0.3">
      <c r="L3228" s="25"/>
      <c r="Q3228" s="17"/>
    </row>
    <row r="3229" spans="12:17" x14ac:dyDescent="0.3">
      <c r="L3229" s="25"/>
      <c r="Q3229" s="17"/>
    </row>
    <row r="3230" spans="12:17" x14ac:dyDescent="0.3">
      <c r="L3230" s="25"/>
      <c r="Q3230" s="17"/>
    </row>
    <row r="3231" spans="12:17" x14ac:dyDescent="0.3">
      <c r="L3231" s="25"/>
      <c r="Q3231" s="17"/>
    </row>
    <row r="3232" spans="12:17" x14ac:dyDescent="0.3">
      <c r="L3232" s="25"/>
      <c r="Q3232" s="17"/>
    </row>
    <row r="3233" spans="12:17" x14ac:dyDescent="0.3">
      <c r="L3233" s="25"/>
      <c r="Q3233" s="17"/>
    </row>
    <row r="3234" spans="12:17" x14ac:dyDescent="0.3">
      <c r="L3234" s="25"/>
      <c r="Q3234" s="17"/>
    </row>
    <row r="3235" spans="12:17" x14ac:dyDescent="0.3">
      <c r="L3235" s="25"/>
      <c r="Q3235" s="17"/>
    </row>
    <row r="3236" spans="12:17" x14ac:dyDescent="0.3">
      <c r="L3236" s="25"/>
      <c r="Q3236" s="17"/>
    </row>
    <row r="3237" spans="12:17" x14ac:dyDescent="0.3">
      <c r="L3237" s="25"/>
      <c r="Q3237" s="17"/>
    </row>
    <row r="3238" spans="12:17" x14ac:dyDescent="0.3">
      <c r="L3238" s="25"/>
      <c r="Q3238" s="17"/>
    </row>
    <row r="3239" spans="12:17" x14ac:dyDescent="0.3">
      <c r="L3239" s="25"/>
      <c r="Q3239" s="17"/>
    </row>
    <row r="3240" spans="12:17" x14ac:dyDescent="0.3">
      <c r="L3240" s="25"/>
      <c r="Q3240" s="17"/>
    </row>
    <row r="3241" spans="12:17" x14ac:dyDescent="0.3">
      <c r="L3241" s="25"/>
      <c r="Q3241" s="17"/>
    </row>
    <row r="3242" spans="12:17" x14ac:dyDescent="0.3">
      <c r="L3242" s="25"/>
      <c r="Q3242" s="17"/>
    </row>
    <row r="3243" spans="12:17" x14ac:dyDescent="0.3">
      <c r="L3243" s="25"/>
      <c r="Q3243" s="17"/>
    </row>
    <row r="3244" spans="12:17" x14ac:dyDescent="0.3">
      <c r="L3244" s="25"/>
      <c r="Q3244" s="17"/>
    </row>
    <row r="3245" spans="12:17" x14ac:dyDescent="0.3">
      <c r="L3245" s="25"/>
      <c r="Q3245" s="17"/>
    </row>
    <row r="3246" spans="12:17" x14ac:dyDescent="0.3">
      <c r="L3246" s="25"/>
      <c r="Q3246" s="17"/>
    </row>
    <row r="3247" spans="12:17" x14ac:dyDescent="0.3">
      <c r="L3247" s="25"/>
      <c r="Q3247" s="17"/>
    </row>
    <row r="3248" spans="12:17" x14ac:dyDescent="0.3">
      <c r="L3248" s="25"/>
      <c r="Q3248" s="17"/>
    </row>
    <row r="3249" spans="12:17" x14ac:dyDescent="0.3">
      <c r="L3249" s="25"/>
      <c r="Q3249" s="17"/>
    </row>
    <row r="3250" spans="12:17" x14ac:dyDescent="0.3">
      <c r="L3250" s="25"/>
      <c r="Q3250" s="17"/>
    </row>
    <row r="3251" spans="12:17" x14ac:dyDescent="0.3">
      <c r="L3251" s="25"/>
      <c r="Q3251" s="17"/>
    </row>
    <row r="3252" spans="12:17" x14ac:dyDescent="0.3">
      <c r="L3252" s="25"/>
      <c r="Q3252" s="17"/>
    </row>
    <row r="3253" spans="12:17" x14ac:dyDescent="0.3">
      <c r="L3253" s="25"/>
      <c r="Q3253" s="17"/>
    </row>
    <row r="3254" spans="12:17" x14ac:dyDescent="0.3">
      <c r="L3254" s="25"/>
      <c r="Q3254" s="17"/>
    </row>
    <row r="3255" spans="12:17" x14ac:dyDescent="0.3">
      <c r="L3255" s="25"/>
      <c r="Q3255" s="17"/>
    </row>
    <row r="3256" spans="12:17" x14ac:dyDescent="0.3">
      <c r="L3256" s="25"/>
      <c r="Q3256" s="17"/>
    </row>
    <row r="3257" spans="12:17" x14ac:dyDescent="0.3">
      <c r="L3257" s="25"/>
      <c r="Q3257" s="17"/>
    </row>
    <row r="3258" spans="12:17" x14ac:dyDescent="0.3">
      <c r="L3258" s="25"/>
      <c r="Q3258" s="17"/>
    </row>
    <row r="3259" spans="12:17" x14ac:dyDescent="0.3">
      <c r="L3259" s="25"/>
      <c r="Q3259" s="17"/>
    </row>
    <row r="3260" spans="12:17" x14ac:dyDescent="0.3">
      <c r="L3260" s="25"/>
      <c r="Q3260" s="17"/>
    </row>
    <row r="3261" spans="12:17" x14ac:dyDescent="0.3">
      <c r="L3261" s="25"/>
      <c r="Q3261" s="17"/>
    </row>
    <row r="3262" spans="12:17" x14ac:dyDescent="0.3">
      <c r="L3262" s="25"/>
      <c r="Q3262" s="17"/>
    </row>
    <row r="3263" spans="12:17" x14ac:dyDescent="0.3">
      <c r="L3263" s="25"/>
      <c r="Q3263" s="17"/>
    </row>
    <row r="3264" spans="12:17" x14ac:dyDescent="0.3">
      <c r="L3264" s="25"/>
      <c r="Q3264" s="17"/>
    </row>
    <row r="3265" spans="12:17" x14ac:dyDescent="0.3">
      <c r="L3265" s="25"/>
      <c r="Q3265" s="17"/>
    </row>
    <row r="3266" spans="12:17" x14ac:dyDescent="0.3">
      <c r="L3266" s="25"/>
      <c r="Q3266" s="17"/>
    </row>
    <row r="3267" spans="12:17" x14ac:dyDescent="0.3">
      <c r="L3267" s="25"/>
      <c r="Q3267" s="17"/>
    </row>
    <row r="3268" spans="12:17" x14ac:dyDescent="0.3">
      <c r="L3268" s="25"/>
      <c r="Q3268" s="17"/>
    </row>
    <row r="3269" spans="12:17" x14ac:dyDescent="0.3">
      <c r="L3269" s="25"/>
      <c r="Q3269" s="17"/>
    </row>
    <row r="3270" spans="12:17" x14ac:dyDescent="0.3">
      <c r="L3270" s="25"/>
      <c r="Q3270" s="17"/>
    </row>
    <row r="3271" spans="12:17" x14ac:dyDescent="0.3">
      <c r="L3271" s="25"/>
      <c r="Q3271" s="17"/>
    </row>
    <row r="3272" spans="12:17" x14ac:dyDescent="0.3">
      <c r="L3272" s="25"/>
      <c r="Q3272" s="17"/>
    </row>
    <row r="3273" spans="12:17" x14ac:dyDescent="0.3">
      <c r="L3273" s="25"/>
      <c r="Q3273" s="17"/>
    </row>
    <row r="3274" spans="12:17" x14ac:dyDescent="0.3">
      <c r="L3274" s="25"/>
      <c r="Q3274" s="17"/>
    </row>
    <row r="3275" spans="12:17" x14ac:dyDescent="0.3">
      <c r="L3275" s="25"/>
      <c r="Q3275" s="17"/>
    </row>
    <row r="3276" spans="12:17" x14ac:dyDescent="0.3">
      <c r="L3276" s="25"/>
      <c r="Q3276" s="17"/>
    </row>
    <row r="3277" spans="12:17" x14ac:dyDescent="0.3">
      <c r="L3277" s="25"/>
      <c r="Q3277" s="17"/>
    </row>
    <row r="3278" spans="12:17" x14ac:dyDescent="0.3">
      <c r="L3278" s="25"/>
      <c r="Q3278" s="17"/>
    </row>
    <row r="3279" spans="12:17" x14ac:dyDescent="0.3">
      <c r="L3279" s="25"/>
      <c r="Q3279" s="17"/>
    </row>
    <row r="3280" spans="12:17" x14ac:dyDescent="0.3">
      <c r="L3280" s="25"/>
      <c r="Q3280" s="17"/>
    </row>
    <row r="3281" spans="12:17" x14ac:dyDescent="0.3">
      <c r="L3281" s="25"/>
      <c r="Q3281" s="17"/>
    </row>
    <row r="3282" spans="12:17" x14ac:dyDescent="0.3">
      <c r="L3282" s="25"/>
      <c r="Q3282" s="17"/>
    </row>
    <row r="3283" spans="12:17" x14ac:dyDescent="0.3">
      <c r="L3283" s="25"/>
      <c r="Q3283" s="17"/>
    </row>
    <row r="3284" spans="12:17" x14ac:dyDescent="0.3">
      <c r="L3284" s="25"/>
      <c r="Q3284" s="17"/>
    </row>
    <row r="3285" spans="12:17" x14ac:dyDescent="0.3">
      <c r="L3285" s="25"/>
      <c r="Q3285" s="17"/>
    </row>
    <row r="3286" spans="12:17" x14ac:dyDescent="0.3">
      <c r="L3286" s="25"/>
      <c r="Q3286" s="17"/>
    </row>
    <row r="3287" spans="12:17" x14ac:dyDescent="0.3">
      <c r="L3287" s="25"/>
      <c r="Q3287" s="17"/>
    </row>
    <row r="3288" spans="12:17" x14ac:dyDescent="0.3">
      <c r="L3288" s="25"/>
      <c r="Q3288" s="17"/>
    </row>
    <row r="3289" spans="12:17" x14ac:dyDescent="0.3">
      <c r="L3289" s="25"/>
      <c r="Q3289" s="17"/>
    </row>
    <row r="3290" spans="12:17" x14ac:dyDescent="0.3">
      <c r="L3290" s="25"/>
      <c r="Q3290" s="17"/>
    </row>
    <row r="3291" spans="12:17" x14ac:dyDescent="0.3">
      <c r="L3291" s="25"/>
      <c r="Q3291" s="17"/>
    </row>
    <row r="3292" spans="12:17" x14ac:dyDescent="0.3">
      <c r="L3292" s="25"/>
      <c r="Q3292" s="17"/>
    </row>
    <row r="3293" spans="12:17" x14ac:dyDescent="0.3">
      <c r="L3293" s="25"/>
      <c r="Q3293" s="17"/>
    </row>
    <row r="3294" spans="12:17" x14ac:dyDescent="0.3">
      <c r="L3294" s="25"/>
      <c r="Q3294" s="17"/>
    </row>
    <row r="3295" spans="12:17" x14ac:dyDescent="0.3">
      <c r="L3295" s="25"/>
      <c r="Q3295" s="17"/>
    </row>
    <row r="3296" spans="12:17" x14ac:dyDescent="0.3">
      <c r="L3296" s="25"/>
      <c r="Q3296" s="17"/>
    </row>
    <row r="3297" spans="12:17" x14ac:dyDescent="0.3">
      <c r="L3297" s="25"/>
      <c r="Q3297" s="17"/>
    </row>
    <row r="3298" spans="12:17" x14ac:dyDescent="0.3">
      <c r="L3298" s="25"/>
      <c r="Q3298" s="17"/>
    </row>
    <row r="3299" spans="12:17" x14ac:dyDescent="0.3">
      <c r="L3299" s="25"/>
      <c r="Q3299" s="17"/>
    </row>
    <row r="3300" spans="12:17" x14ac:dyDescent="0.3">
      <c r="L3300" s="25"/>
      <c r="Q3300" s="17"/>
    </row>
    <row r="3301" spans="12:17" x14ac:dyDescent="0.3">
      <c r="L3301" s="25"/>
      <c r="Q3301" s="17"/>
    </row>
    <row r="3302" spans="12:17" x14ac:dyDescent="0.3">
      <c r="L3302" s="25"/>
      <c r="Q3302" s="17"/>
    </row>
    <row r="3303" spans="12:17" x14ac:dyDescent="0.3">
      <c r="L3303" s="25"/>
      <c r="Q3303" s="17"/>
    </row>
    <row r="3304" spans="12:17" x14ac:dyDescent="0.3">
      <c r="L3304" s="25"/>
      <c r="Q3304" s="17"/>
    </row>
    <row r="3305" spans="12:17" x14ac:dyDescent="0.3">
      <c r="L3305" s="25"/>
      <c r="Q3305" s="17"/>
    </row>
    <row r="3306" spans="12:17" x14ac:dyDescent="0.3">
      <c r="L3306" s="25"/>
      <c r="Q3306" s="17"/>
    </row>
    <row r="3307" spans="12:17" x14ac:dyDescent="0.3">
      <c r="L3307" s="25"/>
      <c r="Q3307" s="17"/>
    </row>
    <row r="3308" spans="12:17" x14ac:dyDescent="0.3">
      <c r="L3308" s="25"/>
      <c r="Q3308" s="17"/>
    </row>
    <row r="3309" spans="12:17" x14ac:dyDescent="0.3">
      <c r="L3309" s="25"/>
      <c r="Q3309" s="17"/>
    </row>
    <row r="3310" spans="12:17" x14ac:dyDescent="0.3">
      <c r="L3310" s="25"/>
      <c r="Q3310" s="17"/>
    </row>
    <row r="3311" spans="12:17" x14ac:dyDescent="0.3">
      <c r="L3311" s="25"/>
      <c r="Q3311" s="17"/>
    </row>
    <row r="3312" spans="12:17" x14ac:dyDescent="0.3">
      <c r="L3312" s="25"/>
      <c r="Q3312" s="17"/>
    </row>
    <row r="3313" spans="12:17" x14ac:dyDescent="0.3">
      <c r="L3313" s="25"/>
      <c r="Q3313" s="17"/>
    </row>
    <row r="3314" spans="12:17" x14ac:dyDescent="0.3">
      <c r="L3314" s="25"/>
      <c r="Q3314" s="17"/>
    </row>
    <row r="3315" spans="12:17" x14ac:dyDescent="0.3">
      <c r="L3315" s="25"/>
      <c r="Q3315" s="17"/>
    </row>
    <row r="3316" spans="12:17" x14ac:dyDescent="0.3">
      <c r="L3316" s="25"/>
      <c r="Q3316" s="17"/>
    </row>
    <row r="3317" spans="12:17" x14ac:dyDescent="0.3">
      <c r="L3317" s="25"/>
      <c r="Q3317" s="17"/>
    </row>
    <row r="3318" spans="12:17" x14ac:dyDescent="0.3">
      <c r="L3318" s="25"/>
      <c r="Q3318" s="17"/>
    </row>
    <row r="3319" spans="12:17" x14ac:dyDescent="0.3">
      <c r="L3319" s="25"/>
      <c r="Q3319" s="17"/>
    </row>
    <row r="3320" spans="12:17" x14ac:dyDescent="0.3">
      <c r="L3320" s="25"/>
      <c r="Q3320" s="17"/>
    </row>
    <row r="3321" spans="12:17" x14ac:dyDescent="0.3">
      <c r="L3321" s="25"/>
      <c r="Q3321" s="17"/>
    </row>
    <row r="3322" spans="12:17" x14ac:dyDescent="0.3">
      <c r="L3322" s="25"/>
      <c r="Q3322" s="17"/>
    </row>
    <row r="3323" spans="12:17" x14ac:dyDescent="0.3">
      <c r="L3323" s="25"/>
      <c r="Q3323" s="17"/>
    </row>
    <row r="3324" spans="12:17" x14ac:dyDescent="0.3">
      <c r="L3324" s="25"/>
      <c r="Q3324" s="17"/>
    </row>
    <row r="3325" spans="12:17" x14ac:dyDescent="0.3">
      <c r="L3325" s="25"/>
      <c r="Q3325" s="17"/>
    </row>
    <row r="3326" spans="12:17" x14ac:dyDescent="0.3">
      <c r="L3326" s="25"/>
      <c r="Q3326" s="17"/>
    </row>
    <row r="3327" spans="12:17" x14ac:dyDescent="0.3">
      <c r="L3327" s="25"/>
      <c r="Q3327" s="17"/>
    </row>
    <row r="3328" spans="12:17" x14ac:dyDescent="0.3">
      <c r="L3328" s="25"/>
      <c r="Q3328" s="17"/>
    </row>
    <row r="3329" spans="12:17" x14ac:dyDescent="0.3">
      <c r="L3329" s="25"/>
      <c r="Q3329" s="17"/>
    </row>
    <row r="3330" spans="12:17" x14ac:dyDescent="0.3">
      <c r="L3330" s="25"/>
      <c r="Q3330" s="17"/>
    </row>
    <row r="3331" spans="12:17" x14ac:dyDescent="0.3">
      <c r="L3331" s="25"/>
      <c r="Q3331" s="17"/>
    </row>
    <row r="3332" spans="12:17" x14ac:dyDescent="0.3">
      <c r="L3332" s="25"/>
      <c r="Q3332" s="17"/>
    </row>
    <row r="3333" spans="12:17" x14ac:dyDescent="0.3">
      <c r="L3333" s="25"/>
      <c r="Q3333" s="17"/>
    </row>
    <row r="3334" spans="12:17" x14ac:dyDescent="0.3">
      <c r="L3334" s="25"/>
      <c r="Q3334" s="17"/>
    </row>
    <row r="3335" spans="12:17" x14ac:dyDescent="0.3">
      <c r="L3335" s="25"/>
      <c r="Q3335" s="17"/>
    </row>
    <row r="3336" spans="12:17" x14ac:dyDescent="0.3">
      <c r="L3336" s="25"/>
      <c r="Q3336" s="17"/>
    </row>
    <row r="3337" spans="12:17" x14ac:dyDescent="0.3">
      <c r="L3337" s="25"/>
      <c r="Q3337" s="17"/>
    </row>
    <row r="3338" spans="12:17" x14ac:dyDescent="0.3">
      <c r="L3338" s="25"/>
      <c r="Q3338" s="17"/>
    </row>
    <row r="3339" spans="12:17" x14ac:dyDescent="0.3">
      <c r="L3339" s="25"/>
      <c r="Q3339" s="17"/>
    </row>
    <row r="3340" spans="12:17" x14ac:dyDescent="0.3">
      <c r="L3340" s="25"/>
      <c r="Q3340" s="17"/>
    </row>
    <row r="3341" spans="12:17" x14ac:dyDescent="0.3">
      <c r="L3341" s="25"/>
      <c r="Q3341" s="17"/>
    </row>
    <row r="3342" spans="12:17" x14ac:dyDescent="0.3">
      <c r="L3342" s="25"/>
      <c r="Q3342" s="17"/>
    </row>
    <row r="3343" spans="12:17" x14ac:dyDescent="0.3">
      <c r="L3343" s="25"/>
      <c r="Q3343" s="17"/>
    </row>
    <row r="3344" spans="12:17" x14ac:dyDescent="0.3">
      <c r="L3344" s="25"/>
      <c r="Q3344" s="17"/>
    </row>
    <row r="3345" spans="12:17" x14ac:dyDescent="0.3">
      <c r="L3345" s="25"/>
      <c r="Q3345" s="17"/>
    </row>
    <row r="3346" spans="12:17" x14ac:dyDescent="0.3">
      <c r="L3346" s="25"/>
      <c r="Q3346" s="17"/>
    </row>
    <row r="3347" spans="12:17" x14ac:dyDescent="0.3">
      <c r="L3347" s="25"/>
      <c r="Q3347" s="17"/>
    </row>
    <row r="3348" spans="12:17" x14ac:dyDescent="0.3">
      <c r="L3348" s="25"/>
      <c r="Q3348" s="17"/>
    </row>
    <row r="3349" spans="12:17" x14ac:dyDescent="0.3">
      <c r="L3349" s="25"/>
      <c r="Q3349" s="17"/>
    </row>
    <row r="3350" spans="12:17" x14ac:dyDescent="0.3">
      <c r="L3350" s="25"/>
      <c r="Q3350" s="17"/>
    </row>
    <row r="3351" spans="12:17" x14ac:dyDescent="0.3">
      <c r="L3351" s="25"/>
      <c r="Q3351" s="17"/>
    </row>
    <row r="3352" spans="12:17" x14ac:dyDescent="0.3">
      <c r="L3352" s="25"/>
      <c r="Q3352" s="17"/>
    </row>
    <row r="3353" spans="12:17" x14ac:dyDescent="0.3">
      <c r="L3353" s="25"/>
      <c r="Q3353" s="17"/>
    </row>
    <row r="3354" spans="12:17" x14ac:dyDescent="0.3">
      <c r="L3354" s="25"/>
      <c r="Q3354" s="17"/>
    </row>
    <row r="3355" spans="12:17" x14ac:dyDescent="0.3">
      <c r="L3355" s="25"/>
      <c r="Q3355" s="17"/>
    </row>
    <row r="3356" spans="12:17" x14ac:dyDescent="0.3">
      <c r="L3356" s="25"/>
      <c r="Q3356" s="17"/>
    </row>
    <row r="3357" spans="12:17" x14ac:dyDescent="0.3">
      <c r="L3357" s="25"/>
      <c r="Q3357" s="17"/>
    </row>
    <row r="3358" spans="12:17" x14ac:dyDescent="0.3">
      <c r="L3358" s="25"/>
      <c r="Q3358" s="17"/>
    </row>
    <row r="3359" spans="12:17" x14ac:dyDescent="0.3">
      <c r="L3359" s="25"/>
      <c r="Q3359" s="17"/>
    </row>
    <row r="3360" spans="12:17" x14ac:dyDescent="0.3">
      <c r="L3360" s="25"/>
      <c r="Q3360" s="17"/>
    </row>
    <row r="3361" spans="12:17" x14ac:dyDescent="0.3">
      <c r="L3361" s="25"/>
      <c r="Q3361" s="17"/>
    </row>
    <row r="3362" spans="12:17" x14ac:dyDescent="0.3">
      <c r="L3362" s="25"/>
      <c r="Q3362" s="17"/>
    </row>
    <row r="3363" spans="12:17" x14ac:dyDescent="0.3">
      <c r="L3363" s="25"/>
      <c r="Q3363" s="17"/>
    </row>
    <row r="3364" spans="12:17" x14ac:dyDescent="0.3">
      <c r="L3364" s="25"/>
      <c r="Q3364" s="17"/>
    </row>
    <row r="3365" spans="12:17" x14ac:dyDescent="0.3">
      <c r="L3365" s="25"/>
      <c r="Q3365" s="17"/>
    </row>
    <row r="3366" spans="12:17" x14ac:dyDescent="0.3">
      <c r="L3366" s="25"/>
      <c r="Q3366" s="17"/>
    </row>
    <row r="3367" spans="12:17" x14ac:dyDescent="0.3">
      <c r="L3367" s="25"/>
      <c r="Q3367" s="17"/>
    </row>
    <row r="3368" spans="12:17" x14ac:dyDescent="0.3">
      <c r="L3368" s="25"/>
      <c r="Q3368" s="17"/>
    </row>
    <row r="3369" spans="12:17" x14ac:dyDescent="0.3">
      <c r="L3369" s="25"/>
      <c r="Q3369" s="17"/>
    </row>
    <row r="3370" spans="12:17" x14ac:dyDescent="0.3">
      <c r="L3370" s="25"/>
      <c r="Q3370" s="17"/>
    </row>
    <row r="3371" spans="12:17" x14ac:dyDescent="0.3">
      <c r="L3371" s="25"/>
      <c r="Q3371" s="17"/>
    </row>
    <row r="3372" spans="12:17" x14ac:dyDescent="0.3">
      <c r="L3372" s="25"/>
      <c r="Q3372" s="17"/>
    </row>
    <row r="3373" spans="12:17" x14ac:dyDescent="0.3">
      <c r="L3373" s="25"/>
      <c r="Q3373" s="17"/>
    </row>
    <row r="3374" spans="12:17" x14ac:dyDescent="0.3">
      <c r="L3374" s="25"/>
      <c r="Q3374" s="17"/>
    </row>
    <row r="3375" spans="12:17" x14ac:dyDescent="0.3">
      <c r="L3375" s="25"/>
      <c r="Q3375" s="17"/>
    </row>
    <row r="3376" spans="12:17" x14ac:dyDescent="0.3">
      <c r="L3376" s="25"/>
      <c r="Q3376" s="17"/>
    </row>
    <row r="3377" spans="12:17" x14ac:dyDescent="0.3">
      <c r="L3377" s="25"/>
      <c r="Q3377" s="17"/>
    </row>
    <row r="3378" spans="12:17" x14ac:dyDescent="0.3">
      <c r="L3378" s="25"/>
      <c r="Q3378" s="17"/>
    </row>
    <row r="3379" spans="12:17" x14ac:dyDescent="0.3">
      <c r="L3379" s="25"/>
      <c r="Q3379" s="17"/>
    </row>
    <row r="3380" spans="12:17" x14ac:dyDescent="0.3">
      <c r="L3380" s="25"/>
      <c r="Q3380" s="17"/>
    </row>
    <row r="3381" spans="12:17" x14ac:dyDescent="0.3">
      <c r="L3381" s="25"/>
      <c r="Q3381" s="17"/>
    </row>
    <row r="3382" spans="12:17" x14ac:dyDescent="0.3">
      <c r="L3382" s="25"/>
      <c r="Q3382" s="17"/>
    </row>
    <row r="3383" spans="12:17" x14ac:dyDescent="0.3">
      <c r="L3383" s="25"/>
      <c r="Q3383" s="17"/>
    </row>
    <row r="3384" spans="12:17" x14ac:dyDescent="0.3">
      <c r="L3384" s="25"/>
      <c r="Q3384" s="17"/>
    </row>
    <row r="3385" spans="12:17" x14ac:dyDescent="0.3">
      <c r="L3385" s="25"/>
      <c r="Q3385" s="17"/>
    </row>
    <row r="3386" spans="12:17" x14ac:dyDescent="0.3">
      <c r="L3386" s="25"/>
      <c r="Q3386" s="17"/>
    </row>
    <row r="3387" spans="12:17" x14ac:dyDescent="0.3">
      <c r="L3387" s="25"/>
      <c r="Q3387" s="17"/>
    </row>
    <row r="3388" spans="12:17" x14ac:dyDescent="0.3">
      <c r="L3388" s="25"/>
      <c r="Q3388" s="17"/>
    </row>
    <row r="3389" spans="12:17" x14ac:dyDescent="0.3">
      <c r="L3389" s="25"/>
      <c r="Q3389" s="17"/>
    </row>
    <row r="3390" spans="12:17" x14ac:dyDescent="0.3">
      <c r="L3390" s="25"/>
      <c r="Q3390" s="17"/>
    </row>
    <row r="3391" spans="12:17" x14ac:dyDescent="0.3">
      <c r="L3391" s="25"/>
      <c r="Q3391" s="17"/>
    </row>
    <row r="3392" spans="12:17" x14ac:dyDescent="0.3">
      <c r="L3392" s="25"/>
      <c r="Q3392" s="17"/>
    </row>
    <row r="3393" spans="12:17" x14ac:dyDescent="0.3">
      <c r="L3393" s="25"/>
      <c r="Q3393" s="17"/>
    </row>
    <row r="3394" spans="12:17" x14ac:dyDescent="0.3">
      <c r="L3394" s="25"/>
      <c r="Q3394" s="17"/>
    </row>
    <row r="3395" spans="12:17" x14ac:dyDescent="0.3">
      <c r="L3395" s="25"/>
      <c r="Q3395" s="17"/>
    </row>
    <row r="3396" spans="12:17" x14ac:dyDescent="0.3">
      <c r="L3396" s="25"/>
      <c r="Q3396" s="17"/>
    </row>
    <row r="3397" spans="12:17" x14ac:dyDescent="0.3">
      <c r="L3397" s="25"/>
      <c r="Q3397" s="17"/>
    </row>
    <row r="3398" spans="12:17" x14ac:dyDescent="0.3">
      <c r="L3398" s="25"/>
      <c r="Q3398" s="17"/>
    </row>
    <row r="3399" spans="12:17" x14ac:dyDescent="0.3">
      <c r="L3399" s="25"/>
      <c r="Q3399" s="17"/>
    </row>
    <row r="3400" spans="12:17" x14ac:dyDescent="0.3">
      <c r="L3400" s="25"/>
      <c r="Q3400" s="17"/>
    </row>
    <row r="3401" spans="12:17" x14ac:dyDescent="0.3">
      <c r="L3401" s="25"/>
      <c r="Q3401" s="17"/>
    </row>
    <row r="3402" spans="12:17" x14ac:dyDescent="0.3">
      <c r="L3402" s="25"/>
      <c r="Q3402" s="17"/>
    </row>
    <row r="3403" spans="12:17" x14ac:dyDescent="0.3">
      <c r="L3403" s="25"/>
      <c r="Q3403" s="17"/>
    </row>
    <row r="3404" spans="12:17" x14ac:dyDescent="0.3">
      <c r="L3404" s="25"/>
      <c r="Q3404" s="17"/>
    </row>
    <row r="3405" spans="12:17" x14ac:dyDescent="0.3">
      <c r="L3405" s="25"/>
      <c r="Q3405" s="17"/>
    </row>
    <row r="3406" spans="12:17" x14ac:dyDescent="0.3">
      <c r="L3406" s="25"/>
      <c r="Q3406" s="17"/>
    </row>
    <row r="3407" spans="12:17" x14ac:dyDescent="0.3">
      <c r="L3407" s="25"/>
      <c r="Q3407" s="17"/>
    </row>
    <row r="3408" spans="12:17" x14ac:dyDescent="0.3">
      <c r="L3408" s="25"/>
      <c r="Q3408" s="17"/>
    </row>
    <row r="3409" spans="12:17" x14ac:dyDescent="0.3">
      <c r="L3409" s="25"/>
      <c r="Q3409" s="17"/>
    </row>
    <row r="3410" spans="12:17" x14ac:dyDescent="0.3">
      <c r="L3410" s="25"/>
      <c r="Q3410" s="17"/>
    </row>
    <row r="3411" spans="12:17" x14ac:dyDescent="0.3">
      <c r="L3411" s="25"/>
      <c r="Q3411" s="17"/>
    </row>
    <row r="3412" spans="12:17" x14ac:dyDescent="0.3">
      <c r="L3412" s="25"/>
      <c r="Q3412" s="17"/>
    </row>
    <row r="3413" spans="12:17" x14ac:dyDescent="0.3">
      <c r="L3413" s="25"/>
      <c r="Q3413" s="17"/>
    </row>
    <row r="3414" spans="12:17" x14ac:dyDescent="0.3">
      <c r="L3414" s="25"/>
      <c r="Q3414" s="17"/>
    </row>
    <row r="3415" spans="12:17" x14ac:dyDescent="0.3">
      <c r="L3415" s="25"/>
      <c r="Q3415" s="17"/>
    </row>
    <row r="3416" spans="12:17" x14ac:dyDescent="0.3">
      <c r="L3416" s="25"/>
      <c r="Q3416" s="17"/>
    </row>
    <row r="3417" spans="12:17" x14ac:dyDescent="0.3">
      <c r="L3417" s="25"/>
      <c r="Q3417" s="17"/>
    </row>
    <row r="3418" spans="12:17" x14ac:dyDescent="0.3">
      <c r="L3418" s="25"/>
      <c r="Q3418" s="17"/>
    </row>
    <row r="3419" spans="12:17" x14ac:dyDescent="0.3">
      <c r="L3419" s="25"/>
      <c r="Q3419" s="17"/>
    </row>
    <row r="3420" spans="12:17" x14ac:dyDescent="0.3">
      <c r="L3420" s="25"/>
      <c r="Q3420" s="17"/>
    </row>
    <row r="3421" spans="12:17" x14ac:dyDescent="0.3">
      <c r="L3421" s="25"/>
      <c r="Q3421" s="17"/>
    </row>
    <row r="3422" spans="12:17" x14ac:dyDescent="0.3">
      <c r="L3422" s="25"/>
      <c r="Q3422" s="17"/>
    </row>
    <row r="3423" spans="12:17" x14ac:dyDescent="0.3">
      <c r="L3423" s="25"/>
      <c r="Q3423" s="17"/>
    </row>
    <row r="3424" spans="12:17" x14ac:dyDescent="0.3">
      <c r="L3424" s="25"/>
      <c r="Q3424" s="17"/>
    </row>
    <row r="3425" spans="12:17" x14ac:dyDescent="0.3">
      <c r="L3425" s="25"/>
      <c r="Q3425" s="17"/>
    </row>
    <row r="3426" spans="12:17" x14ac:dyDescent="0.3">
      <c r="L3426" s="25"/>
      <c r="Q3426" s="17"/>
    </row>
    <row r="3427" spans="12:17" x14ac:dyDescent="0.3">
      <c r="L3427" s="25"/>
      <c r="Q3427" s="17"/>
    </row>
    <row r="3428" spans="12:17" x14ac:dyDescent="0.3">
      <c r="L3428" s="25"/>
      <c r="Q3428" s="17"/>
    </row>
    <row r="3429" spans="12:17" x14ac:dyDescent="0.3">
      <c r="L3429" s="25"/>
      <c r="Q3429" s="17"/>
    </row>
    <row r="3430" spans="12:17" x14ac:dyDescent="0.3">
      <c r="L3430" s="25"/>
      <c r="Q3430" s="17"/>
    </row>
    <row r="3431" spans="12:17" x14ac:dyDescent="0.3">
      <c r="L3431" s="25"/>
      <c r="Q3431" s="17"/>
    </row>
    <row r="3432" spans="12:17" x14ac:dyDescent="0.3">
      <c r="L3432" s="25"/>
      <c r="Q3432" s="17"/>
    </row>
    <row r="3433" spans="12:17" x14ac:dyDescent="0.3">
      <c r="L3433" s="25"/>
      <c r="Q3433" s="17"/>
    </row>
    <row r="3434" spans="12:17" x14ac:dyDescent="0.3">
      <c r="L3434" s="25"/>
      <c r="Q3434" s="17"/>
    </row>
    <row r="3435" spans="12:17" x14ac:dyDescent="0.3">
      <c r="L3435" s="25"/>
      <c r="Q3435" s="17"/>
    </row>
    <row r="3436" spans="12:17" x14ac:dyDescent="0.3">
      <c r="L3436" s="25"/>
      <c r="Q3436" s="17"/>
    </row>
    <row r="3437" spans="12:17" x14ac:dyDescent="0.3">
      <c r="L3437" s="25"/>
      <c r="Q3437" s="17"/>
    </row>
    <row r="3438" spans="12:17" x14ac:dyDescent="0.3">
      <c r="L3438" s="25"/>
      <c r="Q3438" s="17"/>
    </row>
    <row r="3439" spans="12:17" x14ac:dyDescent="0.3">
      <c r="L3439" s="25"/>
      <c r="Q3439" s="17"/>
    </row>
    <row r="3440" spans="12:17" x14ac:dyDescent="0.3">
      <c r="L3440" s="25"/>
      <c r="Q3440" s="17"/>
    </row>
    <row r="3441" spans="12:17" x14ac:dyDescent="0.3">
      <c r="L3441" s="25"/>
      <c r="Q3441" s="17"/>
    </row>
    <row r="3442" spans="12:17" x14ac:dyDescent="0.3">
      <c r="L3442" s="25"/>
      <c r="Q3442" s="17"/>
    </row>
    <row r="3443" spans="12:17" x14ac:dyDescent="0.3">
      <c r="L3443" s="25"/>
      <c r="Q3443" s="17"/>
    </row>
    <row r="3444" spans="12:17" x14ac:dyDescent="0.3">
      <c r="L3444" s="25"/>
      <c r="Q3444" s="17"/>
    </row>
    <row r="3445" spans="12:17" x14ac:dyDescent="0.3">
      <c r="L3445" s="25"/>
      <c r="Q3445" s="17"/>
    </row>
    <row r="3446" spans="12:17" x14ac:dyDescent="0.3">
      <c r="L3446" s="25"/>
      <c r="Q3446" s="17"/>
    </row>
    <row r="3447" spans="12:17" x14ac:dyDescent="0.3">
      <c r="L3447" s="25"/>
      <c r="Q3447" s="17"/>
    </row>
    <row r="3448" spans="12:17" x14ac:dyDescent="0.3">
      <c r="L3448" s="25"/>
      <c r="Q3448" s="17"/>
    </row>
    <row r="3449" spans="12:17" x14ac:dyDescent="0.3">
      <c r="L3449" s="25"/>
      <c r="Q3449" s="17"/>
    </row>
    <row r="3450" spans="12:17" x14ac:dyDescent="0.3">
      <c r="L3450" s="25"/>
      <c r="Q3450" s="17"/>
    </row>
    <row r="3451" spans="12:17" x14ac:dyDescent="0.3">
      <c r="L3451" s="25"/>
      <c r="Q3451" s="17"/>
    </row>
    <row r="3452" spans="12:17" x14ac:dyDescent="0.3">
      <c r="L3452" s="25"/>
      <c r="Q3452" s="17"/>
    </row>
    <row r="3453" spans="12:17" x14ac:dyDescent="0.3">
      <c r="L3453" s="25"/>
      <c r="Q3453" s="17"/>
    </row>
    <row r="3454" spans="12:17" x14ac:dyDescent="0.3">
      <c r="L3454" s="25"/>
      <c r="Q3454" s="17"/>
    </row>
    <row r="3455" spans="12:17" x14ac:dyDescent="0.3">
      <c r="L3455" s="25"/>
      <c r="Q3455" s="17"/>
    </row>
    <row r="3456" spans="12:17" x14ac:dyDescent="0.3">
      <c r="L3456" s="25"/>
      <c r="Q3456" s="17"/>
    </row>
    <row r="3457" spans="12:17" x14ac:dyDescent="0.3">
      <c r="L3457" s="25"/>
      <c r="Q3457" s="17"/>
    </row>
    <row r="3458" spans="12:17" x14ac:dyDescent="0.3">
      <c r="L3458" s="25"/>
      <c r="Q3458" s="17"/>
    </row>
    <row r="3459" spans="12:17" x14ac:dyDescent="0.3">
      <c r="L3459" s="25"/>
      <c r="Q3459" s="17"/>
    </row>
    <row r="3460" spans="12:17" x14ac:dyDescent="0.3">
      <c r="L3460" s="25"/>
      <c r="Q3460" s="17"/>
    </row>
    <row r="3461" spans="12:17" x14ac:dyDescent="0.3">
      <c r="L3461" s="25"/>
      <c r="Q3461" s="17"/>
    </row>
    <row r="3462" spans="12:17" x14ac:dyDescent="0.3">
      <c r="L3462" s="25"/>
      <c r="Q3462" s="17"/>
    </row>
    <row r="3463" spans="12:17" x14ac:dyDescent="0.3">
      <c r="L3463" s="25"/>
      <c r="Q3463" s="17"/>
    </row>
    <row r="3464" spans="12:17" x14ac:dyDescent="0.3">
      <c r="L3464" s="25"/>
      <c r="Q3464" s="17"/>
    </row>
    <row r="3465" spans="12:17" x14ac:dyDescent="0.3">
      <c r="L3465" s="25"/>
      <c r="Q3465" s="17"/>
    </row>
    <row r="3466" spans="12:17" x14ac:dyDescent="0.3">
      <c r="L3466" s="25"/>
      <c r="Q3466" s="17"/>
    </row>
    <row r="3467" spans="12:17" x14ac:dyDescent="0.3">
      <c r="L3467" s="25"/>
      <c r="Q3467" s="17"/>
    </row>
    <row r="3468" spans="12:17" x14ac:dyDescent="0.3">
      <c r="L3468" s="25"/>
      <c r="Q3468" s="17"/>
    </row>
    <row r="3469" spans="12:17" x14ac:dyDescent="0.3">
      <c r="L3469" s="25"/>
      <c r="Q3469" s="17"/>
    </row>
    <row r="3470" spans="12:17" x14ac:dyDescent="0.3">
      <c r="L3470" s="25"/>
      <c r="Q3470" s="17"/>
    </row>
    <row r="3471" spans="12:17" x14ac:dyDescent="0.3">
      <c r="L3471" s="25"/>
      <c r="Q3471" s="17"/>
    </row>
    <row r="3472" spans="12:17" x14ac:dyDescent="0.3">
      <c r="L3472" s="25"/>
      <c r="Q3472" s="17"/>
    </row>
    <row r="3473" spans="12:17" x14ac:dyDescent="0.3">
      <c r="L3473" s="25"/>
      <c r="Q3473" s="17"/>
    </row>
    <row r="3474" spans="12:17" x14ac:dyDescent="0.3">
      <c r="L3474" s="25"/>
      <c r="Q3474" s="17"/>
    </row>
    <row r="3475" spans="12:17" x14ac:dyDescent="0.3">
      <c r="L3475" s="25"/>
      <c r="Q3475" s="17"/>
    </row>
    <row r="3476" spans="12:17" x14ac:dyDescent="0.3">
      <c r="L3476" s="25"/>
      <c r="Q3476" s="17"/>
    </row>
    <row r="3477" spans="12:17" x14ac:dyDescent="0.3">
      <c r="L3477" s="25"/>
      <c r="Q3477" s="17"/>
    </row>
    <row r="3478" spans="12:17" x14ac:dyDescent="0.3">
      <c r="L3478" s="25"/>
      <c r="Q3478" s="17"/>
    </row>
    <row r="3479" spans="12:17" x14ac:dyDescent="0.3">
      <c r="L3479" s="25"/>
      <c r="Q3479" s="17"/>
    </row>
    <row r="3480" spans="12:17" x14ac:dyDescent="0.3">
      <c r="L3480" s="25"/>
      <c r="Q3480" s="17"/>
    </row>
    <row r="3481" spans="12:17" x14ac:dyDescent="0.3">
      <c r="L3481" s="25"/>
      <c r="Q3481" s="17"/>
    </row>
    <row r="3482" spans="12:17" x14ac:dyDescent="0.3">
      <c r="L3482" s="25"/>
      <c r="Q3482" s="17"/>
    </row>
    <row r="3483" spans="12:17" x14ac:dyDescent="0.3">
      <c r="L3483" s="25"/>
      <c r="Q3483" s="17"/>
    </row>
    <row r="3484" spans="12:17" x14ac:dyDescent="0.3">
      <c r="L3484" s="25"/>
      <c r="Q3484" s="17"/>
    </row>
    <row r="3485" spans="12:17" x14ac:dyDescent="0.3">
      <c r="L3485" s="25"/>
      <c r="Q3485" s="17"/>
    </row>
    <row r="3486" spans="12:17" x14ac:dyDescent="0.3">
      <c r="L3486" s="25"/>
      <c r="Q3486" s="17"/>
    </row>
    <row r="3487" spans="12:17" x14ac:dyDescent="0.3">
      <c r="L3487" s="25"/>
      <c r="Q3487" s="17"/>
    </row>
    <row r="3488" spans="12:17" x14ac:dyDescent="0.3">
      <c r="L3488" s="25"/>
      <c r="Q3488" s="17"/>
    </row>
    <row r="3489" spans="12:17" x14ac:dyDescent="0.3">
      <c r="L3489" s="25"/>
      <c r="Q3489" s="17"/>
    </row>
    <row r="3490" spans="12:17" x14ac:dyDescent="0.3">
      <c r="L3490" s="25"/>
      <c r="Q3490" s="17"/>
    </row>
    <row r="3491" spans="12:17" x14ac:dyDescent="0.3">
      <c r="L3491" s="25"/>
      <c r="Q3491" s="17"/>
    </row>
    <row r="3492" spans="12:17" x14ac:dyDescent="0.3">
      <c r="L3492" s="25"/>
      <c r="Q3492" s="17"/>
    </row>
    <row r="3493" spans="12:17" x14ac:dyDescent="0.3">
      <c r="L3493" s="25"/>
      <c r="Q3493" s="17"/>
    </row>
    <row r="3494" spans="12:17" x14ac:dyDescent="0.3">
      <c r="L3494" s="25"/>
      <c r="Q3494" s="17"/>
    </row>
    <row r="3495" spans="12:17" x14ac:dyDescent="0.3">
      <c r="L3495" s="25"/>
      <c r="Q3495" s="17"/>
    </row>
    <row r="3496" spans="12:17" x14ac:dyDescent="0.3">
      <c r="L3496" s="25"/>
      <c r="Q3496" s="17"/>
    </row>
    <row r="3497" spans="12:17" x14ac:dyDescent="0.3">
      <c r="L3497" s="25"/>
      <c r="Q3497" s="17"/>
    </row>
    <row r="3498" spans="12:17" x14ac:dyDescent="0.3">
      <c r="L3498" s="25"/>
      <c r="Q3498" s="17"/>
    </row>
    <row r="3499" spans="12:17" x14ac:dyDescent="0.3">
      <c r="L3499" s="25"/>
      <c r="Q3499" s="17"/>
    </row>
    <row r="3500" spans="12:17" x14ac:dyDescent="0.3">
      <c r="L3500" s="25"/>
      <c r="Q3500" s="17"/>
    </row>
    <row r="3501" spans="12:17" x14ac:dyDescent="0.3">
      <c r="L3501" s="25"/>
      <c r="Q3501" s="17"/>
    </row>
    <row r="3502" spans="12:17" x14ac:dyDescent="0.3">
      <c r="L3502" s="25"/>
      <c r="Q3502" s="17"/>
    </row>
    <row r="3503" spans="12:17" x14ac:dyDescent="0.3">
      <c r="L3503" s="25"/>
      <c r="Q3503" s="17"/>
    </row>
    <row r="3504" spans="12:17" x14ac:dyDescent="0.3">
      <c r="L3504" s="25"/>
      <c r="Q3504" s="17"/>
    </row>
    <row r="3505" spans="12:17" x14ac:dyDescent="0.3">
      <c r="L3505" s="25"/>
      <c r="Q3505" s="17"/>
    </row>
    <row r="3506" spans="12:17" x14ac:dyDescent="0.3">
      <c r="L3506" s="25"/>
      <c r="Q3506" s="17"/>
    </row>
    <row r="3507" spans="12:17" x14ac:dyDescent="0.3">
      <c r="L3507" s="25"/>
      <c r="Q3507" s="17"/>
    </row>
    <row r="3508" spans="12:17" x14ac:dyDescent="0.3">
      <c r="L3508" s="25"/>
      <c r="Q3508" s="17"/>
    </row>
    <row r="3509" spans="12:17" x14ac:dyDescent="0.3">
      <c r="L3509" s="25"/>
      <c r="Q3509" s="17"/>
    </row>
    <row r="3510" spans="12:17" x14ac:dyDescent="0.3">
      <c r="L3510" s="25"/>
      <c r="Q3510" s="17"/>
    </row>
    <row r="3511" spans="12:17" x14ac:dyDescent="0.3">
      <c r="L3511" s="25"/>
      <c r="Q3511" s="17"/>
    </row>
    <row r="3512" spans="12:17" x14ac:dyDescent="0.3">
      <c r="L3512" s="25"/>
      <c r="Q3512" s="17"/>
    </row>
    <row r="3513" spans="12:17" x14ac:dyDescent="0.3">
      <c r="L3513" s="25"/>
      <c r="Q3513" s="17"/>
    </row>
    <row r="3514" spans="12:17" x14ac:dyDescent="0.3">
      <c r="L3514" s="25"/>
      <c r="Q3514" s="17"/>
    </row>
    <row r="3515" spans="12:17" x14ac:dyDescent="0.3">
      <c r="L3515" s="25"/>
      <c r="Q3515" s="17"/>
    </row>
    <row r="3516" spans="12:17" x14ac:dyDescent="0.3">
      <c r="L3516" s="25"/>
      <c r="Q3516" s="17"/>
    </row>
    <row r="3517" spans="12:17" x14ac:dyDescent="0.3">
      <c r="L3517" s="25"/>
      <c r="Q3517" s="17"/>
    </row>
    <row r="3518" spans="12:17" x14ac:dyDescent="0.3">
      <c r="L3518" s="25"/>
      <c r="Q3518" s="17"/>
    </row>
    <row r="3519" spans="12:17" x14ac:dyDescent="0.3">
      <c r="L3519" s="25"/>
      <c r="Q3519" s="17"/>
    </row>
    <row r="3520" spans="12:17" x14ac:dyDescent="0.3">
      <c r="L3520" s="25"/>
      <c r="Q3520" s="17"/>
    </row>
    <row r="3521" spans="12:17" x14ac:dyDescent="0.3">
      <c r="L3521" s="25"/>
      <c r="Q3521" s="17"/>
    </row>
    <row r="3522" spans="12:17" x14ac:dyDescent="0.3">
      <c r="L3522" s="25"/>
      <c r="Q3522" s="17"/>
    </row>
    <row r="3523" spans="12:17" x14ac:dyDescent="0.3">
      <c r="L3523" s="25"/>
      <c r="Q3523" s="17"/>
    </row>
    <row r="3524" spans="12:17" x14ac:dyDescent="0.3">
      <c r="L3524" s="25"/>
      <c r="Q3524" s="17"/>
    </row>
    <row r="3525" spans="12:17" x14ac:dyDescent="0.3">
      <c r="L3525" s="25"/>
      <c r="Q3525" s="17"/>
    </row>
    <row r="3526" spans="12:17" x14ac:dyDescent="0.3">
      <c r="L3526" s="25"/>
      <c r="Q3526" s="17"/>
    </row>
    <row r="3527" spans="12:17" x14ac:dyDescent="0.3">
      <c r="L3527" s="25"/>
      <c r="Q3527" s="17"/>
    </row>
    <row r="3528" spans="12:17" x14ac:dyDescent="0.3">
      <c r="L3528" s="25"/>
      <c r="Q3528" s="17"/>
    </row>
    <row r="3529" spans="12:17" x14ac:dyDescent="0.3">
      <c r="L3529" s="25"/>
      <c r="Q3529" s="17"/>
    </row>
    <row r="3530" spans="12:17" x14ac:dyDescent="0.3">
      <c r="L3530" s="25"/>
      <c r="Q3530" s="17"/>
    </row>
    <row r="3531" spans="12:17" x14ac:dyDescent="0.3">
      <c r="L3531" s="25"/>
      <c r="Q3531" s="17"/>
    </row>
    <row r="3532" spans="12:17" x14ac:dyDescent="0.3">
      <c r="L3532" s="25"/>
      <c r="Q3532" s="17"/>
    </row>
    <row r="3533" spans="12:17" x14ac:dyDescent="0.3">
      <c r="L3533" s="25"/>
      <c r="Q3533" s="17"/>
    </row>
    <row r="3534" spans="12:17" x14ac:dyDescent="0.3">
      <c r="L3534" s="25"/>
      <c r="Q3534" s="17"/>
    </row>
    <row r="3535" spans="12:17" x14ac:dyDescent="0.3">
      <c r="L3535" s="25"/>
      <c r="Q3535" s="17"/>
    </row>
    <row r="3536" spans="12:17" x14ac:dyDescent="0.3">
      <c r="L3536" s="25"/>
      <c r="Q3536" s="17"/>
    </row>
    <row r="3537" spans="12:17" x14ac:dyDescent="0.3">
      <c r="L3537" s="25"/>
      <c r="Q3537" s="17"/>
    </row>
    <row r="3538" spans="12:17" x14ac:dyDescent="0.3">
      <c r="L3538" s="25"/>
      <c r="Q3538" s="17"/>
    </row>
    <row r="3539" spans="12:17" x14ac:dyDescent="0.3">
      <c r="L3539" s="25"/>
      <c r="Q3539" s="17"/>
    </row>
    <row r="3540" spans="12:17" x14ac:dyDescent="0.3">
      <c r="L3540" s="25"/>
      <c r="Q3540" s="17"/>
    </row>
    <row r="3541" spans="12:17" x14ac:dyDescent="0.3">
      <c r="L3541" s="25"/>
      <c r="Q3541" s="17"/>
    </row>
    <row r="3542" spans="12:17" x14ac:dyDescent="0.3">
      <c r="L3542" s="25"/>
      <c r="Q3542" s="17"/>
    </row>
    <row r="3543" spans="12:17" x14ac:dyDescent="0.3">
      <c r="L3543" s="25"/>
      <c r="Q3543" s="17"/>
    </row>
    <row r="3544" spans="12:17" x14ac:dyDescent="0.3">
      <c r="L3544" s="25"/>
      <c r="Q3544" s="17"/>
    </row>
    <row r="3545" spans="12:17" x14ac:dyDescent="0.3">
      <c r="L3545" s="25"/>
      <c r="Q3545" s="17"/>
    </row>
    <row r="3546" spans="12:17" x14ac:dyDescent="0.3">
      <c r="L3546" s="25"/>
      <c r="Q3546" s="17"/>
    </row>
    <row r="3547" spans="12:17" x14ac:dyDescent="0.3">
      <c r="L3547" s="25"/>
      <c r="Q3547" s="17"/>
    </row>
    <row r="3548" spans="12:17" x14ac:dyDescent="0.3">
      <c r="L3548" s="25"/>
      <c r="Q3548" s="17"/>
    </row>
    <row r="3549" spans="12:17" x14ac:dyDescent="0.3">
      <c r="L3549" s="25"/>
      <c r="Q3549" s="17"/>
    </row>
    <row r="3550" spans="12:17" x14ac:dyDescent="0.3">
      <c r="L3550" s="25"/>
      <c r="Q3550" s="17"/>
    </row>
    <row r="3551" spans="12:17" x14ac:dyDescent="0.3">
      <c r="L3551" s="25"/>
      <c r="Q3551" s="17"/>
    </row>
    <row r="3552" spans="12:17" x14ac:dyDescent="0.3">
      <c r="L3552" s="25"/>
      <c r="Q3552" s="17"/>
    </row>
    <row r="3553" spans="12:17" x14ac:dyDescent="0.3">
      <c r="L3553" s="25"/>
      <c r="Q3553" s="17"/>
    </row>
    <row r="3554" spans="12:17" x14ac:dyDescent="0.3">
      <c r="L3554" s="25"/>
      <c r="Q3554" s="17"/>
    </row>
    <row r="3555" spans="12:17" x14ac:dyDescent="0.3">
      <c r="L3555" s="25"/>
      <c r="Q3555" s="17"/>
    </row>
    <row r="3556" spans="12:17" x14ac:dyDescent="0.3">
      <c r="L3556" s="25"/>
      <c r="Q3556" s="17"/>
    </row>
    <row r="3557" spans="12:17" x14ac:dyDescent="0.3">
      <c r="L3557" s="25"/>
      <c r="Q3557" s="17"/>
    </row>
    <row r="3558" spans="12:17" x14ac:dyDescent="0.3">
      <c r="L3558" s="25"/>
      <c r="Q3558" s="17"/>
    </row>
    <row r="3559" spans="12:17" x14ac:dyDescent="0.3">
      <c r="L3559" s="25"/>
      <c r="Q3559" s="17"/>
    </row>
    <row r="3560" spans="12:17" x14ac:dyDescent="0.3">
      <c r="L3560" s="25"/>
      <c r="Q3560" s="17"/>
    </row>
    <row r="3561" spans="12:17" x14ac:dyDescent="0.3">
      <c r="L3561" s="25"/>
      <c r="Q3561" s="17"/>
    </row>
    <row r="3562" spans="12:17" x14ac:dyDescent="0.3">
      <c r="L3562" s="25"/>
      <c r="Q3562" s="17"/>
    </row>
    <row r="3563" spans="12:17" x14ac:dyDescent="0.3">
      <c r="L3563" s="25"/>
      <c r="Q3563" s="17"/>
    </row>
    <row r="3564" spans="12:17" x14ac:dyDescent="0.3">
      <c r="L3564" s="25"/>
      <c r="Q3564" s="17"/>
    </row>
    <row r="3565" spans="12:17" x14ac:dyDescent="0.3">
      <c r="L3565" s="25"/>
      <c r="Q3565" s="17"/>
    </row>
    <row r="3566" spans="12:17" x14ac:dyDescent="0.3">
      <c r="L3566" s="25"/>
      <c r="Q3566" s="17"/>
    </row>
    <row r="3567" spans="12:17" x14ac:dyDescent="0.3">
      <c r="L3567" s="25"/>
      <c r="Q3567" s="17"/>
    </row>
    <row r="3568" spans="12:17" x14ac:dyDescent="0.3">
      <c r="L3568" s="25"/>
      <c r="Q3568" s="17"/>
    </row>
    <row r="3569" spans="12:17" x14ac:dyDescent="0.3">
      <c r="L3569" s="25"/>
      <c r="Q3569" s="17"/>
    </row>
    <row r="3570" spans="12:17" x14ac:dyDescent="0.3">
      <c r="L3570" s="25"/>
      <c r="Q3570" s="17"/>
    </row>
    <row r="3571" spans="12:17" x14ac:dyDescent="0.3">
      <c r="L3571" s="25"/>
      <c r="Q3571" s="17"/>
    </row>
    <row r="3572" spans="12:17" x14ac:dyDescent="0.3">
      <c r="L3572" s="25"/>
      <c r="Q3572" s="17"/>
    </row>
    <row r="3573" spans="12:17" x14ac:dyDescent="0.3">
      <c r="L3573" s="25"/>
      <c r="Q3573" s="17"/>
    </row>
    <row r="3574" spans="12:17" x14ac:dyDescent="0.3">
      <c r="L3574" s="25"/>
      <c r="Q3574" s="17"/>
    </row>
    <row r="3575" spans="12:17" x14ac:dyDescent="0.3">
      <c r="L3575" s="25"/>
      <c r="Q3575" s="17"/>
    </row>
    <row r="3576" spans="12:17" x14ac:dyDescent="0.3">
      <c r="L3576" s="25"/>
      <c r="Q3576" s="17"/>
    </row>
    <row r="3577" spans="12:17" x14ac:dyDescent="0.3">
      <c r="L3577" s="25"/>
      <c r="Q3577" s="17"/>
    </row>
    <row r="3578" spans="12:17" x14ac:dyDescent="0.3">
      <c r="L3578" s="25"/>
      <c r="Q3578" s="17"/>
    </row>
    <row r="3579" spans="12:17" x14ac:dyDescent="0.3">
      <c r="L3579" s="25"/>
      <c r="Q3579" s="17"/>
    </row>
    <row r="3580" spans="12:17" x14ac:dyDescent="0.3">
      <c r="L3580" s="25"/>
      <c r="Q3580" s="17"/>
    </row>
    <row r="3581" spans="12:17" x14ac:dyDescent="0.3">
      <c r="L3581" s="25"/>
      <c r="Q3581" s="17"/>
    </row>
    <row r="3582" spans="12:17" x14ac:dyDescent="0.3">
      <c r="L3582" s="25"/>
      <c r="Q3582" s="17"/>
    </row>
    <row r="3583" spans="12:17" x14ac:dyDescent="0.3">
      <c r="L3583" s="25"/>
      <c r="Q3583" s="17"/>
    </row>
    <row r="3584" spans="12:17" x14ac:dyDescent="0.3">
      <c r="L3584" s="25"/>
      <c r="Q3584" s="17"/>
    </row>
    <row r="3585" spans="12:17" x14ac:dyDescent="0.3">
      <c r="L3585" s="25"/>
      <c r="Q3585" s="17"/>
    </row>
    <row r="3586" spans="12:17" x14ac:dyDescent="0.3">
      <c r="L3586" s="25"/>
      <c r="Q3586" s="17"/>
    </row>
    <row r="3587" spans="12:17" x14ac:dyDescent="0.3">
      <c r="L3587" s="25"/>
      <c r="Q3587" s="17"/>
    </row>
    <row r="3588" spans="12:17" x14ac:dyDescent="0.3">
      <c r="L3588" s="25"/>
      <c r="Q3588" s="17"/>
    </row>
    <row r="3589" spans="12:17" x14ac:dyDescent="0.3">
      <c r="L3589" s="25"/>
      <c r="Q3589" s="17"/>
    </row>
    <row r="3590" spans="12:17" x14ac:dyDescent="0.3">
      <c r="L3590" s="25"/>
      <c r="Q3590" s="17"/>
    </row>
    <row r="3591" spans="12:17" x14ac:dyDescent="0.3">
      <c r="L3591" s="25"/>
      <c r="Q3591" s="17"/>
    </row>
    <row r="3592" spans="12:17" x14ac:dyDescent="0.3">
      <c r="L3592" s="25"/>
      <c r="Q3592" s="17"/>
    </row>
    <row r="3593" spans="12:17" x14ac:dyDescent="0.3">
      <c r="L3593" s="25"/>
      <c r="Q3593" s="17"/>
    </row>
    <row r="3594" spans="12:17" x14ac:dyDescent="0.3">
      <c r="L3594" s="25"/>
      <c r="Q3594" s="17"/>
    </row>
    <row r="3595" spans="12:17" x14ac:dyDescent="0.3">
      <c r="L3595" s="25"/>
      <c r="Q3595" s="17"/>
    </row>
    <row r="3596" spans="12:17" x14ac:dyDescent="0.3">
      <c r="L3596" s="25"/>
      <c r="Q3596" s="17"/>
    </row>
    <row r="3597" spans="12:17" x14ac:dyDescent="0.3">
      <c r="L3597" s="25"/>
      <c r="Q3597" s="17"/>
    </row>
    <row r="3598" spans="12:17" x14ac:dyDescent="0.3">
      <c r="L3598" s="25"/>
      <c r="Q3598" s="17"/>
    </row>
    <row r="3599" spans="12:17" x14ac:dyDescent="0.3">
      <c r="L3599" s="25"/>
      <c r="Q3599" s="17"/>
    </row>
    <row r="3600" spans="12:17" x14ac:dyDescent="0.3">
      <c r="L3600" s="25"/>
      <c r="Q3600" s="17"/>
    </row>
    <row r="3601" spans="12:17" x14ac:dyDescent="0.3">
      <c r="L3601" s="25"/>
      <c r="Q3601" s="17"/>
    </row>
    <row r="3602" spans="12:17" x14ac:dyDescent="0.3">
      <c r="L3602" s="25"/>
      <c r="Q3602" s="17"/>
    </row>
    <row r="3603" spans="12:17" x14ac:dyDescent="0.3">
      <c r="L3603" s="25"/>
      <c r="Q3603" s="17"/>
    </row>
    <row r="3604" spans="12:17" x14ac:dyDescent="0.3">
      <c r="L3604" s="25"/>
      <c r="Q3604" s="17"/>
    </row>
    <row r="3605" spans="12:17" x14ac:dyDescent="0.3">
      <c r="L3605" s="25"/>
      <c r="Q3605" s="17"/>
    </row>
    <row r="3606" spans="12:17" x14ac:dyDescent="0.3">
      <c r="L3606" s="25"/>
      <c r="Q3606" s="17"/>
    </row>
    <row r="3607" spans="12:17" x14ac:dyDescent="0.3">
      <c r="L3607" s="25"/>
      <c r="Q3607" s="17"/>
    </row>
    <row r="3608" spans="12:17" x14ac:dyDescent="0.3">
      <c r="L3608" s="25"/>
      <c r="Q3608" s="17"/>
    </row>
    <row r="3609" spans="12:17" x14ac:dyDescent="0.3">
      <c r="L3609" s="25"/>
      <c r="Q3609" s="17"/>
    </row>
    <row r="3610" spans="12:17" x14ac:dyDescent="0.3">
      <c r="L3610" s="25"/>
      <c r="Q3610" s="17"/>
    </row>
    <row r="3611" spans="12:17" x14ac:dyDescent="0.3">
      <c r="L3611" s="25"/>
      <c r="Q3611" s="17"/>
    </row>
    <row r="3612" spans="12:17" x14ac:dyDescent="0.3">
      <c r="L3612" s="25"/>
      <c r="Q3612" s="17"/>
    </row>
    <row r="3613" spans="12:17" x14ac:dyDescent="0.3">
      <c r="L3613" s="25"/>
      <c r="Q3613" s="17"/>
    </row>
    <row r="3614" spans="12:17" x14ac:dyDescent="0.3">
      <c r="L3614" s="25"/>
      <c r="Q3614" s="17"/>
    </row>
    <row r="3615" spans="12:17" x14ac:dyDescent="0.3">
      <c r="L3615" s="25"/>
      <c r="Q3615" s="17"/>
    </row>
    <row r="3616" spans="12:17" x14ac:dyDescent="0.3">
      <c r="L3616" s="25"/>
      <c r="Q3616" s="17"/>
    </row>
    <row r="3617" spans="12:17" x14ac:dyDescent="0.3">
      <c r="L3617" s="25"/>
      <c r="Q3617" s="17"/>
    </row>
    <row r="3618" spans="12:17" x14ac:dyDescent="0.3">
      <c r="L3618" s="25"/>
      <c r="Q3618" s="17"/>
    </row>
    <row r="3619" spans="12:17" x14ac:dyDescent="0.3">
      <c r="L3619" s="25"/>
      <c r="Q3619" s="17"/>
    </row>
    <row r="3620" spans="12:17" x14ac:dyDescent="0.3">
      <c r="L3620" s="25"/>
      <c r="Q3620" s="17"/>
    </row>
    <row r="3621" spans="12:17" x14ac:dyDescent="0.3">
      <c r="L3621" s="25"/>
      <c r="Q3621" s="17"/>
    </row>
    <row r="3622" spans="12:17" x14ac:dyDescent="0.3">
      <c r="L3622" s="25"/>
      <c r="Q3622" s="17"/>
    </row>
    <row r="3623" spans="12:17" x14ac:dyDescent="0.3">
      <c r="L3623" s="25"/>
      <c r="Q3623" s="17"/>
    </row>
    <row r="3624" spans="12:17" x14ac:dyDescent="0.3">
      <c r="L3624" s="25"/>
      <c r="Q3624" s="17"/>
    </row>
    <row r="3625" spans="12:17" x14ac:dyDescent="0.3">
      <c r="L3625" s="25"/>
      <c r="Q3625" s="17"/>
    </row>
    <row r="3626" spans="12:17" x14ac:dyDescent="0.3">
      <c r="L3626" s="25"/>
      <c r="Q3626" s="17"/>
    </row>
    <row r="3627" spans="12:17" x14ac:dyDescent="0.3">
      <c r="L3627" s="25"/>
      <c r="Q3627" s="17"/>
    </row>
    <row r="3628" spans="12:17" x14ac:dyDescent="0.3">
      <c r="L3628" s="25"/>
      <c r="Q3628" s="17"/>
    </row>
    <row r="3629" spans="12:17" x14ac:dyDescent="0.3">
      <c r="L3629" s="25"/>
      <c r="Q3629" s="17"/>
    </row>
    <row r="3630" spans="12:17" x14ac:dyDescent="0.3">
      <c r="L3630" s="25"/>
      <c r="Q3630" s="17"/>
    </row>
    <row r="3631" spans="12:17" x14ac:dyDescent="0.3">
      <c r="L3631" s="25"/>
      <c r="Q3631" s="17"/>
    </row>
    <row r="3632" spans="12:17" x14ac:dyDescent="0.3">
      <c r="L3632" s="25"/>
      <c r="Q3632" s="17"/>
    </row>
    <row r="3633" spans="12:17" x14ac:dyDescent="0.3">
      <c r="L3633" s="25"/>
      <c r="Q3633" s="17"/>
    </row>
    <row r="3634" spans="12:17" x14ac:dyDescent="0.3">
      <c r="L3634" s="25"/>
      <c r="Q3634" s="17"/>
    </row>
    <row r="3635" spans="12:17" x14ac:dyDescent="0.3">
      <c r="L3635" s="25"/>
      <c r="Q3635" s="17"/>
    </row>
    <row r="3636" spans="12:17" x14ac:dyDescent="0.3">
      <c r="L3636" s="25"/>
      <c r="Q3636" s="17"/>
    </row>
    <row r="3637" spans="12:17" x14ac:dyDescent="0.3">
      <c r="L3637" s="25"/>
      <c r="Q3637" s="17"/>
    </row>
    <row r="3638" spans="12:17" x14ac:dyDescent="0.3">
      <c r="L3638" s="25"/>
      <c r="Q3638" s="17"/>
    </row>
    <row r="3639" spans="12:17" x14ac:dyDescent="0.3">
      <c r="L3639" s="25"/>
      <c r="Q3639" s="17"/>
    </row>
    <row r="3640" spans="12:17" x14ac:dyDescent="0.3">
      <c r="L3640" s="25"/>
      <c r="Q3640" s="17"/>
    </row>
    <row r="3641" spans="12:17" x14ac:dyDescent="0.3">
      <c r="L3641" s="25"/>
      <c r="Q3641" s="17"/>
    </row>
    <row r="3642" spans="12:17" x14ac:dyDescent="0.3">
      <c r="L3642" s="25"/>
      <c r="Q3642" s="17"/>
    </row>
    <row r="3643" spans="12:17" x14ac:dyDescent="0.3">
      <c r="L3643" s="25"/>
      <c r="Q3643" s="17"/>
    </row>
    <row r="3644" spans="12:17" x14ac:dyDescent="0.3">
      <c r="L3644" s="25"/>
      <c r="Q3644" s="17"/>
    </row>
    <row r="3645" spans="12:17" x14ac:dyDescent="0.3">
      <c r="L3645" s="25"/>
      <c r="Q3645" s="17"/>
    </row>
    <row r="3646" spans="12:17" x14ac:dyDescent="0.3">
      <c r="L3646" s="25"/>
      <c r="Q3646" s="17"/>
    </row>
    <row r="3647" spans="12:17" x14ac:dyDescent="0.3">
      <c r="L3647" s="25"/>
      <c r="Q3647" s="17"/>
    </row>
    <row r="3648" spans="12:17" x14ac:dyDescent="0.3">
      <c r="L3648" s="25"/>
      <c r="Q3648" s="17"/>
    </row>
    <row r="3649" spans="12:17" x14ac:dyDescent="0.3">
      <c r="L3649" s="25"/>
      <c r="Q3649" s="17"/>
    </row>
    <row r="3650" spans="12:17" x14ac:dyDescent="0.3">
      <c r="L3650" s="25"/>
      <c r="Q3650" s="17"/>
    </row>
    <row r="3651" spans="12:17" x14ac:dyDescent="0.3">
      <c r="L3651" s="25"/>
      <c r="Q3651" s="17"/>
    </row>
    <row r="3652" spans="12:17" x14ac:dyDescent="0.3">
      <c r="L3652" s="25"/>
      <c r="Q3652" s="17"/>
    </row>
    <row r="3653" spans="12:17" x14ac:dyDescent="0.3">
      <c r="L3653" s="25"/>
      <c r="Q3653" s="17"/>
    </row>
    <row r="3654" spans="12:17" x14ac:dyDescent="0.3">
      <c r="L3654" s="25"/>
      <c r="Q3654" s="17"/>
    </row>
    <row r="3655" spans="12:17" x14ac:dyDescent="0.3">
      <c r="L3655" s="25"/>
      <c r="Q3655" s="17"/>
    </row>
    <row r="3656" spans="12:17" x14ac:dyDescent="0.3">
      <c r="L3656" s="25"/>
      <c r="Q3656" s="17"/>
    </row>
    <row r="3657" spans="12:17" x14ac:dyDescent="0.3">
      <c r="L3657" s="25"/>
      <c r="Q3657" s="17"/>
    </row>
    <row r="3658" spans="12:17" x14ac:dyDescent="0.3">
      <c r="L3658" s="25"/>
      <c r="Q3658" s="17"/>
    </row>
    <row r="3659" spans="12:17" x14ac:dyDescent="0.3">
      <c r="L3659" s="25"/>
      <c r="Q3659" s="17"/>
    </row>
    <row r="3660" spans="12:17" x14ac:dyDescent="0.3">
      <c r="L3660" s="25"/>
      <c r="Q3660" s="17"/>
    </row>
    <row r="3661" spans="12:17" x14ac:dyDescent="0.3">
      <c r="L3661" s="25"/>
      <c r="Q3661" s="17"/>
    </row>
    <row r="3662" spans="12:17" x14ac:dyDescent="0.3">
      <c r="L3662" s="25"/>
      <c r="Q3662" s="17"/>
    </row>
    <row r="3663" spans="12:17" x14ac:dyDescent="0.3">
      <c r="L3663" s="25"/>
      <c r="Q3663" s="17"/>
    </row>
    <row r="3664" spans="12:17" x14ac:dyDescent="0.3">
      <c r="L3664" s="25"/>
      <c r="Q3664" s="17"/>
    </row>
    <row r="3665" spans="12:17" x14ac:dyDescent="0.3">
      <c r="L3665" s="25"/>
      <c r="Q3665" s="17"/>
    </row>
    <row r="3666" spans="12:17" x14ac:dyDescent="0.3">
      <c r="L3666" s="25"/>
      <c r="Q3666" s="17"/>
    </row>
    <row r="3667" spans="12:17" x14ac:dyDescent="0.3">
      <c r="L3667" s="25"/>
      <c r="Q3667" s="17"/>
    </row>
    <row r="3668" spans="12:17" x14ac:dyDescent="0.3">
      <c r="L3668" s="25"/>
      <c r="Q3668" s="17"/>
    </row>
    <row r="3669" spans="12:17" x14ac:dyDescent="0.3">
      <c r="L3669" s="25"/>
      <c r="Q3669" s="17"/>
    </row>
    <row r="3670" spans="12:17" x14ac:dyDescent="0.3">
      <c r="L3670" s="25"/>
      <c r="Q3670" s="17"/>
    </row>
    <row r="3671" spans="12:17" x14ac:dyDescent="0.3">
      <c r="L3671" s="25"/>
      <c r="Q3671" s="17"/>
    </row>
    <row r="3672" spans="12:17" x14ac:dyDescent="0.3">
      <c r="L3672" s="25"/>
      <c r="Q3672" s="17"/>
    </row>
    <row r="3673" spans="12:17" x14ac:dyDescent="0.3">
      <c r="L3673" s="25"/>
      <c r="Q3673" s="17"/>
    </row>
    <row r="3674" spans="12:17" x14ac:dyDescent="0.3">
      <c r="L3674" s="25"/>
      <c r="Q3674" s="17"/>
    </row>
    <row r="3675" spans="12:17" x14ac:dyDescent="0.3">
      <c r="L3675" s="25"/>
      <c r="Q3675" s="17"/>
    </row>
    <row r="3676" spans="12:17" x14ac:dyDescent="0.3">
      <c r="L3676" s="25"/>
      <c r="Q3676" s="17"/>
    </row>
    <row r="3677" spans="12:17" x14ac:dyDescent="0.3">
      <c r="L3677" s="25"/>
      <c r="Q3677" s="17"/>
    </row>
    <row r="3678" spans="12:17" x14ac:dyDescent="0.3">
      <c r="L3678" s="25"/>
      <c r="Q3678" s="17"/>
    </row>
    <row r="3679" spans="12:17" x14ac:dyDescent="0.3">
      <c r="L3679" s="25"/>
      <c r="Q3679" s="17"/>
    </row>
    <row r="3680" spans="12:17" x14ac:dyDescent="0.3">
      <c r="L3680" s="25"/>
      <c r="Q3680" s="17"/>
    </row>
    <row r="3681" spans="12:17" x14ac:dyDescent="0.3">
      <c r="L3681" s="25"/>
      <c r="Q3681" s="17"/>
    </row>
    <row r="3682" spans="12:17" x14ac:dyDescent="0.3">
      <c r="L3682" s="25"/>
      <c r="Q3682" s="17"/>
    </row>
    <row r="3683" spans="12:17" x14ac:dyDescent="0.3">
      <c r="L3683" s="25"/>
      <c r="Q3683" s="17"/>
    </row>
    <row r="3684" spans="12:17" x14ac:dyDescent="0.3">
      <c r="L3684" s="25"/>
      <c r="Q3684" s="17"/>
    </row>
    <row r="3685" spans="12:17" x14ac:dyDescent="0.3">
      <c r="L3685" s="25"/>
      <c r="Q3685" s="17"/>
    </row>
    <row r="3686" spans="12:17" x14ac:dyDescent="0.3">
      <c r="L3686" s="25"/>
      <c r="Q3686" s="17"/>
    </row>
    <row r="3687" spans="12:17" x14ac:dyDescent="0.3">
      <c r="L3687" s="25"/>
      <c r="Q3687" s="17"/>
    </row>
    <row r="3688" spans="12:17" x14ac:dyDescent="0.3">
      <c r="L3688" s="25"/>
      <c r="Q3688" s="17"/>
    </row>
    <row r="3689" spans="12:17" x14ac:dyDescent="0.3">
      <c r="L3689" s="25"/>
      <c r="Q3689" s="17"/>
    </row>
    <row r="3690" spans="12:17" x14ac:dyDescent="0.3">
      <c r="L3690" s="25"/>
      <c r="Q3690" s="17"/>
    </row>
    <row r="3691" spans="12:17" x14ac:dyDescent="0.3">
      <c r="L3691" s="25"/>
      <c r="Q3691" s="17"/>
    </row>
    <row r="3692" spans="12:17" x14ac:dyDescent="0.3">
      <c r="L3692" s="25"/>
      <c r="Q3692" s="17"/>
    </row>
    <row r="3693" spans="12:17" x14ac:dyDescent="0.3">
      <c r="L3693" s="25"/>
      <c r="Q3693" s="17"/>
    </row>
    <row r="3694" spans="12:17" x14ac:dyDescent="0.3">
      <c r="L3694" s="25"/>
      <c r="Q3694" s="17"/>
    </row>
    <row r="3695" spans="12:17" x14ac:dyDescent="0.3">
      <c r="L3695" s="25"/>
      <c r="Q3695" s="17"/>
    </row>
    <row r="3696" spans="12:17" x14ac:dyDescent="0.3">
      <c r="L3696" s="25"/>
      <c r="Q3696" s="17"/>
    </row>
    <row r="3697" spans="12:17" x14ac:dyDescent="0.3">
      <c r="L3697" s="25"/>
      <c r="Q3697" s="17"/>
    </row>
    <row r="3698" spans="12:17" x14ac:dyDescent="0.3">
      <c r="L3698" s="25"/>
      <c r="Q3698" s="17"/>
    </row>
    <row r="3699" spans="12:17" x14ac:dyDescent="0.3">
      <c r="L3699" s="25"/>
      <c r="Q3699" s="17"/>
    </row>
    <row r="3700" spans="12:17" x14ac:dyDescent="0.3">
      <c r="L3700" s="25"/>
      <c r="Q3700" s="17"/>
    </row>
    <row r="3701" spans="12:17" x14ac:dyDescent="0.3">
      <c r="L3701" s="25"/>
      <c r="Q3701" s="17"/>
    </row>
    <row r="3702" spans="12:17" x14ac:dyDescent="0.3">
      <c r="L3702" s="25"/>
      <c r="Q3702" s="17"/>
    </row>
    <row r="3703" spans="12:17" x14ac:dyDescent="0.3">
      <c r="L3703" s="25"/>
      <c r="Q3703" s="17"/>
    </row>
    <row r="3704" spans="12:17" x14ac:dyDescent="0.3">
      <c r="L3704" s="25"/>
      <c r="Q3704" s="17"/>
    </row>
    <row r="3705" spans="12:17" x14ac:dyDescent="0.3">
      <c r="L3705" s="25"/>
      <c r="Q3705" s="17"/>
    </row>
    <row r="3706" spans="12:17" x14ac:dyDescent="0.3">
      <c r="L3706" s="25"/>
      <c r="Q3706" s="17"/>
    </row>
    <row r="3707" spans="12:17" x14ac:dyDescent="0.3">
      <c r="L3707" s="25"/>
      <c r="Q3707" s="17"/>
    </row>
    <row r="3708" spans="12:17" x14ac:dyDescent="0.3">
      <c r="L3708" s="25"/>
      <c r="Q3708" s="17"/>
    </row>
    <row r="3709" spans="12:17" x14ac:dyDescent="0.3">
      <c r="L3709" s="25"/>
      <c r="Q3709" s="17"/>
    </row>
    <row r="3710" spans="12:17" x14ac:dyDescent="0.3">
      <c r="L3710" s="25"/>
      <c r="Q3710" s="17"/>
    </row>
    <row r="3711" spans="12:17" x14ac:dyDescent="0.3">
      <c r="L3711" s="25"/>
      <c r="Q3711" s="17"/>
    </row>
    <row r="3712" spans="12:17" x14ac:dyDescent="0.3">
      <c r="L3712" s="25"/>
      <c r="Q3712" s="17"/>
    </row>
    <row r="3713" spans="12:17" x14ac:dyDescent="0.3">
      <c r="L3713" s="25"/>
      <c r="Q3713" s="17"/>
    </row>
    <row r="3714" spans="12:17" x14ac:dyDescent="0.3">
      <c r="L3714" s="25"/>
      <c r="Q3714" s="17"/>
    </row>
    <row r="3715" spans="12:17" x14ac:dyDescent="0.3">
      <c r="L3715" s="25"/>
      <c r="Q3715" s="17"/>
    </row>
    <row r="3716" spans="12:17" x14ac:dyDescent="0.3">
      <c r="L3716" s="25"/>
      <c r="Q3716" s="17"/>
    </row>
    <row r="3717" spans="12:17" x14ac:dyDescent="0.3">
      <c r="L3717" s="25"/>
      <c r="Q3717" s="17"/>
    </row>
    <row r="3718" spans="12:17" x14ac:dyDescent="0.3">
      <c r="L3718" s="25"/>
      <c r="Q3718" s="17"/>
    </row>
    <row r="3719" spans="12:17" x14ac:dyDescent="0.3">
      <c r="L3719" s="25"/>
      <c r="Q3719" s="17"/>
    </row>
    <row r="3720" spans="12:17" x14ac:dyDescent="0.3">
      <c r="L3720" s="25"/>
      <c r="Q3720" s="17"/>
    </row>
    <row r="3721" spans="12:17" x14ac:dyDescent="0.3">
      <c r="L3721" s="25"/>
      <c r="Q3721" s="17"/>
    </row>
    <row r="3722" spans="12:17" x14ac:dyDescent="0.3">
      <c r="L3722" s="25"/>
      <c r="Q3722" s="17"/>
    </row>
    <row r="3723" spans="12:17" x14ac:dyDescent="0.3">
      <c r="L3723" s="25"/>
      <c r="Q3723" s="17"/>
    </row>
    <row r="3724" spans="12:17" x14ac:dyDescent="0.3">
      <c r="L3724" s="25"/>
      <c r="Q3724" s="17"/>
    </row>
    <row r="3725" spans="12:17" x14ac:dyDescent="0.3">
      <c r="L3725" s="25"/>
      <c r="Q3725" s="17"/>
    </row>
    <row r="3726" spans="12:17" x14ac:dyDescent="0.3">
      <c r="L3726" s="25"/>
      <c r="Q3726" s="17"/>
    </row>
    <row r="3727" spans="12:17" x14ac:dyDescent="0.3">
      <c r="L3727" s="25"/>
      <c r="Q3727" s="17"/>
    </row>
    <row r="3728" spans="12:17" x14ac:dyDescent="0.3">
      <c r="L3728" s="25"/>
      <c r="Q3728" s="17"/>
    </row>
    <row r="3729" spans="12:17" x14ac:dyDescent="0.3">
      <c r="L3729" s="25"/>
      <c r="Q3729" s="17"/>
    </row>
    <row r="3730" spans="12:17" x14ac:dyDescent="0.3">
      <c r="L3730" s="25"/>
      <c r="Q3730" s="17"/>
    </row>
    <row r="3731" spans="12:17" x14ac:dyDescent="0.3">
      <c r="L3731" s="25"/>
      <c r="Q3731" s="17"/>
    </row>
    <row r="3732" spans="12:17" x14ac:dyDescent="0.3">
      <c r="L3732" s="25"/>
      <c r="Q3732" s="17"/>
    </row>
    <row r="3733" spans="12:17" x14ac:dyDescent="0.3">
      <c r="L3733" s="25"/>
      <c r="Q3733" s="17"/>
    </row>
    <row r="3734" spans="12:17" x14ac:dyDescent="0.3">
      <c r="L3734" s="25"/>
      <c r="Q3734" s="17"/>
    </row>
    <row r="3735" spans="12:17" x14ac:dyDescent="0.3">
      <c r="L3735" s="25"/>
      <c r="Q3735" s="17"/>
    </row>
    <row r="3736" spans="12:17" x14ac:dyDescent="0.3">
      <c r="L3736" s="25"/>
      <c r="Q3736" s="17"/>
    </row>
    <row r="3737" spans="12:17" x14ac:dyDescent="0.3">
      <c r="L3737" s="25"/>
      <c r="Q3737" s="17"/>
    </row>
    <row r="3738" spans="12:17" x14ac:dyDescent="0.3">
      <c r="L3738" s="25"/>
      <c r="Q3738" s="17"/>
    </row>
    <row r="3739" spans="12:17" x14ac:dyDescent="0.3">
      <c r="L3739" s="25"/>
      <c r="Q3739" s="17"/>
    </row>
    <row r="3740" spans="12:17" x14ac:dyDescent="0.3">
      <c r="L3740" s="25"/>
      <c r="Q3740" s="17"/>
    </row>
    <row r="3741" spans="12:17" x14ac:dyDescent="0.3">
      <c r="L3741" s="25"/>
      <c r="Q3741" s="17"/>
    </row>
    <row r="3742" spans="12:17" x14ac:dyDescent="0.3">
      <c r="L3742" s="25"/>
      <c r="Q3742" s="17"/>
    </row>
    <row r="3743" spans="12:17" x14ac:dyDescent="0.3">
      <c r="L3743" s="25"/>
      <c r="Q3743" s="17"/>
    </row>
    <row r="3744" spans="12:17" x14ac:dyDescent="0.3">
      <c r="L3744" s="25"/>
      <c r="Q3744" s="17"/>
    </row>
    <row r="3745" spans="12:17" x14ac:dyDescent="0.3">
      <c r="L3745" s="25"/>
      <c r="Q3745" s="17"/>
    </row>
    <row r="3746" spans="12:17" x14ac:dyDescent="0.3">
      <c r="L3746" s="25"/>
      <c r="Q3746" s="17"/>
    </row>
    <row r="3747" spans="12:17" x14ac:dyDescent="0.3">
      <c r="L3747" s="25"/>
      <c r="Q3747" s="17"/>
    </row>
    <row r="3748" spans="12:17" x14ac:dyDescent="0.3">
      <c r="L3748" s="25"/>
      <c r="Q3748" s="17"/>
    </row>
    <row r="3749" spans="12:17" x14ac:dyDescent="0.3">
      <c r="L3749" s="25"/>
      <c r="Q3749" s="17"/>
    </row>
    <row r="3750" spans="12:17" x14ac:dyDescent="0.3">
      <c r="L3750" s="25"/>
      <c r="Q3750" s="17"/>
    </row>
    <row r="3751" spans="12:17" x14ac:dyDescent="0.3">
      <c r="L3751" s="25"/>
      <c r="Q3751" s="17"/>
    </row>
    <row r="3752" spans="12:17" x14ac:dyDescent="0.3">
      <c r="L3752" s="25"/>
      <c r="Q3752" s="17"/>
    </row>
    <row r="3753" spans="12:17" x14ac:dyDescent="0.3">
      <c r="L3753" s="25"/>
      <c r="Q3753" s="17"/>
    </row>
    <row r="3754" spans="12:17" x14ac:dyDescent="0.3">
      <c r="L3754" s="25"/>
      <c r="Q3754" s="17"/>
    </row>
    <row r="3755" spans="12:17" x14ac:dyDescent="0.3">
      <c r="L3755" s="25"/>
      <c r="Q3755" s="17"/>
    </row>
    <row r="3756" spans="12:17" x14ac:dyDescent="0.3">
      <c r="L3756" s="25"/>
      <c r="Q3756" s="17"/>
    </row>
    <row r="3757" spans="12:17" x14ac:dyDescent="0.3">
      <c r="L3757" s="25"/>
      <c r="Q3757" s="17"/>
    </row>
    <row r="3758" spans="12:17" x14ac:dyDescent="0.3">
      <c r="L3758" s="25"/>
      <c r="Q3758" s="17"/>
    </row>
    <row r="3759" spans="12:17" x14ac:dyDescent="0.3">
      <c r="L3759" s="25"/>
      <c r="Q3759" s="17"/>
    </row>
    <row r="3760" spans="12:17" x14ac:dyDescent="0.3">
      <c r="L3760" s="25"/>
      <c r="Q3760" s="17"/>
    </row>
    <row r="3761" spans="12:17" x14ac:dyDescent="0.3">
      <c r="L3761" s="25"/>
      <c r="Q3761" s="17"/>
    </row>
    <row r="3762" spans="12:17" x14ac:dyDescent="0.3">
      <c r="L3762" s="25"/>
      <c r="Q3762" s="17"/>
    </row>
    <row r="3763" spans="12:17" x14ac:dyDescent="0.3">
      <c r="L3763" s="25"/>
      <c r="Q3763" s="17"/>
    </row>
    <row r="3764" spans="12:17" x14ac:dyDescent="0.3">
      <c r="L3764" s="25"/>
      <c r="Q3764" s="17"/>
    </row>
    <row r="3765" spans="12:17" x14ac:dyDescent="0.3">
      <c r="L3765" s="25"/>
      <c r="Q3765" s="17"/>
    </row>
    <row r="3766" spans="12:17" x14ac:dyDescent="0.3">
      <c r="L3766" s="25"/>
      <c r="Q3766" s="17"/>
    </row>
    <row r="3767" spans="12:17" x14ac:dyDescent="0.3">
      <c r="L3767" s="25"/>
      <c r="Q3767" s="17"/>
    </row>
    <row r="3768" spans="12:17" x14ac:dyDescent="0.3">
      <c r="L3768" s="25"/>
      <c r="Q3768" s="17"/>
    </row>
    <row r="3769" spans="12:17" x14ac:dyDescent="0.3">
      <c r="L3769" s="25"/>
      <c r="Q3769" s="17"/>
    </row>
    <row r="3770" spans="12:17" x14ac:dyDescent="0.3">
      <c r="L3770" s="25"/>
      <c r="Q3770" s="17"/>
    </row>
    <row r="3771" spans="12:17" x14ac:dyDescent="0.3">
      <c r="L3771" s="25"/>
      <c r="Q3771" s="17"/>
    </row>
    <row r="3772" spans="12:17" x14ac:dyDescent="0.3">
      <c r="L3772" s="25"/>
      <c r="Q3772" s="17"/>
    </row>
    <row r="3773" spans="12:17" x14ac:dyDescent="0.3">
      <c r="L3773" s="25"/>
      <c r="Q3773" s="17"/>
    </row>
    <row r="3774" spans="12:17" x14ac:dyDescent="0.3">
      <c r="L3774" s="25"/>
      <c r="Q3774" s="17"/>
    </row>
    <row r="3775" spans="12:17" x14ac:dyDescent="0.3">
      <c r="L3775" s="25"/>
      <c r="Q3775" s="17"/>
    </row>
    <row r="3776" spans="12:17" x14ac:dyDescent="0.3">
      <c r="L3776" s="25"/>
      <c r="Q3776" s="17"/>
    </row>
    <row r="3777" spans="12:17" x14ac:dyDescent="0.3">
      <c r="L3777" s="25"/>
      <c r="Q3777" s="17"/>
    </row>
    <row r="3778" spans="12:17" x14ac:dyDescent="0.3">
      <c r="L3778" s="25"/>
      <c r="Q3778" s="17"/>
    </row>
    <row r="3779" spans="12:17" x14ac:dyDescent="0.3">
      <c r="L3779" s="25"/>
      <c r="Q3779" s="17"/>
    </row>
    <row r="3780" spans="12:17" x14ac:dyDescent="0.3">
      <c r="L3780" s="25"/>
      <c r="Q3780" s="17"/>
    </row>
    <row r="3781" spans="12:17" x14ac:dyDescent="0.3">
      <c r="L3781" s="25"/>
      <c r="Q3781" s="17"/>
    </row>
    <row r="3782" spans="12:17" x14ac:dyDescent="0.3">
      <c r="L3782" s="25"/>
      <c r="Q3782" s="17"/>
    </row>
    <row r="3783" spans="12:17" x14ac:dyDescent="0.3">
      <c r="L3783" s="25"/>
      <c r="Q3783" s="17"/>
    </row>
    <row r="3784" spans="12:17" x14ac:dyDescent="0.3">
      <c r="L3784" s="25"/>
      <c r="Q3784" s="17"/>
    </row>
    <row r="3785" spans="12:17" x14ac:dyDescent="0.3">
      <c r="L3785" s="25"/>
      <c r="Q3785" s="17"/>
    </row>
    <row r="3786" spans="12:17" x14ac:dyDescent="0.3">
      <c r="L3786" s="25"/>
      <c r="Q3786" s="17"/>
    </row>
    <row r="3787" spans="12:17" x14ac:dyDescent="0.3">
      <c r="L3787" s="25"/>
      <c r="Q3787" s="17"/>
    </row>
    <row r="3788" spans="12:17" x14ac:dyDescent="0.3">
      <c r="L3788" s="25"/>
      <c r="Q3788" s="17"/>
    </row>
    <row r="3789" spans="12:17" x14ac:dyDescent="0.3">
      <c r="L3789" s="25"/>
      <c r="Q3789" s="17"/>
    </row>
    <row r="3790" spans="12:17" x14ac:dyDescent="0.3">
      <c r="L3790" s="25"/>
      <c r="Q3790" s="17"/>
    </row>
    <row r="3791" spans="12:17" x14ac:dyDescent="0.3">
      <c r="L3791" s="25"/>
      <c r="Q3791" s="17"/>
    </row>
    <row r="3792" spans="12:17" x14ac:dyDescent="0.3">
      <c r="L3792" s="25"/>
      <c r="Q3792" s="17"/>
    </row>
    <row r="3793" spans="12:17" x14ac:dyDescent="0.3">
      <c r="L3793" s="25"/>
      <c r="Q3793" s="17"/>
    </row>
    <row r="3794" spans="12:17" x14ac:dyDescent="0.3">
      <c r="L3794" s="25"/>
      <c r="Q3794" s="17"/>
    </row>
    <row r="3795" spans="12:17" x14ac:dyDescent="0.3">
      <c r="L3795" s="25"/>
      <c r="Q3795" s="17"/>
    </row>
    <row r="3796" spans="12:17" x14ac:dyDescent="0.3">
      <c r="L3796" s="25"/>
      <c r="Q3796" s="17"/>
    </row>
    <row r="3797" spans="12:17" x14ac:dyDescent="0.3">
      <c r="L3797" s="25"/>
      <c r="Q3797" s="17"/>
    </row>
    <row r="3798" spans="12:17" x14ac:dyDescent="0.3">
      <c r="L3798" s="25"/>
      <c r="Q3798" s="17"/>
    </row>
    <row r="3799" spans="12:17" x14ac:dyDescent="0.3">
      <c r="L3799" s="25"/>
      <c r="Q3799" s="17"/>
    </row>
    <row r="3800" spans="12:17" x14ac:dyDescent="0.3">
      <c r="L3800" s="25"/>
      <c r="Q3800" s="17"/>
    </row>
    <row r="3801" spans="12:17" x14ac:dyDescent="0.3">
      <c r="L3801" s="25"/>
      <c r="Q3801" s="17"/>
    </row>
    <row r="3802" spans="12:17" x14ac:dyDescent="0.3">
      <c r="L3802" s="25"/>
      <c r="Q3802" s="17"/>
    </row>
    <row r="3803" spans="12:17" x14ac:dyDescent="0.3">
      <c r="L3803" s="25"/>
      <c r="Q3803" s="17"/>
    </row>
    <row r="3804" spans="12:17" x14ac:dyDescent="0.3">
      <c r="L3804" s="25"/>
      <c r="Q3804" s="17"/>
    </row>
    <row r="3805" spans="12:17" x14ac:dyDescent="0.3">
      <c r="L3805" s="25"/>
      <c r="Q3805" s="17"/>
    </row>
    <row r="3806" spans="12:17" x14ac:dyDescent="0.3">
      <c r="L3806" s="25"/>
      <c r="Q3806" s="17"/>
    </row>
    <row r="3807" spans="12:17" x14ac:dyDescent="0.3">
      <c r="L3807" s="25"/>
      <c r="Q3807" s="17"/>
    </row>
    <row r="3808" spans="12:17" x14ac:dyDescent="0.3">
      <c r="L3808" s="25"/>
      <c r="Q3808" s="17"/>
    </row>
    <row r="3809" spans="12:17" x14ac:dyDescent="0.3">
      <c r="L3809" s="25"/>
      <c r="Q3809" s="17"/>
    </row>
    <row r="3810" spans="12:17" x14ac:dyDescent="0.3">
      <c r="L3810" s="25"/>
      <c r="Q3810" s="17"/>
    </row>
    <row r="3811" spans="12:17" x14ac:dyDescent="0.3">
      <c r="L3811" s="25"/>
      <c r="Q3811" s="17"/>
    </row>
    <row r="3812" spans="12:17" x14ac:dyDescent="0.3">
      <c r="L3812" s="25"/>
      <c r="Q3812" s="17"/>
    </row>
    <row r="3813" spans="12:17" x14ac:dyDescent="0.3">
      <c r="L3813" s="25"/>
      <c r="Q3813" s="17"/>
    </row>
    <row r="3814" spans="12:17" x14ac:dyDescent="0.3">
      <c r="L3814" s="25"/>
      <c r="Q3814" s="17"/>
    </row>
    <row r="3815" spans="12:17" x14ac:dyDescent="0.3">
      <c r="L3815" s="25"/>
      <c r="Q3815" s="17"/>
    </row>
    <row r="3816" spans="12:17" x14ac:dyDescent="0.3">
      <c r="L3816" s="25"/>
      <c r="Q3816" s="17"/>
    </row>
    <row r="3817" spans="12:17" x14ac:dyDescent="0.3">
      <c r="L3817" s="25"/>
      <c r="Q3817" s="17"/>
    </row>
    <row r="3818" spans="12:17" x14ac:dyDescent="0.3">
      <c r="L3818" s="25"/>
      <c r="Q3818" s="17"/>
    </row>
    <row r="3819" spans="12:17" x14ac:dyDescent="0.3">
      <c r="L3819" s="25"/>
      <c r="Q3819" s="17"/>
    </row>
    <row r="3820" spans="12:17" x14ac:dyDescent="0.3">
      <c r="L3820" s="25"/>
      <c r="Q3820" s="17"/>
    </row>
    <row r="3821" spans="12:17" x14ac:dyDescent="0.3">
      <c r="L3821" s="25"/>
      <c r="Q3821" s="17"/>
    </row>
    <row r="3822" spans="12:17" x14ac:dyDescent="0.3">
      <c r="L3822" s="25"/>
      <c r="Q3822" s="17"/>
    </row>
    <row r="3823" spans="12:17" x14ac:dyDescent="0.3">
      <c r="L3823" s="25"/>
      <c r="Q3823" s="17"/>
    </row>
    <row r="3824" spans="12:17" x14ac:dyDescent="0.3">
      <c r="L3824" s="25"/>
      <c r="Q3824" s="17"/>
    </row>
    <row r="3825" spans="12:17" x14ac:dyDescent="0.3">
      <c r="L3825" s="25"/>
      <c r="Q3825" s="17"/>
    </row>
    <row r="3826" spans="12:17" x14ac:dyDescent="0.3">
      <c r="L3826" s="25"/>
      <c r="Q3826" s="17"/>
    </row>
    <row r="3827" spans="12:17" x14ac:dyDescent="0.3">
      <c r="L3827" s="25"/>
      <c r="Q3827" s="17"/>
    </row>
    <row r="3828" spans="12:17" x14ac:dyDescent="0.3">
      <c r="L3828" s="25"/>
      <c r="Q3828" s="17"/>
    </row>
    <row r="3829" spans="12:17" x14ac:dyDescent="0.3">
      <c r="L3829" s="25"/>
      <c r="Q3829" s="17"/>
    </row>
    <row r="3830" spans="12:17" x14ac:dyDescent="0.3">
      <c r="L3830" s="25"/>
      <c r="Q3830" s="17"/>
    </row>
    <row r="3831" spans="12:17" x14ac:dyDescent="0.3">
      <c r="L3831" s="25"/>
      <c r="Q3831" s="17"/>
    </row>
    <row r="3832" spans="12:17" x14ac:dyDescent="0.3">
      <c r="L3832" s="25"/>
      <c r="Q3832" s="17"/>
    </row>
    <row r="3833" spans="12:17" x14ac:dyDescent="0.3">
      <c r="L3833" s="25"/>
      <c r="Q3833" s="17"/>
    </row>
    <row r="3834" spans="12:17" x14ac:dyDescent="0.3">
      <c r="L3834" s="25"/>
      <c r="Q3834" s="17"/>
    </row>
    <row r="3835" spans="12:17" x14ac:dyDescent="0.3">
      <c r="L3835" s="25"/>
      <c r="Q3835" s="17"/>
    </row>
    <row r="3836" spans="12:17" x14ac:dyDescent="0.3">
      <c r="L3836" s="25"/>
      <c r="Q3836" s="17"/>
    </row>
    <row r="3837" spans="12:17" x14ac:dyDescent="0.3">
      <c r="L3837" s="25"/>
      <c r="Q3837" s="17"/>
    </row>
    <row r="3838" spans="12:17" x14ac:dyDescent="0.3">
      <c r="L3838" s="25"/>
      <c r="Q3838" s="17"/>
    </row>
    <row r="3839" spans="12:17" x14ac:dyDescent="0.3">
      <c r="L3839" s="25"/>
      <c r="Q3839" s="17"/>
    </row>
    <row r="3840" spans="12:17" x14ac:dyDescent="0.3">
      <c r="L3840" s="25"/>
      <c r="Q3840" s="17"/>
    </row>
    <row r="3841" spans="12:17" x14ac:dyDescent="0.3">
      <c r="L3841" s="25"/>
      <c r="Q3841" s="17"/>
    </row>
    <row r="3842" spans="12:17" x14ac:dyDescent="0.3">
      <c r="L3842" s="25"/>
      <c r="Q3842" s="17"/>
    </row>
    <row r="3843" spans="12:17" x14ac:dyDescent="0.3">
      <c r="L3843" s="25"/>
      <c r="Q3843" s="17"/>
    </row>
    <row r="3844" spans="12:17" x14ac:dyDescent="0.3">
      <c r="L3844" s="25"/>
      <c r="Q3844" s="17"/>
    </row>
    <row r="3845" spans="12:17" x14ac:dyDescent="0.3">
      <c r="L3845" s="25"/>
      <c r="Q3845" s="17"/>
    </row>
    <row r="3846" spans="12:17" x14ac:dyDescent="0.3">
      <c r="L3846" s="25"/>
      <c r="Q3846" s="17"/>
    </row>
    <row r="3847" spans="12:17" x14ac:dyDescent="0.3">
      <c r="L3847" s="25"/>
      <c r="Q3847" s="17"/>
    </row>
    <row r="3848" spans="12:17" x14ac:dyDescent="0.3">
      <c r="L3848" s="25"/>
      <c r="Q3848" s="17"/>
    </row>
    <row r="3849" spans="12:17" x14ac:dyDescent="0.3">
      <c r="L3849" s="25"/>
      <c r="Q3849" s="17"/>
    </row>
    <row r="3850" spans="12:17" x14ac:dyDescent="0.3">
      <c r="L3850" s="25"/>
      <c r="Q3850" s="17"/>
    </row>
    <row r="3851" spans="12:17" x14ac:dyDescent="0.3">
      <c r="L3851" s="25"/>
      <c r="Q3851" s="17"/>
    </row>
    <row r="3852" spans="12:17" x14ac:dyDescent="0.3">
      <c r="L3852" s="25"/>
      <c r="Q3852" s="17"/>
    </row>
    <row r="3853" spans="12:17" x14ac:dyDescent="0.3">
      <c r="L3853" s="25"/>
      <c r="Q3853" s="17"/>
    </row>
    <row r="3854" spans="12:17" x14ac:dyDescent="0.3">
      <c r="L3854" s="25"/>
      <c r="Q3854" s="17"/>
    </row>
    <row r="3855" spans="12:17" x14ac:dyDescent="0.3">
      <c r="L3855" s="25"/>
      <c r="Q3855" s="17"/>
    </row>
    <row r="3856" spans="12:17" x14ac:dyDescent="0.3">
      <c r="L3856" s="25"/>
      <c r="Q3856" s="17"/>
    </row>
    <row r="3857" spans="12:17" x14ac:dyDescent="0.3">
      <c r="L3857" s="25"/>
      <c r="Q3857" s="17"/>
    </row>
    <row r="3858" spans="12:17" x14ac:dyDescent="0.3">
      <c r="L3858" s="25"/>
      <c r="Q3858" s="17"/>
    </row>
    <row r="3859" spans="12:17" x14ac:dyDescent="0.3">
      <c r="L3859" s="25"/>
      <c r="Q3859" s="17"/>
    </row>
    <row r="3860" spans="12:17" x14ac:dyDescent="0.3">
      <c r="L3860" s="25"/>
      <c r="Q3860" s="17"/>
    </row>
    <row r="3861" spans="12:17" x14ac:dyDescent="0.3">
      <c r="L3861" s="25"/>
      <c r="Q3861" s="17"/>
    </row>
    <row r="3862" spans="12:17" x14ac:dyDescent="0.3">
      <c r="L3862" s="25"/>
      <c r="Q3862" s="17"/>
    </row>
    <row r="3863" spans="12:17" x14ac:dyDescent="0.3">
      <c r="L3863" s="25"/>
      <c r="Q3863" s="17"/>
    </row>
    <row r="3864" spans="12:17" x14ac:dyDescent="0.3">
      <c r="L3864" s="25"/>
      <c r="Q3864" s="17"/>
    </row>
    <row r="3865" spans="12:17" x14ac:dyDescent="0.3">
      <c r="L3865" s="25"/>
      <c r="Q3865" s="17"/>
    </row>
    <row r="3866" spans="12:17" x14ac:dyDescent="0.3">
      <c r="L3866" s="25"/>
      <c r="Q3866" s="17"/>
    </row>
    <row r="3867" spans="12:17" x14ac:dyDescent="0.3">
      <c r="L3867" s="25"/>
      <c r="Q3867" s="17"/>
    </row>
    <row r="3868" spans="12:17" x14ac:dyDescent="0.3">
      <c r="L3868" s="25"/>
      <c r="Q3868" s="17"/>
    </row>
    <row r="3869" spans="12:17" x14ac:dyDescent="0.3">
      <c r="L3869" s="25"/>
      <c r="Q3869" s="17"/>
    </row>
    <row r="3870" spans="12:17" x14ac:dyDescent="0.3">
      <c r="L3870" s="25"/>
      <c r="Q3870" s="17"/>
    </row>
    <row r="3871" spans="12:17" x14ac:dyDescent="0.3">
      <c r="L3871" s="25"/>
      <c r="Q3871" s="17"/>
    </row>
    <row r="3872" spans="12:17" x14ac:dyDescent="0.3">
      <c r="L3872" s="25"/>
      <c r="Q3872" s="17"/>
    </row>
    <row r="3873" spans="12:17" x14ac:dyDescent="0.3">
      <c r="L3873" s="25"/>
      <c r="Q3873" s="17"/>
    </row>
    <row r="3874" spans="12:17" x14ac:dyDescent="0.3">
      <c r="L3874" s="25"/>
      <c r="Q3874" s="17"/>
    </row>
    <row r="3875" spans="12:17" x14ac:dyDescent="0.3">
      <c r="L3875" s="25"/>
      <c r="Q3875" s="17"/>
    </row>
    <row r="3876" spans="12:17" x14ac:dyDescent="0.3">
      <c r="L3876" s="25"/>
      <c r="Q3876" s="17"/>
    </row>
    <row r="3877" spans="12:17" x14ac:dyDescent="0.3">
      <c r="L3877" s="25"/>
      <c r="Q3877" s="17"/>
    </row>
    <row r="3878" spans="12:17" x14ac:dyDescent="0.3">
      <c r="L3878" s="25"/>
      <c r="Q3878" s="17"/>
    </row>
    <row r="3879" spans="12:17" x14ac:dyDescent="0.3">
      <c r="L3879" s="25"/>
      <c r="Q3879" s="17"/>
    </row>
    <row r="3880" spans="12:17" x14ac:dyDescent="0.3">
      <c r="L3880" s="25"/>
      <c r="Q3880" s="17"/>
    </row>
    <row r="3881" spans="12:17" x14ac:dyDescent="0.3">
      <c r="L3881" s="25"/>
      <c r="Q3881" s="17"/>
    </row>
    <row r="3882" spans="12:17" x14ac:dyDescent="0.3">
      <c r="L3882" s="25"/>
      <c r="Q3882" s="17"/>
    </row>
    <row r="3883" spans="12:17" x14ac:dyDescent="0.3">
      <c r="L3883" s="25"/>
      <c r="Q3883" s="17"/>
    </row>
    <row r="3884" spans="12:17" x14ac:dyDescent="0.3">
      <c r="L3884" s="25"/>
      <c r="Q3884" s="17"/>
    </row>
    <row r="3885" spans="12:17" x14ac:dyDescent="0.3">
      <c r="L3885" s="25"/>
      <c r="Q3885" s="17"/>
    </row>
    <row r="3886" spans="12:17" x14ac:dyDescent="0.3">
      <c r="L3886" s="25"/>
      <c r="Q3886" s="17"/>
    </row>
    <row r="3887" spans="12:17" x14ac:dyDescent="0.3">
      <c r="L3887" s="25"/>
      <c r="Q3887" s="17"/>
    </row>
    <row r="3888" spans="12:17" x14ac:dyDescent="0.3">
      <c r="L3888" s="25"/>
      <c r="Q3888" s="17"/>
    </row>
    <row r="3889" spans="12:17" x14ac:dyDescent="0.3">
      <c r="L3889" s="25"/>
      <c r="Q3889" s="17"/>
    </row>
    <row r="3890" spans="12:17" x14ac:dyDescent="0.3">
      <c r="L3890" s="25"/>
      <c r="Q3890" s="17"/>
    </row>
    <row r="3891" spans="12:17" x14ac:dyDescent="0.3">
      <c r="L3891" s="25"/>
      <c r="Q3891" s="17"/>
    </row>
    <row r="3892" spans="12:17" x14ac:dyDescent="0.3">
      <c r="L3892" s="25"/>
      <c r="Q3892" s="17"/>
    </row>
    <row r="3893" spans="12:17" x14ac:dyDescent="0.3">
      <c r="L3893" s="25"/>
      <c r="Q3893" s="17"/>
    </row>
    <row r="3894" spans="12:17" x14ac:dyDescent="0.3">
      <c r="L3894" s="25"/>
      <c r="Q3894" s="17"/>
    </row>
    <row r="3895" spans="12:17" x14ac:dyDescent="0.3">
      <c r="L3895" s="25"/>
      <c r="Q3895" s="17"/>
    </row>
    <row r="3896" spans="12:17" x14ac:dyDescent="0.3">
      <c r="L3896" s="25"/>
      <c r="Q3896" s="17"/>
    </row>
    <row r="3897" spans="12:17" x14ac:dyDescent="0.3">
      <c r="L3897" s="25"/>
      <c r="Q3897" s="17"/>
    </row>
    <row r="3898" spans="12:17" x14ac:dyDescent="0.3">
      <c r="L3898" s="25"/>
      <c r="Q3898" s="17"/>
    </row>
    <row r="3899" spans="12:17" x14ac:dyDescent="0.3">
      <c r="L3899" s="25"/>
      <c r="Q3899" s="17"/>
    </row>
    <row r="3900" spans="12:17" x14ac:dyDescent="0.3">
      <c r="L3900" s="25"/>
      <c r="Q3900" s="17"/>
    </row>
    <row r="3901" spans="12:17" x14ac:dyDescent="0.3">
      <c r="L3901" s="25"/>
      <c r="Q3901" s="17"/>
    </row>
    <row r="3902" spans="12:17" x14ac:dyDescent="0.3">
      <c r="L3902" s="25"/>
      <c r="Q3902" s="17"/>
    </row>
    <row r="3903" spans="12:17" x14ac:dyDescent="0.3">
      <c r="L3903" s="25"/>
      <c r="Q3903" s="17"/>
    </row>
    <row r="3904" spans="12:17" x14ac:dyDescent="0.3">
      <c r="L3904" s="25"/>
      <c r="Q3904" s="17"/>
    </row>
    <row r="3905" spans="12:17" x14ac:dyDescent="0.3">
      <c r="L3905" s="25"/>
      <c r="Q3905" s="17"/>
    </row>
    <row r="3906" spans="12:17" x14ac:dyDescent="0.3">
      <c r="L3906" s="25"/>
      <c r="Q3906" s="17"/>
    </row>
    <row r="3907" spans="12:17" x14ac:dyDescent="0.3">
      <c r="L3907" s="25"/>
      <c r="Q3907" s="17"/>
    </row>
    <row r="3908" spans="12:17" x14ac:dyDescent="0.3">
      <c r="L3908" s="25"/>
      <c r="Q3908" s="17"/>
    </row>
    <row r="3909" spans="12:17" x14ac:dyDescent="0.3">
      <c r="L3909" s="25"/>
      <c r="Q3909" s="17"/>
    </row>
    <row r="3910" spans="12:17" x14ac:dyDescent="0.3">
      <c r="L3910" s="25"/>
      <c r="Q3910" s="17"/>
    </row>
    <row r="3911" spans="12:17" x14ac:dyDescent="0.3">
      <c r="L3911" s="25"/>
      <c r="Q3911" s="17"/>
    </row>
    <row r="3912" spans="12:17" x14ac:dyDescent="0.3">
      <c r="L3912" s="25"/>
      <c r="Q3912" s="17"/>
    </row>
    <row r="3913" spans="12:17" x14ac:dyDescent="0.3">
      <c r="L3913" s="25"/>
      <c r="Q3913" s="17"/>
    </row>
    <row r="3914" spans="12:17" x14ac:dyDescent="0.3">
      <c r="L3914" s="25"/>
      <c r="Q3914" s="17"/>
    </row>
    <row r="3915" spans="12:17" x14ac:dyDescent="0.3">
      <c r="L3915" s="25"/>
      <c r="Q3915" s="17"/>
    </row>
    <row r="3916" spans="12:17" x14ac:dyDescent="0.3">
      <c r="L3916" s="25"/>
      <c r="Q3916" s="17"/>
    </row>
    <row r="3917" spans="12:17" x14ac:dyDescent="0.3">
      <c r="L3917" s="25"/>
      <c r="Q3917" s="17"/>
    </row>
    <row r="3918" spans="12:17" x14ac:dyDescent="0.3">
      <c r="L3918" s="25"/>
      <c r="Q3918" s="17"/>
    </row>
    <row r="3919" spans="12:17" x14ac:dyDescent="0.3">
      <c r="L3919" s="25"/>
      <c r="Q3919" s="17"/>
    </row>
    <row r="3920" spans="12:17" x14ac:dyDescent="0.3">
      <c r="L3920" s="25"/>
      <c r="Q3920" s="17"/>
    </row>
    <row r="3921" spans="12:17" x14ac:dyDescent="0.3">
      <c r="L3921" s="25"/>
      <c r="Q3921" s="17"/>
    </row>
    <row r="3922" spans="12:17" x14ac:dyDescent="0.3">
      <c r="L3922" s="25"/>
      <c r="Q3922" s="17"/>
    </row>
    <row r="3923" spans="12:17" x14ac:dyDescent="0.3">
      <c r="L3923" s="25"/>
      <c r="Q3923" s="17"/>
    </row>
    <row r="3924" spans="12:17" x14ac:dyDescent="0.3">
      <c r="L3924" s="25"/>
      <c r="Q3924" s="17"/>
    </row>
    <row r="3925" spans="12:17" x14ac:dyDescent="0.3">
      <c r="L3925" s="25"/>
      <c r="Q3925" s="17"/>
    </row>
    <row r="3926" spans="12:17" x14ac:dyDescent="0.3">
      <c r="L3926" s="25"/>
      <c r="Q3926" s="17"/>
    </row>
    <row r="3927" spans="12:17" x14ac:dyDescent="0.3">
      <c r="L3927" s="25"/>
      <c r="Q3927" s="17"/>
    </row>
    <row r="3928" spans="12:17" x14ac:dyDescent="0.3">
      <c r="L3928" s="25"/>
      <c r="Q3928" s="17"/>
    </row>
    <row r="3929" spans="12:17" x14ac:dyDescent="0.3">
      <c r="L3929" s="25"/>
      <c r="Q3929" s="17"/>
    </row>
    <row r="3930" spans="12:17" x14ac:dyDescent="0.3">
      <c r="L3930" s="25"/>
      <c r="Q3930" s="17"/>
    </row>
    <row r="3931" spans="12:17" x14ac:dyDescent="0.3">
      <c r="L3931" s="25"/>
      <c r="Q3931" s="17"/>
    </row>
    <row r="3932" spans="12:17" x14ac:dyDescent="0.3">
      <c r="L3932" s="25"/>
      <c r="Q3932" s="17"/>
    </row>
    <row r="3933" spans="12:17" x14ac:dyDescent="0.3">
      <c r="L3933" s="25"/>
      <c r="Q3933" s="17"/>
    </row>
    <row r="3934" spans="12:17" x14ac:dyDescent="0.3">
      <c r="L3934" s="25"/>
      <c r="Q3934" s="17"/>
    </row>
    <row r="3935" spans="12:17" x14ac:dyDescent="0.3">
      <c r="L3935" s="25"/>
      <c r="Q3935" s="17"/>
    </row>
    <row r="3936" spans="12:17" x14ac:dyDescent="0.3">
      <c r="L3936" s="25"/>
      <c r="Q3936" s="17"/>
    </row>
    <row r="3937" spans="12:17" x14ac:dyDescent="0.3">
      <c r="L3937" s="25"/>
      <c r="Q3937" s="17"/>
    </row>
    <row r="3938" spans="12:17" x14ac:dyDescent="0.3">
      <c r="L3938" s="25"/>
      <c r="Q3938" s="17"/>
    </row>
    <row r="3939" spans="12:17" x14ac:dyDescent="0.3">
      <c r="L3939" s="25"/>
      <c r="Q3939" s="17"/>
    </row>
    <row r="3940" spans="12:17" x14ac:dyDescent="0.3">
      <c r="L3940" s="25"/>
      <c r="Q3940" s="17"/>
    </row>
    <row r="3941" spans="12:17" x14ac:dyDescent="0.3">
      <c r="L3941" s="25"/>
      <c r="Q3941" s="17"/>
    </row>
    <row r="3942" spans="12:17" x14ac:dyDescent="0.3">
      <c r="L3942" s="25"/>
      <c r="Q3942" s="17"/>
    </row>
    <row r="3943" spans="12:17" x14ac:dyDescent="0.3">
      <c r="L3943" s="25"/>
      <c r="Q3943" s="17"/>
    </row>
    <row r="3944" spans="12:17" x14ac:dyDescent="0.3">
      <c r="L3944" s="25"/>
      <c r="Q3944" s="17"/>
    </row>
    <row r="3945" spans="12:17" x14ac:dyDescent="0.3">
      <c r="L3945" s="25"/>
      <c r="Q3945" s="17"/>
    </row>
    <row r="3946" spans="12:17" x14ac:dyDescent="0.3">
      <c r="L3946" s="25"/>
      <c r="Q3946" s="17"/>
    </row>
    <row r="3947" spans="12:17" x14ac:dyDescent="0.3">
      <c r="L3947" s="25"/>
      <c r="Q3947" s="17"/>
    </row>
    <row r="3948" spans="12:17" x14ac:dyDescent="0.3">
      <c r="L3948" s="25"/>
      <c r="Q3948" s="17"/>
    </row>
    <row r="3949" spans="12:17" x14ac:dyDescent="0.3">
      <c r="L3949" s="25"/>
      <c r="Q3949" s="17"/>
    </row>
    <row r="3950" spans="12:17" x14ac:dyDescent="0.3">
      <c r="L3950" s="25"/>
      <c r="Q3950" s="17"/>
    </row>
    <row r="3951" spans="12:17" x14ac:dyDescent="0.3">
      <c r="L3951" s="25"/>
      <c r="Q3951" s="17"/>
    </row>
    <row r="3952" spans="12:17" x14ac:dyDescent="0.3">
      <c r="L3952" s="25"/>
      <c r="Q3952" s="17"/>
    </row>
    <row r="3953" spans="12:17" x14ac:dyDescent="0.3">
      <c r="L3953" s="25"/>
      <c r="Q3953" s="17"/>
    </row>
    <row r="3954" spans="12:17" x14ac:dyDescent="0.3">
      <c r="L3954" s="25"/>
      <c r="Q3954" s="17"/>
    </row>
    <row r="3955" spans="12:17" x14ac:dyDescent="0.3">
      <c r="L3955" s="25"/>
      <c r="Q3955" s="17"/>
    </row>
    <row r="3956" spans="12:17" x14ac:dyDescent="0.3">
      <c r="L3956" s="25"/>
      <c r="Q3956" s="17"/>
    </row>
    <row r="3957" spans="12:17" x14ac:dyDescent="0.3">
      <c r="L3957" s="25"/>
      <c r="Q3957" s="17"/>
    </row>
    <row r="3958" spans="12:17" x14ac:dyDescent="0.3">
      <c r="L3958" s="25"/>
      <c r="Q3958" s="17"/>
    </row>
    <row r="3959" spans="12:17" x14ac:dyDescent="0.3">
      <c r="L3959" s="25"/>
      <c r="Q3959" s="17"/>
    </row>
    <row r="3960" spans="12:17" x14ac:dyDescent="0.3">
      <c r="L3960" s="25"/>
      <c r="Q3960" s="17"/>
    </row>
    <row r="3961" spans="12:17" x14ac:dyDescent="0.3">
      <c r="L3961" s="25"/>
      <c r="Q3961" s="17"/>
    </row>
    <row r="3962" spans="12:17" x14ac:dyDescent="0.3">
      <c r="L3962" s="25"/>
      <c r="Q3962" s="17"/>
    </row>
    <row r="3963" spans="12:17" x14ac:dyDescent="0.3">
      <c r="L3963" s="25"/>
      <c r="Q3963" s="17"/>
    </row>
    <row r="3964" spans="12:17" x14ac:dyDescent="0.3">
      <c r="L3964" s="25"/>
      <c r="Q3964" s="17"/>
    </row>
    <row r="3965" spans="12:17" x14ac:dyDescent="0.3">
      <c r="L3965" s="25"/>
      <c r="Q3965" s="17"/>
    </row>
    <row r="3966" spans="12:17" x14ac:dyDescent="0.3">
      <c r="L3966" s="25"/>
      <c r="Q3966" s="17"/>
    </row>
    <row r="3967" spans="12:17" x14ac:dyDescent="0.3">
      <c r="L3967" s="25"/>
      <c r="Q3967" s="17"/>
    </row>
    <row r="3968" spans="12:17" x14ac:dyDescent="0.3">
      <c r="L3968" s="25"/>
      <c r="Q3968" s="17"/>
    </row>
    <row r="3969" spans="12:17" x14ac:dyDescent="0.3">
      <c r="L3969" s="25"/>
      <c r="Q3969" s="17"/>
    </row>
    <row r="3970" spans="12:17" x14ac:dyDescent="0.3">
      <c r="L3970" s="25"/>
      <c r="Q3970" s="17"/>
    </row>
    <row r="3971" spans="12:17" x14ac:dyDescent="0.3">
      <c r="L3971" s="25"/>
      <c r="Q3971" s="17"/>
    </row>
    <row r="3972" spans="12:17" x14ac:dyDescent="0.3">
      <c r="L3972" s="25"/>
      <c r="Q3972" s="17"/>
    </row>
    <row r="3973" spans="12:17" x14ac:dyDescent="0.3">
      <c r="L3973" s="25"/>
      <c r="Q3973" s="17"/>
    </row>
    <row r="3974" spans="12:17" x14ac:dyDescent="0.3">
      <c r="L3974" s="25"/>
      <c r="Q3974" s="17"/>
    </row>
    <row r="3975" spans="12:17" x14ac:dyDescent="0.3">
      <c r="L3975" s="25"/>
      <c r="Q3975" s="17"/>
    </row>
    <row r="3976" spans="12:17" x14ac:dyDescent="0.3">
      <c r="L3976" s="25"/>
      <c r="Q3976" s="17"/>
    </row>
    <row r="3977" spans="12:17" x14ac:dyDescent="0.3">
      <c r="L3977" s="25"/>
      <c r="Q3977" s="17"/>
    </row>
    <row r="3978" spans="12:17" x14ac:dyDescent="0.3">
      <c r="L3978" s="25"/>
      <c r="Q3978" s="17"/>
    </row>
    <row r="3979" spans="12:17" x14ac:dyDescent="0.3">
      <c r="L3979" s="25"/>
      <c r="Q3979" s="17"/>
    </row>
    <row r="3980" spans="12:17" x14ac:dyDescent="0.3">
      <c r="L3980" s="25"/>
      <c r="Q3980" s="17"/>
    </row>
    <row r="3981" spans="12:17" x14ac:dyDescent="0.3">
      <c r="L3981" s="25"/>
      <c r="Q3981" s="17"/>
    </row>
    <row r="3982" spans="12:17" x14ac:dyDescent="0.3">
      <c r="L3982" s="25"/>
      <c r="Q3982" s="17"/>
    </row>
    <row r="3983" spans="12:17" x14ac:dyDescent="0.3">
      <c r="L3983" s="25"/>
      <c r="Q3983" s="17"/>
    </row>
    <row r="3984" spans="12:17" x14ac:dyDescent="0.3">
      <c r="L3984" s="25"/>
      <c r="Q3984" s="17"/>
    </row>
    <row r="3985" spans="12:17" x14ac:dyDescent="0.3">
      <c r="L3985" s="25"/>
      <c r="Q3985" s="17"/>
    </row>
    <row r="3986" spans="12:17" x14ac:dyDescent="0.3">
      <c r="L3986" s="25"/>
      <c r="Q3986" s="17"/>
    </row>
    <row r="3987" spans="12:17" x14ac:dyDescent="0.3">
      <c r="L3987" s="25"/>
      <c r="Q3987" s="17"/>
    </row>
    <row r="3988" spans="12:17" x14ac:dyDescent="0.3">
      <c r="L3988" s="25"/>
      <c r="Q3988" s="17"/>
    </row>
    <row r="3989" spans="12:17" x14ac:dyDescent="0.3">
      <c r="L3989" s="25"/>
      <c r="Q3989" s="17"/>
    </row>
    <row r="3990" spans="12:17" x14ac:dyDescent="0.3">
      <c r="L3990" s="25"/>
      <c r="Q3990" s="17"/>
    </row>
    <row r="3991" spans="12:17" x14ac:dyDescent="0.3">
      <c r="L3991" s="25"/>
      <c r="Q3991" s="17"/>
    </row>
    <row r="3992" spans="12:17" x14ac:dyDescent="0.3">
      <c r="L3992" s="25"/>
      <c r="Q3992" s="17"/>
    </row>
    <row r="3993" spans="12:17" x14ac:dyDescent="0.3">
      <c r="L3993" s="25"/>
      <c r="Q3993" s="17"/>
    </row>
    <row r="3994" spans="12:17" x14ac:dyDescent="0.3">
      <c r="L3994" s="25"/>
      <c r="Q3994" s="17"/>
    </row>
    <row r="3995" spans="12:17" x14ac:dyDescent="0.3">
      <c r="L3995" s="25"/>
      <c r="Q3995" s="17"/>
    </row>
    <row r="3996" spans="12:17" x14ac:dyDescent="0.3">
      <c r="L3996" s="25"/>
      <c r="Q3996" s="17"/>
    </row>
    <row r="3997" spans="12:17" x14ac:dyDescent="0.3">
      <c r="L3997" s="25"/>
      <c r="Q3997" s="17"/>
    </row>
    <row r="3998" spans="12:17" x14ac:dyDescent="0.3">
      <c r="L3998" s="25"/>
      <c r="Q3998" s="17"/>
    </row>
    <row r="3999" spans="12:17" x14ac:dyDescent="0.3">
      <c r="L3999" s="25"/>
      <c r="Q3999" s="17"/>
    </row>
    <row r="4000" spans="12:17" x14ac:dyDescent="0.3">
      <c r="L4000" s="25"/>
      <c r="Q4000" s="17"/>
    </row>
    <row r="4001" spans="12:17" x14ac:dyDescent="0.3">
      <c r="L4001" s="25"/>
      <c r="Q4001" s="17"/>
    </row>
    <row r="4002" spans="12:17" x14ac:dyDescent="0.3">
      <c r="L4002" s="25"/>
      <c r="Q4002" s="17"/>
    </row>
    <row r="4003" spans="12:17" x14ac:dyDescent="0.3">
      <c r="L4003" s="25"/>
      <c r="Q4003" s="17"/>
    </row>
    <row r="4004" spans="12:17" x14ac:dyDescent="0.3">
      <c r="L4004" s="25"/>
      <c r="Q4004" s="17"/>
    </row>
    <row r="4005" spans="12:17" x14ac:dyDescent="0.3">
      <c r="L4005" s="25"/>
      <c r="Q4005" s="17"/>
    </row>
    <row r="4006" spans="12:17" x14ac:dyDescent="0.3">
      <c r="L4006" s="25"/>
      <c r="Q4006" s="17"/>
    </row>
    <row r="4007" spans="12:17" x14ac:dyDescent="0.3">
      <c r="L4007" s="25"/>
      <c r="Q4007" s="17"/>
    </row>
    <row r="4008" spans="12:17" x14ac:dyDescent="0.3">
      <c r="L4008" s="25"/>
      <c r="Q4008" s="17"/>
    </row>
    <row r="4009" spans="12:17" x14ac:dyDescent="0.3">
      <c r="L4009" s="25"/>
      <c r="Q4009" s="17"/>
    </row>
    <row r="4010" spans="12:17" x14ac:dyDescent="0.3">
      <c r="L4010" s="25"/>
      <c r="Q4010" s="17"/>
    </row>
    <row r="4011" spans="12:17" x14ac:dyDescent="0.3">
      <c r="L4011" s="25"/>
      <c r="Q4011" s="17"/>
    </row>
    <row r="4012" spans="12:17" x14ac:dyDescent="0.3">
      <c r="L4012" s="25"/>
      <c r="Q4012" s="17"/>
    </row>
    <row r="4013" spans="12:17" x14ac:dyDescent="0.3">
      <c r="L4013" s="25"/>
      <c r="Q4013" s="17"/>
    </row>
    <row r="4014" spans="12:17" x14ac:dyDescent="0.3">
      <c r="L4014" s="25"/>
      <c r="Q4014" s="17"/>
    </row>
    <row r="4015" spans="12:17" x14ac:dyDescent="0.3">
      <c r="L4015" s="25"/>
      <c r="Q4015" s="17"/>
    </row>
    <row r="4016" spans="12:17" x14ac:dyDescent="0.3">
      <c r="L4016" s="25"/>
      <c r="Q4016" s="17"/>
    </row>
    <row r="4017" spans="12:17" x14ac:dyDescent="0.3">
      <c r="L4017" s="25"/>
      <c r="Q4017" s="17"/>
    </row>
    <row r="4018" spans="12:17" x14ac:dyDescent="0.3">
      <c r="L4018" s="25"/>
      <c r="Q4018" s="17"/>
    </row>
    <row r="4019" spans="12:17" x14ac:dyDescent="0.3">
      <c r="L4019" s="25"/>
      <c r="Q4019" s="17"/>
    </row>
    <row r="4020" spans="12:17" x14ac:dyDescent="0.3">
      <c r="L4020" s="25"/>
      <c r="Q4020" s="17"/>
    </row>
    <row r="4021" spans="12:17" x14ac:dyDescent="0.3">
      <c r="L4021" s="25"/>
      <c r="Q4021" s="17"/>
    </row>
    <row r="4022" spans="12:17" x14ac:dyDescent="0.3">
      <c r="L4022" s="25"/>
      <c r="Q4022" s="17"/>
    </row>
    <row r="4023" spans="12:17" x14ac:dyDescent="0.3">
      <c r="L4023" s="25"/>
      <c r="Q4023" s="17"/>
    </row>
    <row r="4024" spans="12:17" x14ac:dyDescent="0.3">
      <c r="L4024" s="25"/>
      <c r="Q4024" s="17"/>
    </row>
    <row r="4025" spans="12:17" x14ac:dyDescent="0.3">
      <c r="L4025" s="25"/>
      <c r="Q4025" s="17"/>
    </row>
    <row r="4026" spans="12:17" x14ac:dyDescent="0.3">
      <c r="L4026" s="25"/>
      <c r="Q4026" s="17"/>
    </row>
    <row r="4027" spans="12:17" x14ac:dyDescent="0.3">
      <c r="L4027" s="25"/>
      <c r="Q4027" s="17"/>
    </row>
    <row r="4028" spans="12:17" x14ac:dyDescent="0.3">
      <c r="L4028" s="25"/>
      <c r="Q4028" s="17"/>
    </row>
    <row r="4029" spans="12:17" x14ac:dyDescent="0.3">
      <c r="L4029" s="25"/>
      <c r="Q4029" s="17"/>
    </row>
    <row r="4030" spans="12:17" x14ac:dyDescent="0.3">
      <c r="L4030" s="25"/>
      <c r="Q4030" s="17"/>
    </row>
    <row r="4031" spans="12:17" x14ac:dyDescent="0.3">
      <c r="L4031" s="25"/>
      <c r="Q4031" s="17"/>
    </row>
    <row r="4032" spans="12:17" x14ac:dyDescent="0.3">
      <c r="L4032" s="25"/>
      <c r="Q4032" s="17"/>
    </row>
    <row r="4033" spans="12:17" x14ac:dyDescent="0.3">
      <c r="L4033" s="25"/>
      <c r="Q4033" s="17"/>
    </row>
    <row r="4034" spans="12:17" x14ac:dyDescent="0.3">
      <c r="L4034" s="25"/>
      <c r="Q4034" s="17"/>
    </row>
    <row r="4035" spans="12:17" x14ac:dyDescent="0.3">
      <c r="L4035" s="25"/>
      <c r="Q4035" s="17"/>
    </row>
    <row r="4036" spans="12:17" x14ac:dyDescent="0.3">
      <c r="L4036" s="25"/>
      <c r="Q4036" s="17"/>
    </row>
    <row r="4037" spans="12:17" x14ac:dyDescent="0.3">
      <c r="L4037" s="25"/>
      <c r="Q4037" s="17"/>
    </row>
    <row r="4038" spans="12:17" x14ac:dyDescent="0.3">
      <c r="L4038" s="25"/>
      <c r="Q4038" s="17"/>
    </row>
    <row r="4039" spans="12:17" x14ac:dyDescent="0.3">
      <c r="L4039" s="25"/>
      <c r="Q4039" s="17"/>
    </row>
    <row r="4040" spans="12:17" x14ac:dyDescent="0.3">
      <c r="L4040" s="25"/>
      <c r="Q4040" s="17"/>
    </row>
    <row r="4041" spans="12:17" x14ac:dyDescent="0.3">
      <c r="L4041" s="25"/>
      <c r="Q4041" s="17"/>
    </row>
    <row r="4042" spans="12:17" x14ac:dyDescent="0.3">
      <c r="L4042" s="25"/>
      <c r="Q4042" s="17"/>
    </row>
    <row r="4043" spans="12:17" x14ac:dyDescent="0.3">
      <c r="L4043" s="25"/>
      <c r="Q4043" s="17"/>
    </row>
    <row r="4044" spans="12:17" x14ac:dyDescent="0.3">
      <c r="L4044" s="25"/>
      <c r="Q4044" s="17"/>
    </row>
    <row r="4045" spans="12:17" x14ac:dyDescent="0.3">
      <c r="L4045" s="25"/>
      <c r="Q4045" s="17"/>
    </row>
    <row r="4046" spans="12:17" x14ac:dyDescent="0.3">
      <c r="L4046" s="25"/>
      <c r="Q4046" s="17"/>
    </row>
    <row r="4047" spans="12:17" x14ac:dyDescent="0.3">
      <c r="L4047" s="25"/>
      <c r="Q4047" s="17"/>
    </row>
    <row r="4048" spans="12:17" x14ac:dyDescent="0.3">
      <c r="L4048" s="25"/>
      <c r="Q4048" s="17"/>
    </row>
    <row r="4049" spans="12:17" x14ac:dyDescent="0.3">
      <c r="L4049" s="25"/>
      <c r="Q4049" s="17"/>
    </row>
    <row r="4050" spans="12:17" x14ac:dyDescent="0.3">
      <c r="L4050" s="25"/>
      <c r="Q4050" s="17"/>
    </row>
    <row r="4051" spans="12:17" x14ac:dyDescent="0.3">
      <c r="L4051" s="25"/>
      <c r="Q4051" s="17"/>
    </row>
    <row r="4052" spans="12:17" x14ac:dyDescent="0.3">
      <c r="L4052" s="25"/>
      <c r="Q4052" s="17"/>
    </row>
    <row r="4053" spans="12:17" x14ac:dyDescent="0.3">
      <c r="L4053" s="25"/>
      <c r="Q4053" s="17"/>
    </row>
    <row r="4054" spans="12:17" x14ac:dyDescent="0.3">
      <c r="L4054" s="25"/>
      <c r="Q4054" s="17"/>
    </row>
    <row r="4055" spans="12:17" x14ac:dyDescent="0.3">
      <c r="L4055" s="25"/>
      <c r="Q4055" s="17"/>
    </row>
    <row r="4056" spans="12:17" x14ac:dyDescent="0.3">
      <c r="L4056" s="25"/>
      <c r="Q4056" s="17"/>
    </row>
    <row r="4057" spans="12:17" x14ac:dyDescent="0.3">
      <c r="L4057" s="25"/>
      <c r="Q4057" s="17"/>
    </row>
    <row r="4058" spans="12:17" x14ac:dyDescent="0.3">
      <c r="L4058" s="25"/>
      <c r="Q4058" s="17"/>
    </row>
    <row r="4059" spans="12:17" x14ac:dyDescent="0.3">
      <c r="L4059" s="25"/>
      <c r="Q4059" s="17"/>
    </row>
    <row r="4060" spans="12:17" x14ac:dyDescent="0.3">
      <c r="L4060" s="25"/>
      <c r="Q4060" s="17"/>
    </row>
    <row r="4061" spans="12:17" x14ac:dyDescent="0.3">
      <c r="L4061" s="25"/>
      <c r="Q4061" s="17"/>
    </row>
    <row r="4062" spans="12:17" x14ac:dyDescent="0.3">
      <c r="L4062" s="25"/>
      <c r="Q4062" s="17"/>
    </row>
    <row r="4063" spans="12:17" x14ac:dyDescent="0.3">
      <c r="L4063" s="25"/>
      <c r="Q4063" s="17"/>
    </row>
    <row r="4064" spans="12:17" x14ac:dyDescent="0.3">
      <c r="L4064" s="25"/>
      <c r="Q4064" s="17"/>
    </row>
    <row r="4065" spans="12:17" x14ac:dyDescent="0.3">
      <c r="L4065" s="25"/>
      <c r="Q4065" s="17"/>
    </row>
    <row r="4066" spans="12:17" x14ac:dyDescent="0.3">
      <c r="L4066" s="25"/>
      <c r="Q4066" s="17"/>
    </row>
    <row r="4067" spans="12:17" x14ac:dyDescent="0.3">
      <c r="L4067" s="25"/>
      <c r="Q4067" s="17"/>
    </row>
    <row r="4068" spans="12:17" x14ac:dyDescent="0.3">
      <c r="L4068" s="25"/>
      <c r="Q4068" s="17"/>
    </row>
    <row r="4069" spans="12:17" x14ac:dyDescent="0.3">
      <c r="L4069" s="25"/>
      <c r="Q4069" s="17"/>
    </row>
    <row r="4070" spans="12:17" x14ac:dyDescent="0.3">
      <c r="L4070" s="25"/>
      <c r="Q4070" s="17"/>
    </row>
    <row r="4071" spans="12:17" x14ac:dyDescent="0.3">
      <c r="L4071" s="25"/>
      <c r="Q4071" s="17"/>
    </row>
    <row r="4072" spans="12:17" x14ac:dyDescent="0.3">
      <c r="L4072" s="25"/>
      <c r="Q4072" s="17"/>
    </row>
    <row r="4073" spans="12:17" x14ac:dyDescent="0.3">
      <c r="L4073" s="25"/>
      <c r="Q4073" s="17"/>
    </row>
    <row r="4074" spans="12:17" x14ac:dyDescent="0.3">
      <c r="L4074" s="25"/>
      <c r="Q4074" s="17"/>
    </row>
    <row r="4075" spans="12:17" x14ac:dyDescent="0.3">
      <c r="L4075" s="25"/>
      <c r="Q4075" s="17"/>
    </row>
    <row r="4076" spans="12:17" x14ac:dyDescent="0.3">
      <c r="L4076" s="25"/>
      <c r="Q4076" s="17"/>
    </row>
    <row r="4077" spans="12:17" x14ac:dyDescent="0.3">
      <c r="L4077" s="25"/>
      <c r="Q4077" s="17"/>
    </row>
    <row r="4078" spans="12:17" x14ac:dyDescent="0.3">
      <c r="L4078" s="25"/>
      <c r="Q4078" s="17"/>
    </row>
    <row r="4079" spans="12:17" x14ac:dyDescent="0.3">
      <c r="L4079" s="25"/>
      <c r="Q4079" s="17"/>
    </row>
    <row r="4080" spans="12:17" x14ac:dyDescent="0.3">
      <c r="L4080" s="25"/>
      <c r="Q4080" s="17"/>
    </row>
    <row r="4081" spans="12:17" x14ac:dyDescent="0.3">
      <c r="L4081" s="25"/>
      <c r="Q4081" s="17"/>
    </row>
    <row r="4082" spans="12:17" x14ac:dyDescent="0.3">
      <c r="L4082" s="25"/>
      <c r="Q4082" s="17"/>
    </row>
    <row r="4083" spans="12:17" x14ac:dyDescent="0.3">
      <c r="L4083" s="25"/>
      <c r="Q4083" s="17"/>
    </row>
    <row r="4084" spans="12:17" x14ac:dyDescent="0.3">
      <c r="L4084" s="25"/>
      <c r="Q4084" s="17"/>
    </row>
    <row r="4085" spans="12:17" x14ac:dyDescent="0.3">
      <c r="L4085" s="25"/>
      <c r="Q4085" s="17"/>
    </row>
    <row r="4086" spans="12:17" x14ac:dyDescent="0.3">
      <c r="L4086" s="25"/>
      <c r="Q4086" s="17"/>
    </row>
    <row r="4087" spans="12:17" x14ac:dyDescent="0.3">
      <c r="L4087" s="25"/>
      <c r="Q4087" s="17"/>
    </row>
    <row r="4088" spans="12:17" x14ac:dyDescent="0.3">
      <c r="L4088" s="25"/>
      <c r="Q4088" s="17"/>
    </row>
    <row r="4089" spans="12:17" x14ac:dyDescent="0.3">
      <c r="L4089" s="25"/>
      <c r="Q4089" s="17"/>
    </row>
    <row r="4090" spans="12:17" x14ac:dyDescent="0.3">
      <c r="L4090" s="25"/>
      <c r="Q4090" s="17"/>
    </row>
    <row r="4091" spans="12:17" x14ac:dyDescent="0.3">
      <c r="L4091" s="25"/>
      <c r="Q4091" s="17"/>
    </row>
    <row r="4092" spans="12:17" x14ac:dyDescent="0.3">
      <c r="L4092" s="25"/>
      <c r="Q4092" s="17"/>
    </row>
    <row r="4093" spans="12:17" x14ac:dyDescent="0.3">
      <c r="L4093" s="25"/>
      <c r="Q4093" s="17"/>
    </row>
    <row r="4094" spans="12:17" x14ac:dyDescent="0.3">
      <c r="L4094" s="25"/>
      <c r="Q4094" s="17"/>
    </row>
    <row r="4095" spans="12:17" x14ac:dyDescent="0.3">
      <c r="L4095" s="25"/>
      <c r="Q4095" s="17"/>
    </row>
    <row r="4096" spans="12:17" x14ac:dyDescent="0.3">
      <c r="L4096" s="25"/>
      <c r="Q4096" s="17"/>
    </row>
    <row r="4097" spans="12:17" x14ac:dyDescent="0.3">
      <c r="L4097" s="25"/>
      <c r="Q4097" s="17"/>
    </row>
    <row r="4098" spans="12:17" x14ac:dyDescent="0.3">
      <c r="L4098" s="25"/>
      <c r="Q4098" s="17"/>
    </row>
    <row r="4099" spans="12:17" x14ac:dyDescent="0.3">
      <c r="L4099" s="25"/>
      <c r="Q4099" s="17"/>
    </row>
    <row r="4100" spans="12:17" x14ac:dyDescent="0.3">
      <c r="L4100" s="25"/>
      <c r="Q4100" s="17"/>
    </row>
    <row r="4101" spans="12:17" x14ac:dyDescent="0.3">
      <c r="L4101" s="25"/>
      <c r="Q4101" s="17"/>
    </row>
    <row r="4102" spans="12:17" x14ac:dyDescent="0.3">
      <c r="L4102" s="25"/>
      <c r="Q4102" s="17"/>
    </row>
    <row r="4103" spans="12:17" x14ac:dyDescent="0.3">
      <c r="L4103" s="25"/>
      <c r="Q4103" s="17"/>
    </row>
    <row r="4104" spans="12:17" x14ac:dyDescent="0.3">
      <c r="L4104" s="25"/>
      <c r="Q4104" s="17"/>
    </row>
    <row r="4105" spans="12:17" x14ac:dyDescent="0.3">
      <c r="L4105" s="25"/>
      <c r="Q4105" s="17"/>
    </row>
    <row r="4106" spans="12:17" x14ac:dyDescent="0.3">
      <c r="L4106" s="25"/>
      <c r="Q4106" s="17"/>
    </row>
    <row r="4107" spans="12:17" x14ac:dyDescent="0.3">
      <c r="L4107" s="25"/>
      <c r="Q4107" s="17"/>
    </row>
    <row r="4108" spans="12:17" x14ac:dyDescent="0.3">
      <c r="L4108" s="25"/>
      <c r="Q4108" s="17"/>
    </row>
    <row r="4109" spans="12:17" x14ac:dyDescent="0.3">
      <c r="L4109" s="25"/>
      <c r="Q4109" s="17"/>
    </row>
    <row r="4110" spans="12:17" x14ac:dyDescent="0.3">
      <c r="L4110" s="25"/>
      <c r="Q4110" s="17"/>
    </row>
    <row r="4111" spans="12:17" x14ac:dyDescent="0.3">
      <c r="L4111" s="25"/>
      <c r="Q4111" s="17"/>
    </row>
    <row r="4112" spans="12:17" x14ac:dyDescent="0.3">
      <c r="L4112" s="25"/>
      <c r="Q4112" s="17"/>
    </row>
    <row r="4113" spans="12:17" x14ac:dyDescent="0.3">
      <c r="L4113" s="25"/>
      <c r="Q4113" s="17"/>
    </row>
    <row r="4114" spans="12:17" x14ac:dyDescent="0.3">
      <c r="L4114" s="25"/>
      <c r="Q4114" s="17"/>
    </row>
    <row r="4115" spans="12:17" x14ac:dyDescent="0.3">
      <c r="L4115" s="25"/>
      <c r="Q4115" s="17"/>
    </row>
    <row r="4116" spans="12:17" x14ac:dyDescent="0.3">
      <c r="L4116" s="25"/>
      <c r="Q4116" s="17"/>
    </row>
    <row r="4117" spans="12:17" x14ac:dyDescent="0.3">
      <c r="L4117" s="25"/>
      <c r="Q4117" s="17"/>
    </row>
    <row r="4118" spans="12:17" x14ac:dyDescent="0.3">
      <c r="L4118" s="25"/>
      <c r="Q4118" s="17"/>
    </row>
    <row r="4119" spans="12:17" x14ac:dyDescent="0.3">
      <c r="L4119" s="25"/>
      <c r="Q4119" s="17"/>
    </row>
    <row r="4120" spans="12:17" x14ac:dyDescent="0.3">
      <c r="L4120" s="25"/>
      <c r="Q4120" s="17"/>
    </row>
    <row r="4121" spans="12:17" x14ac:dyDescent="0.3">
      <c r="L4121" s="25"/>
      <c r="Q4121" s="17"/>
    </row>
    <row r="4122" spans="12:17" x14ac:dyDescent="0.3">
      <c r="L4122" s="25"/>
      <c r="Q4122" s="17"/>
    </row>
    <row r="4123" spans="12:17" x14ac:dyDescent="0.3">
      <c r="L4123" s="25"/>
      <c r="Q4123" s="17"/>
    </row>
    <row r="4124" spans="12:17" x14ac:dyDescent="0.3">
      <c r="L4124" s="25"/>
      <c r="Q4124" s="17"/>
    </row>
    <row r="4125" spans="12:17" x14ac:dyDescent="0.3">
      <c r="L4125" s="25"/>
      <c r="Q4125" s="17"/>
    </row>
    <row r="4126" spans="12:17" x14ac:dyDescent="0.3">
      <c r="L4126" s="25"/>
      <c r="Q4126" s="17"/>
    </row>
    <row r="4127" spans="12:17" x14ac:dyDescent="0.3">
      <c r="L4127" s="25"/>
      <c r="Q4127" s="17"/>
    </row>
    <row r="4128" spans="12:17" x14ac:dyDescent="0.3">
      <c r="L4128" s="25"/>
      <c r="Q4128" s="17"/>
    </row>
    <row r="4129" spans="12:17" x14ac:dyDescent="0.3">
      <c r="L4129" s="25"/>
      <c r="Q4129" s="17"/>
    </row>
    <row r="4130" spans="12:17" x14ac:dyDescent="0.3">
      <c r="L4130" s="25"/>
      <c r="Q4130" s="17"/>
    </row>
    <row r="4131" spans="12:17" x14ac:dyDescent="0.3">
      <c r="L4131" s="25"/>
      <c r="Q4131" s="17"/>
    </row>
    <row r="4132" spans="12:17" x14ac:dyDescent="0.3">
      <c r="L4132" s="25"/>
      <c r="Q4132" s="17"/>
    </row>
    <row r="4133" spans="12:17" x14ac:dyDescent="0.3">
      <c r="L4133" s="25"/>
      <c r="Q4133" s="17"/>
    </row>
    <row r="4134" spans="12:17" x14ac:dyDescent="0.3">
      <c r="L4134" s="25"/>
      <c r="Q4134" s="17"/>
    </row>
    <row r="4135" spans="12:17" x14ac:dyDescent="0.3">
      <c r="L4135" s="25"/>
      <c r="Q4135" s="17"/>
    </row>
    <row r="4136" spans="12:17" x14ac:dyDescent="0.3">
      <c r="L4136" s="25"/>
      <c r="Q4136" s="17"/>
    </row>
    <row r="4137" spans="12:17" x14ac:dyDescent="0.3">
      <c r="L4137" s="25"/>
      <c r="Q4137" s="17"/>
    </row>
    <row r="4138" spans="12:17" x14ac:dyDescent="0.3">
      <c r="L4138" s="25"/>
      <c r="Q4138" s="17"/>
    </row>
    <row r="4139" spans="12:17" x14ac:dyDescent="0.3">
      <c r="L4139" s="25"/>
      <c r="Q4139" s="17"/>
    </row>
    <row r="4140" spans="12:17" x14ac:dyDescent="0.3">
      <c r="L4140" s="25"/>
      <c r="Q4140" s="17"/>
    </row>
    <row r="4141" spans="12:17" x14ac:dyDescent="0.3">
      <c r="L4141" s="25"/>
      <c r="Q4141" s="17"/>
    </row>
    <row r="4142" spans="12:17" x14ac:dyDescent="0.3">
      <c r="L4142" s="25"/>
      <c r="Q4142" s="17"/>
    </row>
    <row r="4143" spans="12:17" x14ac:dyDescent="0.3">
      <c r="L4143" s="25"/>
      <c r="Q4143" s="17"/>
    </row>
    <row r="4144" spans="12:17" x14ac:dyDescent="0.3">
      <c r="L4144" s="25"/>
      <c r="Q4144" s="17"/>
    </row>
    <row r="4145" spans="12:17" x14ac:dyDescent="0.3">
      <c r="L4145" s="25"/>
      <c r="Q4145" s="17"/>
    </row>
    <row r="4146" spans="12:17" x14ac:dyDescent="0.3">
      <c r="L4146" s="25"/>
      <c r="Q4146" s="17"/>
    </row>
    <row r="4147" spans="12:17" x14ac:dyDescent="0.3">
      <c r="L4147" s="25"/>
      <c r="Q4147" s="17"/>
    </row>
    <row r="4148" spans="12:17" x14ac:dyDescent="0.3">
      <c r="L4148" s="25"/>
      <c r="Q4148" s="17"/>
    </row>
    <row r="4149" spans="12:17" x14ac:dyDescent="0.3">
      <c r="L4149" s="25"/>
      <c r="Q4149" s="17"/>
    </row>
    <row r="4150" spans="12:17" x14ac:dyDescent="0.3">
      <c r="L4150" s="25"/>
      <c r="Q4150" s="17"/>
    </row>
    <row r="4151" spans="12:17" x14ac:dyDescent="0.3">
      <c r="L4151" s="25"/>
      <c r="Q4151" s="17"/>
    </row>
    <row r="4152" spans="12:17" x14ac:dyDescent="0.3">
      <c r="L4152" s="25"/>
      <c r="Q4152" s="17"/>
    </row>
    <row r="4153" spans="12:17" x14ac:dyDescent="0.3">
      <c r="L4153" s="25"/>
      <c r="Q4153" s="17"/>
    </row>
    <row r="4154" spans="12:17" x14ac:dyDescent="0.3">
      <c r="L4154" s="25"/>
      <c r="Q4154" s="17"/>
    </row>
    <row r="4155" spans="12:17" x14ac:dyDescent="0.3">
      <c r="L4155" s="25"/>
      <c r="Q4155" s="17"/>
    </row>
    <row r="4156" spans="12:17" x14ac:dyDescent="0.3">
      <c r="L4156" s="25"/>
      <c r="Q4156" s="17"/>
    </row>
    <row r="4157" spans="12:17" x14ac:dyDescent="0.3">
      <c r="L4157" s="25"/>
      <c r="Q4157" s="17"/>
    </row>
    <row r="4158" spans="12:17" x14ac:dyDescent="0.3">
      <c r="L4158" s="25"/>
      <c r="Q4158" s="17"/>
    </row>
    <row r="4159" spans="12:17" x14ac:dyDescent="0.3">
      <c r="L4159" s="25"/>
      <c r="Q4159" s="17"/>
    </row>
    <row r="4160" spans="12:17" x14ac:dyDescent="0.3">
      <c r="L4160" s="25"/>
      <c r="Q4160" s="17"/>
    </row>
    <row r="4161" spans="12:17" x14ac:dyDescent="0.3">
      <c r="L4161" s="25"/>
      <c r="Q4161" s="17"/>
    </row>
    <row r="4162" spans="12:17" x14ac:dyDescent="0.3">
      <c r="L4162" s="25"/>
      <c r="Q4162" s="17"/>
    </row>
    <row r="4163" spans="12:17" x14ac:dyDescent="0.3">
      <c r="L4163" s="25"/>
      <c r="Q4163" s="17"/>
    </row>
    <row r="4164" spans="12:17" x14ac:dyDescent="0.3">
      <c r="L4164" s="25"/>
      <c r="Q4164" s="17"/>
    </row>
    <row r="4165" spans="12:17" x14ac:dyDescent="0.3">
      <c r="L4165" s="25"/>
      <c r="Q4165" s="17"/>
    </row>
    <row r="4166" spans="12:17" x14ac:dyDescent="0.3">
      <c r="L4166" s="25"/>
      <c r="Q4166" s="17"/>
    </row>
    <row r="4167" spans="12:17" x14ac:dyDescent="0.3">
      <c r="L4167" s="25"/>
      <c r="Q4167" s="17"/>
    </row>
    <row r="4168" spans="12:17" x14ac:dyDescent="0.3">
      <c r="L4168" s="25"/>
      <c r="Q4168" s="17"/>
    </row>
    <row r="4169" spans="12:17" x14ac:dyDescent="0.3">
      <c r="L4169" s="25"/>
      <c r="Q4169" s="17"/>
    </row>
    <row r="4170" spans="12:17" x14ac:dyDescent="0.3">
      <c r="L4170" s="25"/>
      <c r="Q4170" s="17"/>
    </row>
    <row r="4171" spans="12:17" x14ac:dyDescent="0.3">
      <c r="L4171" s="25"/>
      <c r="Q4171" s="17"/>
    </row>
    <row r="4172" spans="12:17" x14ac:dyDescent="0.3">
      <c r="L4172" s="25"/>
      <c r="Q4172" s="17"/>
    </row>
    <row r="4173" spans="12:17" x14ac:dyDescent="0.3">
      <c r="L4173" s="25"/>
      <c r="Q4173" s="17"/>
    </row>
    <row r="4174" spans="12:17" x14ac:dyDescent="0.3">
      <c r="L4174" s="25"/>
      <c r="Q4174" s="17"/>
    </row>
    <row r="4175" spans="12:17" x14ac:dyDescent="0.3">
      <c r="L4175" s="25"/>
      <c r="Q4175" s="17"/>
    </row>
    <row r="4176" spans="12:17" x14ac:dyDescent="0.3">
      <c r="L4176" s="25"/>
      <c r="Q4176" s="17"/>
    </row>
    <row r="4177" spans="12:17" x14ac:dyDescent="0.3">
      <c r="L4177" s="25"/>
      <c r="Q4177" s="17"/>
    </row>
    <row r="4178" spans="12:17" x14ac:dyDescent="0.3">
      <c r="L4178" s="25"/>
      <c r="Q4178" s="17"/>
    </row>
    <row r="4179" spans="12:17" x14ac:dyDescent="0.3">
      <c r="L4179" s="25"/>
      <c r="Q4179" s="17"/>
    </row>
    <row r="4180" spans="12:17" x14ac:dyDescent="0.3">
      <c r="L4180" s="25"/>
      <c r="Q4180" s="17"/>
    </row>
    <row r="4181" spans="12:17" x14ac:dyDescent="0.3">
      <c r="L4181" s="25"/>
      <c r="Q4181" s="17"/>
    </row>
    <row r="4182" spans="12:17" x14ac:dyDescent="0.3">
      <c r="L4182" s="25"/>
      <c r="Q4182" s="17"/>
    </row>
    <row r="4183" spans="12:17" x14ac:dyDescent="0.3">
      <c r="L4183" s="25"/>
      <c r="Q4183" s="17"/>
    </row>
    <row r="4184" spans="12:17" x14ac:dyDescent="0.3">
      <c r="L4184" s="25"/>
      <c r="Q4184" s="17"/>
    </row>
    <row r="4185" spans="12:17" x14ac:dyDescent="0.3">
      <c r="L4185" s="25"/>
      <c r="Q4185" s="17"/>
    </row>
    <row r="4186" spans="12:17" x14ac:dyDescent="0.3">
      <c r="L4186" s="25"/>
      <c r="Q4186" s="17"/>
    </row>
    <row r="4187" spans="12:17" x14ac:dyDescent="0.3">
      <c r="L4187" s="25"/>
      <c r="Q4187" s="17"/>
    </row>
    <row r="4188" spans="12:17" x14ac:dyDescent="0.3">
      <c r="L4188" s="25"/>
      <c r="Q4188" s="17"/>
    </row>
    <row r="4189" spans="12:17" x14ac:dyDescent="0.3">
      <c r="L4189" s="25"/>
      <c r="Q4189" s="17"/>
    </row>
    <row r="4190" spans="12:17" x14ac:dyDescent="0.3">
      <c r="L4190" s="25"/>
      <c r="Q4190" s="17"/>
    </row>
    <row r="4191" spans="12:17" x14ac:dyDescent="0.3">
      <c r="L4191" s="25"/>
      <c r="Q4191" s="17"/>
    </row>
    <row r="4192" spans="12:17" x14ac:dyDescent="0.3">
      <c r="L4192" s="25"/>
      <c r="Q4192" s="17"/>
    </row>
    <row r="4193" spans="12:17" x14ac:dyDescent="0.3">
      <c r="L4193" s="25"/>
      <c r="Q4193" s="17"/>
    </row>
    <row r="4194" spans="12:17" x14ac:dyDescent="0.3">
      <c r="L4194" s="25"/>
      <c r="Q4194" s="17"/>
    </row>
    <row r="4195" spans="12:17" x14ac:dyDescent="0.3">
      <c r="L4195" s="25"/>
      <c r="Q4195" s="17"/>
    </row>
    <row r="4196" spans="12:17" x14ac:dyDescent="0.3">
      <c r="L4196" s="25"/>
      <c r="Q4196" s="17"/>
    </row>
    <row r="4197" spans="12:17" x14ac:dyDescent="0.3">
      <c r="L4197" s="25"/>
      <c r="Q4197" s="17"/>
    </row>
    <row r="4198" spans="12:17" x14ac:dyDescent="0.3">
      <c r="L4198" s="25"/>
      <c r="Q4198" s="17"/>
    </row>
    <row r="4199" spans="12:17" x14ac:dyDescent="0.3">
      <c r="L4199" s="25"/>
      <c r="Q4199" s="17"/>
    </row>
    <row r="4200" spans="12:17" x14ac:dyDescent="0.3">
      <c r="L4200" s="25"/>
      <c r="Q4200" s="17"/>
    </row>
    <row r="4201" spans="12:17" x14ac:dyDescent="0.3">
      <c r="L4201" s="25"/>
      <c r="Q4201" s="17"/>
    </row>
    <row r="4202" spans="12:17" x14ac:dyDescent="0.3">
      <c r="L4202" s="25"/>
      <c r="Q4202" s="17"/>
    </row>
    <row r="4203" spans="12:17" x14ac:dyDescent="0.3">
      <c r="L4203" s="25"/>
      <c r="Q4203" s="17"/>
    </row>
    <row r="4204" spans="12:17" x14ac:dyDescent="0.3">
      <c r="L4204" s="25"/>
      <c r="Q4204" s="17"/>
    </row>
    <row r="4205" spans="12:17" x14ac:dyDescent="0.3">
      <c r="L4205" s="25"/>
      <c r="Q4205" s="17"/>
    </row>
    <row r="4206" spans="12:17" x14ac:dyDescent="0.3">
      <c r="L4206" s="25"/>
      <c r="Q4206" s="17"/>
    </row>
    <row r="4207" spans="12:17" x14ac:dyDescent="0.3">
      <c r="L4207" s="25"/>
      <c r="Q4207" s="17"/>
    </row>
    <row r="4208" spans="12:17" x14ac:dyDescent="0.3">
      <c r="L4208" s="25"/>
      <c r="Q4208" s="17"/>
    </row>
    <row r="4209" spans="12:17" x14ac:dyDescent="0.3">
      <c r="L4209" s="25"/>
      <c r="Q4209" s="17"/>
    </row>
    <row r="4210" spans="12:17" x14ac:dyDescent="0.3">
      <c r="L4210" s="25"/>
      <c r="Q4210" s="17"/>
    </row>
    <row r="4211" spans="12:17" x14ac:dyDescent="0.3">
      <c r="L4211" s="25"/>
      <c r="Q4211" s="17"/>
    </row>
    <row r="4212" spans="12:17" x14ac:dyDescent="0.3">
      <c r="L4212" s="25"/>
      <c r="Q4212" s="17"/>
    </row>
    <row r="4213" spans="12:17" x14ac:dyDescent="0.3">
      <c r="L4213" s="25"/>
      <c r="Q4213" s="17"/>
    </row>
    <row r="4214" spans="12:17" x14ac:dyDescent="0.3">
      <c r="L4214" s="25"/>
      <c r="Q4214" s="17"/>
    </row>
    <row r="4215" spans="12:17" x14ac:dyDescent="0.3">
      <c r="L4215" s="25"/>
      <c r="Q4215" s="17"/>
    </row>
    <row r="4216" spans="12:17" x14ac:dyDescent="0.3">
      <c r="L4216" s="25"/>
      <c r="Q4216" s="17"/>
    </row>
    <row r="4217" spans="12:17" x14ac:dyDescent="0.3">
      <c r="L4217" s="25"/>
      <c r="Q4217" s="17"/>
    </row>
    <row r="4218" spans="12:17" x14ac:dyDescent="0.3">
      <c r="L4218" s="25"/>
      <c r="Q4218" s="17"/>
    </row>
    <row r="4219" spans="12:17" x14ac:dyDescent="0.3">
      <c r="L4219" s="25"/>
      <c r="Q4219" s="17"/>
    </row>
    <row r="4220" spans="12:17" x14ac:dyDescent="0.3">
      <c r="L4220" s="25"/>
      <c r="Q4220" s="17"/>
    </row>
    <row r="4221" spans="12:17" x14ac:dyDescent="0.3">
      <c r="L4221" s="25"/>
      <c r="Q4221" s="17"/>
    </row>
    <row r="4222" spans="12:17" x14ac:dyDescent="0.3">
      <c r="L4222" s="25"/>
      <c r="Q4222" s="17"/>
    </row>
    <row r="4223" spans="12:17" x14ac:dyDescent="0.3">
      <c r="L4223" s="25"/>
      <c r="Q4223" s="17"/>
    </row>
    <row r="4224" spans="12:17" x14ac:dyDescent="0.3">
      <c r="L4224" s="25"/>
      <c r="Q4224" s="17"/>
    </row>
    <row r="4225" spans="12:17" x14ac:dyDescent="0.3">
      <c r="L4225" s="25"/>
      <c r="Q4225" s="17"/>
    </row>
    <row r="4226" spans="12:17" x14ac:dyDescent="0.3">
      <c r="L4226" s="25"/>
      <c r="Q4226" s="17"/>
    </row>
    <row r="4227" spans="12:17" x14ac:dyDescent="0.3">
      <c r="L4227" s="25"/>
      <c r="Q4227" s="17"/>
    </row>
    <row r="4228" spans="12:17" x14ac:dyDescent="0.3">
      <c r="L4228" s="25"/>
      <c r="Q4228" s="17"/>
    </row>
    <row r="4229" spans="12:17" x14ac:dyDescent="0.3">
      <c r="L4229" s="25"/>
      <c r="Q4229" s="17"/>
    </row>
    <row r="4230" spans="12:17" x14ac:dyDescent="0.3">
      <c r="L4230" s="25"/>
      <c r="Q4230" s="17"/>
    </row>
    <row r="4231" spans="12:17" x14ac:dyDescent="0.3">
      <c r="L4231" s="25"/>
      <c r="Q4231" s="17"/>
    </row>
    <row r="4232" spans="12:17" x14ac:dyDescent="0.3">
      <c r="L4232" s="25"/>
      <c r="Q4232" s="17"/>
    </row>
    <row r="4233" spans="12:17" x14ac:dyDescent="0.3">
      <c r="L4233" s="25"/>
      <c r="Q4233" s="17"/>
    </row>
    <row r="4234" spans="12:17" x14ac:dyDescent="0.3">
      <c r="L4234" s="25"/>
      <c r="Q4234" s="17"/>
    </row>
    <row r="4235" spans="12:17" x14ac:dyDescent="0.3">
      <c r="L4235" s="25"/>
      <c r="Q4235" s="17"/>
    </row>
    <row r="4236" spans="12:17" x14ac:dyDescent="0.3">
      <c r="L4236" s="25"/>
      <c r="Q4236" s="17"/>
    </row>
    <row r="4237" spans="12:17" x14ac:dyDescent="0.3">
      <c r="L4237" s="25"/>
      <c r="Q4237" s="17"/>
    </row>
    <row r="4238" spans="12:17" x14ac:dyDescent="0.3">
      <c r="L4238" s="25"/>
      <c r="Q4238" s="17"/>
    </row>
    <row r="4239" spans="12:17" x14ac:dyDescent="0.3">
      <c r="L4239" s="25"/>
      <c r="Q4239" s="17"/>
    </row>
    <row r="4240" spans="12:17" x14ac:dyDescent="0.3">
      <c r="L4240" s="25"/>
      <c r="Q4240" s="17"/>
    </row>
    <row r="4241" spans="12:17" x14ac:dyDescent="0.3">
      <c r="L4241" s="25"/>
      <c r="Q4241" s="17"/>
    </row>
    <row r="4242" spans="12:17" x14ac:dyDescent="0.3">
      <c r="L4242" s="25"/>
      <c r="Q4242" s="17"/>
    </row>
    <row r="4243" spans="12:17" x14ac:dyDescent="0.3">
      <c r="L4243" s="25"/>
      <c r="Q4243" s="17"/>
    </row>
    <row r="4244" spans="12:17" x14ac:dyDescent="0.3">
      <c r="L4244" s="25"/>
      <c r="Q4244" s="17"/>
    </row>
    <row r="4245" spans="12:17" x14ac:dyDescent="0.3">
      <c r="L4245" s="25"/>
      <c r="Q4245" s="17"/>
    </row>
    <row r="4246" spans="12:17" x14ac:dyDescent="0.3">
      <c r="L4246" s="25"/>
      <c r="Q4246" s="17"/>
    </row>
    <row r="4247" spans="12:17" x14ac:dyDescent="0.3">
      <c r="L4247" s="25"/>
      <c r="Q4247" s="17"/>
    </row>
    <row r="4248" spans="12:17" x14ac:dyDescent="0.3">
      <c r="L4248" s="25"/>
      <c r="Q4248" s="17"/>
    </row>
    <row r="4249" spans="12:17" x14ac:dyDescent="0.3">
      <c r="L4249" s="25"/>
      <c r="Q4249" s="17"/>
    </row>
    <row r="4250" spans="12:17" x14ac:dyDescent="0.3">
      <c r="L4250" s="25"/>
      <c r="Q4250" s="17"/>
    </row>
    <row r="4251" spans="12:17" x14ac:dyDescent="0.3">
      <c r="L4251" s="25"/>
      <c r="Q4251" s="17"/>
    </row>
    <row r="4252" spans="12:17" x14ac:dyDescent="0.3">
      <c r="L4252" s="25"/>
      <c r="Q4252" s="17"/>
    </row>
    <row r="4253" spans="12:17" x14ac:dyDescent="0.3">
      <c r="L4253" s="25"/>
      <c r="Q4253" s="17"/>
    </row>
    <row r="4254" spans="12:17" x14ac:dyDescent="0.3">
      <c r="L4254" s="25"/>
      <c r="Q4254" s="17"/>
    </row>
    <row r="4255" spans="12:17" x14ac:dyDescent="0.3">
      <c r="L4255" s="25"/>
      <c r="Q4255" s="17"/>
    </row>
    <row r="4256" spans="12:17" x14ac:dyDescent="0.3">
      <c r="L4256" s="25"/>
      <c r="Q4256" s="17"/>
    </row>
    <row r="4257" spans="12:17" x14ac:dyDescent="0.3">
      <c r="L4257" s="25"/>
      <c r="Q4257" s="17"/>
    </row>
    <row r="4258" spans="12:17" x14ac:dyDescent="0.3">
      <c r="L4258" s="25"/>
      <c r="Q4258" s="17"/>
    </row>
    <row r="4259" spans="12:17" x14ac:dyDescent="0.3">
      <c r="L4259" s="25"/>
      <c r="Q4259" s="17"/>
    </row>
    <row r="4260" spans="12:17" x14ac:dyDescent="0.3">
      <c r="L4260" s="25"/>
      <c r="Q4260" s="17"/>
    </row>
    <row r="4261" spans="12:17" x14ac:dyDescent="0.3">
      <c r="L4261" s="25"/>
      <c r="Q4261" s="17"/>
    </row>
    <row r="4262" spans="12:17" x14ac:dyDescent="0.3">
      <c r="L4262" s="25"/>
      <c r="Q4262" s="17"/>
    </row>
    <row r="4263" spans="12:17" x14ac:dyDescent="0.3">
      <c r="L4263" s="25"/>
      <c r="Q4263" s="17"/>
    </row>
    <row r="4264" spans="12:17" x14ac:dyDescent="0.3">
      <c r="L4264" s="25"/>
      <c r="Q4264" s="17"/>
    </row>
    <row r="4265" spans="12:17" x14ac:dyDescent="0.3">
      <c r="L4265" s="25"/>
      <c r="Q4265" s="17"/>
    </row>
    <row r="4266" spans="12:17" x14ac:dyDescent="0.3">
      <c r="L4266" s="25"/>
      <c r="Q4266" s="17"/>
    </row>
    <row r="4267" spans="12:17" x14ac:dyDescent="0.3">
      <c r="L4267" s="25"/>
      <c r="Q4267" s="17"/>
    </row>
    <row r="4268" spans="12:17" x14ac:dyDescent="0.3">
      <c r="L4268" s="25"/>
      <c r="Q4268" s="17"/>
    </row>
    <row r="4269" spans="12:17" x14ac:dyDescent="0.3">
      <c r="L4269" s="25"/>
      <c r="Q4269" s="17"/>
    </row>
    <row r="4270" spans="12:17" x14ac:dyDescent="0.3">
      <c r="L4270" s="25"/>
      <c r="Q4270" s="17"/>
    </row>
    <row r="4271" spans="12:17" x14ac:dyDescent="0.3">
      <c r="L4271" s="25"/>
      <c r="Q4271" s="17"/>
    </row>
    <row r="4272" spans="12:17" x14ac:dyDescent="0.3">
      <c r="L4272" s="25"/>
      <c r="Q4272" s="17"/>
    </row>
    <row r="4273" spans="12:17" x14ac:dyDescent="0.3">
      <c r="L4273" s="25"/>
      <c r="Q4273" s="17"/>
    </row>
    <row r="4274" spans="12:17" x14ac:dyDescent="0.3">
      <c r="L4274" s="25"/>
      <c r="Q4274" s="17"/>
    </row>
    <row r="4275" spans="12:17" x14ac:dyDescent="0.3">
      <c r="L4275" s="25"/>
      <c r="Q4275" s="17"/>
    </row>
    <row r="4276" spans="12:17" x14ac:dyDescent="0.3">
      <c r="L4276" s="25"/>
      <c r="Q4276" s="17"/>
    </row>
    <row r="4277" spans="12:17" x14ac:dyDescent="0.3">
      <c r="L4277" s="25"/>
      <c r="Q4277" s="17"/>
    </row>
    <row r="4278" spans="12:17" x14ac:dyDescent="0.3">
      <c r="L4278" s="25"/>
      <c r="Q4278" s="17"/>
    </row>
    <row r="4279" spans="12:17" x14ac:dyDescent="0.3">
      <c r="L4279" s="25"/>
      <c r="Q4279" s="17"/>
    </row>
    <row r="4280" spans="12:17" x14ac:dyDescent="0.3">
      <c r="L4280" s="25"/>
      <c r="Q4280" s="17"/>
    </row>
    <row r="4281" spans="12:17" x14ac:dyDescent="0.3">
      <c r="L4281" s="25"/>
      <c r="Q4281" s="17"/>
    </row>
    <row r="4282" spans="12:17" x14ac:dyDescent="0.3">
      <c r="L4282" s="25"/>
      <c r="Q4282" s="17"/>
    </row>
    <row r="4283" spans="12:17" x14ac:dyDescent="0.3">
      <c r="L4283" s="25"/>
      <c r="Q4283" s="17"/>
    </row>
    <row r="4284" spans="12:17" x14ac:dyDescent="0.3">
      <c r="L4284" s="25"/>
      <c r="Q4284" s="17"/>
    </row>
    <row r="4285" spans="12:17" x14ac:dyDescent="0.3">
      <c r="L4285" s="25"/>
      <c r="Q4285" s="17"/>
    </row>
    <row r="4286" spans="12:17" x14ac:dyDescent="0.3">
      <c r="L4286" s="25"/>
      <c r="Q4286" s="17"/>
    </row>
    <row r="4287" spans="12:17" x14ac:dyDescent="0.3">
      <c r="L4287" s="25"/>
      <c r="Q4287" s="17"/>
    </row>
    <row r="4288" spans="12:17" x14ac:dyDescent="0.3">
      <c r="L4288" s="25"/>
      <c r="Q4288" s="17"/>
    </row>
    <row r="4289" spans="12:17" x14ac:dyDescent="0.3">
      <c r="L4289" s="25"/>
      <c r="Q4289" s="17"/>
    </row>
    <row r="4290" spans="12:17" x14ac:dyDescent="0.3">
      <c r="L4290" s="25"/>
      <c r="Q4290" s="17"/>
    </row>
    <row r="4291" spans="12:17" x14ac:dyDescent="0.3">
      <c r="L4291" s="25"/>
      <c r="Q4291" s="17"/>
    </row>
    <row r="4292" spans="12:17" x14ac:dyDescent="0.3">
      <c r="L4292" s="25"/>
      <c r="Q4292" s="17"/>
    </row>
    <row r="4293" spans="12:17" x14ac:dyDescent="0.3">
      <c r="L4293" s="25"/>
      <c r="Q4293" s="17"/>
    </row>
    <row r="4294" spans="12:17" x14ac:dyDescent="0.3">
      <c r="L4294" s="25"/>
      <c r="Q4294" s="17"/>
    </row>
    <row r="4295" spans="12:17" x14ac:dyDescent="0.3">
      <c r="L4295" s="25"/>
      <c r="Q4295" s="17"/>
    </row>
    <row r="4296" spans="12:17" x14ac:dyDescent="0.3">
      <c r="L4296" s="25"/>
      <c r="Q4296" s="17"/>
    </row>
    <row r="4297" spans="12:17" x14ac:dyDescent="0.3">
      <c r="L4297" s="25"/>
      <c r="Q4297" s="17"/>
    </row>
    <row r="4298" spans="12:17" x14ac:dyDescent="0.3">
      <c r="L4298" s="25"/>
      <c r="Q4298" s="17"/>
    </row>
    <row r="4299" spans="12:17" x14ac:dyDescent="0.3">
      <c r="L4299" s="25"/>
      <c r="Q4299" s="17"/>
    </row>
    <row r="4300" spans="12:17" x14ac:dyDescent="0.3">
      <c r="L4300" s="25"/>
      <c r="Q4300" s="17"/>
    </row>
    <row r="4301" spans="12:17" x14ac:dyDescent="0.3">
      <c r="L4301" s="25"/>
      <c r="Q4301" s="17"/>
    </row>
    <row r="4302" spans="12:17" x14ac:dyDescent="0.3">
      <c r="L4302" s="25"/>
      <c r="Q4302" s="17"/>
    </row>
    <row r="4303" spans="12:17" x14ac:dyDescent="0.3">
      <c r="L4303" s="25"/>
      <c r="Q4303" s="17"/>
    </row>
    <row r="4304" spans="12:17" x14ac:dyDescent="0.3">
      <c r="L4304" s="25"/>
      <c r="Q4304" s="17"/>
    </row>
    <row r="4305" spans="12:17" x14ac:dyDescent="0.3">
      <c r="L4305" s="25"/>
      <c r="Q4305" s="17"/>
    </row>
    <row r="4306" spans="12:17" x14ac:dyDescent="0.3">
      <c r="L4306" s="25"/>
      <c r="Q4306" s="17"/>
    </row>
    <row r="4307" spans="12:17" x14ac:dyDescent="0.3">
      <c r="L4307" s="25"/>
      <c r="Q4307" s="17"/>
    </row>
    <row r="4308" spans="12:17" x14ac:dyDescent="0.3">
      <c r="L4308" s="25"/>
      <c r="Q4308" s="17"/>
    </row>
    <row r="4309" spans="12:17" x14ac:dyDescent="0.3">
      <c r="L4309" s="25"/>
      <c r="Q4309" s="17"/>
    </row>
    <row r="4310" spans="12:17" x14ac:dyDescent="0.3">
      <c r="L4310" s="25"/>
      <c r="Q4310" s="17"/>
    </row>
    <row r="4311" spans="12:17" x14ac:dyDescent="0.3">
      <c r="L4311" s="25"/>
      <c r="Q4311" s="17"/>
    </row>
    <row r="4312" spans="12:17" x14ac:dyDescent="0.3">
      <c r="L4312" s="25"/>
      <c r="Q4312" s="17"/>
    </row>
    <row r="4313" spans="12:17" x14ac:dyDescent="0.3">
      <c r="L4313" s="25"/>
      <c r="Q4313" s="17"/>
    </row>
    <row r="4314" spans="12:17" x14ac:dyDescent="0.3">
      <c r="L4314" s="25"/>
      <c r="Q4314" s="17"/>
    </row>
    <row r="4315" spans="12:17" x14ac:dyDescent="0.3">
      <c r="L4315" s="25"/>
      <c r="Q4315" s="17"/>
    </row>
    <row r="4316" spans="12:17" x14ac:dyDescent="0.3">
      <c r="L4316" s="25"/>
      <c r="Q4316" s="17"/>
    </row>
    <row r="4317" spans="12:17" x14ac:dyDescent="0.3">
      <c r="L4317" s="25"/>
      <c r="Q4317" s="17"/>
    </row>
    <row r="4318" spans="12:17" x14ac:dyDescent="0.3">
      <c r="L4318" s="25"/>
      <c r="Q4318" s="17"/>
    </row>
    <row r="4319" spans="12:17" x14ac:dyDescent="0.3">
      <c r="L4319" s="25"/>
      <c r="Q4319" s="17"/>
    </row>
    <row r="4320" spans="12:17" x14ac:dyDescent="0.3">
      <c r="L4320" s="25"/>
      <c r="Q4320" s="17"/>
    </row>
    <row r="4321" spans="12:17" x14ac:dyDescent="0.3">
      <c r="L4321" s="25"/>
      <c r="Q4321" s="17"/>
    </row>
    <row r="4322" spans="12:17" x14ac:dyDescent="0.3">
      <c r="L4322" s="25"/>
      <c r="Q4322" s="17"/>
    </row>
    <row r="4323" spans="12:17" x14ac:dyDescent="0.3">
      <c r="L4323" s="25"/>
      <c r="Q4323" s="17"/>
    </row>
    <row r="4324" spans="12:17" x14ac:dyDescent="0.3">
      <c r="L4324" s="25"/>
      <c r="Q4324" s="17"/>
    </row>
    <row r="4325" spans="12:17" x14ac:dyDescent="0.3">
      <c r="L4325" s="25"/>
      <c r="Q4325" s="17"/>
    </row>
    <row r="4326" spans="12:17" x14ac:dyDescent="0.3">
      <c r="L4326" s="25"/>
      <c r="Q4326" s="17"/>
    </row>
    <row r="4327" spans="12:17" x14ac:dyDescent="0.3">
      <c r="L4327" s="25"/>
      <c r="Q4327" s="17"/>
    </row>
    <row r="4328" spans="12:17" x14ac:dyDescent="0.3">
      <c r="L4328" s="25"/>
      <c r="Q4328" s="17"/>
    </row>
    <row r="4329" spans="12:17" x14ac:dyDescent="0.3">
      <c r="L4329" s="25"/>
      <c r="Q4329" s="17"/>
    </row>
    <row r="4330" spans="12:17" x14ac:dyDescent="0.3">
      <c r="L4330" s="25"/>
      <c r="Q4330" s="17"/>
    </row>
    <row r="4331" spans="12:17" x14ac:dyDescent="0.3">
      <c r="L4331" s="25"/>
      <c r="Q4331" s="17"/>
    </row>
    <row r="4332" spans="12:17" x14ac:dyDescent="0.3">
      <c r="L4332" s="25"/>
      <c r="Q4332" s="17"/>
    </row>
    <row r="4333" spans="12:17" x14ac:dyDescent="0.3">
      <c r="L4333" s="25"/>
      <c r="Q4333" s="17"/>
    </row>
    <row r="4334" spans="12:17" x14ac:dyDescent="0.3">
      <c r="L4334" s="25"/>
      <c r="Q4334" s="17"/>
    </row>
    <row r="4335" spans="12:17" x14ac:dyDescent="0.3">
      <c r="L4335" s="25"/>
      <c r="Q4335" s="17"/>
    </row>
    <row r="4336" spans="12:17" x14ac:dyDescent="0.3">
      <c r="L4336" s="25"/>
      <c r="Q4336" s="17"/>
    </row>
    <row r="4337" spans="12:17" x14ac:dyDescent="0.3">
      <c r="L4337" s="25"/>
      <c r="Q4337" s="17"/>
    </row>
    <row r="4338" spans="12:17" x14ac:dyDescent="0.3">
      <c r="L4338" s="25"/>
      <c r="Q4338" s="17"/>
    </row>
    <row r="4339" spans="12:17" x14ac:dyDescent="0.3">
      <c r="L4339" s="25"/>
      <c r="Q4339" s="17"/>
    </row>
    <row r="4340" spans="12:17" x14ac:dyDescent="0.3">
      <c r="L4340" s="25"/>
      <c r="Q4340" s="17"/>
    </row>
    <row r="4341" spans="12:17" x14ac:dyDescent="0.3">
      <c r="L4341" s="25"/>
      <c r="Q4341" s="17"/>
    </row>
    <row r="4342" spans="12:17" x14ac:dyDescent="0.3">
      <c r="L4342" s="25"/>
      <c r="Q4342" s="17"/>
    </row>
    <row r="4343" spans="12:17" x14ac:dyDescent="0.3">
      <c r="L4343" s="25"/>
      <c r="Q4343" s="17"/>
    </row>
    <row r="4344" spans="12:17" x14ac:dyDescent="0.3">
      <c r="L4344" s="25"/>
      <c r="Q4344" s="17"/>
    </row>
    <row r="4345" spans="12:17" x14ac:dyDescent="0.3">
      <c r="L4345" s="25"/>
      <c r="Q4345" s="17"/>
    </row>
    <row r="4346" spans="12:17" x14ac:dyDescent="0.3">
      <c r="L4346" s="25"/>
      <c r="Q4346" s="17"/>
    </row>
    <row r="4347" spans="12:17" x14ac:dyDescent="0.3">
      <c r="L4347" s="25"/>
      <c r="Q4347" s="17"/>
    </row>
    <row r="4348" spans="12:17" x14ac:dyDescent="0.3">
      <c r="L4348" s="25"/>
      <c r="Q4348" s="17"/>
    </row>
    <row r="4349" spans="12:17" x14ac:dyDescent="0.3">
      <c r="L4349" s="25"/>
      <c r="Q4349" s="17"/>
    </row>
    <row r="4350" spans="12:17" x14ac:dyDescent="0.3">
      <c r="L4350" s="25"/>
      <c r="Q4350" s="17"/>
    </row>
    <row r="4351" spans="12:17" x14ac:dyDescent="0.3">
      <c r="L4351" s="25"/>
      <c r="Q4351" s="17"/>
    </row>
    <row r="4352" spans="12:17" x14ac:dyDescent="0.3">
      <c r="L4352" s="25"/>
      <c r="Q4352" s="17"/>
    </row>
    <row r="4353" spans="12:17" x14ac:dyDescent="0.3">
      <c r="L4353" s="25"/>
      <c r="Q4353" s="17"/>
    </row>
    <row r="4354" spans="12:17" x14ac:dyDescent="0.3">
      <c r="L4354" s="25"/>
      <c r="Q4354" s="17"/>
    </row>
    <row r="4355" spans="12:17" x14ac:dyDescent="0.3">
      <c r="L4355" s="25"/>
      <c r="Q4355" s="17"/>
    </row>
    <row r="4356" spans="12:17" x14ac:dyDescent="0.3">
      <c r="L4356" s="25"/>
      <c r="Q4356" s="17"/>
    </row>
    <row r="4357" spans="12:17" x14ac:dyDescent="0.3">
      <c r="L4357" s="25"/>
      <c r="Q4357" s="17"/>
    </row>
    <row r="4358" spans="12:17" x14ac:dyDescent="0.3">
      <c r="L4358" s="25"/>
      <c r="Q4358" s="17"/>
    </row>
    <row r="4359" spans="12:17" x14ac:dyDescent="0.3">
      <c r="L4359" s="25"/>
      <c r="Q4359" s="17"/>
    </row>
    <row r="4360" spans="12:17" x14ac:dyDescent="0.3">
      <c r="L4360" s="25"/>
      <c r="Q4360" s="17"/>
    </row>
    <row r="4361" spans="12:17" x14ac:dyDescent="0.3">
      <c r="L4361" s="25"/>
      <c r="Q4361" s="17"/>
    </row>
    <row r="4362" spans="12:17" x14ac:dyDescent="0.3">
      <c r="L4362" s="25"/>
      <c r="Q4362" s="17"/>
    </row>
    <row r="4363" spans="12:17" x14ac:dyDescent="0.3">
      <c r="L4363" s="25"/>
      <c r="Q4363" s="17"/>
    </row>
    <row r="4364" spans="12:17" x14ac:dyDescent="0.3">
      <c r="L4364" s="25"/>
      <c r="Q4364" s="17"/>
    </row>
    <row r="4365" spans="12:17" x14ac:dyDescent="0.3">
      <c r="L4365" s="25"/>
      <c r="Q4365" s="17"/>
    </row>
    <row r="4366" spans="12:17" x14ac:dyDescent="0.3">
      <c r="L4366" s="25"/>
      <c r="Q4366" s="17"/>
    </row>
    <row r="4367" spans="12:17" x14ac:dyDescent="0.3">
      <c r="L4367" s="25"/>
      <c r="Q4367" s="17"/>
    </row>
    <row r="4368" spans="12:17" x14ac:dyDescent="0.3">
      <c r="L4368" s="25"/>
      <c r="Q4368" s="17"/>
    </row>
    <row r="4369" spans="12:17" x14ac:dyDescent="0.3">
      <c r="L4369" s="25"/>
      <c r="Q4369" s="17"/>
    </row>
    <row r="4370" spans="12:17" x14ac:dyDescent="0.3">
      <c r="L4370" s="25"/>
      <c r="Q4370" s="17"/>
    </row>
    <row r="4371" spans="12:17" x14ac:dyDescent="0.3">
      <c r="L4371" s="25"/>
      <c r="Q4371" s="17"/>
    </row>
    <row r="4372" spans="12:17" x14ac:dyDescent="0.3">
      <c r="L4372" s="25"/>
      <c r="Q4372" s="17"/>
    </row>
    <row r="4373" spans="12:17" x14ac:dyDescent="0.3">
      <c r="L4373" s="25"/>
      <c r="Q4373" s="17"/>
    </row>
    <row r="4374" spans="12:17" x14ac:dyDescent="0.3">
      <c r="L4374" s="25"/>
      <c r="Q4374" s="17"/>
    </row>
    <row r="4375" spans="12:17" x14ac:dyDescent="0.3">
      <c r="L4375" s="25"/>
      <c r="Q4375" s="17"/>
    </row>
    <row r="4376" spans="12:17" x14ac:dyDescent="0.3">
      <c r="L4376" s="25"/>
      <c r="Q4376" s="17"/>
    </row>
    <row r="4377" spans="12:17" x14ac:dyDescent="0.3">
      <c r="L4377" s="25"/>
      <c r="Q4377" s="17"/>
    </row>
    <row r="4378" spans="12:17" x14ac:dyDescent="0.3">
      <c r="L4378" s="25"/>
      <c r="Q4378" s="17"/>
    </row>
    <row r="4379" spans="12:17" x14ac:dyDescent="0.3">
      <c r="L4379" s="25"/>
      <c r="Q4379" s="17"/>
    </row>
    <row r="4380" spans="12:17" x14ac:dyDescent="0.3">
      <c r="L4380" s="25"/>
      <c r="Q4380" s="17"/>
    </row>
    <row r="4381" spans="12:17" x14ac:dyDescent="0.3">
      <c r="L4381" s="25"/>
      <c r="Q4381" s="17"/>
    </row>
    <row r="4382" spans="12:17" x14ac:dyDescent="0.3">
      <c r="L4382" s="25"/>
      <c r="Q4382" s="17"/>
    </row>
    <row r="4383" spans="12:17" x14ac:dyDescent="0.3">
      <c r="L4383" s="25"/>
      <c r="Q4383" s="17"/>
    </row>
    <row r="4384" spans="12:17" x14ac:dyDescent="0.3">
      <c r="L4384" s="25"/>
      <c r="Q4384" s="17"/>
    </row>
    <row r="4385" spans="12:17" x14ac:dyDescent="0.3">
      <c r="L4385" s="25"/>
      <c r="Q4385" s="17"/>
    </row>
    <row r="4386" spans="12:17" x14ac:dyDescent="0.3">
      <c r="L4386" s="25"/>
      <c r="Q4386" s="17"/>
    </row>
    <row r="4387" spans="12:17" x14ac:dyDescent="0.3">
      <c r="L4387" s="25"/>
      <c r="Q4387" s="17"/>
    </row>
    <row r="4388" spans="12:17" x14ac:dyDescent="0.3">
      <c r="L4388" s="25"/>
      <c r="Q4388" s="17"/>
    </row>
    <row r="4389" spans="12:17" x14ac:dyDescent="0.3">
      <c r="L4389" s="25"/>
      <c r="Q4389" s="17"/>
    </row>
    <row r="4390" spans="12:17" x14ac:dyDescent="0.3">
      <c r="L4390" s="25"/>
      <c r="Q4390" s="17"/>
    </row>
    <row r="4391" spans="12:17" x14ac:dyDescent="0.3">
      <c r="L4391" s="25"/>
      <c r="Q4391" s="17"/>
    </row>
    <row r="4392" spans="12:17" x14ac:dyDescent="0.3">
      <c r="L4392" s="25"/>
      <c r="Q4392" s="17"/>
    </row>
    <row r="4393" spans="12:17" x14ac:dyDescent="0.3">
      <c r="L4393" s="25"/>
      <c r="Q4393" s="17"/>
    </row>
    <row r="4394" spans="12:17" x14ac:dyDescent="0.3">
      <c r="L4394" s="25"/>
      <c r="Q4394" s="17"/>
    </row>
    <row r="4395" spans="12:17" x14ac:dyDescent="0.3">
      <c r="L4395" s="25"/>
      <c r="Q4395" s="17"/>
    </row>
    <row r="4396" spans="12:17" x14ac:dyDescent="0.3">
      <c r="L4396" s="25"/>
      <c r="Q4396" s="17"/>
    </row>
    <row r="4397" spans="12:17" x14ac:dyDescent="0.3">
      <c r="L4397" s="25"/>
      <c r="Q4397" s="17"/>
    </row>
    <row r="4398" spans="12:17" x14ac:dyDescent="0.3">
      <c r="L4398" s="25"/>
      <c r="Q4398" s="17"/>
    </row>
    <row r="4399" spans="12:17" x14ac:dyDescent="0.3">
      <c r="L4399" s="25"/>
      <c r="Q4399" s="17"/>
    </row>
    <row r="4400" spans="12:17" x14ac:dyDescent="0.3">
      <c r="L4400" s="25"/>
      <c r="Q4400" s="17"/>
    </row>
    <row r="4401" spans="12:17" x14ac:dyDescent="0.3">
      <c r="L4401" s="25"/>
      <c r="Q4401" s="17"/>
    </row>
    <row r="4402" spans="12:17" x14ac:dyDescent="0.3">
      <c r="L4402" s="25"/>
      <c r="Q4402" s="17"/>
    </row>
    <row r="4403" spans="12:17" x14ac:dyDescent="0.3">
      <c r="L4403" s="25"/>
      <c r="Q4403" s="17"/>
    </row>
    <row r="4404" spans="12:17" x14ac:dyDescent="0.3">
      <c r="L4404" s="25"/>
      <c r="Q4404" s="17"/>
    </row>
    <row r="4405" spans="12:17" x14ac:dyDescent="0.3">
      <c r="L4405" s="25"/>
      <c r="Q4405" s="17"/>
    </row>
    <row r="4406" spans="12:17" x14ac:dyDescent="0.3">
      <c r="L4406" s="25"/>
      <c r="Q4406" s="17"/>
    </row>
    <row r="4407" spans="12:17" x14ac:dyDescent="0.3">
      <c r="L4407" s="25"/>
      <c r="Q4407" s="17"/>
    </row>
    <row r="4408" spans="12:17" x14ac:dyDescent="0.3">
      <c r="L4408" s="25"/>
      <c r="Q4408" s="17"/>
    </row>
    <row r="4409" spans="12:17" x14ac:dyDescent="0.3">
      <c r="L4409" s="25"/>
      <c r="Q4409" s="17"/>
    </row>
    <row r="4410" spans="12:17" x14ac:dyDescent="0.3">
      <c r="L4410" s="25"/>
      <c r="Q4410" s="17"/>
    </row>
    <row r="4411" spans="12:17" x14ac:dyDescent="0.3">
      <c r="L4411" s="25"/>
      <c r="Q4411" s="17"/>
    </row>
    <row r="4412" spans="12:17" x14ac:dyDescent="0.3">
      <c r="L4412" s="25"/>
      <c r="Q4412" s="17"/>
    </row>
    <row r="4413" spans="12:17" x14ac:dyDescent="0.3">
      <c r="L4413" s="25"/>
      <c r="Q4413" s="17"/>
    </row>
    <row r="4414" spans="12:17" x14ac:dyDescent="0.3">
      <c r="L4414" s="25"/>
      <c r="Q4414" s="17"/>
    </row>
    <row r="4415" spans="12:17" x14ac:dyDescent="0.3">
      <c r="L4415" s="25"/>
      <c r="Q4415" s="17"/>
    </row>
    <row r="4416" spans="12:17" x14ac:dyDescent="0.3">
      <c r="L4416" s="25"/>
      <c r="Q4416" s="17"/>
    </row>
    <row r="4417" spans="12:17" x14ac:dyDescent="0.3">
      <c r="L4417" s="25"/>
      <c r="Q4417" s="17"/>
    </row>
    <row r="4418" spans="12:17" x14ac:dyDescent="0.3">
      <c r="L4418" s="25"/>
      <c r="Q4418" s="17"/>
    </row>
    <row r="4419" spans="12:17" x14ac:dyDescent="0.3">
      <c r="L4419" s="25"/>
      <c r="Q4419" s="17"/>
    </row>
    <row r="4420" spans="12:17" x14ac:dyDescent="0.3">
      <c r="L4420" s="25"/>
      <c r="Q4420" s="17"/>
    </row>
    <row r="4421" spans="12:17" x14ac:dyDescent="0.3">
      <c r="L4421" s="25"/>
      <c r="Q4421" s="17"/>
    </row>
    <row r="4422" spans="12:17" x14ac:dyDescent="0.3">
      <c r="L4422" s="25"/>
      <c r="Q4422" s="17"/>
    </row>
    <row r="4423" spans="12:17" x14ac:dyDescent="0.3">
      <c r="L4423" s="25"/>
      <c r="Q4423" s="17"/>
    </row>
    <row r="4424" spans="12:17" x14ac:dyDescent="0.3">
      <c r="L4424" s="25"/>
      <c r="Q4424" s="17"/>
    </row>
    <row r="4425" spans="12:17" x14ac:dyDescent="0.3">
      <c r="L4425" s="25"/>
      <c r="Q4425" s="17"/>
    </row>
    <row r="4426" spans="12:17" x14ac:dyDescent="0.3">
      <c r="L4426" s="25"/>
      <c r="Q4426" s="17"/>
    </row>
    <row r="4427" spans="12:17" x14ac:dyDescent="0.3">
      <c r="L4427" s="25"/>
      <c r="Q4427" s="17"/>
    </row>
    <row r="4428" spans="12:17" x14ac:dyDescent="0.3">
      <c r="L4428" s="25"/>
      <c r="Q4428" s="17"/>
    </row>
    <row r="4429" spans="12:17" x14ac:dyDescent="0.3">
      <c r="L4429" s="25"/>
      <c r="Q4429" s="17"/>
    </row>
    <row r="4430" spans="12:17" x14ac:dyDescent="0.3">
      <c r="L4430" s="25"/>
      <c r="Q4430" s="17"/>
    </row>
    <row r="4431" spans="12:17" x14ac:dyDescent="0.3">
      <c r="L4431" s="25"/>
      <c r="Q4431" s="17"/>
    </row>
    <row r="4432" spans="12:17" x14ac:dyDescent="0.3">
      <c r="L4432" s="25"/>
      <c r="Q4432" s="17"/>
    </row>
    <row r="4433" spans="12:17" x14ac:dyDescent="0.3">
      <c r="L4433" s="25"/>
      <c r="Q4433" s="17"/>
    </row>
    <row r="4434" spans="12:17" x14ac:dyDescent="0.3">
      <c r="L4434" s="25"/>
      <c r="Q4434" s="17"/>
    </row>
    <row r="4435" spans="12:17" x14ac:dyDescent="0.3">
      <c r="L4435" s="25"/>
      <c r="Q4435" s="17"/>
    </row>
    <row r="4436" spans="12:17" x14ac:dyDescent="0.3">
      <c r="L4436" s="25"/>
      <c r="Q4436" s="17"/>
    </row>
    <row r="4437" spans="12:17" x14ac:dyDescent="0.3">
      <c r="L4437" s="25"/>
      <c r="Q4437" s="17"/>
    </row>
    <row r="4438" spans="12:17" x14ac:dyDescent="0.3">
      <c r="L4438" s="25"/>
      <c r="Q4438" s="17"/>
    </row>
    <row r="4439" spans="12:17" x14ac:dyDescent="0.3">
      <c r="L4439" s="25"/>
      <c r="Q4439" s="17"/>
    </row>
    <row r="4440" spans="12:17" x14ac:dyDescent="0.3">
      <c r="L4440" s="25"/>
      <c r="Q4440" s="17"/>
    </row>
    <row r="4441" spans="12:17" x14ac:dyDescent="0.3">
      <c r="L4441" s="25"/>
      <c r="Q4441" s="17"/>
    </row>
    <row r="4442" spans="12:17" x14ac:dyDescent="0.3">
      <c r="L4442" s="25"/>
      <c r="Q4442" s="17"/>
    </row>
    <row r="4443" spans="12:17" x14ac:dyDescent="0.3">
      <c r="L4443" s="25"/>
      <c r="Q4443" s="17"/>
    </row>
    <row r="4444" spans="12:17" x14ac:dyDescent="0.3">
      <c r="L4444" s="25"/>
      <c r="Q4444" s="17"/>
    </row>
    <row r="4445" spans="12:17" x14ac:dyDescent="0.3">
      <c r="L4445" s="25"/>
      <c r="Q4445" s="17"/>
    </row>
    <row r="4446" spans="12:17" x14ac:dyDescent="0.3">
      <c r="L4446" s="25"/>
      <c r="Q4446" s="17"/>
    </row>
    <row r="4447" spans="12:17" x14ac:dyDescent="0.3">
      <c r="L4447" s="25"/>
      <c r="Q4447" s="17"/>
    </row>
    <row r="4448" spans="12:17" x14ac:dyDescent="0.3">
      <c r="L4448" s="25"/>
      <c r="Q4448" s="17"/>
    </row>
    <row r="4449" spans="12:17" x14ac:dyDescent="0.3">
      <c r="L4449" s="25"/>
      <c r="Q4449" s="17"/>
    </row>
    <row r="4450" spans="12:17" x14ac:dyDescent="0.3">
      <c r="L4450" s="25"/>
      <c r="Q4450" s="17"/>
    </row>
    <row r="4451" spans="12:17" x14ac:dyDescent="0.3">
      <c r="L4451" s="25"/>
      <c r="Q4451" s="17"/>
    </row>
    <row r="4452" spans="12:17" x14ac:dyDescent="0.3">
      <c r="L4452" s="25"/>
      <c r="Q4452" s="17"/>
    </row>
    <row r="4453" spans="12:17" x14ac:dyDescent="0.3">
      <c r="L4453" s="25"/>
      <c r="Q4453" s="17"/>
    </row>
    <row r="4454" spans="12:17" x14ac:dyDescent="0.3">
      <c r="L4454" s="25"/>
      <c r="Q4454" s="17"/>
    </row>
    <row r="4455" spans="12:17" x14ac:dyDescent="0.3">
      <c r="L4455" s="25"/>
      <c r="Q4455" s="17"/>
    </row>
    <row r="4456" spans="12:17" x14ac:dyDescent="0.3">
      <c r="L4456" s="25"/>
      <c r="Q4456" s="17"/>
    </row>
    <row r="4457" spans="12:17" x14ac:dyDescent="0.3">
      <c r="L4457" s="25"/>
      <c r="Q4457" s="17"/>
    </row>
    <row r="4458" spans="12:17" x14ac:dyDescent="0.3">
      <c r="L4458" s="25"/>
      <c r="Q4458" s="17"/>
    </row>
    <row r="4459" spans="12:17" x14ac:dyDescent="0.3">
      <c r="L4459" s="25"/>
      <c r="Q4459" s="17"/>
    </row>
    <row r="4460" spans="12:17" x14ac:dyDescent="0.3">
      <c r="L4460" s="25"/>
      <c r="Q4460" s="17"/>
    </row>
    <row r="4461" spans="12:17" x14ac:dyDescent="0.3">
      <c r="L4461" s="25"/>
      <c r="Q4461" s="17"/>
    </row>
    <row r="4462" spans="12:17" x14ac:dyDescent="0.3">
      <c r="L4462" s="25"/>
      <c r="Q4462" s="17"/>
    </row>
    <row r="4463" spans="12:17" x14ac:dyDescent="0.3">
      <c r="L4463" s="25"/>
      <c r="Q4463" s="17"/>
    </row>
    <row r="4464" spans="12:17" x14ac:dyDescent="0.3">
      <c r="L4464" s="25"/>
      <c r="Q4464" s="17"/>
    </row>
    <row r="4465" spans="12:17" x14ac:dyDescent="0.3">
      <c r="L4465" s="25"/>
      <c r="Q4465" s="17"/>
    </row>
    <row r="4466" spans="12:17" x14ac:dyDescent="0.3">
      <c r="L4466" s="25"/>
      <c r="Q4466" s="17"/>
    </row>
    <row r="4467" spans="12:17" x14ac:dyDescent="0.3">
      <c r="L4467" s="25"/>
      <c r="Q4467" s="17"/>
    </row>
    <row r="4468" spans="12:17" x14ac:dyDescent="0.3">
      <c r="L4468" s="25"/>
      <c r="Q4468" s="17"/>
    </row>
    <row r="4469" spans="12:17" x14ac:dyDescent="0.3">
      <c r="L4469" s="25"/>
      <c r="Q4469" s="17"/>
    </row>
    <row r="4470" spans="12:17" x14ac:dyDescent="0.3">
      <c r="L4470" s="25"/>
      <c r="Q4470" s="17"/>
    </row>
    <row r="4471" spans="12:17" x14ac:dyDescent="0.3">
      <c r="L4471" s="25"/>
      <c r="Q4471" s="17"/>
    </row>
    <row r="4472" spans="12:17" x14ac:dyDescent="0.3">
      <c r="L4472" s="25"/>
      <c r="Q4472" s="17"/>
    </row>
    <row r="4473" spans="12:17" x14ac:dyDescent="0.3">
      <c r="L4473" s="25"/>
      <c r="Q4473" s="17"/>
    </row>
    <row r="4474" spans="12:17" x14ac:dyDescent="0.3">
      <c r="L4474" s="25"/>
      <c r="Q4474" s="17"/>
    </row>
    <row r="4475" spans="12:17" x14ac:dyDescent="0.3">
      <c r="L4475" s="25"/>
      <c r="Q4475" s="17"/>
    </row>
    <row r="4476" spans="12:17" x14ac:dyDescent="0.3">
      <c r="L4476" s="25"/>
      <c r="Q4476" s="17"/>
    </row>
    <row r="4477" spans="12:17" x14ac:dyDescent="0.3">
      <c r="L4477" s="25"/>
      <c r="Q4477" s="17"/>
    </row>
    <row r="4478" spans="12:17" x14ac:dyDescent="0.3">
      <c r="L4478" s="25"/>
      <c r="Q4478" s="17"/>
    </row>
    <row r="4479" spans="12:17" x14ac:dyDescent="0.3">
      <c r="L4479" s="25"/>
      <c r="Q4479" s="17"/>
    </row>
    <row r="4480" spans="12:17" x14ac:dyDescent="0.3">
      <c r="L4480" s="25"/>
      <c r="Q4480" s="17"/>
    </row>
    <row r="4481" spans="12:17" x14ac:dyDescent="0.3">
      <c r="L4481" s="25"/>
      <c r="Q4481" s="17"/>
    </row>
    <row r="4482" spans="12:17" x14ac:dyDescent="0.3">
      <c r="L4482" s="25"/>
      <c r="Q4482" s="17"/>
    </row>
    <row r="4483" spans="12:17" x14ac:dyDescent="0.3">
      <c r="L4483" s="25"/>
      <c r="Q4483" s="17"/>
    </row>
    <row r="4484" spans="12:17" x14ac:dyDescent="0.3">
      <c r="L4484" s="25"/>
      <c r="Q4484" s="17"/>
    </row>
    <row r="4485" spans="12:17" x14ac:dyDescent="0.3">
      <c r="L4485" s="25"/>
      <c r="Q4485" s="17"/>
    </row>
    <row r="4486" spans="12:17" x14ac:dyDescent="0.3">
      <c r="L4486" s="25"/>
      <c r="Q4486" s="17"/>
    </row>
    <row r="4487" spans="12:17" x14ac:dyDescent="0.3">
      <c r="L4487" s="25"/>
      <c r="Q4487" s="17"/>
    </row>
    <row r="4488" spans="12:17" x14ac:dyDescent="0.3">
      <c r="L4488" s="25"/>
      <c r="Q4488" s="17"/>
    </row>
    <row r="4489" spans="12:17" x14ac:dyDescent="0.3">
      <c r="L4489" s="25"/>
      <c r="Q4489" s="17"/>
    </row>
    <row r="4490" spans="12:17" x14ac:dyDescent="0.3">
      <c r="L4490" s="25"/>
      <c r="Q4490" s="17"/>
    </row>
    <row r="4491" spans="12:17" x14ac:dyDescent="0.3">
      <c r="L4491" s="25"/>
      <c r="Q4491" s="17"/>
    </row>
    <row r="4492" spans="12:17" x14ac:dyDescent="0.3">
      <c r="L4492" s="25"/>
      <c r="Q4492" s="17"/>
    </row>
    <row r="4493" spans="12:17" x14ac:dyDescent="0.3">
      <c r="L4493" s="25"/>
      <c r="Q4493" s="17"/>
    </row>
    <row r="4494" spans="12:17" x14ac:dyDescent="0.3">
      <c r="L4494" s="25"/>
      <c r="Q4494" s="17"/>
    </row>
    <row r="4495" spans="12:17" x14ac:dyDescent="0.3">
      <c r="L4495" s="25"/>
      <c r="Q4495" s="17"/>
    </row>
    <row r="4496" spans="12:17" x14ac:dyDescent="0.3">
      <c r="L4496" s="25"/>
      <c r="Q4496" s="17"/>
    </row>
    <row r="4497" spans="12:17" x14ac:dyDescent="0.3">
      <c r="L4497" s="25"/>
      <c r="Q4497" s="17"/>
    </row>
    <row r="4498" spans="12:17" x14ac:dyDescent="0.3">
      <c r="L4498" s="25"/>
      <c r="Q4498" s="17"/>
    </row>
    <row r="4499" spans="12:17" x14ac:dyDescent="0.3">
      <c r="L4499" s="25"/>
      <c r="Q4499" s="17"/>
    </row>
    <row r="4500" spans="12:17" x14ac:dyDescent="0.3">
      <c r="L4500" s="25"/>
      <c r="Q4500" s="17"/>
    </row>
    <row r="4501" spans="12:17" x14ac:dyDescent="0.3">
      <c r="L4501" s="25"/>
      <c r="Q4501" s="17"/>
    </row>
    <row r="4502" spans="12:17" x14ac:dyDescent="0.3">
      <c r="L4502" s="25"/>
      <c r="Q4502" s="17"/>
    </row>
    <row r="4503" spans="12:17" x14ac:dyDescent="0.3">
      <c r="L4503" s="25"/>
      <c r="Q4503" s="17"/>
    </row>
    <row r="4504" spans="12:17" x14ac:dyDescent="0.3">
      <c r="L4504" s="25"/>
      <c r="Q4504" s="17"/>
    </row>
    <row r="4505" spans="12:17" x14ac:dyDescent="0.3">
      <c r="L4505" s="25"/>
      <c r="Q4505" s="17"/>
    </row>
    <row r="4506" spans="12:17" x14ac:dyDescent="0.3">
      <c r="L4506" s="25"/>
      <c r="Q4506" s="17"/>
    </row>
    <row r="4507" spans="12:17" x14ac:dyDescent="0.3">
      <c r="L4507" s="25"/>
      <c r="Q4507" s="17"/>
    </row>
    <row r="4508" spans="12:17" x14ac:dyDescent="0.3">
      <c r="L4508" s="25"/>
      <c r="Q4508" s="17"/>
    </row>
    <row r="4509" spans="12:17" x14ac:dyDescent="0.3">
      <c r="L4509" s="25"/>
      <c r="Q4509" s="17"/>
    </row>
    <row r="4510" spans="12:17" x14ac:dyDescent="0.3">
      <c r="L4510" s="25"/>
      <c r="Q4510" s="17"/>
    </row>
    <row r="4511" spans="12:17" x14ac:dyDescent="0.3">
      <c r="L4511" s="25"/>
      <c r="Q4511" s="17"/>
    </row>
    <row r="4512" spans="12:17" x14ac:dyDescent="0.3">
      <c r="L4512" s="25"/>
      <c r="Q4512" s="17"/>
    </row>
    <row r="4513" spans="12:17" x14ac:dyDescent="0.3">
      <c r="L4513" s="25"/>
      <c r="Q4513" s="17"/>
    </row>
    <row r="4514" spans="12:17" x14ac:dyDescent="0.3">
      <c r="L4514" s="25"/>
      <c r="Q4514" s="17"/>
    </row>
    <row r="4515" spans="12:17" x14ac:dyDescent="0.3">
      <c r="L4515" s="25"/>
      <c r="Q4515" s="17"/>
    </row>
    <row r="4516" spans="12:17" x14ac:dyDescent="0.3">
      <c r="L4516" s="25"/>
      <c r="Q4516" s="17"/>
    </row>
    <row r="4517" spans="12:17" x14ac:dyDescent="0.3">
      <c r="L4517" s="25"/>
      <c r="Q4517" s="17"/>
    </row>
    <row r="4518" spans="12:17" x14ac:dyDescent="0.3">
      <c r="L4518" s="25"/>
      <c r="Q4518" s="17"/>
    </row>
    <row r="4519" spans="12:17" x14ac:dyDescent="0.3">
      <c r="L4519" s="25"/>
      <c r="Q4519" s="17"/>
    </row>
    <row r="4520" spans="12:17" x14ac:dyDescent="0.3">
      <c r="L4520" s="25"/>
      <c r="Q4520" s="17"/>
    </row>
    <row r="4521" spans="12:17" x14ac:dyDescent="0.3">
      <c r="L4521" s="25"/>
      <c r="Q4521" s="17"/>
    </row>
    <row r="4522" spans="12:17" x14ac:dyDescent="0.3">
      <c r="L4522" s="25"/>
      <c r="Q4522" s="17"/>
    </row>
    <row r="4523" spans="12:17" x14ac:dyDescent="0.3">
      <c r="L4523" s="25"/>
      <c r="Q4523" s="17"/>
    </row>
    <row r="4524" spans="12:17" x14ac:dyDescent="0.3">
      <c r="L4524" s="25"/>
      <c r="Q4524" s="17"/>
    </row>
    <row r="4525" spans="12:17" x14ac:dyDescent="0.3">
      <c r="L4525" s="25"/>
      <c r="Q4525" s="17"/>
    </row>
    <row r="4526" spans="12:17" x14ac:dyDescent="0.3">
      <c r="L4526" s="25"/>
      <c r="Q4526" s="17"/>
    </row>
    <row r="4527" spans="12:17" x14ac:dyDescent="0.3">
      <c r="L4527" s="25"/>
      <c r="Q4527" s="17"/>
    </row>
    <row r="4528" spans="12:17" x14ac:dyDescent="0.3">
      <c r="L4528" s="25"/>
      <c r="Q4528" s="17"/>
    </row>
    <row r="4529" spans="12:17" x14ac:dyDescent="0.3">
      <c r="L4529" s="25"/>
      <c r="Q4529" s="17"/>
    </row>
    <row r="4530" spans="12:17" x14ac:dyDescent="0.3">
      <c r="L4530" s="25"/>
      <c r="Q4530" s="17"/>
    </row>
    <row r="4531" spans="12:17" x14ac:dyDescent="0.3">
      <c r="L4531" s="25"/>
      <c r="Q4531" s="17"/>
    </row>
    <row r="4532" spans="12:17" x14ac:dyDescent="0.3">
      <c r="L4532" s="25"/>
      <c r="Q4532" s="17"/>
    </row>
    <row r="4533" spans="12:17" x14ac:dyDescent="0.3">
      <c r="L4533" s="25"/>
      <c r="Q4533" s="17"/>
    </row>
    <row r="4534" spans="12:17" x14ac:dyDescent="0.3">
      <c r="L4534" s="25"/>
      <c r="Q4534" s="17"/>
    </row>
    <row r="4535" spans="12:17" x14ac:dyDescent="0.3">
      <c r="L4535" s="25"/>
      <c r="Q4535" s="17"/>
    </row>
    <row r="4536" spans="12:17" x14ac:dyDescent="0.3">
      <c r="L4536" s="25"/>
      <c r="Q4536" s="17"/>
    </row>
    <row r="4537" spans="12:17" x14ac:dyDescent="0.3">
      <c r="L4537" s="25"/>
      <c r="Q4537" s="17"/>
    </row>
    <row r="4538" spans="12:17" x14ac:dyDescent="0.3">
      <c r="L4538" s="25"/>
      <c r="Q4538" s="17"/>
    </row>
    <row r="4539" spans="12:17" x14ac:dyDescent="0.3">
      <c r="L4539" s="25"/>
      <c r="Q4539" s="17"/>
    </row>
    <row r="4540" spans="12:17" x14ac:dyDescent="0.3">
      <c r="L4540" s="25"/>
      <c r="Q4540" s="17"/>
    </row>
    <row r="4541" spans="12:17" x14ac:dyDescent="0.3">
      <c r="L4541" s="25"/>
      <c r="Q4541" s="17"/>
    </row>
    <row r="4542" spans="12:17" x14ac:dyDescent="0.3">
      <c r="L4542" s="25"/>
      <c r="Q4542" s="17"/>
    </row>
    <row r="4543" spans="12:17" x14ac:dyDescent="0.3">
      <c r="L4543" s="25"/>
      <c r="Q4543" s="17"/>
    </row>
    <row r="4544" spans="12:17" x14ac:dyDescent="0.3">
      <c r="L4544" s="25"/>
      <c r="Q4544" s="17"/>
    </row>
    <row r="4545" spans="12:17" x14ac:dyDescent="0.3">
      <c r="L4545" s="25"/>
      <c r="Q4545" s="17"/>
    </row>
    <row r="4546" spans="12:17" x14ac:dyDescent="0.3">
      <c r="L4546" s="25"/>
      <c r="Q4546" s="17"/>
    </row>
    <row r="4547" spans="12:17" x14ac:dyDescent="0.3">
      <c r="L4547" s="25"/>
      <c r="Q4547" s="17"/>
    </row>
    <row r="4548" spans="12:17" x14ac:dyDescent="0.3">
      <c r="L4548" s="25"/>
      <c r="Q4548" s="17"/>
    </row>
    <row r="4549" spans="12:17" x14ac:dyDescent="0.3">
      <c r="L4549" s="25"/>
      <c r="Q4549" s="17"/>
    </row>
    <row r="4550" spans="12:17" x14ac:dyDescent="0.3">
      <c r="L4550" s="25"/>
      <c r="Q4550" s="17"/>
    </row>
    <row r="4551" spans="12:17" x14ac:dyDescent="0.3">
      <c r="L4551" s="25"/>
      <c r="Q4551" s="17"/>
    </row>
    <row r="4552" spans="12:17" x14ac:dyDescent="0.3">
      <c r="L4552" s="25"/>
      <c r="Q4552" s="17"/>
    </row>
    <row r="4553" spans="12:17" x14ac:dyDescent="0.3">
      <c r="L4553" s="25"/>
      <c r="Q4553" s="17"/>
    </row>
    <row r="4554" spans="12:17" x14ac:dyDescent="0.3">
      <c r="L4554" s="25"/>
      <c r="Q4554" s="17"/>
    </row>
    <row r="4555" spans="12:17" x14ac:dyDescent="0.3">
      <c r="L4555" s="25"/>
      <c r="Q4555" s="17"/>
    </row>
    <row r="4556" spans="12:17" x14ac:dyDescent="0.3">
      <c r="L4556" s="25"/>
      <c r="Q4556" s="17"/>
    </row>
    <row r="4557" spans="12:17" x14ac:dyDescent="0.3">
      <c r="L4557" s="25"/>
      <c r="Q4557" s="17"/>
    </row>
    <row r="4558" spans="12:17" x14ac:dyDescent="0.3">
      <c r="L4558" s="25"/>
      <c r="Q4558" s="17"/>
    </row>
    <row r="4559" spans="12:17" x14ac:dyDescent="0.3">
      <c r="L4559" s="25"/>
      <c r="Q4559" s="17"/>
    </row>
    <row r="4560" spans="12:17" x14ac:dyDescent="0.3">
      <c r="L4560" s="25"/>
      <c r="Q4560" s="17"/>
    </row>
    <row r="4561" spans="12:17" x14ac:dyDescent="0.3">
      <c r="L4561" s="25"/>
      <c r="Q4561" s="17"/>
    </row>
    <row r="4562" spans="12:17" x14ac:dyDescent="0.3">
      <c r="L4562" s="25"/>
      <c r="Q4562" s="17"/>
    </row>
    <row r="4563" spans="12:17" x14ac:dyDescent="0.3">
      <c r="L4563" s="25"/>
      <c r="Q4563" s="17"/>
    </row>
    <row r="4564" spans="12:17" x14ac:dyDescent="0.3">
      <c r="L4564" s="25"/>
      <c r="Q4564" s="17"/>
    </row>
    <row r="4565" spans="12:17" x14ac:dyDescent="0.3">
      <c r="L4565" s="25"/>
      <c r="Q4565" s="17"/>
    </row>
    <row r="4566" spans="12:17" x14ac:dyDescent="0.3">
      <c r="L4566" s="25"/>
      <c r="Q4566" s="17"/>
    </row>
    <row r="4567" spans="12:17" x14ac:dyDescent="0.3">
      <c r="L4567" s="25"/>
      <c r="Q4567" s="17"/>
    </row>
    <row r="4568" spans="12:17" x14ac:dyDescent="0.3">
      <c r="L4568" s="25"/>
      <c r="Q4568" s="17"/>
    </row>
    <row r="4569" spans="12:17" x14ac:dyDescent="0.3">
      <c r="L4569" s="25"/>
      <c r="Q4569" s="17"/>
    </row>
    <row r="4570" spans="12:17" x14ac:dyDescent="0.3">
      <c r="L4570" s="25"/>
      <c r="Q4570" s="17"/>
    </row>
    <row r="4571" spans="12:17" x14ac:dyDescent="0.3">
      <c r="L4571" s="25"/>
      <c r="Q4571" s="17"/>
    </row>
    <row r="4572" spans="12:17" x14ac:dyDescent="0.3">
      <c r="L4572" s="25"/>
      <c r="Q4572" s="17"/>
    </row>
    <row r="4573" spans="12:17" x14ac:dyDescent="0.3">
      <c r="L4573" s="25"/>
      <c r="Q4573" s="17"/>
    </row>
    <row r="4574" spans="12:17" x14ac:dyDescent="0.3">
      <c r="L4574" s="25"/>
      <c r="Q4574" s="17"/>
    </row>
    <row r="4575" spans="12:17" x14ac:dyDescent="0.3">
      <c r="L4575" s="25"/>
      <c r="Q4575" s="17"/>
    </row>
    <row r="4576" spans="12:17" x14ac:dyDescent="0.3">
      <c r="L4576" s="25"/>
      <c r="Q4576" s="17"/>
    </row>
    <row r="4577" spans="12:17" x14ac:dyDescent="0.3">
      <c r="L4577" s="25"/>
      <c r="Q4577" s="17"/>
    </row>
    <row r="4578" spans="12:17" x14ac:dyDescent="0.3">
      <c r="L4578" s="25"/>
      <c r="Q4578" s="17"/>
    </row>
    <row r="4579" spans="12:17" x14ac:dyDescent="0.3">
      <c r="L4579" s="25"/>
      <c r="Q4579" s="17"/>
    </row>
    <row r="4580" spans="12:17" x14ac:dyDescent="0.3">
      <c r="L4580" s="25"/>
      <c r="Q4580" s="17"/>
    </row>
    <row r="4581" spans="12:17" x14ac:dyDescent="0.3">
      <c r="L4581" s="25"/>
      <c r="Q4581" s="17"/>
    </row>
    <row r="4582" spans="12:17" x14ac:dyDescent="0.3">
      <c r="L4582" s="25"/>
      <c r="Q4582" s="17"/>
    </row>
    <row r="4583" spans="12:17" x14ac:dyDescent="0.3">
      <c r="L4583" s="25"/>
      <c r="Q4583" s="17"/>
    </row>
    <row r="4584" spans="12:17" x14ac:dyDescent="0.3">
      <c r="L4584" s="25"/>
      <c r="Q4584" s="17"/>
    </row>
    <row r="4585" spans="12:17" x14ac:dyDescent="0.3">
      <c r="L4585" s="25"/>
      <c r="Q4585" s="17"/>
    </row>
    <row r="4586" spans="12:17" x14ac:dyDescent="0.3">
      <c r="L4586" s="25"/>
      <c r="Q4586" s="17"/>
    </row>
    <row r="4587" spans="12:17" x14ac:dyDescent="0.3">
      <c r="L4587" s="25"/>
      <c r="Q4587" s="17"/>
    </row>
    <row r="4588" spans="12:17" x14ac:dyDescent="0.3">
      <c r="L4588" s="25"/>
      <c r="Q4588" s="17"/>
    </row>
    <row r="4589" spans="12:17" x14ac:dyDescent="0.3">
      <c r="L4589" s="25"/>
      <c r="Q4589" s="17"/>
    </row>
    <row r="4590" spans="12:17" x14ac:dyDescent="0.3">
      <c r="L4590" s="25"/>
      <c r="Q4590" s="17"/>
    </row>
    <row r="4591" spans="12:17" x14ac:dyDescent="0.3">
      <c r="L4591" s="25"/>
      <c r="Q4591" s="17"/>
    </row>
    <row r="4592" spans="12:17" x14ac:dyDescent="0.3">
      <c r="L4592" s="25"/>
      <c r="Q4592" s="17"/>
    </row>
    <row r="4593" spans="12:17" x14ac:dyDescent="0.3">
      <c r="L4593" s="25"/>
      <c r="Q4593" s="17"/>
    </row>
    <row r="4594" spans="12:17" x14ac:dyDescent="0.3">
      <c r="L4594" s="25"/>
      <c r="Q4594" s="17"/>
    </row>
    <row r="4595" spans="12:17" x14ac:dyDescent="0.3">
      <c r="L4595" s="25"/>
      <c r="Q4595" s="17"/>
    </row>
    <row r="4596" spans="12:17" x14ac:dyDescent="0.3">
      <c r="L4596" s="25"/>
      <c r="Q4596" s="17"/>
    </row>
    <row r="4597" spans="12:17" x14ac:dyDescent="0.3">
      <c r="L4597" s="25"/>
      <c r="Q4597" s="17"/>
    </row>
    <row r="4598" spans="12:17" x14ac:dyDescent="0.3">
      <c r="L4598" s="25"/>
      <c r="Q4598" s="17"/>
    </row>
    <row r="4599" spans="12:17" x14ac:dyDescent="0.3">
      <c r="L4599" s="25"/>
      <c r="Q4599" s="17"/>
    </row>
    <row r="4600" spans="12:17" x14ac:dyDescent="0.3">
      <c r="L4600" s="25"/>
      <c r="Q4600" s="17"/>
    </row>
    <row r="4601" spans="12:17" x14ac:dyDescent="0.3">
      <c r="L4601" s="25"/>
      <c r="Q4601" s="17"/>
    </row>
    <row r="4602" spans="12:17" x14ac:dyDescent="0.3">
      <c r="L4602" s="25"/>
      <c r="Q4602" s="17"/>
    </row>
    <row r="4603" spans="12:17" x14ac:dyDescent="0.3">
      <c r="L4603" s="25"/>
      <c r="Q4603" s="17"/>
    </row>
    <row r="4604" spans="12:17" x14ac:dyDescent="0.3">
      <c r="L4604" s="25"/>
      <c r="Q4604" s="17"/>
    </row>
    <row r="4605" spans="12:17" x14ac:dyDescent="0.3">
      <c r="L4605" s="25"/>
      <c r="Q4605" s="17"/>
    </row>
    <row r="4606" spans="12:17" x14ac:dyDescent="0.3">
      <c r="L4606" s="25"/>
      <c r="Q4606" s="17"/>
    </row>
    <row r="4607" spans="12:17" x14ac:dyDescent="0.3">
      <c r="L4607" s="25"/>
      <c r="Q4607" s="17"/>
    </row>
    <row r="4608" spans="12:17" x14ac:dyDescent="0.3">
      <c r="L4608" s="25"/>
      <c r="Q4608" s="17"/>
    </row>
    <row r="4609" spans="12:17" x14ac:dyDescent="0.3">
      <c r="L4609" s="25"/>
      <c r="Q4609" s="17"/>
    </row>
    <row r="4610" spans="12:17" x14ac:dyDescent="0.3">
      <c r="L4610" s="25"/>
      <c r="Q4610" s="17"/>
    </row>
    <row r="4611" spans="12:17" x14ac:dyDescent="0.3">
      <c r="L4611" s="25"/>
      <c r="Q4611" s="17"/>
    </row>
    <row r="4612" spans="12:17" x14ac:dyDescent="0.3">
      <c r="L4612" s="25"/>
      <c r="Q4612" s="17"/>
    </row>
    <row r="4613" spans="12:17" x14ac:dyDescent="0.3">
      <c r="L4613" s="25"/>
      <c r="Q4613" s="17"/>
    </row>
    <row r="4614" spans="12:17" x14ac:dyDescent="0.3">
      <c r="L4614" s="25"/>
      <c r="Q4614" s="17"/>
    </row>
    <row r="4615" spans="12:17" x14ac:dyDescent="0.3">
      <c r="L4615" s="25"/>
      <c r="Q4615" s="17"/>
    </row>
    <row r="4616" spans="12:17" x14ac:dyDescent="0.3">
      <c r="L4616" s="25"/>
      <c r="Q4616" s="17"/>
    </row>
    <row r="4617" spans="12:17" x14ac:dyDescent="0.3">
      <c r="L4617" s="25"/>
      <c r="Q4617" s="17"/>
    </row>
    <row r="4618" spans="12:17" x14ac:dyDescent="0.3">
      <c r="L4618" s="25"/>
      <c r="Q4618" s="17"/>
    </row>
    <row r="4619" spans="12:17" x14ac:dyDescent="0.3">
      <c r="L4619" s="25"/>
      <c r="Q4619" s="17"/>
    </row>
    <row r="4620" spans="12:17" x14ac:dyDescent="0.3">
      <c r="L4620" s="25"/>
      <c r="Q4620" s="17"/>
    </row>
    <row r="4621" spans="12:17" x14ac:dyDescent="0.3">
      <c r="L4621" s="25"/>
      <c r="Q4621" s="17"/>
    </row>
    <row r="4622" spans="12:17" x14ac:dyDescent="0.3">
      <c r="L4622" s="25"/>
      <c r="Q4622" s="17"/>
    </row>
    <row r="4623" spans="12:17" x14ac:dyDescent="0.3">
      <c r="L4623" s="25"/>
      <c r="Q4623" s="17"/>
    </row>
    <row r="4624" spans="12:17" x14ac:dyDescent="0.3">
      <c r="L4624" s="25"/>
      <c r="Q4624" s="17"/>
    </row>
    <row r="4625" spans="12:17" x14ac:dyDescent="0.3">
      <c r="L4625" s="25"/>
      <c r="Q4625" s="17"/>
    </row>
    <row r="4626" spans="12:17" x14ac:dyDescent="0.3">
      <c r="L4626" s="25"/>
      <c r="Q4626" s="17"/>
    </row>
    <row r="4627" spans="12:17" x14ac:dyDescent="0.3">
      <c r="L4627" s="25"/>
      <c r="Q4627" s="17"/>
    </row>
    <row r="4628" spans="12:17" x14ac:dyDescent="0.3">
      <c r="L4628" s="25"/>
      <c r="Q4628" s="17"/>
    </row>
    <row r="4629" spans="12:17" x14ac:dyDescent="0.3">
      <c r="L4629" s="25"/>
      <c r="Q4629" s="17"/>
    </row>
    <row r="4630" spans="12:17" x14ac:dyDescent="0.3">
      <c r="L4630" s="25"/>
      <c r="Q4630" s="17"/>
    </row>
    <row r="4631" spans="12:17" x14ac:dyDescent="0.3">
      <c r="L4631" s="25"/>
      <c r="Q4631" s="17"/>
    </row>
    <row r="4632" spans="12:17" x14ac:dyDescent="0.3">
      <c r="L4632" s="25"/>
      <c r="Q4632" s="17"/>
    </row>
    <row r="4633" spans="12:17" x14ac:dyDescent="0.3">
      <c r="L4633" s="25"/>
      <c r="Q4633" s="17"/>
    </row>
    <row r="4634" spans="12:17" x14ac:dyDescent="0.3">
      <c r="L4634" s="25"/>
      <c r="Q4634" s="17"/>
    </row>
    <row r="4635" spans="12:17" x14ac:dyDescent="0.3">
      <c r="L4635" s="25"/>
      <c r="Q4635" s="17"/>
    </row>
    <row r="4636" spans="12:17" x14ac:dyDescent="0.3">
      <c r="L4636" s="25"/>
      <c r="Q4636" s="17"/>
    </row>
    <row r="4637" spans="12:17" x14ac:dyDescent="0.3">
      <c r="L4637" s="25"/>
      <c r="Q4637" s="17"/>
    </row>
    <row r="4638" spans="12:17" x14ac:dyDescent="0.3">
      <c r="L4638" s="25"/>
      <c r="Q4638" s="17"/>
    </row>
    <row r="4639" spans="12:17" x14ac:dyDescent="0.3">
      <c r="L4639" s="25"/>
      <c r="Q4639" s="17"/>
    </row>
    <row r="4640" spans="12:17" x14ac:dyDescent="0.3">
      <c r="L4640" s="25"/>
      <c r="Q4640" s="17"/>
    </row>
    <row r="4641" spans="12:17" x14ac:dyDescent="0.3">
      <c r="L4641" s="25"/>
      <c r="Q4641" s="17"/>
    </row>
    <row r="4642" spans="12:17" x14ac:dyDescent="0.3">
      <c r="L4642" s="25"/>
      <c r="Q4642" s="17"/>
    </row>
    <row r="4643" spans="12:17" x14ac:dyDescent="0.3">
      <c r="L4643" s="25"/>
      <c r="Q4643" s="17"/>
    </row>
    <row r="4644" spans="12:17" x14ac:dyDescent="0.3">
      <c r="L4644" s="25"/>
      <c r="Q4644" s="17"/>
    </row>
    <row r="4645" spans="12:17" x14ac:dyDescent="0.3">
      <c r="L4645" s="25"/>
      <c r="Q4645" s="17"/>
    </row>
    <row r="4646" spans="12:17" x14ac:dyDescent="0.3">
      <c r="L4646" s="25"/>
      <c r="Q4646" s="17"/>
    </row>
    <row r="4647" spans="12:17" x14ac:dyDescent="0.3">
      <c r="L4647" s="25"/>
      <c r="Q4647" s="17"/>
    </row>
    <row r="4648" spans="12:17" x14ac:dyDescent="0.3">
      <c r="L4648" s="25"/>
      <c r="Q4648" s="17"/>
    </row>
    <row r="4649" spans="12:17" x14ac:dyDescent="0.3">
      <c r="L4649" s="25"/>
      <c r="Q4649" s="17"/>
    </row>
    <row r="4650" spans="12:17" x14ac:dyDescent="0.3">
      <c r="L4650" s="25"/>
      <c r="Q4650" s="17"/>
    </row>
    <row r="4651" spans="12:17" x14ac:dyDescent="0.3">
      <c r="L4651" s="25"/>
      <c r="Q4651" s="17"/>
    </row>
    <row r="4652" spans="12:17" x14ac:dyDescent="0.3">
      <c r="L4652" s="25"/>
      <c r="Q4652" s="17"/>
    </row>
    <row r="4653" spans="12:17" x14ac:dyDescent="0.3">
      <c r="L4653" s="25"/>
      <c r="Q4653" s="17"/>
    </row>
    <row r="4654" spans="12:17" x14ac:dyDescent="0.3">
      <c r="L4654" s="25"/>
      <c r="Q4654" s="17"/>
    </row>
    <row r="4655" spans="12:17" x14ac:dyDescent="0.3">
      <c r="L4655" s="25"/>
      <c r="Q4655" s="17"/>
    </row>
    <row r="4656" spans="12:17" x14ac:dyDescent="0.3">
      <c r="L4656" s="25"/>
      <c r="Q4656" s="17"/>
    </row>
    <row r="4657" spans="12:17" x14ac:dyDescent="0.3">
      <c r="L4657" s="25"/>
      <c r="Q4657" s="17"/>
    </row>
    <row r="4658" spans="12:17" x14ac:dyDescent="0.3">
      <c r="L4658" s="25"/>
      <c r="Q4658" s="17"/>
    </row>
    <row r="4659" spans="12:17" x14ac:dyDescent="0.3">
      <c r="L4659" s="25"/>
      <c r="Q4659" s="17"/>
    </row>
    <row r="4660" spans="12:17" x14ac:dyDescent="0.3">
      <c r="L4660" s="25"/>
      <c r="Q4660" s="17"/>
    </row>
    <row r="4661" spans="12:17" x14ac:dyDescent="0.3">
      <c r="L4661" s="25"/>
      <c r="Q4661" s="17"/>
    </row>
    <row r="4662" spans="12:17" x14ac:dyDescent="0.3">
      <c r="L4662" s="25"/>
      <c r="Q4662" s="17"/>
    </row>
    <row r="4663" spans="12:17" x14ac:dyDescent="0.3">
      <c r="L4663" s="25"/>
      <c r="Q4663" s="17"/>
    </row>
    <row r="4664" spans="12:17" x14ac:dyDescent="0.3">
      <c r="L4664" s="25"/>
      <c r="Q4664" s="17"/>
    </row>
    <row r="4665" spans="12:17" x14ac:dyDescent="0.3">
      <c r="L4665" s="25"/>
      <c r="Q4665" s="17"/>
    </row>
    <row r="4666" spans="12:17" x14ac:dyDescent="0.3">
      <c r="L4666" s="25"/>
      <c r="Q4666" s="17"/>
    </row>
    <row r="4667" spans="12:17" x14ac:dyDescent="0.3">
      <c r="L4667" s="25"/>
      <c r="Q4667" s="17"/>
    </row>
    <row r="4668" spans="12:17" x14ac:dyDescent="0.3">
      <c r="L4668" s="25"/>
      <c r="Q4668" s="17"/>
    </row>
    <row r="4669" spans="12:17" x14ac:dyDescent="0.3">
      <c r="L4669" s="25"/>
      <c r="Q4669" s="17"/>
    </row>
    <row r="4670" spans="12:17" x14ac:dyDescent="0.3">
      <c r="L4670" s="25"/>
      <c r="Q4670" s="17"/>
    </row>
    <row r="4671" spans="12:17" x14ac:dyDescent="0.3">
      <c r="L4671" s="25"/>
      <c r="Q4671" s="17"/>
    </row>
    <row r="4672" spans="12:17" x14ac:dyDescent="0.3">
      <c r="L4672" s="25"/>
      <c r="Q4672" s="17"/>
    </row>
    <row r="4673" spans="12:17" x14ac:dyDescent="0.3">
      <c r="L4673" s="25"/>
      <c r="Q4673" s="17"/>
    </row>
    <row r="4674" spans="12:17" x14ac:dyDescent="0.3">
      <c r="L4674" s="25"/>
      <c r="Q4674" s="17"/>
    </row>
    <row r="4675" spans="12:17" x14ac:dyDescent="0.3">
      <c r="L4675" s="25"/>
      <c r="Q4675" s="17"/>
    </row>
    <row r="4676" spans="12:17" x14ac:dyDescent="0.3">
      <c r="L4676" s="25"/>
      <c r="Q4676" s="17"/>
    </row>
    <row r="4677" spans="12:17" x14ac:dyDescent="0.3">
      <c r="L4677" s="25"/>
      <c r="Q4677" s="17"/>
    </row>
    <row r="4678" spans="12:17" x14ac:dyDescent="0.3">
      <c r="L4678" s="25"/>
      <c r="Q4678" s="17"/>
    </row>
    <row r="4679" spans="12:17" x14ac:dyDescent="0.3">
      <c r="L4679" s="25"/>
      <c r="Q4679" s="17"/>
    </row>
    <row r="4680" spans="12:17" x14ac:dyDescent="0.3">
      <c r="L4680" s="25"/>
      <c r="Q4680" s="17"/>
    </row>
    <row r="4681" spans="12:17" x14ac:dyDescent="0.3">
      <c r="L4681" s="25"/>
      <c r="Q4681" s="17"/>
    </row>
    <row r="4682" spans="12:17" x14ac:dyDescent="0.3">
      <c r="L4682" s="25"/>
      <c r="Q4682" s="17"/>
    </row>
    <row r="4683" spans="12:17" x14ac:dyDescent="0.3">
      <c r="L4683" s="25"/>
      <c r="Q4683" s="17"/>
    </row>
    <row r="4684" spans="12:17" x14ac:dyDescent="0.3">
      <c r="L4684" s="25"/>
      <c r="Q4684" s="17"/>
    </row>
    <row r="4685" spans="12:17" x14ac:dyDescent="0.3">
      <c r="L4685" s="25"/>
      <c r="Q4685" s="17"/>
    </row>
    <row r="4686" spans="12:17" x14ac:dyDescent="0.3">
      <c r="L4686" s="25"/>
      <c r="Q4686" s="17"/>
    </row>
    <row r="4687" spans="12:17" x14ac:dyDescent="0.3">
      <c r="L4687" s="25"/>
      <c r="Q4687" s="17"/>
    </row>
    <row r="4688" spans="12:17" x14ac:dyDescent="0.3">
      <c r="L4688" s="25"/>
      <c r="Q4688" s="17"/>
    </row>
    <row r="4689" spans="12:17" x14ac:dyDescent="0.3">
      <c r="L4689" s="25"/>
      <c r="Q4689" s="17"/>
    </row>
    <row r="4690" spans="12:17" x14ac:dyDescent="0.3">
      <c r="L4690" s="25"/>
      <c r="Q4690" s="17"/>
    </row>
    <row r="4691" spans="12:17" x14ac:dyDescent="0.3">
      <c r="L4691" s="25"/>
      <c r="Q4691" s="17"/>
    </row>
    <row r="4692" spans="12:17" x14ac:dyDescent="0.3">
      <c r="L4692" s="25"/>
      <c r="Q4692" s="17"/>
    </row>
    <row r="4693" spans="12:17" x14ac:dyDescent="0.3">
      <c r="L4693" s="25"/>
      <c r="Q4693" s="17"/>
    </row>
    <row r="4694" spans="12:17" x14ac:dyDescent="0.3">
      <c r="L4694" s="25"/>
      <c r="Q4694" s="17"/>
    </row>
    <row r="4695" spans="12:17" x14ac:dyDescent="0.3">
      <c r="L4695" s="25"/>
      <c r="Q4695" s="17"/>
    </row>
    <row r="4696" spans="12:17" x14ac:dyDescent="0.3">
      <c r="L4696" s="25"/>
      <c r="Q4696" s="17"/>
    </row>
    <row r="4697" spans="12:17" x14ac:dyDescent="0.3">
      <c r="L4697" s="25"/>
      <c r="Q4697" s="17"/>
    </row>
    <row r="4698" spans="12:17" x14ac:dyDescent="0.3">
      <c r="L4698" s="25"/>
      <c r="Q4698" s="17"/>
    </row>
    <row r="4699" spans="12:17" x14ac:dyDescent="0.3">
      <c r="L4699" s="25"/>
      <c r="Q4699" s="17"/>
    </row>
    <row r="4700" spans="12:17" x14ac:dyDescent="0.3">
      <c r="L4700" s="25"/>
      <c r="Q4700" s="17"/>
    </row>
    <row r="4701" spans="12:17" x14ac:dyDescent="0.3">
      <c r="L4701" s="25"/>
      <c r="Q4701" s="17"/>
    </row>
    <row r="4702" spans="12:17" x14ac:dyDescent="0.3">
      <c r="L4702" s="25"/>
      <c r="Q4702" s="17"/>
    </row>
    <row r="4703" spans="12:17" x14ac:dyDescent="0.3">
      <c r="L4703" s="25"/>
      <c r="Q4703" s="17"/>
    </row>
    <row r="4704" spans="12:17" x14ac:dyDescent="0.3">
      <c r="L4704" s="25"/>
      <c r="Q4704" s="17"/>
    </row>
    <row r="4705" spans="12:17" x14ac:dyDescent="0.3">
      <c r="L4705" s="25"/>
      <c r="Q4705" s="17"/>
    </row>
    <row r="4706" spans="12:17" x14ac:dyDescent="0.3">
      <c r="L4706" s="25"/>
      <c r="Q4706" s="17"/>
    </row>
    <row r="4707" spans="12:17" x14ac:dyDescent="0.3">
      <c r="L4707" s="25"/>
      <c r="Q4707" s="17"/>
    </row>
    <row r="4708" spans="12:17" x14ac:dyDescent="0.3">
      <c r="L4708" s="25"/>
      <c r="Q4708" s="17"/>
    </row>
    <row r="4709" spans="12:17" x14ac:dyDescent="0.3">
      <c r="L4709" s="25"/>
      <c r="Q4709" s="17"/>
    </row>
    <row r="4710" spans="12:17" x14ac:dyDescent="0.3">
      <c r="L4710" s="25"/>
      <c r="Q4710" s="17"/>
    </row>
    <row r="4711" spans="12:17" x14ac:dyDescent="0.3">
      <c r="L4711" s="25"/>
      <c r="Q4711" s="17"/>
    </row>
    <row r="4712" spans="12:17" x14ac:dyDescent="0.3">
      <c r="L4712" s="25"/>
      <c r="Q4712" s="17"/>
    </row>
    <row r="4713" spans="12:17" x14ac:dyDescent="0.3">
      <c r="L4713" s="25"/>
      <c r="Q4713" s="17"/>
    </row>
    <row r="4714" spans="12:17" x14ac:dyDescent="0.3">
      <c r="L4714" s="25"/>
      <c r="Q4714" s="17"/>
    </row>
    <row r="4715" spans="12:17" x14ac:dyDescent="0.3">
      <c r="L4715" s="25"/>
      <c r="Q4715" s="17"/>
    </row>
    <row r="4716" spans="12:17" x14ac:dyDescent="0.3">
      <c r="L4716" s="25"/>
      <c r="Q4716" s="17"/>
    </row>
    <row r="4717" spans="12:17" x14ac:dyDescent="0.3">
      <c r="L4717" s="25"/>
      <c r="Q4717" s="17"/>
    </row>
    <row r="4718" spans="12:17" x14ac:dyDescent="0.3">
      <c r="L4718" s="25"/>
      <c r="Q4718" s="17"/>
    </row>
    <row r="4719" spans="12:17" x14ac:dyDescent="0.3">
      <c r="L4719" s="25"/>
      <c r="Q4719" s="17"/>
    </row>
    <row r="4720" spans="12:17" x14ac:dyDescent="0.3">
      <c r="L4720" s="25"/>
      <c r="Q4720" s="17"/>
    </row>
    <row r="4721" spans="12:17" x14ac:dyDescent="0.3">
      <c r="L4721" s="25"/>
      <c r="Q4721" s="17"/>
    </row>
    <row r="4722" spans="12:17" x14ac:dyDescent="0.3">
      <c r="L4722" s="25"/>
      <c r="Q4722" s="17"/>
    </row>
    <row r="4723" spans="12:17" x14ac:dyDescent="0.3">
      <c r="L4723" s="25"/>
      <c r="Q4723" s="17"/>
    </row>
    <row r="4724" spans="12:17" x14ac:dyDescent="0.3">
      <c r="L4724" s="25"/>
      <c r="Q4724" s="17"/>
    </row>
    <row r="4725" spans="12:17" x14ac:dyDescent="0.3">
      <c r="L4725" s="25"/>
      <c r="Q4725" s="17"/>
    </row>
    <row r="4726" spans="12:17" x14ac:dyDescent="0.3">
      <c r="L4726" s="25"/>
      <c r="Q4726" s="17"/>
    </row>
    <row r="4727" spans="12:17" x14ac:dyDescent="0.3">
      <c r="L4727" s="25"/>
      <c r="Q4727" s="17"/>
    </row>
    <row r="4728" spans="12:17" x14ac:dyDescent="0.3">
      <c r="L4728" s="25"/>
      <c r="Q4728" s="17"/>
    </row>
    <row r="4729" spans="12:17" x14ac:dyDescent="0.3">
      <c r="L4729" s="25"/>
      <c r="Q4729" s="17"/>
    </row>
    <row r="4730" spans="12:17" x14ac:dyDescent="0.3">
      <c r="L4730" s="25"/>
      <c r="Q4730" s="17"/>
    </row>
    <row r="4731" spans="12:17" x14ac:dyDescent="0.3">
      <c r="L4731" s="25"/>
      <c r="Q4731" s="17"/>
    </row>
    <row r="4732" spans="12:17" x14ac:dyDescent="0.3">
      <c r="L4732" s="25"/>
      <c r="Q4732" s="17"/>
    </row>
    <row r="4733" spans="12:17" x14ac:dyDescent="0.3">
      <c r="L4733" s="25"/>
      <c r="Q4733" s="17"/>
    </row>
    <row r="4734" spans="12:17" x14ac:dyDescent="0.3">
      <c r="L4734" s="25"/>
      <c r="Q4734" s="17"/>
    </row>
    <row r="4735" spans="12:17" x14ac:dyDescent="0.3">
      <c r="L4735" s="25"/>
      <c r="Q4735" s="17"/>
    </row>
    <row r="4736" spans="12:17" x14ac:dyDescent="0.3">
      <c r="L4736" s="25"/>
      <c r="Q4736" s="17"/>
    </row>
    <row r="4737" spans="12:17" x14ac:dyDescent="0.3">
      <c r="L4737" s="25"/>
      <c r="Q4737" s="17"/>
    </row>
    <row r="4738" spans="12:17" x14ac:dyDescent="0.3">
      <c r="L4738" s="25"/>
      <c r="Q4738" s="17"/>
    </row>
    <row r="4739" spans="12:17" x14ac:dyDescent="0.3">
      <c r="L4739" s="25"/>
      <c r="Q4739" s="17"/>
    </row>
    <row r="4740" spans="12:17" x14ac:dyDescent="0.3">
      <c r="L4740" s="25"/>
      <c r="Q4740" s="17"/>
    </row>
    <row r="4741" spans="12:17" x14ac:dyDescent="0.3">
      <c r="L4741" s="25"/>
      <c r="Q4741" s="17"/>
    </row>
    <row r="4742" spans="12:17" x14ac:dyDescent="0.3">
      <c r="L4742" s="25"/>
      <c r="Q4742" s="17"/>
    </row>
    <row r="4743" spans="12:17" x14ac:dyDescent="0.3">
      <c r="L4743" s="25"/>
      <c r="Q4743" s="17"/>
    </row>
    <row r="4744" spans="12:17" x14ac:dyDescent="0.3">
      <c r="L4744" s="25"/>
      <c r="Q4744" s="17"/>
    </row>
    <row r="4745" spans="12:17" x14ac:dyDescent="0.3">
      <c r="L4745" s="25"/>
      <c r="Q4745" s="17"/>
    </row>
    <row r="4746" spans="12:17" x14ac:dyDescent="0.3">
      <c r="L4746" s="25"/>
      <c r="Q4746" s="17"/>
    </row>
    <row r="4747" spans="12:17" x14ac:dyDescent="0.3">
      <c r="L4747" s="25"/>
      <c r="Q4747" s="17"/>
    </row>
    <row r="4748" spans="12:17" x14ac:dyDescent="0.3">
      <c r="L4748" s="25"/>
      <c r="Q4748" s="17"/>
    </row>
    <row r="4749" spans="12:17" x14ac:dyDescent="0.3">
      <c r="L4749" s="25"/>
      <c r="Q4749" s="17"/>
    </row>
    <row r="4750" spans="12:17" x14ac:dyDescent="0.3">
      <c r="L4750" s="25"/>
      <c r="Q4750" s="17"/>
    </row>
    <row r="4751" spans="12:17" x14ac:dyDescent="0.3">
      <c r="L4751" s="25"/>
      <c r="Q4751" s="17"/>
    </row>
    <row r="4752" spans="12:17" x14ac:dyDescent="0.3">
      <c r="L4752" s="25"/>
      <c r="Q4752" s="17"/>
    </row>
    <row r="4753" spans="12:17" x14ac:dyDescent="0.3">
      <c r="L4753" s="25"/>
      <c r="Q4753" s="17"/>
    </row>
    <row r="4754" spans="12:17" x14ac:dyDescent="0.3">
      <c r="L4754" s="25"/>
      <c r="Q4754" s="17"/>
    </row>
    <row r="4755" spans="12:17" x14ac:dyDescent="0.3">
      <c r="L4755" s="25"/>
      <c r="Q4755" s="17"/>
    </row>
    <row r="4756" spans="12:17" x14ac:dyDescent="0.3">
      <c r="L4756" s="25"/>
      <c r="Q4756" s="17"/>
    </row>
    <row r="4757" spans="12:17" x14ac:dyDescent="0.3">
      <c r="L4757" s="25"/>
      <c r="Q4757" s="17"/>
    </row>
    <row r="4758" spans="12:17" x14ac:dyDescent="0.3">
      <c r="L4758" s="25"/>
      <c r="Q4758" s="17"/>
    </row>
    <row r="4759" spans="12:17" x14ac:dyDescent="0.3">
      <c r="L4759" s="25"/>
      <c r="Q4759" s="17"/>
    </row>
    <row r="4760" spans="12:17" x14ac:dyDescent="0.3">
      <c r="L4760" s="25"/>
      <c r="Q4760" s="17"/>
    </row>
    <row r="4761" spans="12:17" x14ac:dyDescent="0.3">
      <c r="L4761" s="25"/>
      <c r="Q4761" s="17"/>
    </row>
    <row r="4762" spans="12:17" x14ac:dyDescent="0.3">
      <c r="L4762" s="25"/>
      <c r="Q4762" s="17"/>
    </row>
    <row r="4763" spans="12:17" x14ac:dyDescent="0.3">
      <c r="L4763" s="25"/>
      <c r="Q4763" s="17"/>
    </row>
    <row r="4764" spans="12:17" x14ac:dyDescent="0.3">
      <c r="L4764" s="25"/>
      <c r="Q4764" s="17"/>
    </row>
    <row r="4765" spans="12:17" x14ac:dyDescent="0.3">
      <c r="L4765" s="25"/>
      <c r="Q4765" s="17"/>
    </row>
    <row r="4766" spans="12:17" x14ac:dyDescent="0.3">
      <c r="L4766" s="25"/>
      <c r="Q4766" s="17"/>
    </row>
    <row r="4767" spans="12:17" x14ac:dyDescent="0.3">
      <c r="L4767" s="25"/>
      <c r="Q4767" s="17"/>
    </row>
    <row r="4768" spans="12:17" x14ac:dyDescent="0.3">
      <c r="L4768" s="25"/>
      <c r="Q4768" s="17"/>
    </row>
    <row r="4769" spans="12:17" x14ac:dyDescent="0.3">
      <c r="L4769" s="25"/>
      <c r="Q4769" s="17"/>
    </row>
    <row r="4770" spans="12:17" x14ac:dyDescent="0.3">
      <c r="L4770" s="25"/>
      <c r="Q4770" s="17"/>
    </row>
    <row r="4771" spans="12:17" x14ac:dyDescent="0.3">
      <c r="L4771" s="25"/>
      <c r="Q4771" s="17"/>
    </row>
    <row r="4772" spans="12:17" x14ac:dyDescent="0.3">
      <c r="L4772" s="25"/>
      <c r="Q4772" s="17"/>
    </row>
    <row r="4773" spans="12:17" x14ac:dyDescent="0.3">
      <c r="L4773" s="25"/>
      <c r="Q4773" s="17"/>
    </row>
    <row r="4774" spans="12:17" x14ac:dyDescent="0.3">
      <c r="L4774" s="25"/>
      <c r="Q4774" s="17"/>
    </row>
    <row r="4775" spans="12:17" x14ac:dyDescent="0.3">
      <c r="L4775" s="25"/>
      <c r="Q4775" s="17"/>
    </row>
    <row r="4776" spans="12:17" x14ac:dyDescent="0.3">
      <c r="L4776" s="25"/>
      <c r="Q4776" s="17"/>
    </row>
    <row r="4777" spans="12:17" x14ac:dyDescent="0.3">
      <c r="L4777" s="25"/>
      <c r="Q4777" s="17"/>
    </row>
    <row r="4778" spans="12:17" x14ac:dyDescent="0.3">
      <c r="L4778" s="25"/>
      <c r="Q4778" s="17"/>
    </row>
    <row r="4779" spans="12:17" x14ac:dyDescent="0.3">
      <c r="L4779" s="25"/>
      <c r="Q4779" s="17"/>
    </row>
    <row r="4780" spans="12:17" x14ac:dyDescent="0.3">
      <c r="L4780" s="25"/>
      <c r="Q4780" s="17"/>
    </row>
    <row r="4781" spans="12:17" x14ac:dyDescent="0.3">
      <c r="L4781" s="25"/>
      <c r="Q4781" s="17"/>
    </row>
    <row r="4782" spans="12:17" x14ac:dyDescent="0.3">
      <c r="L4782" s="25"/>
      <c r="Q4782" s="17"/>
    </row>
    <row r="4783" spans="12:17" x14ac:dyDescent="0.3">
      <c r="L4783" s="25"/>
      <c r="Q4783" s="17"/>
    </row>
    <row r="4784" spans="12:17" x14ac:dyDescent="0.3">
      <c r="L4784" s="25"/>
      <c r="Q4784" s="17"/>
    </row>
    <row r="4785" spans="12:17" x14ac:dyDescent="0.3">
      <c r="L4785" s="25"/>
      <c r="Q4785" s="17"/>
    </row>
    <row r="4786" spans="12:17" x14ac:dyDescent="0.3">
      <c r="L4786" s="25"/>
      <c r="Q4786" s="17"/>
    </row>
    <row r="4787" spans="12:17" x14ac:dyDescent="0.3">
      <c r="L4787" s="25"/>
      <c r="Q4787" s="17"/>
    </row>
    <row r="4788" spans="12:17" x14ac:dyDescent="0.3">
      <c r="L4788" s="25"/>
      <c r="Q4788" s="17"/>
    </row>
    <row r="4789" spans="12:17" x14ac:dyDescent="0.3">
      <c r="L4789" s="25"/>
      <c r="Q4789" s="17"/>
    </row>
    <row r="4790" spans="12:17" x14ac:dyDescent="0.3">
      <c r="L4790" s="25"/>
      <c r="Q4790" s="17"/>
    </row>
    <row r="4791" spans="12:17" x14ac:dyDescent="0.3">
      <c r="L4791" s="25"/>
      <c r="Q4791" s="17"/>
    </row>
    <row r="4792" spans="12:17" x14ac:dyDescent="0.3">
      <c r="L4792" s="25"/>
      <c r="Q4792" s="17"/>
    </row>
    <row r="4793" spans="12:17" x14ac:dyDescent="0.3">
      <c r="L4793" s="25"/>
      <c r="Q4793" s="17"/>
    </row>
    <row r="4794" spans="12:17" x14ac:dyDescent="0.3">
      <c r="L4794" s="25"/>
      <c r="Q4794" s="17"/>
    </row>
    <row r="4795" spans="12:17" x14ac:dyDescent="0.3">
      <c r="L4795" s="25"/>
      <c r="Q4795" s="17"/>
    </row>
    <row r="4796" spans="12:17" x14ac:dyDescent="0.3">
      <c r="L4796" s="25"/>
      <c r="Q4796" s="17"/>
    </row>
    <row r="4797" spans="12:17" x14ac:dyDescent="0.3">
      <c r="L4797" s="25"/>
      <c r="Q4797" s="17"/>
    </row>
    <row r="4798" spans="12:17" x14ac:dyDescent="0.3">
      <c r="L4798" s="25"/>
      <c r="Q4798" s="17"/>
    </row>
    <row r="4799" spans="12:17" x14ac:dyDescent="0.3">
      <c r="L4799" s="25"/>
      <c r="Q4799" s="17"/>
    </row>
    <row r="4800" spans="12:17" x14ac:dyDescent="0.3">
      <c r="L4800" s="25"/>
      <c r="Q4800" s="17"/>
    </row>
    <row r="4801" spans="12:17" x14ac:dyDescent="0.3">
      <c r="L4801" s="25"/>
      <c r="Q4801" s="17"/>
    </row>
    <row r="4802" spans="12:17" x14ac:dyDescent="0.3">
      <c r="L4802" s="25"/>
      <c r="Q4802" s="17"/>
    </row>
    <row r="4803" spans="12:17" x14ac:dyDescent="0.3">
      <c r="L4803" s="25"/>
      <c r="Q4803" s="17"/>
    </row>
    <row r="4804" spans="12:17" x14ac:dyDescent="0.3">
      <c r="L4804" s="25"/>
      <c r="Q4804" s="17"/>
    </row>
    <row r="4805" spans="12:17" x14ac:dyDescent="0.3">
      <c r="L4805" s="25"/>
      <c r="Q4805" s="17"/>
    </row>
    <row r="4806" spans="12:17" x14ac:dyDescent="0.3">
      <c r="L4806" s="25"/>
      <c r="Q4806" s="17"/>
    </row>
    <row r="4807" spans="12:17" x14ac:dyDescent="0.3">
      <c r="L4807" s="25"/>
      <c r="Q4807" s="17"/>
    </row>
    <row r="4808" spans="12:17" x14ac:dyDescent="0.3">
      <c r="L4808" s="25"/>
      <c r="Q4808" s="17"/>
    </row>
    <row r="4809" spans="12:17" x14ac:dyDescent="0.3">
      <c r="L4809" s="25"/>
      <c r="Q4809" s="17"/>
    </row>
    <row r="4810" spans="12:17" x14ac:dyDescent="0.3">
      <c r="L4810" s="25"/>
      <c r="Q4810" s="17"/>
    </row>
    <row r="4811" spans="12:17" x14ac:dyDescent="0.3">
      <c r="L4811" s="25"/>
      <c r="Q4811" s="17"/>
    </row>
    <row r="4812" spans="12:17" x14ac:dyDescent="0.3">
      <c r="L4812" s="25"/>
      <c r="Q4812" s="17"/>
    </row>
    <row r="4813" spans="12:17" x14ac:dyDescent="0.3">
      <c r="L4813" s="25"/>
      <c r="Q4813" s="17"/>
    </row>
    <row r="4814" spans="12:17" x14ac:dyDescent="0.3">
      <c r="L4814" s="25"/>
      <c r="Q4814" s="17"/>
    </row>
    <row r="4815" spans="12:17" x14ac:dyDescent="0.3">
      <c r="L4815" s="25"/>
      <c r="Q4815" s="17"/>
    </row>
    <row r="4816" spans="12:17" x14ac:dyDescent="0.3">
      <c r="L4816" s="25"/>
      <c r="Q4816" s="17"/>
    </row>
    <row r="4817" spans="12:17" x14ac:dyDescent="0.3">
      <c r="L4817" s="25"/>
      <c r="Q4817" s="17"/>
    </row>
    <row r="4818" spans="12:17" x14ac:dyDescent="0.3">
      <c r="L4818" s="25"/>
      <c r="Q4818" s="17"/>
    </row>
    <row r="4819" spans="12:17" x14ac:dyDescent="0.3">
      <c r="L4819" s="25"/>
      <c r="Q4819" s="17"/>
    </row>
    <row r="4820" spans="12:17" x14ac:dyDescent="0.3">
      <c r="L4820" s="25"/>
      <c r="Q4820" s="17"/>
    </row>
    <row r="4821" spans="12:17" x14ac:dyDescent="0.3">
      <c r="L4821" s="25"/>
      <c r="Q4821" s="17"/>
    </row>
    <row r="4822" spans="12:17" x14ac:dyDescent="0.3">
      <c r="L4822" s="25"/>
      <c r="Q4822" s="17"/>
    </row>
    <row r="4823" spans="12:17" x14ac:dyDescent="0.3">
      <c r="L4823" s="25"/>
      <c r="Q4823" s="17"/>
    </row>
    <row r="4824" spans="12:17" x14ac:dyDescent="0.3">
      <c r="L4824" s="25"/>
      <c r="Q4824" s="17"/>
    </row>
    <row r="4825" spans="12:17" x14ac:dyDescent="0.3">
      <c r="L4825" s="25"/>
      <c r="Q4825" s="17"/>
    </row>
    <row r="4826" spans="12:17" x14ac:dyDescent="0.3">
      <c r="L4826" s="25"/>
      <c r="Q4826" s="17"/>
    </row>
    <row r="4827" spans="12:17" x14ac:dyDescent="0.3">
      <c r="L4827" s="25"/>
      <c r="Q4827" s="17"/>
    </row>
    <row r="4828" spans="12:17" x14ac:dyDescent="0.3">
      <c r="L4828" s="25"/>
      <c r="Q4828" s="17"/>
    </row>
    <row r="4829" spans="12:17" x14ac:dyDescent="0.3">
      <c r="L4829" s="25"/>
      <c r="Q4829" s="17"/>
    </row>
    <row r="4830" spans="12:17" x14ac:dyDescent="0.3">
      <c r="L4830" s="25"/>
      <c r="Q4830" s="17"/>
    </row>
    <row r="4831" spans="12:17" x14ac:dyDescent="0.3">
      <c r="L4831" s="25"/>
      <c r="Q4831" s="17"/>
    </row>
    <row r="4832" spans="12:17" x14ac:dyDescent="0.3">
      <c r="L4832" s="25"/>
      <c r="Q4832" s="17"/>
    </row>
    <row r="4833" spans="12:17" x14ac:dyDescent="0.3">
      <c r="L4833" s="25"/>
      <c r="Q4833" s="17"/>
    </row>
    <row r="4834" spans="12:17" x14ac:dyDescent="0.3">
      <c r="L4834" s="25"/>
      <c r="Q4834" s="17"/>
    </row>
    <row r="4835" spans="12:17" x14ac:dyDescent="0.3">
      <c r="L4835" s="25"/>
      <c r="Q4835" s="17"/>
    </row>
    <row r="4836" spans="12:17" x14ac:dyDescent="0.3">
      <c r="L4836" s="25"/>
      <c r="Q4836" s="17"/>
    </row>
    <row r="4837" spans="12:17" x14ac:dyDescent="0.3">
      <c r="L4837" s="25"/>
      <c r="Q4837" s="17"/>
    </row>
    <row r="4838" spans="12:17" x14ac:dyDescent="0.3">
      <c r="L4838" s="25"/>
      <c r="Q4838" s="17"/>
    </row>
    <row r="4839" spans="12:17" x14ac:dyDescent="0.3">
      <c r="L4839" s="25"/>
      <c r="Q4839" s="17"/>
    </row>
    <row r="4840" spans="12:17" x14ac:dyDescent="0.3">
      <c r="L4840" s="25"/>
      <c r="Q4840" s="17"/>
    </row>
    <row r="4841" spans="12:17" x14ac:dyDescent="0.3">
      <c r="L4841" s="25"/>
      <c r="Q4841" s="17"/>
    </row>
    <row r="4842" spans="12:17" x14ac:dyDescent="0.3">
      <c r="L4842" s="25"/>
      <c r="Q4842" s="17"/>
    </row>
    <row r="4843" spans="12:17" x14ac:dyDescent="0.3">
      <c r="L4843" s="25"/>
      <c r="Q4843" s="17"/>
    </row>
    <row r="4844" spans="12:17" x14ac:dyDescent="0.3">
      <c r="L4844" s="25"/>
      <c r="Q4844" s="17"/>
    </row>
    <row r="4845" spans="12:17" x14ac:dyDescent="0.3">
      <c r="L4845" s="25"/>
      <c r="Q4845" s="17"/>
    </row>
    <row r="4846" spans="12:17" x14ac:dyDescent="0.3">
      <c r="L4846" s="25"/>
      <c r="Q4846" s="17"/>
    </row>
    <row r="4847" spans="12:17" x14ac:dyDescent="0.3">
      <c r="L4847" s="25"/>
      <c r="Q4847" s="17"/>
    </row>
    <row r="4848" spans="12:17" x14ac:dyDescent="0.3">
      <c r="L4848" s="25"/>
      <c r="Q4848" s="17"/>
    </row>
    <row r="4849" spans="12:17" x14ac:dyDescent="0.3">
      <c r="L4849" s="25"/>
      <c r="Q4849" s="17"/>
    </row>
    <row r="4850" spans="12:17" x14ac:dyDescent="0.3">
      <c r="L4850" s="25"/>
      <c r="Q4850" s="17"/>
    </row>
    <row r="4851" spans="12:17" x14ac:dyDescent="0.3">
      <c r="L4851" s="25"/>
      <c r="Q4851" s="17"/>
    </row>
    <row r="4852" spans="12:17" x14ac:dyDescent="0.3">
      <c r="L4852" s="25"/>
      <c r="Q4852" s="17"/>
    </row>
    <row r="4853" spans="12:17" x14ac:dyDescent="0.3">
      <c r="L4853" s="25"/>
      <c r="Q4853" s="17"/>
    </row>
    <row r="4854" spans="12:17" x14ac:dyDescent="0.3">
      <c r="L4854" s="25"/>
      <c r="Q4854" s="17"/>
    </row>
    <row r="4855" spans="12:17" x14ac:dyDescent="0.3">
      <c r="L4855" s="25"/>
      <c r="Q4855" s="17"/>
    </row>
    <row r="4856" spans="12:17" x14ac:dyDescent="0.3">
      <c r="L4856" s="25"/>
      <c r="Q4856" s="17"/>
    </row>
    <row r="4857" spans="12:17" x14ac:dyDescent="0.3">
      <c r="L4857" s="25"/>
      <c r="Q4857" s="17"/>
    </row>
    <row r="4858" spans="12:17" x14ac:dyDescent="0.3">
      <c r="L4858" s="25"/>
      <c r="Q4858" s="17"/>
    </row>
    <row r="4859" spans="12:17" x14ac:dyDescent="0.3">
      <c r="L4859" s="25"/>
      <c r="Q4859" s="17"/>
    </row>
    <row r="4860" spans="12:17" x14ac:dyDescent="0.3">
      <c r="L4860" s="25"/>
      <c r="Q4860" s="17"/>
    </row>
    <row r="4861" spans="12:17" x14ac:dyDescent="0.3">
      <c r="L4861" s="25"/>
      <c r="Q4861" s="17"/>
    </row>
    <row r="4862" spans="12:17" x14ac:dyDescent="0.3">
      <c r="L4862" s="25"/>
      <c r="Q4862" s="17"/>
    </row>
    <row r="4863" spans="12:17" x14ac:dyDescent="0.3">
      <c r="L4863" s="25"/>
      <c r="Q4863" s="17"/>
    </row>
    <row r="4864" spans="12:17" x14ac:dyDescent="0.3">
      <c r="L4864" s="25"/>
      <c r="Q4864" s="17"/>
    </row>
    <row r="4865" spans="12:17" x14ac:dyDescent="0.3">
      <c r="L4865" s="25"/>
      <c r="Q4865" s="17"/>
    </row>
    <row r="4866" spans="12:17" x14ac:dyDescent="0.3">
      <c r="L4866" s="25"/>
      <c r="Q4866" s="17"/>
    </row>
    <row r="4867" spans="12:17" x14ac:dyDescent="0.3">
      <c r="L4867" s="25"/>
      <c r="Q4867" s="17"/>
    </row>
    <row r="4868" spans="12:17" x14ac:dyDescent="0.3">
      <c r="L4868" s="25"/>
      <c r="Q4868" s="17"/>
    </row>
    <row r="4869" spans="12:17" x14ac:dyDescent="0.3">
      <c r="L4869" s="25"/>
      <c r="Q4869" s="17"/>
    </row>
    <row r="4870" spans="12:17" x14ac:dyDescent="0.3">
      <c r="L4870" s="25"/>
      <c r="Q4870" s="17"/>
    </row>
    <row r="4871" spans="12:17" x14ac:dyDescent="0.3">
      <c r="L4871" s="25"/>
      <c r="Q4871" s="17"/>
    </row>
    <row r="4872" spans="12:17" x14ac:dyDescent="0.3">
      <c r="L4872" s="25"/>
      <c r="Q4872" s="17"/>
    </row>
    <row r="4873" spans="12:17" x14ac:dyDescent="0.3">
      <c r="L4873" s="25"/>
      <c r="Q4873" s="17"/>
    </row>
    <row r="4874" spans="12:17" x14ac:dyDescent="0.3">
      <c r="L4874" s="25"/>
      <c r="Q4874" s="17"/>
    </row>
    <row r="4875" spans="12:17" x14ac:dyDescent="0.3">
      <c r="L4875" s="25"/>
      <c r="Q4875" s="17"/>
    </row>
    <row r="4876" spans="12:17" x14ac:dyDescent="0.3">
      <c r="L4876" s="25"/>
      <c r="Q4876" s="17"/>
    </row>
    <row r="4877" spans="12:17" x14ac:dyDescent="0.3">
      <c r="L4877" s="25"/>
      <c r="Q4877" s="17"/>
    </row>
    <row r="4878" spans="12:17" x14ac:dyDescent="0.3">
      <c r="L4878" s="25"/>
      <c r="Q4878" s="17"/>
    </row>
    <row r="4879" spans="12:17" x14ac:dyDescent="0.3">
      <c r="L4879" s="25"/>
      <c r="Q4879" s="17"/>
    </row>
    <row r="4880" spans="12:17" x14ac:dyDescent="0.3">
      <c r="L4880" s="25"/>
      <c r="Q4880" s="17"/>
    </row>
    <row r="4881" spans="12:17" x14ac:dyDescent="0.3">
      <c r="L4881" s="25"/>
      <c r="Q4881" s="17"/>
    </row>
    <row r="4882" spans="12:17" x14ac:dyDescent="0.3">
      <c r="L4882" s="25"/>
      <c r="Q4882" s="17"/>
    </row>
    <row r="4883" spans="12:17" x14ac:dyDescent="0.3">
      <c r="L4883" s="25"/>
      <c r="Q4883" s="17"/>
    </row>
    <row r="4884" spans="12:17" x14ac:dyDescent="0.3">
      <c r="L4884" s="25"/>
      <c r="Q4884" s="17"/>
    </row>
    <row r="4885" spans="12:17" x14ac:dyDescent="0.3">
      <c r="L4885" s="25"/>
      <c r="Q4885" s="17"/>
    </row>
    <row r="4886" spans="12:17" x14ac:dyDescent="0.3">
      <c r="L4886" s="25"/>
      <c r="Q4886" s="17"/>
    </row>
    <row r="4887" spans="12:17" x14ac:dyDescent="0.3">
      <c r="L4887" s="25"/>
      <c r="Q4887" s="17"/>
    </row>
    <row r="4888" spans="12:17" x14ac:dyDescent="0.3">
      <c r="L4888" s="25"/>
      <c r="Q4888" s="17"/>
    </row>
    <row r="4889" spans="12:17" x14ac:dyDescent="0.3">
      <c r="L4889" s="25"/>
      <c r="Q4889" s="17"/>
    </row>
    <row r="4890" spans="12:17" x14ac:dyDescent="0.3">
      <c r="L4890" s="25"/>
      <c r="Q4890" s="17"/>
    </row>
    <row r="4891" spans="12:17" x14ac:dyDescent="0.3">
      <c r="L4891" s="25"/>
      <c r="Q4891" s="17"/>
    </row>
    <row r="4892" spans="12:17" x14ac:dyDescent="0.3">
      <c r="L4892" s="25"/>
      <c r="Q4892" s="17"/>
    </row>
    <row r="4893" spans="12:17" x14ac:dyDescent="0.3">
      <c r="L4893" s="25"/>
      <c r="Q4893" s="17"/>
    </row>
    <row r="4894" spans="12:17" x14ac:dyDescent="0.3">
      <c r="L4894" s="25"/>
      <c r="Q4894" s="17"/>
    </row>
    <row r="4895" spans="12:17" x14ac:dyDescent="0.3">
      <c r="L4895" s="25"/>
      <c r="Q4895" s="17"/>
    </row>
    <row r="4896" spans="12:17" x14ac:dyDescent="0.3">
      <c r="L4896" s="25"/>
      <c r="Q4896" s="17"/>
    </row>
    <row r="4897" spans="12:17" x14ac:dyDescent="0.3">
      <c r="L4897" s="25"/>
      <c r="Q4897" s="17"/>
    </row>
    <row r="4898" spans="12:17" x14ac:dyDescent="0.3">
      <c r="L4898" s="25"/>
      <c r="Q4898" s="17"/>
    </row>
    <row r="4899" spans="12:17" x14ac:dyDescent="0.3">
      <c r="L4899" s="25"/>
      <c r="Q4899" s="17"/>
    </row>
    <row r="4900" spans="12:17" x14ac:dyDescent="0.3">
      <c r="L4900" s="25"/>
      <c r="Q4900" s="17"/>
    </row>
    <row r="4901" spans="12:17" x14ac:dyDescent="0.3">
      <c r="L4901" s="25"/>
      <c r="Q4901" s="17"/>
    </row>
    <row r="4902" spans="12:17" x14ac:dyDescent="0.3">
      <c r="L4902" s="25"/>
      <c r="Q4902" s="17"/>
    </row>
    <row r="4903" spans="12:17" x14ac:dyDescent="0.3">
      <c r="L4903" s="25"/>
      <c r="Q4903" s="17"/>
    </row>
    <row r="4904" spans="12:17" x14ac:dyDescent="0.3">
      <c r="L4904" s="25"/>
      <c r="Q4904" s="17"/>
    </row>
    <row r="4905" spans="12:17" x14ac:dyDescent="0.3">
      <c r="L4905" s="25"/>
      <c r="Q4905" s="17"/>
    </row>
    <row r="4906" spans="12:17" x14ac:dyDescent="0.3">
      <c r="L4906" s="25"/>
      <c r="Q4906" s="17"/>
    </row>
    <row r="4907" spans="12:17" x14ac:dyDescent="0.3">
      <c r="L4907" s="25"/>
      <c r="Q4907" s="17"/>
    </row>
    <row r="4908" spans="12:17" x14ac:dyDescent="0.3">
      <c r="L4908" s="25"/>
      <c r="Q4908" s="17"/>
    </row>
    <row r="4909" spans="12:17" x14ac:dyDescent="0.3">
      <c r="L4909" s="25"/>
      <c r="Q4909" s="17"/>
    </row>
    <row r="4910" spans="12:17" x14ac:dyDescent="0.3">
      <c r="L4910" s="25"/>
      <c r="Q4910" s="17"/>
    </row>
    <row r="4911" spans="12:17" x14ac:dyDescent="0.3">
      <c r="L4911" s="25"/>
      <c r="Q4911" s="17"/>
    </row>
    <row r="4912" spans="12:17" x14ac:dyDescent="0.3">
      <c r="L4912" s="25"/>
      <c r="Q4912" s="17"/>
    </row>
    <row r="4913" spans="12:17" x14ac:dyDescent="0.3">
      <c r="L4913" s="25"/>
      <c r="Q4913" s="17"/>
    </row>
    <row r="4914" spans="12:17" x14ac:dyDescent="0.3">
      <c r="L4914" s="25"/>
      <c r="Q4914" s="17"/>
    </row>
    <row r="4915" spans="12:17" x14ac:dyDescent="0.3">
      <c r="L4915" s="25"/>
      <c r="Q4915" s="17"/>
    </row>
    <row r="4916" spans="12:17" x14ac:dyDescent="0.3">
      <c r="L4916" s="25"/>
      <c r="Q4916" s="17"/>
    </row>
    <row r="4917" spans="12:17" x14ac:dyDescent="0.3">
      <c r="L4917" s="25"/>
      <c r="Q4917" s="17"/>
    </row>
    <row r="4918" spans="12:17" x14ac:dyDescent="0.3">
      <c r="L4918" s="25"/>
      <c r="Q4918" s="17"/>
    </row>
    <row r="4919" spans="12:17" x14ac:dyDescent="0.3">
      <c r="L4919" s="25"/>
      <c r="Q4919" s="17"/>
    </row>
    <row r="4920" spans="12:17" x14ac:dyDescent="0.3">
      <c r="L4920" s="25"/>
      <c r="Q4920" s="17"/>
    </row>
    <row r="4921" spans="12:17" x14ac:dyDescent="0.3">
      <c r="L4921" s="25"/>
      <c r="Q4921" s="17"/>
    </row>
    <row r="4922" spans="12:17" x14ac:dyDescent="0.3">
      <c r="L4922" s="25"/>
      <c r="Q4922" s="17"/>
    </row>
    <row r="4923" spans="12:17" x14ac:dyDescent="0.3">
      <c r="L4923" s="25"/>
      <c r="Q4923" s="17"/>
    </row>
    <row r="4924" spans="12:17" x14ac:dyDescent="0.3">
      <c r="L4924" s="25"/>
      <c r="Q4924" s="17"/>
    </row>
    <row r="4925" spans="12:17" x14ac:dyDescent="0.3">
      <c r="L4925" s="25"/>
      <c r="Q4925" s="17"/>
    </row>
    <row r="4926" spans="12:17" x14ac:dyDescent="0.3">
      <c r="L4926" s="25"/>
      <c r="Q4926" s="17"/>
    </row>
    <row r="4927" spans="12:17" x14ac:dyDescent="0.3">
      <c r="L4927" s="25"/>
      <c r="Q4927" s="17"/>
    </row>
    <row r="4928" spans="12:17" x14ac:dyDescent="0.3">
      <c r="L4928" s="25"/>
      <c r="Q4928" s="17"/>
    </row>
    <row r="4929" spans="12:17" x14ac:dyDescent="0.3">
      <c r="L4929" s="25"/>
      <c r="Q4929" s="17"/>
    </row>
    <row r="4930" spans="12:17" x14ac:dyDescent="0.3">
      <c r="L4930" s="25"/>
      <c r="Q4930" s="17"/>
    </row>
    <row r="4931" spans="12:17" x14ac:dyDescent="0.3">
      <c r="L4931" s="25"/>
      <c r="Q4931" s="17"/>
    </row>
    <row r="4932" spans="12:17" x14ac:dyDescent="0.3">
      <c r="L4932" s="25"/>
      <c r="Q4932" s="17"/>
    </row>
    <row r="4933" spans="12:17" x14ac:dyDescent="0.3">
      <c r="L4933" s="25"/>
      <c r="Q4933" s="17"/>
    </row>
    <row r="4934" spans="12:17" x14ac:dyDescent="0.3">
      <c r="L4934" s="25"/>
      <c r="Q4934" s="17"/>
    </row>
    <row r="4935" spans="12:17" x14ac:dyDescent="0.3">
      <c r="L4935" s="25"/>
      <c r="Q4935" s="17"/>
    </row>
    <row r="4936" spans="12:17" x14ac:dyDescent="0.3">
      <c r="L4936" s="25"/>
      <c r="Q4936" s="17"/>
    </row>
    <row r="4937" spans="12:17" x14ac:dyDescent="0.3">
      <c r="L4937" s="25"/>
      <c r="Q4937" s="17"/>
    </row>
    <row r="4938" spans="12:17" x14ac:dyDescent="0.3">
      <c r="L4938" s="25"/>
      <c r="Q4938" s="17"/>
    </row>
    <row r="4939" spans="12:17" x14ac:dyDescent="0.3">
      <c r="L4939" s="25"/>
      <c r="Q4939" s="17"/>
    </row>
    <row r="4940" spans="12:17" x14ac:dyDescent="0.3">
      <c r="L4940" s="25"/>
      <c r="Q4940" s="17"/>
    </row>
    <row r="4941" spans="12:17" x14ac:dyDescent="0.3">
      <c r="L4941" s="25"/>
      <c r="Q4941" s="17"/>
    </row>
    <row r="4942" spans="12:17" x14ac:dyDescent="0.3">
      <c r="L4942" s="25"/>
      <c r="Q4942" s="17"/>
    </row>
    <row r="4943" spans="12:17" x14ac:dyDescent="0.3">
      <c r="L4943" s="25"/>
      <c r="Q4943" s="17"/>
    </row>
    <row r="4944" spans="12:17" x14ac:dyDescent="0.3">
      <c r="L4944" s="25"/>
      <c r="Q4944" s="17"/>
    </row>
    <row r="4945" spans="12:17" x14ac:dyDescent="0.3">
      <c r="L4945" s="25"/>
      <c r="Q4945" s="17"/>
    </row>
    <row r="4946" spans="12:17" x14ac:dyDescent="0.3">
      <c r="L4946" s="25"/>
      <c r="Q4946" s="17"/>
    </row>
    <row r="4947" spans="12:17" x14ac:dyDescent="0.3">
      <c r="L4947" s="25"/>
      <c r="Q4947" s="17"/>
    </row>
    <row r="4948" spans="12:17" x14ac:dyDescent="0.3">
      <c r="L4948" s="25"/>
      <c r="Q4948" s="17"/>
    </row>
    <row r="4949" spans="12:17" x14ac:dyDescent="0.3">
      <c r="L4949" s="25"/>
      <c r="Q4949" s="17"/>
    </row>
    <row r="4950" spans="12:17" x14ac:dyDescent="0.3">
      <c r="L4950" s="25"/>
      <c r="Q4950" s="17"/>
    </row>
    <row r="4951" spans="12:17" x14ac:dyDescent="0.3">
      <c r="L4951" s="25"/>
      <c r="Q4951" s="17"/>
    </row>
    <row r="4952" spans="12:17" x14ac:dyDescent="0.3">
      <c r="L4952" s="25"/>
      <c r="Q4952" s="17"/>
    </row>
    <row r="4953" spans="12:17" x14ac:dyDescent="0.3">
      <c r="L4953" s="25"/>
      <c r="Q4953" s="17"/>
    </row>
    <row r="4954" spans="12:17" x14ac:dyDescent="0.3">
      <c r="L4954" s="25"/>
      <c r="Q4954" s="17"/>
    </row>
    <row r="4955" spans="12:17" x14ac:dyDescent="0.3">
      <c r="L4955" s="25"/>
      <c r="Q4955" s="17"/>
    </row>
    <row r="4956" spans="12:17" x14ac:dyDescent="0.3">
      <c r="L4956" s="25"/>
      <c r="Q4956" s="17"/>
    </row>
    <row r="4957" spans="12:17" x14ac:dyDescent="0.3">
      <c r="L4957" s="25"/>
      <c r="Q4957" s="17"/>
    </row>
    <row r="4958" spans="12:17" x14ac:dyDescent="0.3">
      <c r="L4958" s="25"/>
      <c r="Q4958" s="17"/>
    </row>
    <row r="4959" spans="12:17" x14ac:dyDescent="0.3">
      <c r="L4959" s="25"/>
      <c r="Q4959" s="17"/>
    </row>
    <row r="4960" spans="12:17" x14ac:dyDescent="0.3">
      <c r="L4960" s="25"/>
      <c r="Q4960" s="17"/>
    </row>
    <row r="4961" spans="12:17" x14ac:dyDescent="0.3">
      <c r="L4961" s="25"/>
      <c r="Q4961" s="17"/>
    </row>
    <row r="4962" spans="12:17" x14ac:dyDescent="0.3">
      <c r="L4962" s="25"/>
      <c r="Q4962" s="17"/>
    </row>
    <row r="4963" spans="12:17" x14ac:dyDescent="0.3">
      <c r="L4963" s="25"/>
      <c r="Q4963" s="17"/>
    </row>
    <row r="4964" spans="12:17" x14ac:dyDescent="0.3">
      <c r="L4964" s="25"/>
      <c r="Q4964" s="17"/>
    </row>
    <row r="4965" spans="12:17" x14ac:dyDescent="0.3">
      <c r="L4965" s="25"/>
      <c r="Q4965" s="17"/>
    </row>
    <row r="4966" spans="12:17" x14ac:dyDescent="0.3">
      <c r="L4966" s="25"/>
      <c r="Q4966" s="17"/>
    </row>
    <row r="4967" spans="12:17" x14ac:dyDescent="0.3">
      <c r="L4967" s="25"/>
      <c r="Q4967" s="17"/>
    </row>
    <row r="4968" spans="12:17" x14ac:dyDescent="0.3">
      <c r="L4968" s="25"/>
      <c r="Q4968" s="17"/>
    </row>
    <row r="4969" spans="12:17" x14ac:dyDescent="0.3">
      <c r="L4969" s="25"/>
      <c r="Q4969" s="17"/>
    </row>
    <row r="4970" spans="12:17" x14ac:dyDescent="0.3">
      <c r="L4970" s="25"/>
      <c r="Q4970" s="17"/>
    </row>
    <row r="4971" spans="12:17" x14ac:dyDescent="0.3">
      <c r="L4971" s="25"/>
      <c r="Q4971" s="17"/>
    </row>
    <row r="4972" spans="12:17" x14ac:dyDescent="0.3">
      <c r="L4972" s="25"/>
      <c r="Q4972" s="17"/>
    </row>
    <row r="4973" spans="12:17" x14ac:dyDescent="0.3">
      <c r="L4973" s="25"/>
      <c r="Q4973" s="17"/>
    </row>
    <row r="4974" spans="12:17" x14ac:dyDescent="0.3">
      <c r="L4974" s="25"/>
      <c r="Q4974" s="17"/>
    </row>
    <row r="4975" spans="12:17" x14ac:dyDescent="0.3">
      <c r="L4975" s="25"/>
      <c r="Q4975" s="17"/>
    </row>
    <row r="4976" spans="12:17" x14ac:dyDescent="0.3">
      <c r="L4976" s="25"/>
      <c r="Q4976" s="17"/>
    </row>
    <row r="4977" spans="12:17" x14ac:dyDescent="0.3">
      <c r="L4977" s="25"/>
      <c r="Q4977" s="17"/>
    </row>
    <row r="4978" spans="12:17" x14ac:dyDescent="0.3">
      <c r="L4978" s="25"/>
      <c r="Q4978" s="17"/>
    </row>
    <row r="4979" spans="12:17" x14ac:dyDescent="0.3">
      <c r="L4979" s="25"/>
      <c r="Q4979" s="17"/>
    </row>
    <row r="4980" spans="12:17" x14ac:dyDescent="0.3">
      <c r="L4980" s="25"/>
      <c r="Q4980" s="17"/>
    </row>
    <row r="4981" spans="12:17" x14ac:dyDescent="0.3">
      <c r="L4981" s="25"/>
      <c r="Q4981" s="17"/>
    </row>
    <row r="4982" spans="12:17" x14ac:dyDescent="0.3">
      <c r="L4982" s="25"/>
      <c r="Q4982" s="17"/>
    </row>
    <row r="4983" spans="12:17" x14ac:dyDescent="0.3">
      <c r="L4983" s="25"/>
      <c r="Q4983" s="17"/>
    </row>
    <row r="4984" spans="12:17" x14ac:dyDescent="0.3">
      <c r="L4984" s="25"/>
      <c r="Q4984" s="17"/>
    </row>
    <row r="4985" spans="12:17" x14ac:dyDescent="0.3">
      <c r="L4985" s="25"/>
      <c r="Q4985" s="17"/>
    </row>
    <row r="4986" spans="12:17" x14ac:dyDescent="0.3">
      <c r="L4986" s="25"/>
      <c r="Q4986" s="17"/>
    </row>
    <row r="4987" spans="12:17" x14ac:dyDescent="0.3">
      <c r="L4987" s="25"/>
      <c r="Q4987" s="17"/>
    </row>
    <row r="4988" spans="12:17" x14ac:dyDescent="0.3">
      <c r="L4988" s="25"/>
      <c r="Q4988" s="17"/>
    </row>
    <row r="4989" spans="12:17" x14ac:dyDescent="0.3">
      <c r="L4989" s="25"/>
      <c r="Q4989" s="17"/>
    </row>
    <row r="4990" spans="12:17" x14ac:dyDescent="0.3">
      <c r="L4990" s="25"/>
      <c r="Q4990" s="17"/>
    </row>
    <row r="4991" spans="12:17" x14ac:dyDescent="0.3">
      <c r="L4991" s="25"/>
      <c r="Q4991" s="17"/>
    </row>
    <row r="4992" spans="12:17" x14ac:dyDescent="0.3">
      <c r="L4992" s="25"/>
      <c r="Q4992" s="17"/>
    </row>
    <row r="4993" spans="12:17" x14ac:dyDescent="0.3">
      <c r="L4993" s="25"/>
      <c r="Q4993" s="17"/>
    </row>
    <row r="4994" spans="12:17" x14ac:dyDescent="0.3">
      <c r="L4994" s="25"/>
      <c r="Q4994" s="17"/>
    </row>
    <row r="4995" spans="12:17" x14ac:dyDescent="0.3">
      <c r="L4995" s="25"/>
      <c r="Q4995" s="17"/>
    </row>
    <row r="4996" spans="12:17" x14ac:dyDescent="0.3">
      <c r="L4996" s="25"/>
      <c r="Q4996" s="17"/>
    </row>
    <row r="4997" spans="12:17" x14ac:dyDescent="0.3">
      <c r="L4997" s="25"/>
      <c r="Q4997" s="17"/>
    </row>
    <row r="4998" spans="12:17" x14ac:dyDescent="0.3">
      <c r="L4998" s="25"/>
      <c r="Q4998" s="17"/>
    </row>
    <row r="4999" spans="12:17" x14ac:dyDescent="0.3">
      <c r="L4999" s="25"/>
      <c r="Q4999" s="17"/>
    </row>
    <row r="5000" spans="12:17" x14ac:dyDescent="0.3">
      <c r="L5000" s="25"/>
      <c r="Q5000" s="17"/>
    </row>
    <row r="5001" spans="12:17" x14ac:dyDescent="0.3">
      <c r="L5001" s="25"/>
      <c r="Q5001" s="17"/>
    </row>
    <row r="5002" spans="12:17" x14ac:dyDescent="0.3">
      <c r="L5002" s="25"/>
      <c r="Q5002" s="17"/>
    </row>
    <row r="5003" spans="12:17" x14ac:dyDescent="0.3">
      <c r="L5003" s="25"/>
      <c r="Q5003" s="17"/>
    </row>
    <row r="5004" spans="12:17" x14ac:dyDescent="0.3">
      <c r="L5004" s="25"/>
      <c r="Q5004" s="17"/>
    </row>
    <row r="5005" spans="12:17" x14ac:dyDescent="0.3">
      <c r="L5005" s="25"/>
      <c r="Q5005" s="17"/>
    </row>
    <row r="5006" spans="12:17" x14ac:dyDescent="0.3">
      <c r="L5006" s="25"/>
      <c r="Q5006" s="17"/>
    </row>
    <row r="5007" spans="12:17" x14ac:dyDescent="0.3">
      <c r="L5007" s="25"/>
      <c r="Q5007" s="17"/>
    </row>
    <row r="5008" spans="12:17" x14ac:dyDescent="0.3">
      <c r="L5008" s="25"/>
      <c r="Q5008" s="17"/>
    </row>
    <row r="5009" spans="12:17" x14ac:dyDescent="0.3">
      <c r="L5009" s="25"/>
      <c r="Q5009" s="17"/>
    </row>
    <row r="5010" spans="12:17" x14ac:dyDescent="0.3">
      <c r="L5010" s="25"/>
      <c r="Q5010" s="17"/>
    </row>
    <row r="5011" spans="12:17" x14ac:dyDescent="0.3">
      <c r="L5011" s="25"/>
      <c r="Q5011" s="17"/>
    </row>
    <row r="5012" spans="12:17" x14ac:dyDescent="0.3">
      <c r="L5012" s="25"/>
      <c r="Q5012" s="17"/>
    </row>
    <row r="5013" spans="12:17" x14ac:dyDescent="0.3">
      <c r="L5013" s="25"/>
      <c r="Q5013" s="17"/>
    </row>
    <row r="5014" spans="12:17" x14ac:dyDescent="0.3">
      <c r="L5014" s="25"/>
      <c r="Q5014" s="17"/>
    </row>
    <row r="5015" spans="12:17" x14ac:dyDescent="0.3">
      <c r="L5015" s="25"/>
      <c r="Q5015" s="17"/>
    </row>
    <row r="5016" spans="12:17" x14ac:dyDescent="0.3">
      <c r="L5016" s="25"/>
      <c r="Q5016" s="17"/>
    </row>
    <row r="5017" spans="12:17" x14ac:dyDescent="0.3">
      <c r="L5017" s="25"/>
      <c r="Q5017" s="17"/>
    </row>
    <row r="5018" spans="12:17" x14ac:dyDescent="0.3">
      <c r="L5018" s="25"/>
      <c r="Q5018" s="17"/>
    </row>
    <row r="5019" spans="12:17" x14ac:dyDescent="0.3">
      <c r="L5019" s="25"/>
      <c r="Q5019" s="17"/>
    </row>
    <row r="5020" spans="12:17" x14ac:dyDescent="0.3">
      <c r="L5020" s="25"/>
      <c r="Q5020" s="17"/>
    </row>
    <row r="5021" spans="12:17" x14ac:dyDescent="0.3">
      <c r="L5021" s="25"/>
      <c r="Q5021" s="17"/>
    </row>
    <row r="5022" spans="12:17" x14ac:dyDescent="0.3">
      <c r="L5022" s="25"/>
      <c r="Q5022" s="17"/>
    </row>
    <row r="5023" spans="12:17" x14ac:dyDescent="0.3">
      <c r="L5023" s="25"/>
      <c r="Q5023" s="17"/>
    </row>
    <row r="5024" spans="12:17" x14ac:dyDescent="0.3">
      <c r="L5024" s="25"/>
      <c r="Q5024" s="17"/>
    </row>
    <row r="5025" spans="12:17" x14ac:dyDescent="0.3">
      <c r="L5025" s="25"/>
      <c r="Q5025" s="17"/>
    </row>
    <row r="5026" spans="12:17" x14ac:dyDescent="0.3">
      <c r="L5026" s="25"/>
      <c r="Q5026" s="17"/>
    </row>
    <row r="5027" spans="12:17" x14ac:dyDescent="0.3">
      <c r="L5027" s="25"/>
      <c r="Q5027" s="17"/>
    </row>
    <row r="5028" spans="12:17" x14ac:dyDescent="0.3">
      <c r="L5028" s="25"/>
      <c r="Q5028" s="17"/>
    </row>
    <row r="5029" spans="12:17" x14ac:dyDescent="0.3">
      <c r="L5029" s="25"/>
      <c r="Q5029" s="17"/>
    </row>
    <row r="5030" spans="12:17" x14ac:dyDescent="0.3">
      <c r="L5030" s="25"/>
      <c r="Q5030" s="17"/>
    </row>
    <row r="5031" spans="12:17" x14ac:dyDescent="0.3">
      <c r="L5031" s="25"/>
      <c r="Q5031" s="17"/>
    </row>
    <row r="5032" spans="12:17" x14ac:dyDescent="0.3">
      <c r="L5032" s="25"/>
      <c r="Q5032" s="17"/>
    </row>
    <row r="5033" spans="12:17" x14ac:dyDescent="0.3">
      <c r="L5033" s="25"/>
      <c r="Q5033" s="17"/>
    </row>
    <row r="5034" spans="12:17" x14ac:dyDescent="0.3">
      <c r="L5034" s="25"/>
      <c r="Q5034" s="17"/>
    </row>
    <row r="5035" spans="12:17" x14ac:dyDescent="0.3">
      <c r="L5035" s="25"/>
      <c r="Q5035" s="17"/>
    </row>
    <row r="5036" spans="12:17" x14ac:dyDescent="0.3">
      <c r="L5036" s="25"/>
      <c r="Q5036" s="17"/>
    </row>
    <row r="5037" spans="12:17" x14ac:dyDescent="0.3">
      <c r="L5037" s="25"/>
      <c r="Q5037" s="17"/>
    </row>
    <row r="5038" spans="12:17" x14ac:dyDescent="0.3">
      <c r="L5038" s="25"/>
      <c r="Q5038" s="17"/>
    </row>
    <row r="5039" spans="12:17" x14ac:dyDescent="0.3">
      <c r="L5039" s="25"/>
      <c r="Q5039" s="17"/>
    </row>
    <row r="5040" spans="12:17" x14ac:dyDescent="0.3">
      <c r="L5040" s="25"/>
      <c r="Q5040" s="17"/>
    </row>
    <row r="5041" spans="12:17" x14ac:dyDescent="0.3">
      <c r="L5041" s="25"/>
      <c r="Q5041" s="17"/>
    </row>
    <row r="5042" spans="12:17" x14ac:dyDescent="0.3">
      <c r="L5042" s="25"/>
      <c r="Q5042" s="17"/>
    </row>
    <row r="5043" spans="12:17" x14ac:dyDescent="0.3">
      <c r="L5043" s="25"/>
      <c r="Q5043" s="17"/>
    </row>
    <row r="5044" spans="12:17" x14ac:dyDescent="0.3">
      <c r="L5044" s="25"/>
      <c r="Q5044" s="17"/>
    </row>
    <row r="5045" spans="12:17" x14ac:dyDescent="0.3">
      <c r="L5045" s="25"/>
      <c r="Q5045" s="17"/>
    </row>
    <row r="5046" spans="12:17" x14ac:dyDescent="0.3">
      <c r="L5046" s="25"/>
      <c r="Q5046" s="17"/>
    </row>
    <row r="5047" spans="12:17" x14ac:dyDescent="0.3">
      <c r="L5047" s="25"/>
      <c r="Q5047" s="17"/>
    </row>
    <row r="5048" spans="12:17" x14ac:dyDescent="0.3">
      <c r="L5048" s="25"/>
      <c r="Q5048" s="17"/>
    </row>
    <row r="5049" spans="12:17" x14ac:dyDescent="0.3">
      <c r="L5049" s="25"/>
      <c r="Q5049" s="17"/>
    </row>
    <row r="5050" spans="12:17" x14ac:dyDescent="0.3">
      <c r="L5050" s="25"/>
      <c r="Q5050" s="17"/>
    </row>
    <row r="5051" spans="12:17" x14ac:dyDescent="0.3">
      <c r="L5051" s="25"/>
      <c r="Q5051" s="17"/>
    </row>
    <row r="5052" spans="12:17" x14ac:dyDescent="0.3">
      <c r="L5052" s="25"/>
      <c r="Q5052" s="17"/>
    </row>
    <row r="5053" spans="12:17" x14ac:dyDescent="0.3">
      <c r="L5053" s="25"/>
      <c r="Q5053" s="17"/>
    </row>
    <row r="5054" spans="12:17" x14ac:dyDescent="0.3">
      <c r="L5054" s="25"/>
      <c r="Q5054" s="17"/>
    </row>
    <row r="5055" spans="12:17" x14ac:dyDescent="0.3">
      <c r="L5055" s="25"/>
      <c r="Q5055" s="17"/>
    </row>
    <row r="5056" spans="12:17" x14ac:dyDescent="0.3">
      <c r="L5056" s="25"/>
      <c r="Q5056" s="17"/>
    </row>
    <row r="5057" spans="12:17" x14ac:dyDescent="0.3">
      <c r="L5057" s="25"/>
      <c r="Q5057" s="17"/>
    </row>
    <row r="5058" spans="12:17" x14ac:dyDescent="0.3">
      <c r="L5058" s="25"/>
      <c r="Q5058" s="17"/>
    </row>
    <row r="5059" spans="12:17" x14ac:dyDescent="0.3">
      <c r="L5059" s="25"/>
      <c r="Q5059" s="17"/>
    </row>
    <row r="5060" spans="12:17" x14ac:dyDescent="0.3">
      <c r="L5060" s="25"/>
      <c r="Q5060" s="17"/>
    </row>
    <row r="5061" spans="12:17" x14ac:dyDescent="0.3">
      <c r="L5061" s="25"/>
      <c r="Q5061" s="17"/>
    </row>
    <row r="5062" spans="12:17" x14ac:dyDescent="0.3">
      <c r="L5062" s="25"/>
      <c r="Q5062" s="17"/>
    </row>
    <row r="5063" spans="12:17" x14ac:dyDescent="0.3">
      <c r="L5063" s="25"/>
      <c r="Q5063" s="17"/>
    </row>
    <row r="5064" spans="12:17" x14ac:dyDescent="0.3">
      <c r="L5064" s="25"/>
      <c r="Q5064" s="17"/>
    </row>
    <row r="5065" spans="12:17" x14ac:dyDescent="0.3">
      <c r="L5065" s="25"/>
      <c r="Q5065" s="17"/>
    </row>
    <row r="5066" spans="12:17" x14ac:dyDescent="0.3">
      <c r="L5066" s="25"/>
      <c r="Q5066" s="17"/>
    </row>
    <row r="5067" spans="12:17" x14ac:dyDescent="0.3">
      <c r="L5067" s="25"/>
      <c r="Q5067" s="17"/>
    </row>
    <row r="5068" spans="12:17" x14ac:dyDescent="0.3">
      <c r="L5068" s="25"/>
      <c r="Q5068" s="17"/>
    </row>
    <row r="5069" spans="12:17" x14ac:dyDescent="0.3">
      <c r="L5069" s="25"/>
      <c r="Q5069" s="17"/>
    </row>
    <row r="5070" spans="12:17" x14ac:dyDescent="0.3">
      <c r="L5070" s="25"/>
      <c r="Q5070" s="17"/>
    </row>
    <row r="5071" spans="12:17" x14ac:dyDescent="0.3">
      <c r="L5071" s="25"/>
      <c r="Q5071" s="17"/>
    </row>
    <row r="5072" spans="12:17" x14ac:dyDescent="0.3">
      <c r="L5072" s="25"/>
      <c r="Q5072" s="17"/>
    </row>
    <row r="5073" spans="12:17" x14ac:dyDescent="0.3">
      <c r="L5073" s="25"/>
      <c r="Q5073" s="17"/>
    </row>
    <row r="5074" spans="12:17" x14ac:dyDescent="0.3">
      <c r="L5074" s="25"/>
      <c r="Q5074" s="17"/>
    </row>
    <row r="5075" spans="12:17" x14ac:dyDescent="0.3">
      <c r="L5075" s="25"/>
      <c r="Q5075" s="17"/>
    </row>
    <row r="5076" spans="12:17" x14ac:dyDescent="0.3">
      <c r="L5076" s="25"/>
      <c r="Q5076" s="17"/>
    </row>
    <row r="5077" spans="12:17" x14ac:dyDescent="0.3">
      <c r="L5077" s="25"/>
      <c r="Q5077" s="17"/>
    </row>
    <row r="5078" spans="12:17" x14ac:dyDescent="0.3">
      <c r="L5078" s="25"/>
      <c r="Q5078" s="17"/>
    </row>
    <row r="5079" spans="12:17" x14ac:dyDescent="0.3">
      <c r="L5079" s="25"/>
      <c r="Q5079" s="17"/>
    </row>
    <row r="5080" spans="12:17" x14ac:dyDescent="0.3">
      <c r="L5080" s="25"/>
      <c r="Q5080" s="17"/>
    </row>
    <row r="5081" spans="12:17" x14ac:dyDescent="0.3">
      <c r="L5081" s="25"/>
      <c r="Q5081" s="17"/>
    </row>
    <row r="5082" spans="12:17" x14ac:dyDescent="0.3">
      <c r="L5082" s="25"/>
      <c r="Q5082" s="17"/>
    </row>
    <row r="5083" spans="12:17" x14ac:dyDescent="0.3">
      <c r="L5083" s="25"/>
      <c r="Q5083" s="17"/>
    </row>
    <row r="5084" spans="12:17" x14ac:dyDescent="0.3">
      <c r="L5084" s="25"/>
      <c r="Q5084" s="17"/>
    </row>
    <row r="5085" spans="12:17" x14ac:dyDescent="0.3">
      <c r="L5085" s="25"/>
      <c r="Q5085" s="17"/>
    </row>
    <row r="5086" spans="12:17" x14ac:dyDescent="0.3">
      <c r="L5086" s="25"/>
      <c r="Q5086" s="17"/>
    </row>
    <row r="5087" spans="12:17" x14ac:dyDescent="0.3">
      <c r="L5087" s="25"/>
      <c r="Q5087" s="17"/>
    </row>
    <row r="5088" spans="12:17" x14ac:dyDescent="0.3">
      <c r="L5088" s="25"/>
      <c r="Q5088" s="17"/>
    </row>
    <row r="5089" spans="12:17" x14ac:dyDescent="0.3">
      <c r="L5089" s="25"/>
      <c r="Q5089" s="17"/>
    </row>
    <row r="5090" spans="12:17" x14ac:dyDescent="0.3">
      <c r="L5090" s="25"/>
      <c r="Q5090" s="17"/>
    </row>
    <row r="5091" spans="12:17" x14ac:dyDescent="0.3">
      <c r="L5091" s="25"/>
      <c r="Q5091" s="17"/>
    </row>
    <row r="5092" spans="12:17" x14ac:dyDescent="0.3">
      <c r="L5092" s="25"/>
      <c r="Q5092" s="17"/>
    </row>
    <row r="5093" spans="12:17" x14ac:dyDescent="0.3">
      <c r="L5093" s="25"/>
      <c r="Q5093" s="17"/>
    </row>
    <row r="5094" spans="12:17" x14ac:dyDescent="0.3">
      <c r="L5094" s="25"/>
      <c r="Q5094" s="17"/>
    </row>
    <row r="5095" spans="12:17" x14ac:dyDescent="0.3">
      <c r="L5095" s="25"/>
      <c r="Q5095" s="17"/>
    </row>
    <row r="5096" spans="12:17" x14ac:dyDescent="0.3">
      <c r="L5096" s="25"/>
      <c r="Q5096" s="17"/>
    </row>
    <row r="5097" spans="12:17" x14ac:dyDescent="0.3">
      <c r="L5097" s="25"/>
      <c r="Q5097" s="17"/>
    </row>
    <row r="5098" spans="12:17" x14ac:dyDescent="0.3">
      <c r="L5098" s="25"/>
      <c r="Q5098" s="17"/>
    </row>
    <row r="5099" spans="12:17" x14ac:dyDescent="0.3">
      <c r="L5099" s="25"/>
      <c r="Q5099" s="17"/>
    </row>
    <row r="5100" spans="12:17" x14ac:dyDescent="0.3">
      <c r="L5100" s="25"/>
      <c r="Q5100" s="17"/>
    </row>
    <row r="5101" spans="12:17" x14ac:dyDescent="0.3">
      <c r="L5101" s="25"/>
      <c r="Q5101" s="17"/>
    </row>
    <row r="5102" spans="12:17" x14ac:dyDescent="0.3">
      <c r="L5102" s="25"/>
      <c r="Q5102" s="17"/>
    </row>
    <row r="5103" spans="12:17" x14ac:dyDescent="0.3">
      <c r="L5103" s="25"/>
      <c r="Q5103" s="17"/>
    </row>
    <row r="5104" spans="12:17" x14ac:dyDescent="0.3">
      <c r="L5104" s="25"/>
      <c r="Q5104" s="17"/>
    </row>
    <row r="5105" spans="12:17" x14ac:dyDescent="0.3">
      <c r="L5105" s="25"/>
      <c r="Q5105" s="17"/>
    </row>
    <row r="5106" spans="12:17" x14ac:dyDescent="0.3">
      <c r="L5106" s="25"/>
      <c r="Q5106" s="17"/>
    </row>
    <row r="5107" spans="12:17" x14ac:dyDescent="0.3">
      <c r="L5107" s="25"/>
      <c r="Q5107" s="17"/>
    </row>
    <row r="5108" spans="12:17" x14ac:dyDescent="0.3">
      <c r="L5108" s="25"/>
      <c r="Q5108" s="17"/>
    </row>
    <row r="5109" spans="12:17" x14ac:dyDescent="0.3">
      <c r="L5109" s="25"/>
      <c r="Q5109" s="17"/>
    </row>
    <row r="5110" spans="12:17" x14ac:dyDescent="0.3">
      <c r="L5110" s="25"/>
      <c r="Q5110" s="17"/>
    </row>
    <row r="5111" spans="12:17" x14ac:dyDescent="0.3">
      <c r="L5111" s="25"/>
      <c r="Q5111" s="17"/>
    </row>
    <row r="5112" spans="12:17" x14ac:dyDescent="0.3">
      <c r="L5112" s="25"/>
      <c r="Q5112" s="17"/>
    </row>
    <row r="5113" spans="12:17" x14ac:dyDescent="0.3">
      <c r="L5113" s="25"/>
      <c r="Q5113" s="17"/>
    </row>
    <row r="5114" spans="12:17" x14ac:dyDescent="0.3">
      <c r="L5114" s="25"/>
      <c r="Q5114" s="17"/>
    </row>
    <row r="5115" spans="12:17" x14ac:dyDescent="0.3">
      <c r="L5115" s="25"/>
      <c r="Q5115" s="17"/>
    </row>
    <row r="5116" spans="12:17" x14ac:dyDescent="0.3">
      <c r="L5116" s="25"/>
      <c r="Q5116" s="17"/>
    </row>
    <row r="5117" spans="12:17" x14ac:dyDescent="0.3">
      <c r="L5117" s="25"/>
      <c r="Q5117" s="17"/>
    </row>
    <row r="5118" spans="12:17" x14ac:dyDescent="0.3">
      <c r="L5118" s="25"/>
      <c r="Q5118" s="17"/>
    </row>
    <row r="5119" spans="12:17" x14ac:dyDescent="0.3">
      <c r="L5119" s="25"/>
      <c r="Q5119" s="17"/>
    </row>
    <row r="5120" spans="12:17" x14ac:dyDescent="0.3">
      <c r="L5120" s="25"/>
      <c r="Q5120" s="17"/>
    </row>
    <row r="5121" spans="12:17" x14ac:dyDescent="0.3">
      <c r="L5121" s="25"/>
      <c r="Q5121" s="17"/>
    </row>
    <row r="5122" spans="12:17" x14ac:dyDescent="0.3">
      <c r="L5122" s="25"/>
      <c r="Q5122" s="17"/>
    </row>
    <row r="5123" spans="12:17" x14ac:dyDescent="0.3">
      <c r="L5123" s="25"/>
      <c r="Q5123" s="17"/>
    </row>
    <row r="5124" spans="12:17" x14ac:dyDescent="0.3">
      <c r="L5124" s="25"/>
      <c r="Q5124" s="17"/>
    </row>
    <row r="5125" spans="12:17" x14ac:dyDescent="0.3">
      <c r="L5125" s="25"/>
      <c r="Q5125" s="17"/>
    </row>
    <row r="5126" spans="12:17" x14ac:dyDescent="0.3">
      <c r="L5126" s="25"/>
      <c r="Q5126" s="17"/>
    </row>
    <row r="5127" spans="12:17" x14ac:dyDescent="0.3">
      <c r="L5127" s="25"/>
      <c r="Q5127" s="17"/>
    </row>
    <row r="5128" spans="12:17" x14ac:dyDescent="0.3">
      <c r="L5128" s="25"/>
      <c r="Q5128" s="17"/>
    </row>
    <row r="5129" spans="12:17" x14ac:dyDescent="0.3">
      <c r="L5129" s="25"/>
      <c r="Q5129" s="17"/>
    </row>
    <row r="5130" spans="12:17" x14ac:dyDescent="0.3">
      <c r="L5130" s="25"/>
      <c r="Q5130" s="17"/>
    </row>
    <row r="5131" spans="12:17" x14ac:dyDescent="0.3">
      <c r="L5131" s="25"/>
      <c r="Q5131" s="17"/>
    </row>
    <row r="5132" spans="12:17" x14ac:dyDescent="0.3">
      <c r="L5132" s="25"/>
      <c r="Q5132" s="17"/>
    </row>
    <row r="5133" spans="12:17" x14ac:dyDescent="0.3">
      <c r="L5133" s="25"/>
      <c r="Q5133" s="17"/>
    </row>
    <row r="5134" spans="12:17" x14ac:dyDescent="0.3">
      <c r="L5134" s="25"/>
      <c r="Q5134" s="17"/>
    </row>
    <row r="5135" spans="12:17" x14ac:dyDescent="0.3">
      <c r="L5135" s="25"/>
      <c r="Q5135" s="17"/>
    </row>
    <row r="5136" spans="12:17" x14ac:dyDescent="0.3">
      <c r="L5136" s="25"/>
      <c r="Q5136" s="17"/>
    </row>
    <row r="5137" spans="12:17" x14ac:dyDescent="0.3">
      <c r="L5137" s="25"/>
      <c r="Q5137" s="17"/>
    </row>
    <row r="5138" spans="12:17" x14ac:dyDescent="0.3">
      <c r="L5138" s="25"/>
      <c r="Q5138" s="17"/>
    </row>
    <row r="5139" spans="12:17" x14ac:dyDescent="0.3">
      <c r="L5139" s="25"/>
      <c r="Q5139" s="17"/>
    </row>
    <row r="5140" spans="12:17" x14ac:dyDescent="0.3">
      <c r="L5140" s="25"/>
      <c r="Q5140" s="17"/>
    </row>
    <row r="5141" spans="12:17" x14ac:dyDescent="0.3">
      <c r="L5141" s="25"/>
      <c r="Q5141" s="17"/>
    </row>
    <row r="5142" spans="12:17" x14ac:dyDescent="0.3">
      <c r="L5142" s="25"/>
      <c r="Q5142" s="17"/>
    </row>
    <row r="5143" spans="12:17" x14ac:dyDescent="0.3">
      <c r="L5143" s="25"/>
      <c r="Q5143" s="17"/>
    </row>
    <row r="5144" spans="12:17" x14ac:dyDescent="0.3">
      <c r="L5144" s="25"/>
      <c r="Q5144" s="17"/>
    </row>
    <row r="5145" spans="12:17" x14ac:dyDescent="0.3">
      <c r="L5145" s="25"/>
      <c r="Q5145" s="17"/>
    </row>
    <row r="5146" spans="12:17" x14ac:dyDescent="0.3">
      <c r="L5146" s="25"/>
      <c r="Q5146" s="17"/>
    </row>
    <row r="5147" spans="12:17" x14ac:dyDescent="0.3">
      <c r="L5147" s="25"/>
      <c r="Q5147" s="17"/>
    </row>
    <row r="5148" spans="12:17" x14ac:dyDescent="0.3">
      <c r="L5148" s="25"/>
      <c r="Q5148" s="17"/>
    </row>
    <row r="5149" spans="12:17" x14ac:dyDescent="0.3">
      <c r="L5149" s="25"/>
      <c r="Q5149" s="17"/>
    </row>
    <row r="5150" spans="12:17" x14ac:dyDescent="0.3">
      <c r="L5150" s="25"/>
      <c r="Q5150" s="17"/>
    </row>
    <row r="5151" spans="12:17" x14ac:dyDescent="0.3">
      <c r="L5151" s="25"/>
      <c r="Q5151" s="17"/>
    </row>
    <row r="5152" spans="12:17" x14ac:dyDescent="0.3">
      <c r="L5152" s="25"/>
      <c r="Q5152" s="17"/>
    </row>
    <row r="5153" spans="12:17" x14ac:dyDescent="0.3">
      <c r="L5153" s="25"/>
      <c r="Q5153" s="17"/>
    </row>
    <row r="5154" spans="12:17" x14ac:dyDescent="0.3">
      <c r="L5154" s="25"/>
      <c r="Q5154" s="17"/>
    </row>
    <row r="5155" spans="12:17" x14ac:dyDescent="0.3">
      <c r="L5155" s="25"/>
      <c r="Q5155" s="17"/>
    </row>
    <row r="5156" spans="12:17" x14ac:dyDescent="0.3">
      <c r="L5156" s="25"/>
      <c r="Q5156" s="17"/>
    </row>
    <row r="5157" spans="12:17" x14ac:dyDescent="0.3">
      <c r="L5157" s="25"/>
      <c r="Q5157" s="17"/>
    </row>
    <row r="5158" spans="12:17" x14ac:dyDescent="0.3">
      <c r="L5158" s="25"/>
      <c r="Q5158" s="17"/>
    </row>
    <row r="5159" spans="12:17" x14ac:dyDescent="0.3">
      <c r="L5159" s="25"/>
      <c r="Q5159" s="17"/>
    </row>
    <row r="5160" spans="12:17" x14ac:dyDescent="0.3">
      <c r="L5160" s="25"/>
      <c r="Q5160" s="17"/>
    </row>
    <row r="5161" spans="12:17" x14ac:dyDescent="0.3">
      <c r="L5161" s="25"/>
      <c r="Q5161" s="17"/>
    </row>
    <row r="5162" spans="12:17" x14ac:dyDescent="0.3">
      <c r="L5162" s="25"/>
      <c r="Q5162" s="17"/>
    </row>
    <row r="5163" spans="12:17" x14ac:dyDescent="0.3">
      <c r="L5163" s="25"/>
      <c r="Q5163" s="17"/>
    </row>
    <row r="5164" spans="12:17" x14ac:dyDescent="0.3">
      <c r="L5164" s="25"/>
      <c r="Q5164" s="17"/>
    </row>
    <row r="5165" spans="12:17" x14ac:dyDescent="0.3">
      <c r="L5165" s="25"/>
      <c r="Q5165" s="17"/>
    </row>
    <row r="5166" spans="12:17" x14ac:dyDescent="0.3">
      <c r="L5166" s="25"/>
      <c r="Q5166" s="17"/>
    </row>
    <row r="5167" spans="12:17" x14ac:dyDescent="0.3">
      <c r="L5167" s="25"/>
      <c r="Q5167" s="17"/>
    </row>
    <row r="5168" spans="12:17" x14ac:dyDescent="0.3">
      <c r="L5168" s="25"/>
      <c r="Q5168" s="17"/>
    </row>
    <row r="5169" spans="12:17" x14ac:dyDescent="0.3">
      <c r="L5169" s="25"/>
      <c r="Q5169" s="17"/>
    </row>
    <row r="5170" spans="12:17" x14ac:dyDescent="0.3">
      <c r="L5170" s="25"/>
      <c r="Q5170" s="17"/>
    </row>
    <row r="5171" spans="12:17" x14ac:dyDescent="0.3">
      <c r="L5171" s="25"/>
      <c r="Q5171" s="17"/>
    </row>
    <row r="5172" spans="12:17" x14ac:dyDescent="0.3">
      <c r="L5172" s="25"/>
      <c r="Q5172" s="17"/>
    </row>
    <row r="5173" spans="12:17" x14ac:dyDescent="0.3">
      <c r="L5173" s="25"/>
      <c r="Q5173" s="17"/>
    </row>
    <row r="5174" spans="12:17" x14ac:dyDescent="0.3">
      <c r="L5174" s="25"/>
      <c r="Q5174" s="17"/>
    </row>
    <row r="5175" spans="12:17" x14ac:dyDescent="0.3">
      <c r="L5175" s="25"/>
      <c r="Q5175" s="17"/>
    </row>
    <row r="5176" spans="12:17" x14ac:dyDescent="0.3">
      <c r="L5176" s="25"/>
      <c r="Q5176" s="17"/>
    </row>
    <row r="5177" spans="12:17" x14ac:dyDescent="0.3">
      <c r="L5177" s="25"/>
      <c r="Q5177" s="17"/>
    </row>
    <row r="5178" spans="12:17" x14ac:dyDescent="0.3">
      <c r="L5178" s="25"/>
      <c r="Q5178" s="17"/>
    </row>
    <row r="5179" spans="12:17" x14ac:dyDescent="0.3">
      <c r="L5179" s="25"/>
      <c r="Q5179" s="17"/>
    </row>
    <row r="5180" spans="12:17" x14ac:dyDescent="0.3">
      <c r="L5180" s="25"/>
      <c r="Q5180" s="17"/>
    </row>
    <row r="5181" spans="12:17" x14ac:dyDescent="0.3">
      <c r="L5181" s="25"/>
      <c r="Q5181" s="17"/>
    </row>
    <row r="5182" spans="12:17" x14ac:dyDescent="0.3">
      <c r="L5182" s="25"/>
      <c r="Q5182" s="17"/>
    </row>
    <row r="5183" spans="12:17" x14ac:dyDescent="0.3">
      <c r="L5183" s="25"/>
      <c r="Q5183" s="17"/>
    </row>
    <row r="5184" spans="12:17" x14ac:dyDescent="0.3">
      <c r="L5184" s="25"/>
      <c r="Q5184" s="17"/>
    </row>
    <row r="5185" spans="12:17" x14ac:dyDescent="0.3">
      <c r="L5185" s="25"/>
      <c r="Q5185" s="17"/>
    </row>
    <row r="5186" spans="12:17" x14ac:dyDescent="0.3">
      <c r="L5186" s="25"/>
      <c r="Q5186" s="17"/>
    </row>
    <row r="5187" spans="12:17" x14ac:dyDescent="0.3">
      <c r="L5187" s="25"/>
      <c r="Q5187" s="17"/>
    </row>
    <row r="5188" spans="12:17" x14ac:dyDescent="0.3">
      <c r="L5188" s="25"/>
      <c r="Q5188" s="17"/>
    </row>
    <row r="5189" spans="12:17" x14ac:dyDescent="0.3">
      <c r="L5189" s="25"/>
      <c r="Q5189" s="17"/>
    </row>
    <row r="5190" spans="12:17" x14ac:dyDescent="0.3">
      <c r="L5190" s="25"/>
      <c r="Q5190" s="17"/>
    </row>
    <row r="5191" spans="12:17" x14ac:dyDescent="0.3">
      <c r="L5191" s="25"/>
      <c r="Q5191" s="17"/>
    </row>
    <row r="5192" spans="12:17" x14ac:dyDescent="0.3">
      <c r="L5192" s="25"/>
      <c r="Q5192" s="17"/>
    </row>
    <row r="5193" spans="12:17" x14ac:dyDescent="0.3">
      <c r="L5193" s="25"/>
      <c r="Q5193" s="17"/>
    </row>
    <row r="5194" spans="12:17" x14ac:dyDescent="0.3">
      <c r="L5194" s="25"/>
      <c r="Q5194" s="17"/>
    </row>
    <row r="5195" spans="12:17" x14ac:dyDescent="0.3">
      <c r="L5195" s="25"/>
      <c r="Q5195" s="17"/>
    </row>
    <row r="5196" spans="12:17" x14ac:dyDescent="0.3">
      <c r="L5196" s="25"/>
      <c r="Q5196" s="17"/>
    </row>
    <row r="5197" spans="12:17" x14ac:dyDescent="0.3">
      <c r="L5197" s="25"/>
      <c r="Q5197" s="17"/>
    </row>
    <row r="5198" spans="12:17" x14ac:dyDescent="0.3">
      <c r="L5198" s="25"/>
      <c r="Q5198" s="17"/>
    </row>
    <row r="5199" spans="12:17" x14ac:dyDescent="0.3">
      <c r="L5199" s="25"/>
      <c r="Q5199" s="17"/>
    </row>
    <row r="5200" spans="12:17" x14ac:dyDescent="0.3">
      <c r="L5200" s="25"/>
      <c r="Q5200" s="17"/>
    </row>
    <row r="5201" spans="12:17" x14ac:dyDescent="0.3">
      <c r="L5201" s="25"/>
      <c r="Q5201" s="17"/>
    </row>
    <row r="5202" spans="12:17" x14ac:dyDescent="0.3">
      <c r="L5202" s="25"/>
      <c r="Q5202" s="17"/>
    </row>
    <row r="5203" spans="12:17" x14ac:dyDescent="0.3">
      <c r="L5203" s="25"/>
      <c r="Q5203" s="17"/>
    </row>
    <row r="5204" spans="12:17" x14ac:dyDescent="0.3">
      <c r="L5204" s="25"/>
      <c r="Q5204" s="17"/>
    </row>
    <row r="5205" spans="12:17" x14ac:dyDescent="0.3">
      <c r="L5205" s="25"/>
      <c r="Q5205" s="17"/>
    </row>
    <row r="5206" spans="12:17" x14ac:dyDescent="0.3">
      <c r="L5206" s="25"/>
      <c r="Q5206" s="17"/>
    </row>
    <row r="5207" spans="12:17" x14ac:dyDescent="0.3">
      <c r="L5207" s="25"/>
      <c r="Q5207" s="17"/>
    </row>
    <row r="5208" spans="12:17" x14ac:dyDescent="0.3">
      <c r="L5208" s="25"/>
      <c r="Q5208" s="17"/>
    </row>
    <row r="5209" spans="12:17" x14ac:dyDescent="0.3">
      <c r="L5209" s="25"/>
      <c r="Q5209" s="17"/>
    </row>
    <row r="5210" spans="12:17" x14ac:dyDescent="0.3">
      <c r="L5210" s="25"/>
      <c r="Q5210" s="17"/>
    </row>
    <row r="5211" spans="12:17" x14ac:dyDescent="0.3">
      <c r="L5211" s="25"/>
      <c r="Q5211" s="17"/>
    </row>
    <row r="5212" spans="12:17" x14ac:dyDescent="0.3">
      <c r="L5212" s="25"/>
      <c r="Q5212" s="17"/>
    </row>
    <row r="5213" spans="12:17" x14ac:dyDescent="0.3">
      <c r="L5213" s="25"/>
      <c r="Q5213" s="17"/>
    </row>
    <row r="5214" spans="12:17" x14ac:dyDescent="0.3">
      <c r="L5214" s="25"/>
      <c r="Q5214" s="17"/>
    </row>
    <row r="5215" spans="12:17" x14ac:dyDescent="0.3">
      <c r="L5215" s="25"/>
      <c r="Q5215" s="17"/>
    </row>
    <row r="5216" spans="12:17" x14ac:dyDescent="0.3">
      <c r="L5216" s="25"/>
      <c r="Q5216" s="17"/>
    </row>
    <row r="5217" spans="12:17" x14ac:dyDescent="0.3">
      <c r="L5217" s="25"/>
      <c r="Q5217" s="17"/>
    </row>
    <row r="5218" spans="12:17" x14ac:dyDescent="0.3">
      <c r="L5218" s="25"/>
      <c r="Q5218" s="17"/>
    </row>
    <row r="5219" spans="12:17" x14ac:dyDescent="0.3">
      <c r="L5219" s="25"/>
      <c r="Q5219" s="17"/>
    </row>
    <row r="5220" spans="12:17" x14ac:dyDescent="0.3">
      <c r="L5220" s="25"/>
      <c r="Q5220" s="17"/>
    </row>
    <row r="5221" spans="12:17" x14ac:dyDescent="0.3">
      <c r="L5221" s="25"/>
      <c r="Q5221" s="17"/>
    </row>
    <row r="5222" spans="12:17" x14ac:dyDescent="0.3">
      <c r="L5222" s="25"/>
      <c r="Q5222" s="17"/>
    </row>
    <row r="5223" spans="12:17" x14ac:dyDescent="0.3">
      <c r="L5223" s="25"/>
      <c r="Q5223" s="17"/>
    </row>
    <row r="5224" spans="12:17" x14ac:dyDescent="0.3">
      <c r="L5224" s="25"/>
      <c r="Q5224" s="17"/>
    </row>
    <row r="5225" spans="12:17" x14ac:dyDescent="0.3">
      <c r="L5225" s="25"/>
      <c r="Q5225" s="17"/>
    </row>
    <row r="5226" spans="12:17" x14ac:dyDescent="0.3">
      <c r="L5226" s="25"/>
      <c r="Q5226" s="17"/>
    </row>
    <row r="5227" spans="12:17" x14ac:dyDescent="0.3">
      <c r="L5227" s="25"/>
      <c r="Q5227" s="17"/>
    </row>
    <row r="5228" spans="12:17" x14ac:dyDescent="0.3">
      <c r="L5228" s="25"/>
      <c r="Q5228" s="17"/>
    </row>
    <row r="5229" spans="12:17" x14ac:dyDescent="0.3">
      <c r="L5229" s="25"/>
      <c r="Q5229" s="17"/>
    </row>
    <row r="5230" spans="12:17" x14ac:dyDescent="0.3">
      <c r="L5230" s="25"/>
      <c r="Q5230" s="17"/>
    </row>
    <row r="5231" spans="12:17" x14ac:dyDescent="0.3">
      <c r="L5231" s="25"/>
      <c r="Q5231" s="17"/>
    </row>
    <row r="5232" spans="12:17" x14ac:dyDescent="0.3">
      <c r="L5232" s="25"/>
      <c r="Q5232" s="17"/>
    </row>
    <row r="5233" spans="12:17" x14ac:dyDescent="0.3">
      <c r="L5233" s="25"/>
      <c r="Q5233" s="17"/>
    </row>
    <row r="5234" spans="12:17" x14ac:dyDescent="0.3">
      <c r="L5234" s="25"/>
      <c r="Q5234" s="17"/>
    </row>
    <row r="5235" spans="12:17" x14ac:dyDescent="0.3">
      <c r="L5235" s="25"/>
      <c r="Q5235" s="17"/>
    </row>
    <row r="5236" spans="12:17" x14ac:dyDescent="0.3">
      <c r="L5236" s="25"/>
      <c r="Q5236" s="17"/>
    </row>
    <row r="5237" spans="12:17" x14ac:dyDescent="0.3">
      <c r="L5237" s="25"/>
      <c r="Q5237" s="17"/>
    </row>
    <row r="5238" spans="12:17" x14ac:dyDescent="0.3">
      <c r="L5238" s="25"/>
      <c r="Q5238" s="17"/>
    </row>
    <row r="5239" spans="12:17" x14ac:dyDescent="0.3">
      <c r="L5239" s="25"/>
      <c r="Q5239" s="17"/>
    </row>
    <row r="5240" spans="12:17" x14ac:dyDescent="0.3">
      <c r="L5240" s="25"/>
      <c r="Q5240" s="17"/>
    </row>
    <row r="5241" spans="12:17" x14ac:dyDescent="0.3">
      <c r="L5241" s="25"/>
      <c r="Q5241" s="17"/>
    </row>
    <row r="5242" spans="12:17" x14ac:dyDescent="0.3">
      <c r="L5242" s="25"/>
      <c r="Q5242" s="17"/>
    </row>
    <row r="5243" spans="12:17" x14ac:dyDescent="0.3">
      <c r="L5243" s="25"/>
      <c r="Q5243" s="17"/>
    </row>
    <row r="5244" spans="12:17" x14ac:dyDescent="0.3">
      <c r="L5244" s="25"/>
      <c r="Q5244" s="17"/>
    </row>
    <row r="5245" spans="12:17" x14ac:dyDescent="0.3">
      <c r="L5245" s="25"/>
      <c r="Q5245" s="17"/>
    </row>
    <row r="5246" spans="12:17" x14ac:dyDescent="0.3">
      <c r="L5246" s="25"/>
      <c r="Q5246" s="17"/>
    </row>
    <row r="5247" spans="12:17" x14ac:dyDescent="0.3">
      <c r="L5247" s="25"/>
      <c r="Q5247" s="17"/>
    </row>
    <row r="5248" spans="12:17" x14ac:dyDescent="0.3">
      <c r="L5248" s="25"/>
      <c r="Q5248" s="17"/>
    </row>
    <row r="5249" spans="12:17" x14ac:dyDescent="0.3">
      <c r="L5249" s="25"/>
      <c r="Q5249" s="17"/>
    </row>
    <row r="5250" spans="12:17" x14ac:dyDescent="0.3">
      <c r="L5250" s="25"/>
      <c r="Q5250" s="17"/>
    </row>
    <row r="5251" spans="12:17" x14ac:dyDescent="0.3">
      <c r="L5251" s="25"/>
      <c r="Q5251" s="17"/>
    </row>
    <row r="5252" spans="12:17" x14ac:dyDescent="0.3">
      <c r="L5252" s="25"/>
      <c r="Q5252" s="17"/>
    </row>
    <row r="5253" spans="12:17" x14ac:dyDescent="0.3">
      <c r="L5253" s="25"/>
      <c r="Q5253" s="17"/>
    </row>
    <row r="5254" spans="12:17" x14ac:dyDescent="0.3">
      <c r="L5254" s="25"/>
      <c r="Q5254" s="17"/>
    </row>
    <row r="5255" spans="12:17" x14ac:dyDescent="0.3">
      <c r="L5255" s="25"/>
      <c r="Q5255" s="17"/>
    </row>
    <row r="5256" spans="12:17" x14ac:dyDescent="0.3">
      <c r="L5256" s="25"/>
      <c r="Q5256" s="17"/>
    </row>
    <row r="5257" spans="12:17" x14ac:dyDescent="0.3">
      <c r="L5257" s="25"/>
      <c r="Q5257" s="17"/>
    </row>
    <row r="5258" spans="12:17" x14ac:dyDescent="0.3">
      <c r="L5258" s="25"/>
      <c r="Q5258" s="17"/>
    </row>
    <row r="5259" spans="12:17" x14ac:dyDescent="0.3">
      <c r="L5259" s="25"/>
      <c r="Q5259" s="17"/>
    </row>
    <row r="5260" spans="12:17" x14ac:dyDescent="0.3">
      <c r="L5260" s="25"/>
      <c r="Q5260" s="17"/>
    </row>
    <row r="5261" spans="12:17" x14ac:dyDescent="0.3">
      <c r="L5261" s="25"/>
      <c r="Q5261" s="17"/>
    </row>
    <row r="5262" spans="12:17" x14ac:dyDescent="0.3">
      <c r="L5262" s="25"/>
      <c r="Q5262" s="17"/>
    </row>
    <row r="5263" spans="12:17" x14ac:dyDescent="0.3">
      <c r="L5263" s="25"/>
      <c r="Q5263" s="17"/>
    </row>
    <row r="5264" spans="12:17" x14ac:dyDescent="0.3">
      <c r="L5264" s="25"/>
      <c r="Q5264" s="17"/>
    </row>
    <row r="5265" spans="12:17" x14ac:dyDescent="0.3">
      <c r="L5265" s="25"/>
      <c r="Q5265" s="17"/>
    </row>
    <row r="5266" spans="12:17" x14ac:dyDescent="0.3">
      <c r="L5266" s="25"/>
      <c r="Q5266" s="17"/>
    </row>
    <row r="5267" spans="12:17" x14ac:dyDescent="0.3">
      <c r="L5267" s="25"/>
      <c r="Q5267" s="17"/>
    </row>
    <row r="5268" spans="12:17" x14ac:dyDescent="0.3">
      <c r="L5268" s="25"/>
      <c r="Q5268" s="17"/>
    </row>
    <row r="5269" spans="12:17" x14ac:dyDescent="0.3">
      <c r="L5269" s="25"/>
      <c r="Q5269" s="17"/>
    </row>
    <row r="5270" spans="12:17" x14ac:dyDescent="0.3">
      <c r="L5270" s="25"/>
      <c r="Q5270" s="17"/>
    </row>
    <row r="5271" spans="12:17" x14ac:dyDescent="0.3">
      <c r="L5271" s="25"/>
      <c r="Q5271" s="17"/>
    </row>
    <row r="5272" spans="12:17" x14ac:dyDescent="0.3">
      <c r="L5272" s="25"/>
      <c r="Q5272" s="17"/>
    </row>
    <row r="5273" spans="12:17" x14ac:dyDescent="0.3">
      <c r="L5273" s="25"/>
      <c r="Q5273" s="17"/>
    </row>
    <row r="5274" spans="12:17" x14ac:dyDescent="0.3">
      <c r="L5274" s="25"/>
      <c r="Q5274" s="17"/>
    </row>
    <row r="5275" spans="12:17" x14ac:dyDescent="0.3">
      <c r="L5275" s="25"/>
      <c r="Q5275" s="17"/>
    </row>
    <row r="5276" spans="12:17" x14ac:dyDescent="0.3">
      <c r="L5276" s="25"/>
      <c r="Q5276" s="17"/>
    </row>
    <row r="5277" spans="12:17" x14ac:dyDescent="0.3">
      <c r="L5277" s="25"/>
      <c r="Q5277" s="17"/>
    </row>
    <row r="5278" spans="12:17" x14ac:dyDescent="0.3">
      <c r="L5278" s="25"/>
      <c r="Q5278" s="17"/>
    </row>
    <row r="5279" spans="12:17" x14ac:dyDescent="0.3">
      <c r="L5279" s="25"/>
      <c r="Q5279" s="17"/>
    </row>
    <row r="5280" spans="12:17" x14ac:dyDescent="0.3">
      <c r="L5280" s="25"/>
      <c r="Q5280" s="17"/>
    </row>
    <row r="5281" spans="12:17" x14ac:dyDescent="0.3">
      <c r="L5281" s="25"/>
      <c r="Q5281" s="17"/>
    </row>
    <row r="5282" spans="12:17" x14ac:dyDescent="0.3">
      <c r="L5282" s="25"/>
      <c r="Q5282" s="17"/>
    </row>
    <row r="5283" spans="12:17" x14ac:dyDescent="0.3">
      <c r="L5283" s="25"/>
      <c r="Q5283" s="17"/>
    </row>
    <row r="5284" spans="12:17" x14ac:dyDescent="0.3">
      <c r="L5284" s="25"/>
      <c r="Q5284" s="17"/>
    </row>
    <row r="5285" spans="12:17" x14ac:dyDescent="0.3">
      <c r="L5285" s="25"/>
      <c r="Q5285" s="17"/>
    </row>
    <row r="5286" spans="12:17" x14ac:dyDescent="0.3">
      <c r="L5286" s="25"/>
      <c r="Q5286" s="17"/>
    </row>
    <row r="5287" spans="12:17" x14ac:dyDescent="0.3">
      <c r="L5287" s="25"/>
      <c r="Q5287" s="17"/>
    </row>
    <row r="5288" spans="12:17" x14ac:dyDescent="0.3">
      <c r="L5288" s="25"/>
      <c r="Q5288" s="17"/>
    </row>
    <row r="5289" spans="12:17" x14ac:dyDescent="0.3">
      <c r="L5289" s="25"/>
      <c r="Q5289" s="17"/>
    </row>
    <row r="5290" spans="12:17" x14ac:dyDescent="0.3">
      <c r="L5290" s="25"/>
      <c r="Q5290" s="17"/>
    </row>
    <row r="5291" spans="12:17" x14ac:dyDescent="0.3">
      <c r="L5291" s="25"/>
      <c r="Q5291" s="17"/>
    </row>
    <row r="5292" spans="12:17" x14ac:dyDescent="0.3">
      <c r="L5292" s="25"/>
      <c r="Q5292" s="17"/>
    </row>
    <row r="5293" spans="12:17" x14ac:dyDescent="0.3">
      <c r="L5293" s="25"/>
      <c r="Q5293" s="17"/>
    </row>
    <row r="5294" spans="12:17" x14ac:dyDescent="0.3">
      <c r="L5294" s="25"/>
      <c r="Q5294" s="17"/>
    </row>
    <row r="5295" spans="12:17" x14ac:dyDescent="0.3">
      <c r="L5295" s="25"/>
      <c r="Q5295" s="17"/>
    </row>
    <row r="5296" spans="12:17" x14ac:dyDescent="0.3">
      <c r="L5296" s="25"/>
      <c r="Q5296" s="17"/>
    </row>
    <row r="5297" spans="12:17" x14ac:dyDescent="0.3">
      <c r="L5297" s="25"/>
      <c r="Q5297" s="17"/>
    </row>
    <row r="5298" spans="12:17" x14ac:dyDescent="0.3">
      <c r="L5298" s="25"/>
      <c r="Q5298" s="17"/>
    </row>
    <row r="5299" spans="12:17" x14ac:dyDescent="0.3">
      <c r="L5299" s="25"/>
      <c r="Q5299" s="17"/>
    </row>
    <row r="5300" spans="12:17" x14ac:dyDescent="0.3">
      <c r="L5300" s="25"/>
      <c r="Q5300" s="17"/>
    </row>
    <row r="5301" spans="12:17" x14ac:dyDescent="0.3">
      <c r="L5301" s="25"/>
      <c r="Q5301" s="17"/>
    </row>
    <row r="5302" spans="12:17" x14ac:dyDescent="0.3">
      <c r="L5302" s="25"/>
      <c r="Q5302" s="17"/>
    </row>
    <row r="5303" spans="12:17" x14ac:dyDescent="0.3">
      <c r="L5303" s="25"/>
      <c r="Q5303" s="17"/>
    </row>
    <row r="5304" spans="12:17" x14ac:dyDescent="0.3">
      <c r="L5304" s="25"/>
      <c r="Q5304" s="17"/>
    </row>
    <row r="5305" spans="12:17" x14ac:dyDescent="0.3">
      <c r="L5305" s="25"/>
      <c r="Q5305" s="17"/>
    </row>
    <row r="5306" spans="12:17" x14ac:dyDescent="0.3">
      <c r="L5306" s="25"/>
      <c r="Q5306" s="17"/>
    </row>
    <row r="5307" spans="12:17" x14ac:dyDescent="0.3">
      <c r="L5307" s="25"/>
      <c r="Q5307" s="17"/>
    </row>
    <row r="5308" spans="12:17" x14ac:dyDescent="0.3">
      <c r="L5308" s="25"/>
      <c r="Q5308" s="17"/>
    </row>
    <row r="5309" spans="12:17" x14ac:dyDescent="0.3">
      <c r="L5309" s="25"/>
      <c r="Q5309" s="17"/>
    </row>
    <row r="5310" spans="12:17" x14ac:dyDescent="0.3">
      <c r="L5310" s="25"/>
      <c r="Q5310" s="17"/>
    </row>
    <row r="5311" spans="12:17" x14ac:dyDescent="0.3">
      <c r="L5311" s="25"/>
      <c r="Q5311" s="17"/>
    </row>
    <row r="5312" spans="12:17" x14ac:dyDescent="0.3">
      <c r="L5312" s="25"/>
      <c r="Q5312" s="17"/>
    </row>
    <row r="5313" spans="12:17" x14ac:dyDescent="0.3">
      <c r="L5313" s="25"/>
      <c r="Q5313" s="17"/>
    </row>
    <row r="5314" spans="12:17" x14ac:dyDescent="0.3">
      <c r="L5314" s="25"/>
      <c r="Q5314" s="17"/>
    </row>
    <row r="5315" spans="12:17" x14ac:dyDescent="0.3">
      <c r="L5315" s="25"/>
      <c r="Q5315" s="17"/>
    </row>
    <row r="5316" spans="12:17" x14ac:dyDescent="0.3">
      <c r="L5316" s="25"/>
      <c r="Q5316" s="17"/>
    </row>
    <row r="5317" spans="12:17" x14ac:dyDescent="0.3">
      <c r="L5317" s="25"/>
      <c r="Q5317" s="17"/>
    </row>
    <row r="5318" spans="12:17" x14ac:dyDescent="0.3">
      <c r="L5318" s="25"/>
      <c r="Q5318" s="17"/>
    </row>
    <row r="5319" spans="12:17" x14ac:dyDescent="0.3">
      <c r="L5319" s="25"/>
      <c r="Q5319" s="17"/>
    </row>
    <row r="5320" spans="12:17" x14ac:dyDescent="0.3">
      <c r="L5320" s="25"/>
      <c r="Q5320" s="17"/>
    </row>
    <row r="5321" spans="12:17" x14ac:dyDescent="0.3">
      <c r="L5321" s="25"/>
      <c r="Q5321" s="17"/>
    </row>
    <row r="5322" spans="12:17" x14ac:dyDescent="0.3">
      <c r="L5322" s="25"/>
      <c r="Q5322" s="17"/>
    </row>
    <row r="5323" spans="12:17" x14ac:dyDescent="0.3">
      <c r="L5323" s="25"/>
      <c r="Q5323" s="17"/>
    </row>
    <row r="5324" spans="12:17" x14ac:dyDescent="0.3">
      <c r="L5324" s="25"/>
      <c r="Q5324" s="17"/>
    </row>
    <row r="5325" spans="12:17" x14ac:dyDescent="0.3">
      <c r="L5325" s="25"/>
      <c r="Q5325" s="17"/>
    </row>
    <row r="5326" spans="12:17" x14ac:dyDescent="0.3">
      <c r="L5326" s="25"/>
      <c r="Q5326" s="17"/>
    </row>
    <row r="5327" spans="12:17" x14ac:dyDescent="0.3">
      <c r="L5327" s="25"/>
      <c r="Q5327" s="17"/>
    </row>
    <row r="5328" spans="12:17" x14ac:dyDescent="0.3">
      <c r="L5328" s="25"/>
      <c r="Q5328" s="17"/>
    </row>
    <row r="5329" spans="12:17" x14ac:dyDescent="0.3">
      <c r="L5329" s="25"/>
      <c r="Q5329" s="17"/>
    </row>
    <row r="5330" spans="12:17" x14ac:dyDescent="0.3">
      <c r="L5330" s="25"/>
      <c r="Q5330" s="17"/>
    </row>
    <row r="5331" spans="12:17" x14ac:dyDescent="0.3">
      <c r="L5331" s="25"/>
      <c r="Q5331" s="17"/>
    </row>
    <row r="5332" spans="12:17" x14ac:dyDescent="0.3">
      <c r="L5332" s="25"/>
      <c r="Q5332" s="17"/>
    </row>
    <row r="5333" spans="12:17" x14ac:dyDescent="0.3">
      <c r="L5333" s="25"/>
      <c r="Q5333" s="17"/>
    </row>
    <row r="5334" spans="12:17" x14ac:dyDescent="0.3">
      <c r="L5334" s="25"/>
      <c r="Q5334" s="17"/>
    </row>
    <row r="5335" spans="12:17" x14ac:dyDescent="0.3">
      <c r="L5335" s="25"/>
      <c r="Q5335" s="17"/>
    </row>
    <row r="5336" spans="12:17" x14ac:dyDescent="0.3">
      <c r="L5336" s="25"/>
      <c r="Q5336" s="17"/>
    </row>
    <row r="5337" spans="12:17" x14ac:dyDescent="0.3">
      <c r="L5337" s="25"/>
      <c r="Q5337" s="17"/>
    </row>
    <row r="5338" spans="12:17" x14ac:dyDescent="0.3">
      <c r="L5338" s="25"/>
      <c r="Q5338" s="17"/>
    </row>
    <row r="5339" spans="12:17" x14ac:dyDescent="0.3">
      <c r="L5339" s="25"/>
      <c r="Q5339" s="17"/>
    </row>
    <row r="5340" spans="12:17" x14ac:dyDescent="0.3">
      <c r="L5340" s="25"/>
      <c r="Q5340" s="17"/>
    </row>
    <row r="5341" spans="12:17" x14ac:dyDescent="0.3">
      <c r="L5341" s="25"/>
      <c r="Q5341" s="17"/>
    </row>
    <row r="5342" spans="12:17" x14ac:dyDescent="0.3">
      <c r="L5342" s="25"/>
      <c r="Q5342" s="17"/>
    </row>
    <row r="5343" spans="12:17" x14ac:dyDescent="0.3">
      <c r="L5343" s="25"/>
      <c r="Q5343" s="17"/>
    </row>
    <row r="5344" spans="12:17" x14ac:dyDescent="0.3">
      <c r="L5344" s="25"/>
      <c r="Q5344" s="17"/>
    </row>
    <row r="5345" spans="12:17" x14ac:dyDescent="0.3">
      <c r="L5345" s="25"/>
      <c r="Q5345" s="17"/>
    </row>
    <row r="5346" spans="12:17" x14ac:dyDescent="0.3">
      <c r="L5346" s="25"/>
      <c r="Q5346" s="17"/>
    </row>
    <row r="5347" spans="12:17" x14ac:dyDescent="0.3">
      <c r="L5347" s="25"/>
      <c r="Q5347" s="17"/>
    </row>
    <row r="5348" spans="12:17" x14ac:dyDescent="0.3">
      <c r="L5348" s="25"/>
      <c r="Q5348" s="17"/>
    </row>
    <row r="5349" spans="12:17" x14ac:dyDescent="0.3">
      <c r="L5349" s="25"/>
      <c r="Q5349" s="17"/>
    </row>
    <row r="5350" spans="12:17" x14ac:dyDescent="0.3">
      <c r="L5350" s="25"/>
      <c r="Q5350" s="17"/>
    </row>
    <row r="5351" spans="12:17" x14ac:dyDescent="0.3">
      <c r="L5351" s="25"/>
      <c r="Q5351" s="17"/>
    </row>
    <row r="5352" spans="12:17" x14ac:dyDescent="0.3">
      <c r="L5352" s="25"/>
      <c r="Q5352" s="17"/>
    </row>
    <row r="5353" spans="12:17" x14ac:dyDescent="0.3">
      <c r="L5353" s="25"/>
      <c r="Q5353" s="17"/>
    </row>
    <row r="5354" spans="12:17" x14ac:dyDescent="0.3">
      <c r="L5354" s="25"/>
      <c r="Q5354" s="17"/>
    </row>
    <row r="5355" spans="12:17" x14ac:dyDescent="0.3">
      <c r="L5355" s="25"/>
      <c r="Q5355" s="17"/>
    </row>
    <row r="5356" spans="12:17" x14ac:dyDescent="0.3">
      <c r="L5356" s="25"/>
      <c r="Q5356" s="17"/>
    </row>
    <row r="5357" spans="12:17" x14ac:dyDescent="0.3">
      <c r="L5357" s="25"/>
      <c r="Q5357" s="17"/>
    </row>
    <row r="5358" spans="12:17" x14ac:dyDescent="0.3">
      <c r="L5358" s="25"/>
      <c r="Q5358" s="17"/>
    </row>
    <row r="5359" spans="12:17" x14ac:dyDescent="0.3">
      <c r="L5359" s="25"/>
      <c r="Q5359" s="17"/>
    </row>
    <row r="5360" spans="12:17" x14ac:dyDescent="0.3">
      <c r="L5360" s="25"/>
      <c r="Q5360" s="17"/>
    </row>
    <row r="5361" spans="12:17" x14ac:dyDescent="0.3">
      <c r="L5361" s="25"/>
      <c r="Q5361" s="17"/>
    </row>
    <row r="5362" spans="12:17" x14ac:dyDescent="0.3">
      <c r="L5362" s="25"/>
      <c r="Q5362" s="17"/>
    </row>
    <row r="5363" spans="12:17" x14ac:dyDescent="0.3">
      <c r="L5363" s="25"/>
      <c r="Q5363" s="17"/>
    </row>
    <row r="5364" spans="12:17" x14ac:dyDescent="0.3">
      <c r="L5364" s="25"/>
      <c r="Q5364" s="17"/>
    </row>
    <row r="5365" spans="12:17" x14ac:dyDescent="0.3">
      <c r="L5365" s="25"/>
      <c r="Q5365" s="17"/>
    </row>
    <row r="5366" spans="12:17" x14ac:dyDescent="0.3">
      <c r="L5366" s="25"/>
      <c r="Q5366" s="17"/>
    </row>
    <row r="5367" spans="12:17" x14ac:dyDescent="0.3">
      <c r="L5367" s="25"/>
      <c r="Q5367" s="17"/>
    </row>
    <row r="5368" spans="12:17" x14ac:dyDescent="0.3">
      <c r="L5368" s="25"/>
      <c r="Q5368" s="17"/>
    </row>
    <row r="5369" spans="12:17" x14ac:dyDescent="0.3">
      <c r="L5369" s="25"/>
      <c r="Q5369" s="17"/>
    </row>
    <row r="5370" spans="12:17" x14ac:dyDescent="0.3">
      <c r="L5370" s="25"/>
      <c r="Q5370" s="17"/>
    </row>
    <row r="5371" spans="12:17" x14ac:dyDescent="0.3">
      <c r="L5371" s="25"/>
      <c r="Q5371" s="17"/>
    </row>
    <row r="5372" spans="12:17" x14ac:dyDescent="0.3">
      <c r="L5372" s="25"/>
      <c r="Q5372" s="17"/>
    </row>
    <row r="5373" spans="12:17" x14ac:dyDescent="0.3">
      <c r="L5373" s="25"/>
      <c r="Q5373" s="17"/>
    </row>
    <row r="5374" spans="12:17" x14ac:dyDescent="0.3">
      <c r="L5374" s="25"/>
      <c r="Q5374" s="17"/>
    </row>
    <row r="5375" spans="12:17" x14ac:dyDescent="0.3">
      <c r="L5375" s="25"/>
      <c r="Q5375" s="17"/>
    </row>
    <row r="5376" spans="12:17" x14ac:dyDescent="0.3">
      <c r="L5376" s="25"/>
      <c r="Q5376" s="17"/>
    </row>
    <row r="5377" spans="12:17" x14ac:dyDescent="0.3">
      <c r="L5377" s="25"/>
      <c r="Q5377" s="17"/>
    </row>
    <row r="5378" spans="12:17" x14ac:dyDescent="0.3">
      <c r="L5378" s="25"/>
      <c r="Q5378" s="17"/>
    </row>
    <row r="5379" spans="12:17" x14ac:dyDescent="0.3">
      <c r="L5379" s="25"/>
      <c r="Q5379" s="17"/>
    </row>
    <row r="5380" spans="12:17" x14ac:dyDescent="0.3">
      <c r="L5380" s="25"/>
      <c r="Q5380" s="17"/>
    </row>
    <row r="5381" spans="12:17" x14ac:dyDescent="0.3">
      <c r="L5381" s="25"/>
      <c r="Q5381" s="17"/>
    </row>
    <row r="5382" spans="12:17" x14ac:dyDescent="0.3">
      <c r="L5382" s="25"/>
      <c r="Q5382" s="17"/>
    </row>
    <row r="5383" spans="12:17" x14ac:dyDescent="0.3">
      <c r="L5383" s="25"/>
      <c r="Q5383" s="17"/>
    </row>
    <row r="5384" spans="12:17" x14ac:dyDescent="0.3">
      <c r="L5384" s="25"/>
      <c r="Q5384" s="17"/>
    </row>
    <row r="5385" spans="12:17" x14ac:dyDescent="0.3">
      <c r="L5385" s="25"/>
      <c r="Q5385" s="17"/>
    </row>
    <row r="5386" spans="12:17" x14ac:dyDescent="0.3">
      <c r="L5386" s="25"/>
      <c r="Q5386" s="17"/>
    </row>
    <row r="5387" spans="12:17" x14ac:dyDescent="0.3">
      <c r="L5387" s="25"/>
      <c r="Q5387" s="17"/>
    </row>
    <row r="5388" spans="12:17" x14ac:dyDescent="0.3">
      <c r="L5388" s="25"/>
      <c r="Q5388" s="17"/>
    </row>
    <row r="5389" spans="12:17" x14ac:dyDescent="0.3">
      <c r="L5389" s="25"/>
      <c r="Q5389" s="17"/>
    </row>
    <row r="5390" spans="12:17" x14ac:dyDescent="0.3">
      <c r="L5390" s="25"/>
      <c r="Q5390" s="17"/>
    </row>
    <row r="5391" spans="12:17" x14ac:dyDescent="0.3">
      <c r="L5391" s="25"/>
      <c r="Q5391" s="17"/>
    </row>
    <row r="5392" spans="12:17" x14ac:dyDescent="0.3">
      <c r="L5392" s="25"/>
      <c r="Q5392" s="17"/>
    </row>
    <row r="5393" spans="12:17" x14ac:dyDescent="0.3">
      <c r="L5393" s="25"/>
      <c r="Q5393" s="17"/>
    </row>
    <row r="5394" spans="12:17" x14ac:dyDescent="0.3">
      <c r="L5394" s="25"/>
      <c r="Q5394" s="17"/>
    </row>
    <row r="5395" spans="12:17" x14ac:dyDescent="0.3">
      <c r="L5395" s="25"/>
      <c r="Q5395" s="17"/>
    </row>
    <row r="5396" spans="12:17" x14ac:dyDescent="0.3">
      <c r="L5396" s="25"/>
      <c r="Q5396" s="17"/>
    </row>
    <row r="5397" spans="12:17" x14ac:dyDescent="0.3">
      <c r="L5397" s="25"/>
      <c r="Q5397" s="17"/>
    </row>
    <row r="5398" spans="12:17" x14ac:dyDescent="0.3">
      <c r="L5398" s="25"/>
      <c r="Q5398" s="17"/>
    </row>
    <row r="5399" spans="12:17" x14ac:dyDescent="0.3">
      <c r="L5399" s="25"/>
      <c r="Q5399" s="17"/>
    </row>
    <row r="5400" spans="12:17" x14ac:dyDescent="0.3">
      <c r="L5400" s="25"/>
      <c r="Q5400" s="17"/>
    </row>
    <row r="5401" spans="12:17" x14ac:dyDescent="0.3">
      <c r="L5401" s="25"/>
      <c r="Q5401" s="17"/>
    </row>
    <row r="5402" spans="12:17" x14ac:dyDescent="0.3">
      <c r="L5402" s="25"/>
      <c r="Q5402" s="17"/>
    </row>
    <row r="5403" spans="12:17" x14ac:dyDescent="0.3">
      <c r="L5403" s="25"/>
      <c r="Q5403" s="17"/>
    </row>
    <row r="5404" spans="12:17" x14ac:dyDescent="0.3">
      <c r="L5404" s="25"/>
      <c r="Q5404" s="17"/>
    </row>
    <row r="5405" spans="12:17" x14ac:dyDescent="0.3">
      <c r="L5405" s="25"/>
      <c r="Q5405" s="17"/>
    </row>
    <row r="5406" spans="12:17" x14ac:dyDescent="0.3">
      <c r="L5406" s="25"/>
      <c r="Q5406" s="17"/>
    </row>
    <row r="5407" spans="12:17" x14ac:dyDescent="0.3">
      <c r="L5407" s="25"/>
      <c r="Q5407" s="17"/>
    </row>
    <row r="5408" spans="12:17" x14ac:dyDescent="0.3">
      <c r="L5408" s="25"/>
      <c r="Q5408" s="17"/>
    </row>
    <row r="5409" spans="12:17" x14ac:dyDescent="0.3">
      <c r="L5409" s="25"/>
      <c r="Q5409" s="17"/>
    </row>
    <row r="5410" spans="12:17" x14ac:dyDescent="0.3">
      <c r="L5410" s="25"/>
      <c r="Q5410" s="17"/>
    </row>
    <row r="5411" spans="12:17" x14ac:dyDescent="0.3">
      <c r="L5411" s="25"/>
      <c r="Q5411" s="17"/>
    </row>
    <row r="5412" spans="12:17" x14ac:dyDescent="0.3">
      <c r="L5412" s="25"/>
      <c r="Q5412" s="17"/>
    </row>
    <row r="5413" spans="12:17" x14ac:dyDescent="0.3">
      <c r="L5413" s="25"/>
      <c r="Q5413" s="17"/>
    </row>
    <row r="5414" spans="12:17" x14ac:dyDescent="0.3">
      <c r="L5414" s="25"/>
      <c r="Q5414" s="17"/>
    </row>
    <row r="5415" spans="12:17" x14ac:dyDescent="0.3">
      <c r="L5415" s="25"/>
      <c r="Q5415" s="17"/>
    </row>
    <row r="5416" spans="12:17" x14ac:dyDescent="0.3">
      <c r="L5416" s="25"/>
      <c r="Q5416" s="17"/>
    </row>
    <row r="5417" spans="12:17" x14ac:dyDescent="0.3">
      <c r="L5417" s="25"/>
      <c r="Q5417" s="17"/>
    </row>
    <row r="5418" spans="12:17" x14ac:dyDescent="0.3">
      <c r="L5418" s="25"/>
      <c r="Q5418" s="17"/>
    </row>
    <row r="5419" spans="12:17" x14ac:dyDescent="0.3">
      <c r="L5419" s="25"/>
      <c r="Q5419" s="17"/>
    </row>
    <row r="5420" spans="12:17" x14ac:dyDescent="0.3">
      <c r="L5420" s="25"/>
      <c r="Q5420" s="17"/>
    </row>
    <row r="5421" spans="12:17" x14ac:dyDescent="0.3">
      <c r="L5421" s="25"/>
      <c r="Q5421" s="17"/>
    </row>
    <row r="5422" spans="12:17" x14ac:dyDescent="0.3">
      <c r="L5422" s="25"/>
      <c r="Q5422" s="17"/>
    </row>
    <row r="5423" spans="12:17" x14ac:dyDescent="0.3">
      <c r="L5423" s="25"/>
      <c r="Q5423" s="17"/>
    </row>
    <row r="5424" spans="12:17" x14ac:dyDescent="0.3">
      <c r="L5424" s="25"/>
      <c r="Q5424" s="17"/>
    </row>
    <row r="5425" spans="12:17" x14ac:dyDescent="0.3">
      <c r="L5425" s="25"/>
      <c r="Q5425" s="17"/>
    </row>
    <row r="5426" spans="12:17" x14ac:dyDescent="0.3">
      <c r="L5426" s="25"/>
      <c r="Q5426" s="17"/>
    </row>
    <row r="5427" spans="12:17" x14ac:dyDescent="0.3">
      <c r="L5427" s="25"/>
      <c r="Q5427" s="17"/>
    </row>
    <row r="5428" spans="12:17" x14ac:dyDescent="0.3">
      <c r="L5428" s="25"/>
      <c r="Q5428" s="17"/>
    </row>
    <row r="5429" spans="12:17" x14ac:dyDescent="0.3">
      <c r="L5429" s="25"/>
      <c r="Q5429" s="17"/>
    </row>
    <row r="5430" spans="12:17" x14ac:dyDescent="0.3">
      <c r="L5430" s="25"/>
      <c r="Q5430" s="17"/>
    </row>
    <row r="5431" spans="12:17" x14ac:dyDescent="0.3">
      <c r="L5431" s="25"/>
      <c r="Q5431" s="17"/>
    </row>
    <row r="5432" spans="12:17" x14ac:dyDescent="0.3">
      <c r="L5432" s="25"/>
      <c r="Q5432" s="17"/>
    </row>
    <row r="5433" spans="12:17" x14ac:dyDescent="0.3">
      <c r="L5433" s="25"/>
      <c r="Q5433" s="17"/>
    </row>
    <row r="5434" spans="12:17" x14ac:dyDescent="0.3">
      <c r="L5434" s="25"/>
      <c r="Q5434" s="17"/>
    </row>
    <row r="5435" spans="12:17" x14ac:dyDescent="0.3">
      <c r="L5435" s="25"/>
      <c r="Q5435" s="17"/>
    </row>
    <row r="5436" spans="12:17" x14ac:dyDescent="0.3">
      <c r="L5436" s="25"/>
      <c r="Q5436" s="17"/>
    </row>
    <row r="5437" spans="12:17" x14ac:dyDescent="0.3">
      <c r="L5437" s="25"/>
      <c r="Q5437" s="17"/>
    </row>
    <row r="5438" spans="12:17" x14ac:dyDescent="0.3">
      <c r="L5438" s="25"/>
      <c r="Q5438" s="17"/>
    </row>
    <row r="5439" spans="12:17" x14ac:dyDescent="0.3">
      <c r="L5439" s="25"/>
      <c r="Q5439" s="17"/>
    </row>
    <row r="5440" spans="12:17" x14ac:dyDescent="0.3">
      <c r="L5440" s="25"/>
      <c r="Q5440" s="17"/>
    </row>
    <row r="5441" spans="12:17" x14ac:dyDescent="0.3">
      <c r="L5441" s="25"/>
      <c r="Q5441" s="17"/>
    </row>
    <row r="5442" spans="12:17" x14ac:dyDescent="0.3">
      <c r="L5442" s="25"/>
      <c r="Q5442" s="17"/>
    </row>
    <row r="5443" spans="12:17" x14ac:dyDescent="0.3">
      <c r="L5443" s="25"/>
      <c r="Q5443" s="17"/>
    </row>
    <row r="5444" spans="12:17" x14ac:dyDescent="0.3">
      <c r="L5444" s="25"/>
      <c r="Q5444" s="17"/>
    </row>
    <row r="5445" spans="12:17" x14ac:dyDescent="0.3">
      <c r="L5445" s="25"/>
      <c r="Q5445" s="17"/>
    </row>
    <row r="5446" spans="12:17" x14ac:dyDescent="0.3">
      <c r="L5446" s="25"/>
      <c r="Q5446" s="17"/>
    </row>
    <row r="5447" spans="12:17" x14ac:dyDescent="0.3">
      <c r="L5447" s="25"/>
      <c r="Q5447" s="17"/>
    </row>
    <row r="5448" spans="12:17" x14ac:dyDescent="0.3">
      <c r="L5448" s="25"/>
      <c r="Q5448" s="17"/>
    </row>
    <row r="5449" spans="12:17" x14ac:dyDescent="0.3">
      <c r="L5449" s="25"/>
      <c r="Q5449" s="17"/>
    </row>
    <row r="5450" spans="12:17" x14ac:dyDescent="0.3">
      <c r="L5450" s="25"/>
      <c r="Q5450" s="17"/>
    </row>
    <row r="5451" spans="12:17" x14ac:dyDescent="0.3">
      <c r="L5451" s="25"/>
      <c r="Q5451" s="17"/>
    </row>
    <row r="5452" spans="12:17" x14ac:dyDescent="0.3">
      <c r="L5452" s="25"/>
      <c r="Q5452" s="17"/>
    </row>
    <row r="5453" spans="12:17" x14ac:dyDescent="0.3">
      <c r="L5453" s="25"/>
      <c r="Q5453" s="17"/>
    </row>
    <row r="5454" spans="12:17" x14ac:dyDescent="0.3">
      <c r="L5454" s="25"/>
      <c r="Q5454" s="17"/>
    </row>
    <row r="5455" spans="12:17" x14ac:dyDescent="0.3">
      <c r="L5455" s="25"/>
      <c r="Q5455" s="17"/>
    </row>
    <row r="5456" spans="12:17" x14ac:dyDescent="0.3">
      <c r="L5456" s="25"/>
      <c r="Q5456" s="17"/>
    </row>
    <row r="5457" spans="12:17" x14ac:dyDescent="0.3">
      <c r="L5457" s="25"/>
      <c r="Q5457" s="17"/>
    </row>
    <row r="5458" spans="12:17" x14ac:dyDescent="0.3">
      <c r="L5458" s="25"/>
      <c r="Q5458" s="17"/>
    </row>
    <row r="5459" spans="12:17" x14ac:dyDescent="0.3">
      <c r="L5459" s="25"/>
      <c r="Q5459" s="17"/>
    </row>
    <row r="5460" spans="12:17" x14ac:dyDescent="0.3">
      <c r="L5460" s="25"/>
      <c r="Q5460" s="17"/>
    </row>
    <row r="5461" spans="12:17" x14ac:dyDescent="0.3">
      <c r="L5461" s="25"/>
      <c r="Q5461" s="17"/>
    </row>
    <row r="5462" spans="12:17" x14ac:dyDescent="0.3">
      <c r="L5462" s="25"/>
      <c r="Q5462" s="17"/>
    </row>
    <row r="5463" spans="12:17" x14ac:dyDescent="0.3">
      <c r="L5463" s="25"/>
      <c r="Q5463" s="17"/>
    </row>
    <row r="5464" spans="12:17" x14ac:dyDescent="0.3">
      <c r="L5464" s="25"/>
      <c r="Q5464" s="17"/>
    </row>
    <row r="5465" spans="12:17" x14ac:dyDescent="0.3">
      <c r="L5465" s="25"/>
      <c r="Q5465" s="17"/>
    </row>
    <row r="5466" spans="12:17" x14ac:dyDescent="0.3">
      <c r="L5466" s="25"/>
      <c r="Q5466" s="17"/>
    </row>
    <row r="5467" spans="12:17" x14ac:dyDescent="0.3">
      <c r="L5467" s="25"/>
      <c r="Q5467" s="17"/>
    </row>
    <row r="5468" spans="12:17" x14ac:dyDescent="0.3">
      <c r="L5468" s="25"/>
      <c r="Q5468" s="17"/>
    </row>
    <row r="5469" spans="12:17" x14ac:dyDescent="0.3">
      <c r="L5469" s="25"/>
      <c r="Q5469" s="17"/>
    </row>
    <row r="5470" spans="12:17" x14ac:dyDescent="0.3">
      <c r="L5470" s="25"/>
      <c r="Q5470" s="17"/>
    </row>
    <row r="5471" spans="12:17" x14ac:dyDescent="0.3">
      <c r="L5471" s="25"/>
      <c r="Q5471" s="17"/>
    </row>
    <row r="5472" spans="12:17" x14ac:dyDescent="0.3">
      <c r="L5472" s="25"/>
      <c r="Q5472" s="17"/>
    </row>
    <row r="5473" spans="12:17" x14ac:dyDescent="0.3">
      <c r="L5473" s="25"/>
      <c r="Q5473" s="17"/>
    </row>
    <row r="5474" spans="12:17" x14ac:dyDescent="0.3">
      <c r="L5474" s="25"/>
      <c r="Q5474" s="17"/>
    </row>
    <row r="5475" spans="12:17" x14ac:dyDescent="0.3">
      <c r="L5475" s="25"/>
      <c r="Q5475" s="17"/>
    </row>
    <row r="5476" spans="12:17" x14ac:dyDescent="0.3">
      <c r="L5476" s="25"/>
      <c r="Q5476" s="17"/>
    </row>
    <row r="5477" spans="12:17" x14ac:dyDescent="0.3">
      <c r="L5477" s="25"/>
      <c r="Q5477" s="17"/>
    </row>
    <row r="5478" spans="12:17" x14ac:dyDescent="0.3">
      <c r="L5478" s="25"/>
      <c r="Q5478" s="17"/>
    </row>
    <row r="5479" spans="12:17" x14ac:dyDescent="0.3">
      <c r="L5479" s="25"/>
      <c r="Q5479" s="17"/>
    </row>
    <row r="5480" spans="12:17" x14ac:dyDescent="0.3">
      <c r="L5480" s="25"/>
      <c r="Q5480" s="17"/>
    </row>
    <row r="5481" spans="12:17" x14ac:dyDescent="0.3">
      <c r="L5481" s="25"/>
      <c r="Q5481" s="17"/>
    </row>
    <row r="5482" spans="12:17" x14ac:dyDescent="0.3">
      <c r="L5482" s="25"/>
      <c r="Q5482" s="17"/>
    </row>
    <row r="5483" spans="12:17" x14ac:dyDescent="0.3">
      <c r="L5483" s="25"/>
      <c r="Q5483" s="17"/>
    </row>
    <row r="5484" spans="12:17" x14ac:dyDescent="0.3">
      <c r="L5484" s="25"/>
      <c r="Q5484" s="17"/>
    </row>
    <row r="5485" spans="12:17" x14ac:dyDescent="0.3">
      <c r="L5485" s="25"/>
      <c r="Q5485" s="17"/>
    </row>
    <row r="5486" spans="12:17" x14ac:dyDescent="0.3">
      <c r="L5486" s="25"/>
      <c r="Q5486" s="17"/>
    </row>
    <row r="5487" spans="12:17" x14ac:dyDescent="0.3">
      <c r="L5487" s="25"/>
      <c r="Q5487" s="17"/>
    </row>
    <row r="5488" spans="12:17" x14ac:dyDescent="0.3">
      <c r="L5488" s="25"/>
      <c r="Q5488" s="17"/>
    </row>
    <row r="5489" spans="12:17" x14ac:dyDescent="0.3">
      <c r="L5489" s="25"/>
      <c r="Q5489" s="17"/>
    </row>
    <row r="5490" spans="12:17" x14ac:dyDescent="0.3">
      <c r="L5490" s="25"/>
      <c r="Q5490" s="17"/>
    </row>
    <row r="5491" spans="12:17" x14ac:dyDescent="0.3">
      <c r="L5491" s="25"/>
      <c r="Q5491" s="17"/>
    </row>
    <row r="5492" spans="12:17" x14ac:dyDescent="0.3">
      <c r="L5492" s="25"/>
      <c r="Q5492" s="17"/>
    </row>
    <row r="5493" spans="12:17" x14ac:dyDescent="0.3">
      <c r="L5493" s="25"/>
      <c r="Q5493" s="17"/>
    </row>
    <row r="5494" spans="12:17" x14ac:dyDescent="0.3">
      <c r="L5494" s="25"/>
      <c r="Q5494" s="17"/>
    </row>
    <row r="5495" spans="12:17" x14ac:dyDescent="0.3">
      <c r="L5495" s="25"/>
      <c r="Q5495" s="17"/>
    </row>
    <row r="5496" spans="12:17" x14ac:dyDescent="0.3">
      <c r="L5496" s="25"/>
      <c r="Q5496" s="17"/>
    </row>
    <row r="5497" spans="12:17" x14ac:dyDescent="0.3">
      <c r="L5497" s="25"/>
      <c r="Q5497" s="17"/>
    </row>
    <row r="5498" spans="12:17" x14ac:dyDescent="0.3">
      <c r="L5498" s="25"/>
      <c r="Q5498" s="17"/>
    </row>
    <row r="5499" spans="12:17" x14ac:dyDescent="0.3">
      <c r="L5499" s="25"/>
      <c r="Q5499" s="17"/>
    </row>
    <row r="5500" spans="12:17" x14ac:dyDescent="0.3">
      <c r="L5500" s="25"/>
      <c r="Q5500" s="17"/>
    </row>
    <row r="5501" spans="12:17" x14ac:dyDescent="0.3">
      <c r="L5501" s="25"/>
      <c r="Q5501" s="17"/>
    </row>
    <row r="5502" spans="12:17" x14ac:dyDescent="0.3">
      <c r="L5502" s="25"/>
      <c r="Q5502" s="17"/>
    </row>
    <row r="5503" spans="12:17" x14ac:dyDescent="0.3">
      <c r="L5503" s="25"/>
      <c r="Q5503" s="17"/>
    </row>
    <row r="5504" spans="12:17" x14ac:dyDescent="0.3">
      <c r="L5504" s="25"/>
      <c r="Q5504" s="17"/>
    </row>
    <row r="5505" spans="12:17" x14ac:dyDescent="0.3">
      <c r="L5505" s="25"/>
      <c r="Q5505" s="17"/>
    </row>
    <row r="5506" spans="12:17" x14ac:dyDescent="0.3">
      <c r="L5506" s="25"/>
      <c r="Q5506" s="17"/>
    </row>
    <row r="5507" spans="12:17" x14ac:dyDescent="0.3">
      <c r="L5507" s="25"/>
      <c r="Q5507" s="17"/>
    </row>
    <row r="5508" spans="12:17" x14ac:dyDescent="0.3">
      <c r="L5508" s="25"/>
      <c r="Q5508" s="17"/>
    </row>
    <row r="5509" spans="12:17" x14ac:dyDescent="0.3">
      <c r="L5509" s="25"/>
      <c r="Q5509" s="17"/>
    </row>
    <row r="5510" spans="12:17" x14ac:dyDescent="0.3">
      <c r="L5510" s="25"/>
      <c r="Q5510" s="17"/>
    </row>
    <row r="5511" spans="12:17" x14ac:dyDescent="0.3">
      <c r="L5511" s="25"/>
      <c r="Q5511" s="17"/>
    </row>
    <row r="5512" spans="12:17" x14ac:dyDescent="0.3">
      <c r="L5512" s="25"/>
      <c r="Q5512" s="17"/>
    </row>
    <row r="5513" spans="12:17" x14ac:dyDescent="0.3">
      <c r="L5513" s="25"/>
      <c r="Q5513" s="17"/>
    </row>
    <row r="5514" spans="12:17" x14ac:dyDescent="0.3">
      <c r="L5514" s="25"/>
      <c r="Q5514" s="17"/>
    </row>
    <row r="5515" spans="12:17" x14ac:dyDescent="0.3">
      <c r="L5515" s="25"/>
      <c r="Q5515" s="17"/>
    </row>
    <row r="5516" spans="12:17" x14ac:dyDescent="0.3">
      <c r="L5516" s="25"/>
      <c r="Q5516" s="17"/>
    </row>
    <row r="5517" spans="12:17" x14ac:dyDescent="0.3">
      <c r="L5517" s="25"/>
      <c r="Q5517" s="17"/>
    </row>
    <row r="5518" spans="12:17" x14ac:dyDescent="0.3">
      <c r="L5518" s="25"/>
      <c r="Q5518" s="17"/>
    </row>
    <row r="5519" spans="12:17" x14ac:dyDescent="0.3">
      <c r="L5519" s="25"/>
      <c r="Q5519" s="17"/>
    </row>
    <row r="5520" spans="12:17" x14ac:dyDescent="0.3">
      <c r="L5520" s="25"/>
      <c r="Q5520" s="17"/>
    </row>
    <row r="5521" spans="12:17" x14ac:dyDescent="0.3">
      <c r="L5521" s="25"/>
      <c r="Q5521" s="17"/>
    </row>
    <row r="5522" spans="12:17" x14ac:dyDescent="0.3">
      <c r="L5522" s="25"/>
      <c r="Q5522" s="17"/>
    </row>
    <row r="5523" spans="12:17" x14ac:dyDescent="0.3">
      <c r="L5523" s="25"/>
      <c r="Q5523" s="17"/>
    </row>
    <row r="5524" spans="12:17" x14ac:dyDescent="0.3">
      <c r="L5524" s="25"/>
      <c r="Q5524" s="17"/>
    </row>
    <row r="5525" spans="12:17" x14ac:dyDescent="0.3">
      <c r="L5525" s="25"/>
      <c r="Q5525" s="17"/>
    </row>
    <row r="5526" spans="12:17" x14ac:dyDescent="0.3">
      <c r="L5526" s="25"/>
      <c r="Q5526" s="17"/>
    </row>
    <row r="5527" spans="12:17" x14ac:dyDescent="0.3">
      <c r="L5527" s="25"/>
      <c r="Q5527" s="17"/>
    </row>
    <row r="5528" spans="12:17" x14ac:dyDescent="0.3">
      <c r="L5528" s="25"/>
      <c r="Q5528" s="17"/>
    </row>
    <row r="5529" spans="12:17" x14ac:dyDescent="0.3">
      <c r="L5529" s="25"/>
      <c r="Q5529" s="17"/>
    </row>
    <row r="5530" spans="12:17" x14ac:dyDescent="0.3">
      <c r="L5530" s="25"/>
      <c r="Q5530" s="17"/>
    </row>
    <row r="5531" spans="12:17" x14ac:dyDescent="0.3">
      <c r="L5531" s="25"/>
      <c r="Q5531" s="17"/>
    </row>
    <row r="5532" spans="12:17" x14ac:dyDescent="0.3">
      <c r="L5532" s="25"/>
      <c r="Q5532" s="17"/>
    </row>
    <row r="5533" spans="12:17" x14ac:dyDescent="0.3">
      <c r="L5533" s="25"/>
      <c r="Q5533" s="17"/>
    </row>
    <row r="5534" spans="12:17" x14ac:dyDescent="0.3">
      <c r="L5534" s="25"/>
      <c r="Q5534" s="17"/>
    </row>
    <row r="5535" spans="12:17" x14ac:dyDescent="0.3">
      <c r="L5535" s="25"/>
      <c r="Q5535" s="17"/>
    </row>
    <row r="5536" spans="12:17" x14ac:dyDescent="0.3">
      <c r="L5536" s="25"/>
      <c r="Q5536" s="17"/>
    </row>
    <row r="5537" spans="12:17" x14ac:dyDescent="0.3">
      <c r="L5537" s="25"/>
      <c r="Q5537" s="17"/>
    </row>
    <row r="5538" spans="12:17" x14ac:dyDescent="0.3">
      <c r="L5538" s="25"/>
      <c r="Q5538" s="17"/>
    </row>
    <row r="5539" spans="12:17" x14ac:dyDescent="0.3">
      <c r="L5539" s="25"/>
      <c r="Q5539" s="17"/>
    </row>
    <row r="5540" spans="12:17" x14ac:dyDescent="0.3">
      <c r="L5540" s="25"/>
      <c r="Q5540" s="17"/>
    </row>
    <row r="5541" spans="12:17" x14ac:dyDescent="0.3">
      <c r="L5541" s="25"/>
      <c r="Q5541" s="17"/>
    </row>
    <row r="5542" spans="12:17" x14ac:dyDescent="0.3">
      <c r="L5542" s="25"/>
      <c r="Q5542" s="17"/>
    </row>
    <row r="5543" spans="12:17" x14ac:dyDescent="0.3">
      <c r="L5543" s="25"/>
      <c r="Q5543" s="17"/>
    </row>
    <row r="5544" spans="12:17" x14ac:dyDescent="0.3">
      <c r="L5544" s="25"/>
      <c r="Q5544" s="17"/>
    </row>
    <row r="5545" spans="12:17" x14ac:dyDescent="0.3">
      <c r="L5545" s="25"/>
      <c r="Q5545" s="17"/>
    </row>
    <row r="5546" spans="12:17" x14ac:dyDescent="0.3">
      <c r="L5546" s="25"/>
      <c r="Q5546" s="17"/>
    </row>
    <row r="5547" spans="12:17" x14ac:dyDescent="0.3">
      <c r="L5547" s="25"/>
      <c r="Q5547" s="17"/>
    </row>
    <row r="5548" spans="12:17" x14ac:dyDescent="0.3">
      <c r="L5548" s="25"/>
      <c r="Q5548" s="17"/>
    </row>
    <row r="5549" spans="12:17" x14ac:dyDescent="0.3">
      <c r="L5549" s="25"/>
      <c r="Q5549" s="17"/>
    </row>
    <row r="5550" spans="12:17" x14ac:dyDescent="0.3">
      <c r="L5550" s="25"/>
      <c r="Q5550" s="17"/>
    </row>
    <row r="5551" spans="12:17" x14ac:dyDescent="0.3">
      <c r="L5551" s="25"/>
      <c r="Q5551" s="17"/>
    </row>
    <row r="5552" spans="12:17" x14ac:dyDescent="0.3">
      <c r="L5552" s="25"/>
      <c r="Q5552" s="17"/>
    </row>
    <row r="5553" spans="12:17" x14ac:dyDescent="0.3">
      <c r="L5553" s="25"/>
      <c r="Q5553" s="17"/>
    </row>
    <row r="5554" spans="12:17" x14ac:dyDescent="0.3">
      <c r="L5554" s="25"/>
      <c r="Q5554" s="17"/>
    </row>
    <row r="5555" spans="12:17" x14ac:dyDescent="0.3">
      <c r="L5555" s="25"/>
      <c r="Q5555" s="17"/>
    </row>
    <row r="5556" spans="12:17" x14ac:dyDescent="0.3">
      <c r="L5556" s="25"/>
      <c r="Q5556" s="17"/>
    </row>
    <row r="5557" spans="12:17" x14ac:dyDescent="0.3">
      <c r="L5557" s="25"/>
      <c r="Q5557" s="17"/>
    </row>
    <row r="5558" spans="12:17" x14ac:dyDescent="0.3">
      <c r="L5558" s="25"/>
      <c r="Q5558" s="17"/>
    </row>
    <row r="5559" spans="12:17" x14ac:dyDescent="0.3">
      <c r="L5559" s="25"/>
      <c r="Q5559" s="17"/>
    </row>
    <row r="5560" spans="12:17" x14ac:dyDescent="0.3">
      <c r="L5560" s="25"/>
      <c r="Q5560" s="17"/>
    </row>
    <row r="5561" spans="12:17" x14ac:dyDescent="0.3">
      <c r="L5561" s="25"/>
      <c r="Q5561" s="17"/>
    </row>
    <row r="5562" spans="12:17" x14ac:dyDescent="0.3">
      <c r="L5562" s="25"/>
      <c r="Q5562" s="17"/>
    </row>
    <row r="5563" spans="12:17" x14ac:dyDescent="0.3">
      <c r="L5563" s="25"/>
      <c r="Q5563" s="17"/>
    </row>
    <row r="5564" spans="12:17" x14ac:dyDescent="0.3">
      <c r="L5564" s="25"/>
      <c r="Q5564" s="17"/>
    </row>
    <row r="5565" spans="12:17" x14ac:dyDescent="0.3">
      <c r="L5565" s="25"/>
      <c r="Q5565" s="17"/>
    </row>
    <row r="5566" spans="12:17" x14ac:dyDescent="0.3">
      <c r="L5566" s="25"/>
      <c r="Q5566" s="17"/>
    </row>
    <row r="5567" spans="12:17" x14ac:dyDescent="0.3">
      <c r="L5567" s="25"/>
      <c r="Q5567" s="17"/>
    </row>
    <row r="5568" spans="12:17" x14ac:dyDescent="0.3">
      <c r="L5568" s="25"/>
      <c r="Q5568" s="17"/>
    </row>
    <row r="5569" spans="12:17" x14ac:dyDescent="0.3">
      <c r="L5569" s="25"/>
      <c r="Q5569" s="17"/>
    </row>
    <row r="5570" spans="12:17" x14ac:dyDescent="0.3">
      <c r="L5570" s="25"/>
      <c r="Q5570" s="17"/>
    </row>
    <row r="5571" spans="12:17" x14ac:dyDescent="0.3">
      <c r="L5571" s="25"/>
      <c r="Q5571" s="17"/>
    </row>
    <row r="5572" spans="12:17" x14ac:dyDescent="0.3">
      <c r="L5572" s="25"/>
      <c r="Q5572" s="17"/>
    </row>
    <row r="5573" spans="12:17" x14ac:dyDescent="0.3">
      <c r="L5573" s="25"/>
      <c r="Q5573" s="17"/>
    </row>
    <row r="5574" spans="12:17" x14ac:dyDescent="0.3">
      <c r="L5574" s="25"/>
      <c r="Q5574" s="17"/>
    </row>
    <row r="5575" spans="12:17" x14ac:dyDescent="0.3">
      <c r="L5575" s="25"/>
      <c r="Q5575" s="17"/>
    </row>
    <row r="5576" spans="12:17" x14ac:dyDescent="0.3">
      <c r="L5576" s="25"/>
      <c r="Q5576" s="17"/>
    </row>
    <row r="5577" spans="12:17" x14ac:dyDescent="0.3">
      <c r="L5577" s="25"/>
      <c r="Q5577" s="17"/>
    </row>
    <row r="5578" spans="12:17" x14ac:dyDescent="0.3">
      <c r="L5578" s="25"/>
      <c r="Q5578" s="17"/>
    </row>
    <row r="5579" spans="12:17" x14ac:dyDescent="0.3">
      <c r="L5579" s="25"/>
      <c r="Q5579" s="17"/>
    </row>
    <row r="5580" spans="12:17" x14ac:dyDescent="0.3">
      <c r="L5580" s="25"/>
      <c r="Q5580" s="17"/>
    </row>
    <row r="5581" spans="12:17" x14ac:dyDescent="0.3">
      <c r="L5581" s="25"/>
      <c r="Q5581" s="17"/>
    </row>
    <row r="5582" spans="12:17" x14ac:dyDescent="0.3">
      <c r="L5582" s="25"/>
      <c r="Q5582" s="17"/>
    </row>
    <row r="5583" spans="12:17" x14ac:dyDescent="0.3">
      <c r="L5583" s="25"/>
      <c r="Q5583" s="17"/>
    </row>
    <row r="5584" spans="12:17" x14ac:dyDescent="0.3">
      <c r="L5584" s="25"/>
      <c r="Q5584" s="17"/>
    </row>
    <row r="5585" spans="12:17" x14ac:dyDescent="0.3">
      <c r="L5585" s="25"/>
      <c r="Q5585" s="17"/>
    </row>
    <row r="5586" spans="12:17" x14ac:dyDescent="0.3">
      <c r="L5586" s="25"/>
      <c r="Q5586" s="17"/>
    </row>
    <row r="5587" spans="12:17" x14ac:dyDescent="0.3">
      <c r="L5587" s="25"/>
      <c r="Q5587" s="17"/>
    </row>
    <row r="5588" spans="12:17" x14ac:dyDescent="0.3">
      <c r="L5588" s="25"/>
      <c r="Q5588" s="17"/>
    </row>
    <row r="5589" spans="12:17" x14ac:dyDescent="0.3">
      <c r="L5589" s="25"/>
      <c r="Q5589" s="17"/>
    </row>
    <row r="5590" spans="12:17" x14ac:dyDescent="0.3">
      <c r="L5590" s="25"/>
      <c r="Q5590" s="17"/>
    </row>
    <row r="5591" spans="12:17" x14ac:dyDescent="0.3">
      <c r="L5591" s="25"/>
      <c r="Q5591" s="17"/>
    </row>
    <row r="5592" spans="12:17" x14ac:dyDescent="0.3">
      <c r="L5592" s="25"/>
      <c r="Q5592" s="17"/>
    </row>
    <row r="5593" spans="12:17" x14ac:dyDescent="0.3">
      <c r="L5593" s="25"/>
      <c r="Q5593" s="17"/>
    </row>
    <row r="5594" spans="12:17" x14ac:dyDescent="0.3">
      <c r="L5594" s="25"/>
      <c r="Q5594" s="17"/>
    </row>
    <row r="5595" spans="12:17" x14ac:dyDescent="0.3">
      <c r="L5595" s="25"/>
      <c r="Q5595" s="17"/>
    </row>
    <row r="5596" spans="12:17" x14ac:dyDescent="0.3">
      <c r="L5596" s="25"/>
      <c r="Q5596" s="17"/>
    </row>
    <row r="5597" spans="12:17" x14ac:dyDescent="0.3">
      <c r="L5597" s="25"/>
      <c r="Q5597" s="17"/>
    </row>
    <row r="5598" spans="12:17" x14ac:dyDescent="0.3">
      <c r="L5598" s="25"/>
      <c r="Q5598" s="17"/>
    </row>
    <row r="5599" spans="12:17" x14ac:dyDescent="0.3">
      <c r="L5599" s="25"/>
      <c r="Q5599" s="17"/>
    </row>
    <row r="5600" spans="12:17" x14ac:dyDescent="0.3">
      <c r="L5600" s="25"/>
      <c r="Q5600" s="17"/>
    </row>
    <row r="5601" spans="12:17" x14ac:dyDescent="0.3">
      <c r="L5601" s="25"/>
      <c r="Q5601" s="17"/>
    </row>
    <row r="5602" spans="12:17" x14ac:dyDescent="0.3">
      <c r="L5602" s="25"/>
      <c r="Q5602" s="17"/>
    </row>
    <row r="5603" spans="12:17" x14ac:dyDescent="0.3">
      <c r="L5603" s="25"/>
      <c r="Q5603" s="17"/>
    </row>
    <row r="5604" spans="12:17" x14ac:dyDescent="0.3">
      <c r="L5604" s="25"/>
      <c r="Q5604" s="17"/>
    </row>
    <row r="5605" spans="12:17" x14ac:dyDescent="0.3">
      <c r="L5605" s="25"/>
      <c r="Q5605" s="17"/>
    </row>
    <row r="5606" spans="12:17" x14ac:dyDescent="0.3">
      <c r="L5606" s="25"/>
      <c r="Q5606" s="17"/>
    </row>
    <row r="5607" spans="12:17" x14ac:dyDescent="0.3">
      <c r="L5607" s="25"/>
      <c r="Q5607" s="17"/>
    </row>
    <row r="5608" spans="12:17" x14ac:dyDescent="0.3">
      <c r="L5608" s="25"/>
      <c r="Q5608" s="17"/>
    </row>
    <row r="5609" spans="12:17" x14ac:dyDescent="0.3">
      <c r="L5609" s="25"/>
      <c r="Q5609" s="17"/>
    </row>
    <row r="5610" spans="12:17" x14ac:dyDescent="0.3">
      <c r="L5610" s="25"/>
      <c r="Q5610" s="17"/>
    </row>
    <row r="5611" spans="12:17" x14ac:dyDescent="0.3">
      <c r="L5611" s="25"/>
      <c r="Q5611" s="17"/>
    </row>
    <row r="5612" spans="12:17" x14ac:dyDescent="0.3">
      <c r="L5612" s="25"/>
      <c r="Q5612" s="17"/>
    </row>
    <row r="5613" spans="12:17" x14ac:dyDescent="0.3">
      <c r="L5613" s="25"/>
      <c r="Q5613" s="17"/>
    </row>
    <row r="5614" spans="12:17" x14ac:dyDescent="0.3">
      <c r="L5614" s="25"/>
      <c r="Q5614" s="17"/>
    </row>
    <row r="5615" spans="12:17" x14ac:dyDescent="0.3">
      <c r="L5615" s="25"/>
      <c r="Q5615" s="17"/>
    </row>
    <row r="5616" spans="12:17" x14ac:dyDescent="0.3">
      <c r="L5616" s="25"/>
      <c r="Q5616" s="17"/>
    </row>
    <row r="5617" spans="12:17" x14ac:dyDescent="0.3">
      <c r="L5617" s="25"/>
      <c r="Q5617" s="17"/>
    </row>
    <row r="5618" spans="12:17" x14ac:dyDescent="0.3">
      <c r="L5618" s="25"/>
      <c r="Q5618" s="17"/>
    </row>
    <row r="5619" spans="12:17" x14ac:dyDescent="0.3">
      <c r="L5619" s="25"/>
      <c r="Q5619" s="17"/>
    </row>
    <row r="5620" spans="12:17" x14ac:dyDescent="0.3">
      <c r="L5620" s="25"/>
      <c r="Q5620" s="17"/>
    </row>
    <row r="5621" spans="12:17" x14ac:dyDescent="0.3">
      <c r="L5621" s="25"/>
      <c r="Q5621" s="17"/>
    </row>
    <row r="5622" spans="12:17" x14ac:dyDescent="0.3">
      <c r="L5622" s="25"/>
      <c r="Q5622" s="17"/>
    </row>
    <row r="5623" spans="12:17" x14ac:dyDescent="0.3">
      <c r="L5623" s="25"/>
      <c r="Q5623" s="17"/>
    </row>
    <row r="5624" spans="12:17" x14ac:dyDescent="0.3">
      <c r="L5624" s="25"/>
      <c r="Q5624" s="17"/>
    </row>
    <row r="5625" spans="12:17" x14ac:dyDescent="0.3">
      <c r="L5625" s="25"/>
      <c r="Q5625" s="17"/>
    </row>
    <row r="5626" spans="12:17" x14ac:dyDescent="0.3">
      <c r="L5626" s="25"/>
      <c r="Q5626" s="17"/>
    </row>
    <row r="5627" spans="12:17" x14ac:dyDescent="0.3">
      <c r="L5627" s="25"/>
      <c r="Q5627" s="17"/>
    </row>
    <row r="5628" spans="12:17" x14ac:dyDescent="0.3">
      <c r="L5628" s="25"/>
      <c r="Q5628" s="17"/>
    </row>
    <row r="5629" spans="12:17" x14ac:dyDescent="0.3">
      <c r="L5629" s="25"/>
      <c r="Q5629" s="17"/>
    </row>
    <row r="5630" spans="12:17" x14ac:dyDescent="0.3">
      <c r="L5630" s="25"/>
      <c r="Q5630" s="17"/>
    </row>
    <row r="5631" spans="12:17" x14ac:dyDescent="0.3">
      <c r="L5631" s="25"/>
      <c r="Q5631" s="17"/>
    </row>
    <row r="5632" spans="12:17" x14ac:dyDescent="0.3">
      <c r="L5632" s="25"/>
      <c r="Q5632" s="17"/>
    </row>
    <row r="5633" spans="12:17" x14ac:dyDescent="0.3">
      <c r="L5633" s="25"/>
      <c r="Q5633" s="17"/>
    </row>
    <row r="5634" spans="12:17" x14ac:dyDescent="0.3">
      <c r="L5634" s="25"/>
      <c r="Q5634" s="17"/>
    </row>
    <row r="5635" spans="12:17" x14ac:dyDescent="0.3">
      <c r="L5635" s="25"/>
      <c r="Q5635" s="17"/>
    </row>
    <row r="5636" spans="12:17" x14ac:dyDescent="0.3">
      <c r="L5636" s="25"/>
      <c r="Q5636" s="17"/>
    </row>
    <row r="5637" spans="12:17" x14ac:dyDescent="0.3">
      <c r="L5637" s="25"/>
      <c r="Q5637" s="17"/>
    </row>
    <row r="5638" spans="12:17" x14ac:dyDescent="0.3">
      <c r="L5638" s="25"/>
      <c r="Q5638" s="17"/>
    </row>
    <row r="5639" spans="12:17" x14ac:dyDescent="0.3">
      <c r="L5639" s="25"/>
      <c r="Q5639" s="17"/>
    </row>
    <row r="5640" spans="12:17" x14ac:dyDescent="0.3">
      <c r="L5640" s="25"/>
      <c r="Q5640" s="17"/>
    </row>
    <row r="5641" spans="12:17" x14ac:dyDescent="0.3">
      <c r="L5641" s="25"/>
      <c r="Q5641" s="17"/>
    </row>
    <row r="5642" spans="12:17" x14ac:dyDescent="0.3">
      <c r="L5642" s="25"/>
      <c r="Q5642" s="17"/>
    </row>
    <row r="5643" spans="12:17" x14ac:dyDescent="0.3">
      <c r="L5643" s="25"/>
      <c r="Q5643" s="17"/>
    </row>
    <row r="5644" spans="12:17" x14ac:dyDescent="0.3">
      <c r="L5644" s="25"/>
      <c r="Q5644" s="17"/>
    </row>
    <row r="5645" spans="12:17" x14ac:dyDescent="0.3">
      <c r="L5645" s="25"/>
      <c r="Q5645" s="17"/>
    </row>
    <row r="5646" spans="12:17" x14ac:dyDescent="0.3">
      <c r="L5646" s="25"/>
      <c r="Q5646" s="17"/>
    </row>
    <row r="5647" spans="12:17" x14ac:dyDescent="0.3">
      <c r="L5647" s="25"/>
      <c r="Q5647" s="17"/>
    </row>
    <row r="5648" spans="12:17" x14ac:dyDescent="0.3">
      <c r="L5648" s="25"/>
      <c r="Q5648" s="17"/>
    </row>
    <row r="5649" spans="12:17" x14ac:dyDescent="0.3">
      <c r="L5649" s="25"/>
      <c r="Q5649" s="17"/>
    </row>
    <row r="5650" spans="12:17" x14ac:dyDescent="0.3">
      <c r="L5650" s="25"/>
      <c r="Q5650" s="17"/>
    </row>
    <row r="5651" spans="12:17" x14ac:dyDescent="0.3">
      <c r="L5651" s="25"/>
      <c r="Q5651" s="17"/>
    </row>
    <row r="5652" spans="12:17" x14ac:dyDescent="0.3">
      <c r="L5652" s="25"/>
      <c r="Q5652" s="17"/>
    </row>
    <row r="5653" spans="12:17" x14ac:dyDescent="0.3">
      <c r="L5653" s="25"/>
      <c r="Q5653" s="17"/>
    </row>
    <row r="5654" spans="12:17" x14ac:dyDescent="0.3">
      <c r="L5654" s="25"/>
      <c r="Q5654" s="17"/>
    </row>
    <row r="5655" spans="12:17" x14ac:dyDescent="0.3">
      <c r="L5655" s="25"/>
      <c r="Q5655" s="17"/>
    </row>
    <row r="5656" spans="12:17" x14ac:dyDescent="0.3">
      <c r="L5656" s="25"/>
      <c r="Q5656" s="17"/>
    </row>
    <row r="5657" spans="12:17" x14ac:dyDescent="0.3">
      <c r="L5657" s="25"/>
      <c r="Q5657" s="17"/>
    </row>
    <row r="5658" spans="12:17" x14ac:dyDescent="0.3">
      <c r="L5658" s="25"/>
      <c r="Q5658" s="17"/>
    </row>
    <row r="5659" spans="12:17" x14ac:dyDescent="0.3">
      <c r="L5659" s="25"/>
      <c r="Q5659" s="17"/>
    </row>
    <row r="5660" spans="12:17" x14ac:dyDescent="0.3">
      <c r="L5660" s="25"/>
      <c r="Q5660" s="17"/>
    </row>
    <row r="5661" spans="12:17" x14ac:dyDescent="0.3">
      <c r="L5661" s="25"/>
      <c r="Q5661" s="17"/>
    </row>
    <row r="5662" spans="12:17" x14ac:dyDescent="0.3">
      <c r="L5662" s="25"/>
      <c r="Q5662" s="17"/>
    </row>
    <row r="5663" spans="12:17" x14ac:dyDescent="0.3">
      <c r="L5663" s="25"/>
      <c r="Q5663" s="17"/>
    </row>
    <row r="5664" spans="12:17" x14ac:dyDescent="0.3">
      <c r="L5664" s="25"/>
      <c r="Q5664" s="17"/>
    </row>
    <row r="5665" spans="12:17" x14ac:dyDescent="0.3">
      <c r="L5665" s="25"/>
      <c r="Q5665" s="17"/>
    </row>
    <row r="5666" spans="12:17" x14ac:dyDescent="0.3">
      <c r="L5666" s="25"/>
      <c r="Q5666" s="17"/>
    </row>
    <row r="5667" spans="12:17" x14ac:dyDescent="0.3">
      <c r="L5667" s="25"/>
      <c r="Q5667" s="17"/>
    </row>
    <row r="5668" spans="12:17" x14ac:dyDescent="0.3">
      <c r="L5668" s="25"/>
      <c r="Q5668" s="17"/>
    </row>
    <row r="5669" spans="12:17" x14ac:dyDescent="0.3">
      <c r="L5669" s="25"/>
      <c r="Q5669" s="17"/>
    </row>
    <row r="5670" spans="12:17" x14ac:dyDescent="0.3">
      <c r="L5670" s="25"/>
      <c r="Q5670" s="17"/>
    </row>
    <row r="5671" spans="12:17" x14ac:dyDescent="0.3">
      <c r="L5671" s="25"/>
      <c r="Q5671" s="17"/>
    </row>
    <row r="5672" spans="12:17" x14ac:dyDescent="0.3">
      <c r="L5672" s="25"/>
      <c r="Q5672" s="17"/>
    </row>
    <row r="5673" spans="12:17" x14ac:dyDescent="0.3">
      <c r="L5673" s="25"/>
      <c r="Q5673" s="17"/>
    </row>
    <row r="5674" spans="12:17" x14ac:dyDescent="0.3">
      <c r="L5674" s="25"/>
      <c r="Q5674" s="17"/>
    </row>
    <row r="5675" spans="12:17" x14ac:dyDescent="0.3">
      <c r="L5675" s="25"/>
      <c r="Q5675" s="17"/>
    </row>
    <row r="5676" spans="12:17" x14ac:dyDescent="0.3">
      <c r="L5676" s="25"/>
      <c r="Q5676" s="17"/>
    </row>
    <row r="5677" spans="12:17" x14ac:dyDescent="0.3">
      <c r="L5677" s="25"/>
      <c r="Q5677" s="17"/>
    </row>
    <row r="5678" spans="12:17" x14ac:dyDescent="0.3">
      <c r="L5678" s="25"/>
      <c r="Q5678" s="17"/>
    </row>
    <row r="5679" spans="12:17" x14ac:dyDescent="0.3">
      <c r="L5679" s="25"/>
      <c r="Q5679" s="17"/>
    </row>
    <row r="5680" spans="12:17" x14ac:dyDescent="0.3">
      <c r="L5680" s="25"/>
      <c r="Q5680" s="17"/>
    </row>
    <row r="5681" spans="12:17" x14ac:dyDescent="0.3">
      <c r="L5681" s="25"/>
      <c r="Q5681" s="17"/>
    </row>
    <row r="5682" spans="12:17" x14ac:dyDescent="0.3">
      <c r="L5682" s="25"/>
      <c r="Q5682" s="17"/>
    </row>
    <row r="5683" spans="12:17" x14ac:dyDescent="0.3">
      <c r="L5683" s="25"/>
      <c r="Q5683" s="17"/>
    </row>
    <row r="5684" spans="12:17" x14ac:dyDescent="0.3">
      <c r="L5684" s="25"/>
      <c r="Q5684" s="17"/>
    </row>
    <row r="5685" spans="12:17" x14ac:dyDescent="0.3">
      <c r="L5685" s="25"/>
      <c r="Q5685" s="17"/>
    </row>
    <row r="5686" spans="12:17" x14ac:dyDescent="0.3">
      <c r="L5686" s="25"/>
      <c r="Q5686" s="17"/>
    </row>
    <row r="5687" spans="12:17" x14ac:dyDescent="0.3">
      <c r="L5687" s="25"/>
      <c r="Q5687" s="17"/>
    </row>
    <row r="5688" spans="12:17" x14ac:dyDescent="0.3">
      <c r="L5688" s="25"/>
      <c r="Q5688" s="17"/>
    </row>
    <row r="5689" spans="12:17" x14ac:dyDescent="0.3">
      <c r="L5689" s="25"/>
      <c r="Q5689" s="17"/>
    </row>
    <row r="5690" spans="12:17" x14ac:dyDescent="0.3">
      <c r="L5690" s="25"/>
      <c r="Q5690" s="17"/>
    </row>
    <row r="5691" spans="12:17" x14ac:dyDescent="0.3">
      <c r="L5691" s="25"/>
      <c r="Q5691" s="17"/>
    </row>
    <row r="5692" spans="12:17" x14ac:dyDescent="0.3">
      <c r="L5692" s="25"/>
      <c r="Q5692" s="17"/>
    </row>
    <row r="5693" spans="12:17" x14ac:dyDescent="0.3">
      <c r="L5693" s="25"/>
      <c r="Q5693" s="17"/>
    </row>
    <row r="5694" spans="12:17" x14ac:dyDescent="0.3">
      <c r="L5694" s="25"/>
      <c r="Q5694" s="17"/>
    </row>
    <row r="5695" spans="12:17" x14ac:dyDescent="0.3">
      <c r="L5695" s="25"/>
      <c r="Q5695" s="17"/>
    </row>
    <row r="5696" spans="12:17" x14ac:dyDescent="0.3">
      <c r="L5696" s="25"/>
      <c r="Q5696" s="17"/>
    </row>
    <row r="5697" spans="12:17" x14ac:dyDescent="0.3">
      <c r="L5697" s="25"/>
      <c r="Q5697" s="17"/>
    </row>
    <row r="5698" spans="12:17" x14ac:dyDescent="0.3">
      <c r="L5698" s="25"/>
      <c r="Q5698" s="17"/>
    </row>
    <row r="5699" spans="12:17" x14ac:dyDescent="0.3">
      <c r="L5699" s="25"/>
      <c r="Q5699" s="17"/>
    </row>
    <row r="5700" spans="12:17" x14ac:dyDescent="0.3">
      <c r="L5700" s="25"/>
      <c r="Q5700" s="17"/>
    </row>
    <row r="5701" spans="12:17" x14ac:dyDescent="0.3">
      <c r="L5701" s="25"/>
      <c r="Q5701" s="17"/>
    </row>
    <row r="5702" spans="12:17" x14ac:dyDescent="0.3">
      <c r="L5702" s="25"/>
      <c r="Q5702" s="17"/>
    </row>
    <row r="5703" spans="12:17" x14ac:dyDescent="0.3">
      <c r="L5703" s="25"/>
      <c r="Q5703" s="17"/>
    </row>
    <row r="5704" spans="12:17" x14ac:dyDescent="0.3">
      <c r="L5704" s="25"/>
      <c r="Q5704" s="17"/>
    </row>
    <row r="5705" spans="12:17" x14ac:dyDescent="0.3">
      <c r="L5705" s="25"/>
      <c r="Q5705" s="17"/>
    </row>
    <row r="5706" spans="12:17" x14ac:dyDescent="0.3">
      <c r="L5706" s="25"/>
      <c r="Q5706" s="17"/>
    </row>
    <row r="5707" spans="12:17" x14ac:dyDescent="0.3">
      <c r="L5707" s="25"/>
      <c r="Q5707" s="17"/>
    </row>
    <row r="5708" spans="12:17" x14ac:dyDescent="0.3">
      <c r="L5708" s="25"/>
      <c r="Q5708" s="17"/>
    </row>
    <row r="5709" spans="12:17" x14ac:dyDescent="0.3">
      <c r="L5709" s="25"/>
      <c r="Q5709" s="17"/>
    </row>
    <row r="5710" spans="12:17" x14ac:dyDescent="0.3">
      <c r="L5710" s="25"/>
      <c r="Q5710" s="17"/>
    </row>
    <row r="5711" spans="12:17" x14ac:dyDescent="0.3">
      <c r="L5711" s="25"/>
      <c r="Q5711" s="17"/>
    </row>
    <row r="5712" spans="12:17" x14ac:dyDescent="0.3">
      <c r="L5712" s="25"/>
      <c r="Q5712" s="17"/>
    </row>
    <row r="5713" spans="12:17" x14ac:dyDescent="0.3">
      <c r="L5713" s="25"/>
      <c r="Q5713" s="17"/>
    </row>
    <row r="5714" spans="12:17" x14ac:dyDescent="0.3">
      <c r="L5714" s="25"/>
      <c r="Q5714" s="17"/>
    </row>
    <row r="5715" spans="12:17" x14ac:dyDescent="0.3">
      <c r="L5715" s="25"/>
      <c r="Q5715" s="17"/>
    </row>
    <row r="5716" spans="12:17" x14ac:dyDescent="0.3">
      <c r="L5716" s="25"/>
      <c r="Q5716" s="17"/>
    </row>
    <row r="5717" spans="12:17" x14ac:dyDescent="0.3">
      <c r="L5717" s="25"/>
      <c r="Q5717" s="17"/>
    </row>
    <row r="5718" spans="12:17" x14ac:dyDescent="0.3">
      <c r="L5718" s="25"/>
      <c r="Q5718" s="17"/>
    </row>
    <row r="5719" spans="12:17" x14ac:dyDescent="0.3">
      <c r="L5719" s="25"/>
      <c r="Q5719" s="17"/>
    </row>
    <row r="5720" spans="12:17" x14ac:dyDescent="0.3">
      <c r="L5720" s="25"/>
      <c r="Q5720" s="17"/>
    </row>
    <row r="5721" spans="12:17" x14ac:dyDescent="0.3">
      <c r="L5721" s="25"/>
      <c r="Q5721" s="17"/>
    </row>
    <row r="5722" spans="12:17" x14ac:dyDescent="0.3">
      <c r="L5722" s="25"/>
      <c r="Q5722" s="17"/>
    </row>
    <row r="5723" spans="12:17" x14ac:dyDescent="0.3">
      <c r="L5723" s="25"/>
      <c r="Q5723" s="17"/>
    </row>
    <row r="5724" spans="12:17" x14ac:dyDescent="0.3">
      <c r="L5724" s="25"/>
      <c r="Q5724" s="17"/>
    </row>
    <row r="5725" spans="12:17" x14ac:dyDescent="0.3">
      <c r="L5725" s="25"/>
      <c r="Q5725" s="17"/>
    </row>
    <row r="5726" spans="12:17" x14ac:dyDescent="0.3">
      <c r="L5726" s="25"/>
      <c r="Q5726" s="17"/>
    </row>
    <row r="5727" spans="12:17" x14ac:dyDescent="0.3">
      <c r="L5727" s="25"/>
      <c r="Q5727" s="17"/>
    </row>
    <row r="5728" spans="12:17" x14ac:dyDescent="0.3">
      <c r="L5728" s="25"/>
      <c r="Q5728" s="17"/>
    </row>
    <row r="5729" spans="12:17" x14ac:dyDescent="0.3">
      <c r="L5729" s="25"/>
      <c r="Q5729" s="17"/>
    </row>
    <row r="5730" spans="12:17" x14ac:dyDescent="0.3">
      <c r="L5730" s="25"/>
      <c r="Q5730" s="17"/>
    </row>
    <row r="5731" spans="12:17" x14ac:dyDescent="0.3">
      <c r="L5731" s="25"/>
      <c r="Q5731" s="17"/>
    </row>
    <row r="5732" spans="12:17" x14ac:dyDescent="0.3">
      <c r="L5732" s="25"/>
      <c r="Q5732" s="17"/>
    </row>
    <row r="5733" spans="12:17" x14ac:dyDescent="0.3">
      <c r="L5733" s="25"/>
      <c r="Q5733" s="17"/>
    </row>
    <row r="5734" spans="12:17" x14ac:dyDescent="0.3">
      <c r="L5734" s="25"/>
      <c r="Q5734" s="17"/>
    </row>
    <row r="5735" spans="12:17" x14ac:dyDescent="0.3">
      <c r="L5735" s="25"/>
      <c r="Q5735" s="17"/>
    </row>
    <row r="5736" spans="12:17" x14ac:dyDescent="0.3">
      <c r="L5736" s="25"/>
      <c r="Q5736" s="17"/>
    </row>
    <row r="5737" spans="12:17" x14ac:dyDescent="0.3">
      <c r="L5737" s="25"/>
      <c r="Q5737" s="17"/>
    </row>
    <row r="5738" spans="12:17" x14ac:dyDescent="0.3">
      <c r="L5738" s="25"/>
      <c r="Q5738" s="17"/>
    </row>
    <row r="5739" spans="12:17" x14ac:dyDescent="0.3">
      <c r="L5739" s="25"/>
      <c r="Q5739" s="17"/>
    </row>
    <row r="5740" spans="12:17" x14ac:dyDescent="0.3">
      <c r="L5740" s="25"/>
      <c r="Q5740" s="17"/>
    </row>
    <row r="5741" spans="12:17" x14ac:dyDescent="0.3">
      <c r="L5741" s="25"/>
      <c r="Q5741" s="17"/>
    </row>
    <row r="5742" spans="12:17" x14ac:dyDescent="0.3">
      <c r="L5742" s="25"/>
      <c r="Q5742" s="17"/>
    </row>
    <row r="5743" spans="12:17" x14ac:dyDescent="0.3">
      <c r="L5743" s="25"/>
      <c r="Q5743" s="17"/>
    </row>
    <row r="5744" spans="12:17" x14ac:dyDescent="0.3">
      <c r="L5744" s="25"/>
      <c r="Q5744" s="17"/>
    </row>
    <row r="5745" spans="12:17" x14ac:dyDescent="0.3">
      <c r="L5745" s="25"/>
      <c r="Q5745" s="17"/>
    </row>
    <row r="5746" spans="12:17" x14ac:dyDescent="0.3">
      <c r="L5746" s="25"/>
      <c r="Q5746" s="17"/>
    </row>
    <row r="5747" spans="12:17" x14ac:dyDescent="0.3">
      <c r="L5747" s="25"/>
      <c r="Q5747" s="17"/>
    </row>
    <row r="5748" spans="12:17" x14ac:dyDescent="0.3">
      <c r="L5748" s="25"/>
      <c r="Q5748" s="17"/>
    </row>
    <row r="5749" spans="12:17" x14ac:dyDescent="0.3">
      <c r="L5749" s="25"/>
      <c r="Q5749" s="17"/>
    </row>
    <row r="5750" spans="12:17" x14ac:dyDescent="0.3">
      <c r="L5750" s="25"/>
      <c r="Q5750" s="17"/>
    </row>
    <row r="5751" spans="12:17" x14ac:dyDescent="0.3">
      <c r="L5751" s="25"/>
      <c r="Q5751" s="17"/>
    </row>
    <row r="5752" spans="12:17" x14ac:dyDescent="0.3">
      <c r="L5752" s="25"/>
      <c r="Q5752" s="17"/>
    </row>
    <row r="5753" spans="12:17" x14ac:dyDescent="0.3">
      <c r="L5753" s="25"/>
      <c r="Q5753" s="17"/>
    </row>
    <row r="5754" spans="12:17" x14ac:dyDescent="0.3">
      <c r="L5754" s="25"/>
      <c r="Q5754" s="17"/>
    </row>
    <row r="5755" spans="12:17" x14ac:dyDescent="0.3">
      <c r="L5755" s="25"/>
      <c r="Q5755" s="17"/>
    </row>
    <row r="5756" spans="12:17" x14ac:dyDescent="0.3">
      <c r="L5756" s="25"/>
      <c r="Q5756" s="17"/>
    </row>
    <row r="5757" spans="12:17" x14ac:dyDescent="0.3">
      <c r="L5757" s="25"/>
      <c r="Q5757" s="17"/>
    </row>
    <row r="5758" spans="12:17" x14ac:dyDescent="0.3">
      <c r="L5758" s="25"/>
      <c r="Q5758" s="17"/>
    </row>
    <row r="5759" spans="12:17" x14ac:dyDescent="0.3">
      <c r="L5759" s="25"/>
      <c r="Q5759" s="17"/>
    </row>
    <row r="5760" spans="12:17" x14ac:dyDescent="0.3">
      <c r="L5760" s="25"/>
      <c r="Q5760" s="17"/>
    </row>
    <row r="5761" spans="12:17" x14ac:dyDescent="0.3">
      <c r="L5761" s="25"/>
      <c r="Q5761" s="17"/>
    </row>
    <row r="5762" spans="12:17" x14ac:dyDescent="0.3">
      <c r="L5762" s="25"/>
      <c r="Q5762" s="17"/>
    </row>
    <row r="5763" spans="12:17" x14ac:dyDescent="0.3">
      <c r="L5763" s="25"/>
      <c r="Q5763" s="17"/>
    </row>
    <row r="5764" spans="12:17" x14ac:dyDescent="0.3">
      <c r="L5764" s="25"/>
      <c r="Q5764" s="17"/>
    </row>
    <row r="5765" spans="12:17" x14ac:dyDescent="0.3">
      <c r="L5765" s="25"/>
      <c r="Q5765" s="17"/>
    </row>
    <row r="5766" spans="12:17" x14ac:dyDescent="0.3">
      <c r="L5766" s="25"/>
      <c r="Q5766" s="17"/>
    </row>
    <row r="5767" spans="12:17" x14ac:dyDescent="0.3">
      <c r="L5767" s="25"/>
      <c r="Q5767" s="17"/>
    </row>
    <row r="5768" spans="12:17" x14ac:dyDescent="0.3">
      <c r="L5768" s="25"/>
      <c r="Q5768" s="17"/>
    </row>
    <row r="5769" spans="12:17" x14ac:dyDescent="0.3">
      <c r="L5769" s="25"/>
      <c r="Q5769" s="17"/>
    </row>
    <row r="5770" spans="12:17" x14ac:dyDescent="0.3">
      <c r="L5770" s="25"/>
      <c r="Q5770" s="17"/>
    </row>
    <row r="5771" spans="12:17" x14ac:dyDescent="0.3">
      <c r="L5771" s="25"/>
      <c r="Q5771" s="17"/>
    </row>
    <row r="5772" spans="12:17" x14ac:dyDescent="0.3">
      <c r="L5772" s="25"/>
      <c r="Q5772" s="17"/>
    </row>
    <row r="5773" spans="12:17" x14ac:dyDescent="0.3">
      <c r="L5773" s="25"/>
      <c r="Q5773" s="17"/>
    </row>
    <row r="5774" spans="12:17" x14ac:dyDescent="0.3">
      <c r="L5774" s="25"/>
      <c r="Q5774" s="17"/>
    </row>
    <row r="5775" spans="12:17" x14ac:dyDescent="0.3">
      <c r="L5775" s="25"/>
      <c r="Q5775" s="17"/>
    </row>
    <row r="5776" spans="12:17" x14ac:dyDescent="0.3">
      <c r="L5776" s="25"/>
      <c r="Q5776" s="17"/>
    </row>
    <row r="5777" spans="12:17" x14ac:dyDescent="0.3">
      <c r="L5777" s="25"/>
      <c r="Q5777" s="17"/>
    </row>
    <row r="5778" spans="12:17" x14ac:dyDescent="0.3">
      <c r="L5778" s="25"/>
      <c r="Q5778" s="17"/>
    </row>
    <row r="5779" spans="12:17" x14ac:dyDescent="0.3">
      <c r="L5779" s="25"/>
      <c r="Q5779" s="17"/>
    </row>
    <row r="5780" spans="12:17" x14ac:dyDescent="0.3">
      <c r="L5780" s="25"/>
      <c r="Q5780" s="17"/>
    </row>
    <row r="5781" spans="12:17" x14ac:dyDescent="0.3">
      <c r="L5781" s="25"/>
      <c r="Q5781" s="17"/>
    </row>
    <row r="5782" spans="12:17" x14ac:dyDescent="0.3">
      <c r="L5782" s="25"/>
      <c r="Q5782" s="17"/>
    </row>
    <row r="5783" spans="12:17" x14ac:dyDescent="0.3">
      <c r="L5783" s="25"/>
      <c r="Q5783" s="17"/>
    </row>
    <row r="5784" spans="12:17" x14ac:dyDescent="0.3">
      <c r="L5784" s="25"/>
      <c r="Q5784" s="17"/>
    </row>
    <row r="5785" spans="12:17" x14ac:dyDescent="0.3">
      <c r="L5785" s="25"/>
      <c r="Q5785" s="17"/>
    </row>
    <row r="5786" spans="12:17" x14ac:dyDescent="0.3">
      <c r="L5786" s="25"/>
      <c r="Q5786" s="17"/>
    </row>
    <row r="5787" spans="12:17" x14ac:dyDescent="0.3">
      <c r="L5787" s="25"/>
      <c r="Q5787" s="17"/>
    </row>
    <row r="5788" spans="12:17" x14ac:dyDescent="0.3">
      <c r="L5788" s="25"/>
      <c r="Q5788" s="17"/>
    </row>
    <row r="5789" spans="12:17" x14ac:dyDescent="0.3">
      <c r="L5789" s="25"/>
      <c r="Q5789" s="17"/>
    </row>
    <row r="5790" spans="12:17" x14ac:dyDescent="0.3">
      <c r="L5790" s="25"/>
      <c r="Q5790" s="17"/>
    </row>
    <row r="5791" spans="12:17" x14ac:dyDescent="0.3">
      <c r="L5791" s="25"/>
      <c r="Q5791" s="17"/>
    </row>
    <row r="5792" spans="12:17" x14ac:dyDescent="0.3">
      <c r="L5792" s="25"/>
      <c r="Q5792" s="17"/>
    </row>
    <row r="5793" spans="12:17" x14ac:dyDescent="0.3">
      <c r="L5793" s="25"/>
      <c r="Q5793" s="17"/>
    </row>
    <row r="5794" spans="12:17" x14ac:dyDescent="0.3">
      <c r="L5794" s="25"/>
      <c r="Q5794" s="17"/>
    </row>
    <row r="5795" spans="12:17" x14ac:dyDescent="0.3">
      <c r="L5795" s="25"/>
      <c r="Q5795" s="17"/>
    </row>
    <row r="5796" spans="12:17" x14ac:dyDescent="0.3">
      <c r="L5796" s="25"/>
      <c r="Q5796" s="17"/>
    </row>
    <row r="5797" spans="12:17" x14ac:dyDescent="0.3">
      <c r="L5797" s="25"/>
      <c r="Q5797" s="17"/>
    </row>
    <row r="5798" spans="12:17" x14ac:dyDescent="0.3">
      <c r="L5798" s="25"/>
      <c r="Q5798" s="17"/>
    </row>
    <row r="5799" spans="12:17" x14ac:dyDescent="0.3">
      <c r="L5799" s="25"/>
      <c r="Q5799" s="17"/>
    </row>
    <row r="5800" spans="12:17" x14ac:dyDescent="0.3">
      <c r="L5800" s="25"/>
      <c r="Q5800" s="17"/>
    </row>
    <row r="5801" spans="12:17" x14ac:dyDescent="0.3">
      <c r="L5801" s="25"/>
      <c r="Q5801" s="17"/>
    </row>
    <row r="5802" spans="12:17" x14ac:dyDescent="0.3">
      <c r="L5802" s="25"/>
      <c r="Q5802" s="17"/>
    </row>
    <row r="5803" spans="12:17" x14ac:dyDescent="0.3">
      <c r="L5803" s="25"/>
      <c r="Q5803" s="17"/>
    </row>
    <row r="5804" spans="12:17" x14ac:dyDescent="0.3">
      <c r="L5804" s="25"/>
      <c r="Q5804" s="17"/>
    </row>
    <row r="5805" spans="12:17" x14ac:dyDescent="0.3">
      <c r="L5805" s="25"/>
      <c r="Q5805" s="17"/>
    </row>
    <row r="5806" spans="12:17" x14ac:dyDescent="0.3">
      <c r="L5806" s="25"/>
      <c r="Q5806" s="17"/>
    </row>
    <row r="5807" spans="12:17" x14ac:dyDescent="0.3">
      <c r="L5807" s="25"/>
      <c r="Q5807" s="17"/>
    </row>
    <row r="5808" spans="12:17" x14ac:dyDescent="0.3">
      <c r="L5808" s="25"/>
      <c r="Q5808" s="17"/>
    </row>
    <row r="5809" spans="12:17" x14ac:dyDescent="0.3">
      <c r="L5809" s="25"/>
      <c r="Q5809" s="17"/>
    </row>
    <row r="5810" spans="12:17" x14ac:dyDescent="0.3">
      <c r="L5810" s="25"/>
      <c r="Q5810" s="17"/>
    </row>
    <row r="5811" spans="12:17" x14ac:dyDescent="0.3">
      <c r="L5811" s="25"/>
      <c r="Q5811" s="17"/>
    </row>
    <row r="5812" spans="12:17" x14ac:dyDescent="0.3">
      <c r="L5812" s="25"/>
      <c r="Q5812" s="17"/>
    </row>
    <row r="5813" spans="12:17" x14ac:dyDescent="0.3">
      <c r="L5813" s="25"/>
      <c r="Q5813" s="17"/>
    </row>
    <row r="5814" spans="12:17" x14ac:dyDescent="0.3">
      <c r="L5814" s="25"/>
      <c r="Q5814" s="17"/>
    </row>
    <row r="5815" spans="12:17" x14ac:dyDescent="0.3">
      <c r="L5815" s="25"/>
      <c r="Q5815" s="17"/>
    </row>
    <row r="5816" spans="12:17" x14ac:dyDescent="0.3">
      <c r="L5816" s="25"/>
      <c r="Q5816" s="17"/>
    </row>
    <row r="5817" spans="12:17" x14ac:dyDescent="0.3">
      <c r="L5817" s="25"/>
      <c r="Q5817" s="17"/>
    </row>
    <row r="5818" spans="12:17" x14ac:dyDescent="0.3">
      <c r="L5818" s="25"/>
      <c r="Q5818" s="17"/>
    </row>
    <row r="5819" spans="12:17" x14ac:dyDescent="0.3">
      <c r="L5819" s="25"/>
      <c r="Q5819" s="17"/>
    </row>
    <row r="5820" spans="12:17" x14ac:dyDescent="0.3">
      <c r="L5820" s="25"/>
      <c r="Q5820" s="17"/>
    </row>
    <row r="5821" spans="12:17" x14ac:dyDescent="0.3">
      <c r="L5821" s="25"/>
      <c r="Q5821" s="17"/>
    </row>
    <row r="5822" spans="12:17" x14ac:dyDescent="0.3">
      <c r="L5822" s="25"/>
      <c r="Q5822" s="17"/>
    </row>
    <row r="5823" spans="12:17" x14ac:dyDescent="0.3">
      <c r="L5823" s="25"/>
      <c r="Q5823" s="17"/>
    </row>
    <row r="5824" spans="12:17" x14ac:dyDescent="0.3">
      <c r="L5824" s="25"/>
      <c r="Q5824" s="17"/>
    </row>
    <row r="5825" spans="12:17" x14ac:dyDescent="0.3">
      <c r="L5825" s="25"/>
      <c r="Q5825" s="17"/>
    </row>
    <row r="5826" spans="12:17" x14ac:dyDescent="0.3">
      <c r="L5826" s="25"/>
      <c r="Q5826" s="17"/>
    </row>
    <row r="5827" spans="12:17" x14ac:dyDescent="0.3">
      <c r="L5827" s="25"/>
      <c r="Q5827" s="17"/>
    </row>
    <row r="5828" spans="12:17" x14ac:dyDescent="0.3">
      <c r="L5828" s="25"/>
      <c r="Q5828" s="17"/>
    </row>
    <row r="5829" spans="12:17" x14ac:dyDescent="0.3">
      <c r="L5829" s="25"/>
      <c r="Q5829" s="17"/>
    </row>
    <row r="5830" spans="12:17" x14ac:dyDescent="0.3">
      <c r="L5830" s="25"/>
      <c r="Q5830" s="17"/>
    </row>
    <row r="5831" spans="12:17" x14ac:dyDescent="0.3">
      <c r="L5831" s="25"/>
      <c r="Q5831" s="17"/>
    </row>
    <row r="5832" spans="12:17" x14ac:dyDescent="0.3">
      <c r="L5832" s="25"/>
      <c r="Q5832" s="17"/>
    </row>
    <row r="5833" spans="12:17" x14ac:dyDescent="0.3">
      <c r="L5833" s="25"/>
      <c r="Q5833" s="17"/>
    </row>
    <row r="5834" spans="12:17" x14ac:dyDescent="0.3">
      <c r="L5834" s="25"/>
      <c r="Q5834" s="17"/>
    </row>
    <row r="5835" spans="12:17" x14ac:dyDescent="0.3">
      <c r="L5835" s="25"/>
      <c r="Q5835" s="17"/>
    </row>
    <row r="5836" spans="12:17" x14ac:dyDescent="0.3">
      <c r="L5836" s="25"/>
      <c r="Q5836" s="17"/>
    </row>
    <row r="5837" spans="12:17" x14ac:dyDescent="0.3">
      <c r="L5837" s="25"/>
      <c r="Q5837" s="17"/>
    </row>
    <row r="5838" spans="12:17" x14ac:dyDescent="0.3">
      <c r="L5838" s="25"/>
      <c r="Q5838" s="17"/>
    </row>
    <row r="5839" spans="12:17" x14ac:dyDescent="0.3">
      <c r="L5839" s="25"/>
      <c r="Q5839" s="17"/>
    </row>
    <row r="5840" spans="12:17" x14ac:dyDescent="0.3">
      <c r="L5840" s="25"/>
      <c r="Q5840" s="17"/>
    </row>
    <row r="5841" spans="12:17" x14ac:dyDescent="0.3">
      <c r="L5841" s="25"/>
      <c r="Q5841" s="17"/>
    </row>
    <row r="5842" spans="12:17" x14ac:dyDescent="0.3">
      <c r="L5842" s="25"/>
      <c r="Q5842" s="17"/>
    </row>
    <row r="5843" spans="12:17" x14ac:dyDescent="0.3">
      <c r="L5843" s="25"/>
      <c r="Q5843" s="17"/>
    </row>
    <row r="5844" spans="12:17" x14ac:dyDescent="0.3">
      <c r="L5844" s="25"/>
      <c r="Q5844" s="17"/>
    </row>
    <row r="5845" spans="12:17" x14ac:dyDescent="0.3">
      <c r="L5845" s="25"/>
      <c r="Q5845" s="17"/>
    </row>
    <row r="5846" spans="12:17" x14ac:dyDescent="0.3">
      <c r="L5846" s="25"/>
      <c r="Q5846" s="17"/>
    </row>
    <row r="5847" spans="12:17" x14ac:dyDescent="0.3">
      <c r="L5847" s="25"/>
      <c r="Q5847" s="17"/>
    </row>
    <row r="5848" spans="12:17" x14ac:dyDescent="0.3">
      <c r="L5848" s="25"/>
      <c r="Q5848" s="17"/>
    </row>
    <row r="5849" spans="12:17" x14ac:dyDescent="0.3">
      <c r="L5849" s="25"/>
      <c r="Q5849" s="17"/>
    </row>
    <row r="5850" spans="12:17" x14ac:dyDescent="0.3">
      <c r="L5850" s="25"/>
      <c r="Q5850" s="17"/>
    </row>
    <row r="5851" spans="12:17" x14ac:dyDescent="0.3">
      <c r="L5851" s="25"/>
      <c r="Q5851" s="17"/>
    </row>
    <row r="5852" spans="12:17" x14ac:dyDescent="0.3">
      <c r="L5852" s="25"/>
      <c r="Q5852" s="17"/>
    </row>
    <row r="5853" spans="12:17" x14ac:dyDescent="0.3">
      <c r="L5853" s="25"/>
      <c r="Q5853" s="17"/>
    </row>
    <row r="5854" spans="12:17" x14ac:dyDescent="0.3">
      <c r="L5854" s="25"/>
      <c r="Q5854" s="17"/>
    </row>
    <row r="5855" spans="12:17" x14ac:dyDescent="0.3">
      <c r="L5855" s="25"/>
      <c r="Q5855" s="17"/>
    </row>
    <row r="5856" spans="12:17" x14ac:dyDescent="0.3">
      <c r="L5856" s="25"/>
      <c r="Q5856" s="17"/>
    </row>
    <row r="5857" spans="12:17" x14ac:dyDescent="0.3">
      <c r="L5857" s="25"/>
      <c r="Q5857" s="17"/>
    </row>
    <row r="5858" spans="12:17" x14ac:dyDescent="0.3">
      <c r="L5858" s="25"/>
      <c r="Q5858" s="17"/>
    </row>
    <row r="5859" spans="12:17" x14ac:dyDescent="0.3">
      <c r="L5859" s="25"/>
      <c r="Q5859" s="17"/>
    </row>
    <row r="5860" spans="12:17" x14ac:dyDescent="0.3">
      <c r="L5860" s="25"/>
      <c r="Q5860" s="17"/>
    </row>
    <row r="5861" spans="12:17" x14ac:dyDescent="0.3">
      <c r="L5861" s="25"/>
      <c r="Q5861" s="17"/>
    </row>
    <row r="5862" spans="12:17" x14ac:dyDescent="0.3">
      <c r="L5862" s="25"/>
      <c r="Q5862" s="17"/>
    </row>
    <row r="5863" spans="12:17" x14ac:dyDescent="0.3">
      <c r="L5863" s="25"/>
      <c r="Q5863" s="17"/>
    </row>
    <row r="5864" spans="12:17" x14ac:dyDescent="0.3">
      <c r="L5864" s="25"/>
      <c r="Q5864" s="17"/>
    </row>
    <row r="5865" spans="12:17" x14ac:dyDescent="0.3">
      <c r="L5865" s="25"/>
      <c r="Q5865" s="17"/>
    </row>
    <row r="5866" spans="12:17" x14ac:dyDescent="0.3">
      <c r="L5866" s="25"/>
      <c r="Q5866" s="17"/>
    </row>
    <row r="5867" spans="12:17" x14ac:dyDescent="0.3">
      <c r="L5867" s="25"/>
      <c r="Q5867" s="17"/>
    </row>
    <row r="5868" spans="12:17" x14ac:dyDescent="0.3">
      <c r="L5868" s="25"/>
      <c r="Q5868" s="17"/>
    </row>
    <row r="5869" spans="12:17" x14ac:dyDescent="0.3">
      <c r="L5869" s="25"/>
      <c r="Q5869" s="17"/>
    </row>
    <row r="5870" spans="12:17" x14ac:dyDescent="0.3">
      <c r="L5870" s="25"/>
      <c r="Q5870" s="17"/>
    </row>
    <row r="5871" spans="12:17" x14ac:dyDescent="0.3">
      <c r="L5871" s="25"/>
      <c r="Q5871" s="17"/>
    </row>
    <row r="5872" spans="12:17" x14ac:dyDescent="0.3">
      <c r="L5872" s="25"/>
      <c r="Q5872" s="17"/>
    </row>
    <row r="5873" spans="12:17" x14ac:dyDescent="0.3">
      <c r="L5873" s="25"/>
      <c r="Q5873" s="17"/>
    </row>
    <row r="5874" spans="12:17" x14ac:dyDescent="0.3">
      <c r="L5874" s="25"/>
      <c r="Q5874" s="17"/>
    </row>
    <row r="5875" spans="12:17" x14ac:dyDescent="0.3">
      <c r="L5875" s="25"/>
      <c r="Q5875" s="17"/>
    </row>
    <row r="5876" spans="12:17" x14ac:dyDescent="0.3">
      <c r="L5876" s="25"/>
      <c r="Q5876" s="17"/>
    </row>
    <row r="5877" spans="12:17" x14ac:dyDescent="0.3">
      <c r="L5877" s="25"/>
      <c r="Q5877" s="17"/>
    </row>
    <row r="5878" spans="12:17" x14ac:dyDescent="0.3">
      <c r="L5878" s="25"/>
      <c r="Q5878" s="17"/>
    </row>
    <row r="5879" spans="12:17" x14ac:dyDescent="0.3">
      <c r="L5879" s="25"/>
      <c r="Q5879" s="17"/>
    </row>
    <row r="5880" spans="12:17" x14ac:dyDescent="0.3">
      <c r="L5880" s="25"/>
      <c r="Q5880" s="17"/>
    </row>
    <row r="5881" spans="12:17" x14ac:dyDescent="0.3">
      <c r="L5881" s="25"/>
      <c r="Q5881" s="17"/>
    </row>
    <row r="5882" spans="12:17" x14ac:dyDescent="0.3">
      <c r="L5882" s="25"/>
      <c r="Q5882" s="17"/>
    </row>
    <row r="5883" spans="12:17" x14ac:dyDescent="0.3">
      <c r="L5883" s="25"/>
      <c r="Q5883" s="17"/>
    </row>
    <row r="5884" spans="12:17" x14ac:dyDescent="0.3">
      <c r="L5884" s="25"/>
      <c r="Q5884" s="17"/>
    </row>
    <row r="5885" spans="12:17" x14ac:dyDescent="0.3">
      <c r="L5885" s="25"/>
      <c r="Q5885" s="17"/>
    </row>
    <row r="5886" spans="12:17" x14ac:dyDescent="0.3">
      <c r="L5886" s="25"/>
      <c r="Q5886" s="17"/>
    </row>
    <row r="5887" spans="12:17" x14ac:dyDescent="0.3">
      <c r="L5887" s="25"/>
      <c r="Q5887" s="17"/>
    </row>
    <row r="5888" spans="12:17" x14ac:dyDescent="0.3">
      <c r="L5888" s="25"/>
      <c r="Q5888" s="17"/>
    </row>
    <row r="5889" spans="12:17" x14ac:dyDescent="0.3">
      <c r="L5889" s="25"/>
      <c r="Q5889" s="17"/>
    </row>
    <row r="5890" spans="12:17" x14ac:dyDescent="0.3">
      <c r="L5890" s="25"/>
      <c r="Q5890" s="17"/>
    </row>
    <row r="5891" spans="12:17" x14ac:dyDescent="0.3">
      <c r="L5891" s="25"/>
      <c r="Q5891" s="17"/>
    </row>
    <row r="5892" spans="12:17" x14ac:dyDescent="0.3">
      <c r="L5892" s="25"/>
      <c r="Q5892" s="17"/>
    </row>
    <row r="5893" spans="12:17" x14ac:dyDescent="0.3">
      <c r="L5893" s="25"/>
      <c r="Q5893" s="17"/>
    </row>
    <row r="5894" spans="12:17" x14ac:dyDescent="0.3">
      <c r="L5894" s="25"/>
      <c r="Q5894" s="17"/>
    </row>
    <row r="5895" spans="12:17" x14ac:dyDescent="0.3">
      <c r="L5895" s="25"/>
      <c r="Q5895" s="17"/>
    </row>
    <row r="5896" spans="12:17" x14ac:dyDescent="0.3">
      <c r="L5896" s="25"/>
      <c r="Q5896" s="17"/>
    </row>
    <row r="5897" spans="12:17" x14ac:dyDescent="0.3">
      <c r="L5897" s="25"/>
      <c r="Q5897" s="17"/>
    </row>
    <row r="5898" spans="12:17" x14ac:dyDescent="0.3">
      <c r="L5898" s="25"/>
      <c r="Q5898" s="17"/>
    </row>
    <row r="5899" spans="12:17" x14ac:dyDescent="0.3">
      <c r="L5899" s="25"/>
      <c r="Q5899" s="17"/>
    </row>
    <row r="5900" spans="12:17" x14ac:dyDescent="0.3">
      <c r="L5900" s="25"/>
      <c r="Q5900" s="17"/>
    </row>
    <row r="5901" spans="12:17" x14ac:dyDescent="0.3">
      <c r="L5901" s="25"/>
      <c r="Q5901" s="17"/>
    </row>
    <row r="5902" spans="12:17" x14ac:dyDescent="0.3">
      <c r="L5902" s="25"/>
      <c r="Q5902" s="17"/>
    </row>
    <row r="5903" spans="12:17" x14ac:dyDescent="0.3">
      <c r="L5903" s="25"/>
      <c r="Q5903" s="17"/>
    </row>
    <row r="5904" spans="12:17" x14ac:dyDescent="0.3">
      <c r="L5904" s="25"/>
      <c r="Q5904" s="17"/>
    </row>
    <row r="5905" spans="12:17" x14ac:dyDescent="0.3">
      <c r="L5905" s="25"/>
      <c r="Q5905" s="17"/>
    </row>
    <row r="5906" spans="12:17" x14ac:dyDescent="0.3">
      <c r="L5906" s="25"/>
      <c r="Q5906" s="17"/>
    </row>
    <row r="5907" spans="12:17" x14ac:dyDescent="0.3">
      <c r="L5907" s="25"/>
      <c r="Q5907" s="17"/>
    </row>
    <row r="5908" spans="12:17" x14ac:dyDescent="0.3">
      <c r="L5908" s="25"/>
      <c r="Q5908" s="17"/>
    </row>
    <row r="5909" spans="12:17" x14ac:dyDescent="0.3">
      <c r="L5909" s="25"/>
      <c r="Q5909" s="17"/>
    </row>
    <row r="5910" spans="12:17" x14ac:dyDescent="0.3">
      <c r="L5910" s="25"/>
      <c r="Q5910" s="17"/>
    </row>
    <row r="5911" spans="12:17" x14ac:dyDescent="0.3">
      <c r="L5911" s="25"/>
      <c r="Q5911" s="17"/>
    </row>
    <row r="5912" spans="12:17" x14ac:dyDescent="0.3">
      <c r="L5912" s="25"/>
      <c r="Q5912" s="17"/>
    </row>
    <row r="5913" spans="12:17" x14ac:dyDescent="0.3">
      <c r="L5913" s="25"/>
      <c r="Q5913" s="17"/>
    </row>
    <row r="5914" spans="12:17" x14ac:dyDescent="0.3">
      <c r="L5914" s="25"/>
      <c r="Q5914" s="17"/>
    </row>
    <row r="5915" spans="12:17" x14ac:dyDescent="0.3">
      <c r="L5915" s="25"/>
      <c r="Q5915" s="17"/>
    </row>
    <row r="5916" spans="12:17" x14ac:dyDescent="0.3">
      <c r="L5916" s="25"/>
      <c r="Q5916" s="17"/>
    </row>
    <row r="5917" spans="12:17" x14ac:dyDescent="0.3">
      <c r="L5917" s="25"/>
      <c r="Q5917" s="17"/>
    </row>
    <row r="5918" spans="12:17" x14ac:dyDescent="0.3">
      <c r="L5918" s="25"/>
      <c r="Q5918" s="17"/>
    </row>
    <row r="5919" spans="12:17" x14ac:dyDescent="0.3">
      <c r="L5919" s="25"/>
      <c r="Q5919" s="17"/>
    </row>
    <row r="5920" spans="12:17" x14ac:dyDescent="0.3">
      <c r="L5920" s="25"/>
      <c r="Q5920" s="17"/>
    </row>
    <row r="5921" spans="12:17" x14ac:dyDescent="0.3">
      <c r="L5921" s="25"/>
      <c r="Q5921" s="17"/>
    </row>
    <row r="5922" spans="12:17" x14ac:dyDescent="0.3">
      <c r="L5922" s="25"/>
      <c r="Q5922" s="17"/>
    </row>
    <row r="5923" spans="12:17" x14ac:dyDescent="0.3">
      <c r="L5923" s="25"/>
      <c r="Q5923" s="17"/>
    </row>
    <row r="5924" spans="12:17" x14ac:dyDescent="0.3">
      <c r="L5924" s="25"/>
      <c r="Q5924" s="17"/>
    </row>
    <row r="5925" spans="12:17" x14ac:dyDescent="0.3">
      <c r="L5925" s="25"/>
      <c r="Q5925" s="17"/>
    </row>
    <row r="5926" spans="12:17" x14ac:dyDescent="0.3">
      <c r="L5926" s="25"/>
      <c r="Q5926" s="17"/>
    </row>
    <row r="5927" spans="12:17" x14ac:dyDescent="0.3">
      <c r="L5927" s="25"/>
      <c r="Q5927" s="17"/>
    </row>
    <row r="5928" spans="12:17" x14ac:dyDescent="0.3">
      <c r="L5928" s="25"/>
      <c r="Q5928" s="17"/>
    </row>
    <row r="5929" spans="12:17" x14ac:dyDescent="0.3">
      <c r="L5929" s="25"/>
      <c r="Q5929" s="17"/>
    </row>
    <row r="5930" spans="12:17" x14ac:dyDescent="0.3">
      <c r="L5930" s="25"/>
      <c r="Q5930" s="17"/>
    </row>
    <row r="5931" spans="12:17" x14ac:dyDescent="0.3">
      <c r="L5931" s="25"/>
      <c r="Q5931" s="17"/>
    </row>
    <row r="5932" spans="12:17" x14ac:dyDescent="0.3">
      <c r="L5932" s="25"/>
      <c r="Q5932" s="17"/>
    </row>
    <row r="5933" spans="12:17" x14ac:dyDescent="0.3">
      <c r="L5933" s="25"/>
      <c r="Q5933" s="17"/>
    </row>
    <row r="5934" spans="12:17" x14ac:dyDescent="0.3">
      <c r="L5934" s="25"/>
      <c r="Q5934" s="17"/>
    </row>
    <row r="5935" spans="12:17" x14ac:dyDescent="0.3">
      <c r="L5935" s="25"/>
      <c r="Q5935" s="17"/>
    </row>
    <row r="5936" spans="12:17" x14ac:dyDescent="0.3">
      <c r="L5936" s="25"/>
      <c r="Q5936" s="17"/>
    </row>
    <row r="5937" spans="12:17" x14ac:dyDescent="0.3">
      <c r="L5937" s="25"/>
      <c r="Q5937" s="17"/>
    </row>
    <row r="5938" spans="12:17" x14ac:dyDescent="0.3">
      <c r="L5938" s="25"/>
      <c r="Q5938" s="17"/>
    </row>
    <row r="5939" spans="12:17" x14ac:dyDescent="0.3">
      <c r="L5939" s="25"/>
      <c r="Q5939" s="17"/>
    </row>
    <row r="5940" spans="12:17" x14ac:dyDescent="0.3">
      <c r="L5940" s="25"/>
      <c r="Q5940" s="17"/>
    </row>
    <row r="5941" spans="12:17" x14ac:dyDescent="0.3">
      <c r="L5941" s="25"/>
      <c r="Q5941" s="17"/>
    </row>
    <row r="5942" spans="12:17" x14ac:dyDescent="0.3">
      <c r="L5942" s="25"/>
      <c r="Q5942" s="17"/>
    </row>
    <row r="5943" spans="12:17" x14ac:dyDescent="0.3">
      <c r="L5943" s="25"/>
      <c r="Q5943" s="17"/>
    </row>
    <row r="5944" spans="12:17" x14ac:dyDescent="0.3">
      <c r="L5944" s="25"/>
      <c r="Q5944" s="17"/>
    </row>
    <row r="5945" spans="12:17" x14ac:dyDescent="0.3">
      <c r="L5945" s="25"/>
      <c r="Q5945" s="17"/>
    </row>
    <row r="5946" spans="12:17" x14ac:dyDescent="0.3">
      <c r="L5946" s="25"/>
      <c r="Q5946" s="17"/>
    </row>
    <row r="5947" spans="12:17" x14ac:dyDescent="0.3">
      <c r="L5947" s="25"/>
      <c r="Q5947" s="17"/>
    </row>
    <row r="5948" spans="12:17" x14ac:dyDescent="0.3">
      <c r="L5948" s="25"/>
      <c r="Q5948" s="17"/>
    </row>
    <row r="5949" spans="12:17" x14ac:dyDescent="0.3">
      <c r="L5949" s="25"/>
      <c r="Q5949" s="17"/>
    </row>
    <row r="5950" spans="12:17" x14ac:dyDescent="0.3">
      <c r="L5950" s="25"/>
      <c r="Q5950" s="17"/>
    </row>
    <row r="5951" spans="12:17" x14ac:dyDescent="0.3">
      <c r="L5951" s="25"/>
      <c r="Q5951" s="17"/>
    </row>
    <row r="5952" spans="12:17" x14ac:dyDescent="0.3">
      <c r="L5952" s="25"/>
      <c r="Q5952" s="17"/>
    </row>
    <row r="5953" spans="12:17" x14ac:dyDescent="0.3">
      <c r="L5953" s="25"/>
      <c r="Q5953" s="17"/>
    </row>
    <row r="5954" spans="12:17" x14ac:dyDescent="0.3">
      <c r="L5954" s="25"/>
      <c r="Q5954" s="17"/>
    </row>
    <row r="5955" spans="12:17" x14ac:dyDescent="0.3">
      <c r="L5955" s="25"/>
      <c r="Q5955" s="17"/>
    </row>
    <row r="5956" spans="12:17" x14ac:dyDescent="0.3">
      <c r="L5956" s="25"/>
      <c r="Q5956" s="17"/>
    </row>
    <row r="5957" spans="12:17" x14ac:dyDescent="0.3">
      <c r="L5957" s="25"/>
      <c r="Q5957" s="17"/>
    </row>
    <row r="5958" spans="12:17" x14ac:dyDescent="0.3">
      <c r="L5958" s="25"/>
      <c r="Q5958" s="17"/>
    </row>
    <row r="5959" spans="12:17" x14ac:dyDescent="0.3">
      <c r="L5959" s="25"/>
      <c r="Q5959" s="17"/>
    </row>
    <row r="5960" spans="12:17" x14ac:dyDescent="0.3">
      <c r="L5960" s="25"/>
      <c r="Q5960" s="17"/>
    </row>
    <row r="5961" spans="12:17" x14ac:dyDescent="0.3">
      <c r="L5961" s="25"/>
      <c r="Q5961" s="17"/>
    </row>
    <row r="5962" spans="12:17" x14ac:dyDescent="0.3">
      <c r="L5962" s="25"/>
      <c r="Q5962" s="17"/>
    </row>
    <row r="5963" spans="12:17" x14ac:dyDescent="0.3">
      <c r="L5963" s="25"/>
      <c r="Q5963" s="17"/>
    </row>
    <row r="5964" spans="12:17" x14ac:dyDescent="0.3">
      <c r="L5964" s="25"/>
      <c r="Q5964" s="17"/>
    </row>
    <row r="5965" spans="12:17" x14ac:dyDescent="0.3">
      <c r="L5965" s="25"/>
      <c r="Q5965" s="17"/>
    </row>
    <row r="5966" spans="12:17" x14ac:dyDescent="0.3">
      <c r="L5966" s="25"/>
      <c r="Q5966" s="17"/>
    </row>
    <row r="5967" spans="12:17" x14ac:dyDescent="0.3">
      <c r="L5967" s="25"/>
      <c r="Q5967" s="17"/>
    </row>
    <row r="5968" spans="12:17" x14ac:dyDescent="0.3">
      <c r="L5968" s="25"/>
      <c r="Q5968" s="17"/>
    </row>
    <row r="5969" spans="12:17" x14ac:dyDescent="0.3">
      <c r="L5969" s="25"/>
      <c r="Q5969" s="17"/>
    </row>
    <row r="5970" spans="12:17" x14ac:dyDescent="0.3">
      <c r="L5970" s="25"/>
      <c r="Q5970" s="17"/>
    </row>
    <row r="5971" spans="12:17" x14ac:dyDescent="0.3">
      <c r="L5971" s="25"/>
      <c r="Q5971" s="17"/>
    </row>
    <row r="5972" spans="12:17" x14ac:dyDescent="0.3">
      <c r="L5972" s="25"/>
      <c r="Q5972" s="17"/>
    </row>
    <row r="5973" spans="12:17" x14ac:dyDescent="0.3">
      <c r="L5973" s="25"/>
      <c r="Q5973" s="17"/>
    </row>
    <row r="5974" spans="12:17" x14ac:dyDescent="0.3">
      <c r="L5974" s="25"/>
      <c r="Q5974" s="17"/>
    </row>
    <row r="5975" spans="12:17" x14ac:dyDescent="0.3">
      <c r="L5975" s="25"/>
      <c r="Q5975" s="17"/>
    </row>
    <row r="5976" spans="12:17" x14ac:dyDescent="0.3">
      <c r="L5976" s="25"/>
      <c r="Q5976" s="17"/>
    </row>
    <row r="5977" spans="12:17" x14ac:dyDescent="0.3">
      <c r="L5977" s="25"/>
      <c r="Q5977" s="17"/>
    </row>
    <row r="5978" spans="12:17" x14ac:dyDescent="0.3">
      <c r="L5978" s="25"/>
      <c r="Q5978" s="17"/>
    </row>
    <row r="5979" spans="12:17" x14ac:dyDescent="0.3">
      <c r="L5979" s="25"/>
      <c r="Q5979" s="17"/>
    </row>
    <row r="5980" spans="12:17" x14ac:dyDescent="0.3">
      <c r="L5980" s="25"/>
      <c r="Q5980" s="17"/>
    </row>
    <row r="5981" spans="12:17" x14ac:dyDescent="0.3">
      <c r="L5981" s="25"/>
      <c r="Q5981" s="17"/>
    </row>
    <row r="5982" spans="12:17" x14ac:dyDescent="0.3">
      <c r="L5982" s="25"/>
      <c r="Q5982" s="17"/>
    </row>
    <row r="5983" spans="12:17" x14ac:dyDescent="0.3">
      <c r="L5983" s="25"/>
      <c r="Q5983" s="17"/>
    </row>
    <row r="5984" spans="12:17" x14ac:dyDescent="0.3">
      <c r="L5984" s="25"/>
      <c r="Q5984" s="17"/>
    </row>
    <row r="5985" spans="12:17" x14ac:dyDescent="0.3">
      <c r="L5985" s="25"/>
      <c r="Q5985" s="17"/>
    </row>
    <row r="5986" spans="12:17" x14ac:dyDescent="0.3">
      <c r="L5986" s="25"/>
      <c r="Q5986" s="17"/>
    </row>
    <row r="5987" spans="12:17" x14ac:dyDescent="0.3">
      <c r="L5987" s="25"/>
      <c r="Q5987" s="17"/>
    </row>
    <row r="5988" spans="12:17" x14ac:dyDescent="0.3">
      <c r="L5988" s="25"/>
      <c r="Q5988" s="17"/>
    </row>
    <row r="5989" spans="12:17" x14ac:dyDescent="0.3">
      <c r="L5989" s="25"/>
      <c r="Q5989" s="17"/>
    </row>
    <row r="5990" spans="12:17" x14ac:dyDescent="0.3">
      <c r="L5990" s="25"/>
      <c r="Q5990" s="17"/>
    </row>
    <row r="5991" spans="12:17" x14ac:dyDescent="0.3">
      <c r="L5991" s="25"/>
      <c r="Q5991" s="17"/>
    </row>
    <row r="5992" spans="12:17" x14ac:dyDescent="0.3">
      <c r="L5992" s="25"/>
      <c r="Q5992" s="17"/>
    </row>
    <row r="5993" spans="12:17" x14ac:dyDescent="0.3">
      <c r="L5993" s="25"/>
      <c r="Q5993" s="17"/>
    </row>
    <row r="5994" spans="12:17" x14ac:dyDescent="0.3">
      <c r="L5994" s="25"/>
      <c r="Q5994" s="17"/>
    </row>
    <row r="5995" spans="12:17" x14ac:dyDescent="0.3">
      <c r="L5995" s="25"/>
      <c r="Q5995" s="17"/>
    </row>
    <row r="5996" spans="12:17" x14ac:dyDescent="0.3">
      <c r="L5996" s="25"/>
      <c r="Q5996" s="17"/>
    </row>
    <row r="5997" spans="12:17" x14ac:dyDescent="0.3">
      <c r="L5997" s="25"/>
      <c r="Q5997" s="17"/>
    </row>
    <row r="5998" spans="12:17" x14ac:dyDescent="0.3">
      <c r="L5998" s="25"/>
      <c r="Q5998" s="17"/>
    </row>
    <row r="5999" spans="12:17" x14ac:dyDescent="0.3">
      <c r="L5999" s="25"/>
      <c r="Q5999" s="17"/>
    </row>
    <row r="6000" spans="12:17" x14ac:dyDescent="0.3">
      <c r="L6000" s="25"/>
      <c r="Q6000" s="17"/>
    </row>
    <row r="6001" spans="12:17" x14ac:dyDescent="0.3">
      <c r="L6001" s="25"/>
      <c r="Q6001" s="17"/>
    </row>
    <row r="6002" spans="12:17" x14ac:dyDescent="0.3">
      <c r="L6002" s="25"/>
      <c r="Q6002" s="17"/>
    </row>
    <row r="6003" spans="12:17" x14ac:dyDescent="0.3">
      <c r="L6003" s="25"/>
      <c r="Q6003" s="17"/>
    </row>
    <row r="6004" spans="12:17" x14ac:dyDescent="0.3">
      <c r="L6004" s="25"/>
      <c r="Q6004" s="17"/>
    </row>
    <row r="6005" spans="12:17" x14ac:dyDescent="0.3">
      <c r="L6005" s="25"/>
      <c r="Q6005" s="17"/>
    </row>
    <row r="6006" spans="12:17" x14ac:dyDescent="0.3">
      <c r="L6006" s="25"/>
      <c r="Q6006" s="17"/>
    </row>
    <row r="6007" spans="12:17" x14ac:dyDescent="0.3">
      <c r="L6007" s="25"/>
      <c r="Q6007" s="17"/>
    </row>
    <row r="6008" spans="12:17" x14ac:dyDescent="0.3">
      <c r="L6008" s="25"/>
      <c r="Q6008" s="17"/>
    </row>
    <row r="6009" spans="12:17" x14ac:dyDescent="0.3">
      <c r="L6009" s="25"/>
      <c r="Q6009" s="17"/>
    </row>
    <row r="6010" spans="12:17" x14ac:dyDescent="0.3">
      <c r="L6010" s="25"/>
      <c r="Q6010" s="17"/>
    </row>
    <row r="6011" spans="12:17" x14ac:dyDescent="0.3">
      <c r="L6011" s="25"/>
      <c r="Q6011" s="17"/>
    </row>
    <row r="6012" spans="12:17" x14ac:dyDescent="0.3">
      <c r="L6012" s="25"/>
      <c r="Q6012" s="17"/>
    </row>
    <row r="6013" spans="12:17" x14ac:dyDescent="0.3">
      <c r="L6013" s="25"/>
      <c r="Q6013" s="17"/>
    </row>
    <row r="6014" spans="12:17" x14ac:dyDescent="0.3">
      <c r="L6014" s="25"/>
      <c r="Q6014" s="17"/>
    </row>
    <row r="6015" spans="12:17" x14ac:dyDescent="0.3">
      <c r="L6015" s="25"/>
      <c r="Q6015" s="17"/>
    </row>
    <row r="6016" spans="12:17" x14ac:dyDescent="0.3">
      <c r="L6016" s="25"/>
      <c r="Q6016" s="17"/>
    </row>
    <row r="6017" spans="12:17" x14ac:dyDescent="0.3">
      <c r="L6017" s="25"/>
      <c r="Q6017" s="17"/>
    </row>
    <row r="6018" spans="12:17" x14ac:dyDescent="0.3">
      <c r="L6018" s="25"/>
      <c r="Q6018" s="17"/>
    </row>
    <row r="6019" spans="12:17" x14ac:dyDescent="0.3">
      <c r="L6019" s="25"/>
      <c r="Q6019" s="17"/>
    </row>
    <row r="6020" spans="12:17" x14ac:dyDescent="0.3">
      <c r="L6020" s="25"/>
      <c r="Q6020" s="17"/>
    </row>
    <row r="6021" spans="12:17" x14ac:dyDescent="0.3">
      <c r="L6021" s="25"/>
      <c r="Q6021" s="17"/>
    </row>
    <row r="6022" spans="12:17" x14ac:dyDescent="0.3">
      <c r="L6022" s="25"/>
      <c r="Q6022" s="17"/>
    </row>
    <row r="6023" spans="12:17" x14ac:dyDescent="0.3">
      <c r="L6023" s="25"/>
      <c r="Q6023" s="17"/>
    </row>
    <row r="6024" spans="12:17" x14ac:dyDescent="0.3">
      <c r="L6024" s="25"/>
      <c r="Q6024" s="17"/>
    </row>
    <row r="6025" spans="12:17" x14ac:dyDescent="0.3">
      <c r="L6025" s="25"/>
      <c r="Q6025" s="17"/>
    </row>
    <row r="6026" spans="12:17" x14ac:dyDescent="0.3">
      <c r="L6026" s="25"/>
      <c r="Q6026" s="17"/>
    </row>
    <row r="6027" spans="12:17" x14ac:dyDescent="0.3">
      <c r="L6027" s="25"/>
      <c r="Q6027" s="17"/>
    </row>
    <row r="6028" spans="12:17" x14ac:dyDescent="0.3">
      <c r="L6028" s="25"/>
      <c r="Q6028" s="17"/>
    </row>
    <row r="6029" spans="12:17" x14ac:dyDescent="0.3">
      <c r="L6029" s="25"/>
      <c r="Q6029" s="17"/>
    </row>
    <row r="6030" spans="12:17" x14ac:dyDescent="0.3">
      <c r="L6030" s="25"/>
      <c r="Q6030" s="17"/>
    </row>
    <row r="6031" spans="12:17" x14ac:dyDescent="0.3">
      <c r="L6031" s="25"/>
      <c r="Q6031" s="17"/>
    </row>
    <row r="6032" spans="12:17" x14ac:dyDescent="0.3">
      <c r="L6032" s="25"/>
      <c r="Q6032" s="17"/>
    </row>
    <row r="6033" spans="12:17" x14ac:dyDescent="0.3">
      <c r="L6033" s="25"/>
      <c r="Q6033" s="17"/>
    </row>
    <row r="6034" spans="12:17" x14ac:dyDescent="0.3">
      <c r="L6034" s="25"/>
      <c r="Q6034" s="17"/>
    </row>
    <row r="6035" spans="12:17" x14ac:dyDescent="0.3">
      <c r="L6035" s="25"/>
      <c r="Q6035" s="17"/>
    </row>
    <row r="6036" spans="12:17" x14ac:dyDescent="0.3">
      <c r="L6036" s="25"/>
      <c r="Q6036" s="17"/>
    </row>
    <row r="6037" spans="12:17" x14ac:dyDescent="0.3">
      <c r="L6037" s="25"/>
      <c r="Q6037" s="17"/>
    </row>
    <row r="6038" spans="12:17" x14ac:dyDescent="0.3">
      <c r="L6038" s="25"/>
      <c r="Q6038" s="17"/>
    </row>
    <row r="6039" spans="12:17" x14ac:dyDescent="0.3">
      <c r="L6039" s="25"/>
      <c r="Q6039" s="17"/>
    </row>
    <row r="6040" spans="12:17" x14ac:dyDescent="0.3">
      <c r="L6040" s="25"/>
      <c r="Q6040" s="17"/>
    </row>
    <row r="6041" spans="12:17" x14ac:dyDescent="0.3">
      <c r="L6041" s="25"/>
      <c r="Q6041" s="17"/>
    </row>
    <row r="6042" spans="12:17" x14ac:dyDescent="0.3">
      <c r="L6042" s="25"/>
      <c r="Q6042" s="17"/>
    </row>
    <row r="6043" spans="12:17" x14ac:dyDescent="0.3">
      <c r="L6043" s="25"/>
      <c r="Q6043" s="17"/>
    </row>
    <row r="6044" spans="12:17" x14ac:dyDescent="0.3">
      <c r="L6044" s="25"/>
      <c r="Q6044" s="17"/>
    </row>
    <row r="6045" spans="12:17" x14ac:dyDescent="0.3">
      <c r="L6045" s="25"/>
      <c r="Q6045" s="17"/>
    </row>
    <row r="6046" spans="12:17" x14ac:dyDescent="0.3">
      <c r="L6046" s="25"/>
      <c r="Q6046" s="17"/>
    </row>
    <row r="6047" spans="12:17" x14ac:dyDescent="0.3">
      <c r="L6047" s="25"/>
      <c r="Q6047" s="17"/>
    </row>
    <row r="6048" spans="12:17" x14ac:dyDescent="0.3">
      <c r="L6048" s="25"/>
      <c r="Q6048" s="17"/>
    </row>
    <row r="6049" spans="12:17" x14ac:dyDescent="0.3">
      <c r="L6049" s="25"/>
      <c r="Q6049" s="17"/>
    </row>
    <row r="6050" spans="12:17" x14ac:dyDescent="0.3">
      <c r="L6050" s="25"/>
      <c r="Q6050" s="17"/>
    </row>
    <row r="6051" spans="12:17" x14ac:dyDescent="0.3">
      <c r="L6051" s="25"/>
      <c r="Q6051" s="17"/>
    </row>
    <row r="6052" spans="12:17" x14ac:dyDescent="0.3">
      <c r="L6052" s="25"/>
      <c r="Q6052" s="17"/>
    </row>
    <row r="6053" spans="12:17" x14ac:dyDescent="0.3">
      <c r="L6053" s="25"/>
      <c r="Q6053" s="17"/>
    </row>
    <row r="6054" spans="12:17" x14ac:dyDescent="0.3">
      <c r="L6054" s="25"/>
      <c r="Q6054" s="17"/>
    </row>
    <row r="6055" spans="12:17" x14ac:dyDescent="0.3">
      <c r="L6055" s="25"/>
      <c r="Q6055" s="17"/>
    </row>
    <row r="6056" spans="12:17" x14ac:dyDescent="0.3">
      <c r="L6056" s="25"/>
      <c r="Q6056" s="17"/>
    </row>
    <row r="6057" spans="12:17" x14ac:dyDescent="0.3">
      <c r="L6057" s="25"/>
      <c r="Q6057" s="17"/>
    </row>
    <row r="6058" spans="12:17" x14ac:dyDescent="0.3">
      <c r="L6058" s="25"/>
      <c r="Q6058" s="17"/>
    </row>
    <row r="6059" spans="12:17" x14ac:dyDescent="0.3">
      <c r="L6059" s="25"/>
      <c r="Q6059" s="17"/>
    </row>
    <row r="6060" spans="12:17" x14ac:dyDescent="0.3">
      <c r="L6060" s="25"/>
      <c r="Q6060" s="17"/>
    </row>
    <row r="6061" spans="12:17" x14ac:dyDescent="0.3">
      <c r="L6061" s="25"/>
      <c r="Q6061" s="17"/>
    </row>
    <row r="6062" spans="12:17" x14ac:dyDescent="0.3">
      <c r="L6062" s="25"/>
      <c r="Q6062" s="17"/>
    </row>
    <row r="6063" spans="12:17" x14ac:dyDescent="0.3">
      <c r="L6063" s="25"/>
      <c r="Q6063" s="17"/>
    </row>
    <row r="6064" spans="12:17" x14ac:dyDescent="0.3">
      <c r="L6064" s="25"/>
      <c r="Q6064" s="17"/>
    </row>
    <row r="6065" spans="12:17" x14ac:dyDescent="0.3">
      <c r="L6065" s="25"/>
      <c r="Q6065" s="17"/>
    </row>
    <row r="6066" spans="12:17" x14ac:dyDescent="0.3">
      <c r="L6066" s="25"/>
      <c r="Q6066" s="17"/>
    </row>
    <row r="6067" spans="12:17" x14ac:dyDescent="0.3">
      <c r="L6067" s="25"/>
      <c r="Q6067" s="17"/>
    </row>
    <row r="6068" spans="12:17" x14ac:dyDescent="0.3">
      <c r="L6068" s="25"/>
      <c r="Q6068" s="17"/>
    </row>
    <row r="6069" spans="12:17" x14ac:dyDescent="0.3">
      <c r="L6069" s="25"/>
      <c r="Q6069" s="17"/>
    </row>
    <row r="6070" spans="12:17" x14ac:dyDescent="0.3">
      <c r="L6070" s="25"/>
      <c r="Q6070" s="17"/>
    </row>
    <row r="6071" spans="12:17" x14ac:dyDescent="0.3">
      <c r="L6071" s="25"/>
      <c r="Q6071" s="17"/>
    </row>
    <row r="6072" spans="12:17" x14ac:dyDescent="0.3">
      <c r="L6072" s="25"/>
      <c r="Q6072" s="17"/>
    </row>
    <row r="6073" spans="12:17" x14ac:dyDescent="0.3">
      <c r="L6073" s="25"/>
      <c r="Q6073" s="17"/>
    </row>
    <row r="6074" spans="12:17" x14ac:dyDescent="0.3">
      <c r="L6074" s="25"/>
      <c r="Q6074" s="17"/>
    </row>
    <row r="6075" spans="12:17" x14ac:dyDescent="0.3">
      <c r="L6075" s="25"/>
      <c r="Q6075" s="17"/>
    </row>
    <row r="6076" spans="12:17" x14ac:dyDescent="0.3">
      <c r="L6076" s="25"/>
      <c r="Q6076" s="17"/>
    </row>
    <row r="6077" spans="12:17" x14ac:dyDescent="0.3">
      <c r="L6077" s="25"/>
      <c r="Q6077" s="17"/>
    </row>
    <row r="6078" spans="12:17" x14ac:dyDescent="0.3">
      <c r="L6078" s="25"/>
      <c r="Q6078" s="17"/>
    </row>
    <row r="6079" spans="12:17" x14ac:dyDescent="0.3">
      <c r="L6079" s="25"/>
      <c r="Q6079" s="17"/>
    </row>
    <row r="6080" spans="12:17" x14ac:dyDescent="0.3">
      <c r="L6080" s="25"/>
      <c r="Q6080" s="17"/>
    </row>
    <row r="6081" spans="12:17" x14ac:dyDescent="0.3">
      <c r="L6081" s="25"/>
      <c r="Q6081" s="17"/>
    </row>
    <row r="6082" spans="12:17" x14ac:dyDescent="0.3">
      <c r="L6082" s="25"/>
      <c r="Q6082" s="17"/>
    </row>
    <row r="6083" spans="12:17" x14ac:dyDescent="0.3">
      <c r="L6083" s="25"/>
      <c r="Q6083" s="17"/>
    </row>
    <row r="6084" spans="12:17" x14ac:dyDescent="0.3">
      <c r="L6084" s="25"/>
      <c r="Q6084" s="17"/>
    </row>
    <row r="6085" spans="12:17" x14ac:dyDescent="0.3">
      <c r="L6085" s="25"/>
      <c r="Q6085" s="17"/>
    </row>
    <row r="6086" spans="12:17" x14ac:dyDescent="0.3">
      <c r="L6086" s="25"/>
      <c r="Q6086" s="17"/>
    </row>
    <row r="6087" spans="12:17" x14ac:dyDescent="0.3">
      <c r="L6087" s="25"/>
      <c r="Q6087" s="17"/>
    </row>
    <row r="6088" spans="12:17" x14ac:dyDescent="0.3">
      <c r="L6088" s="25"/>
      <c r="Q6088" s="17"/>
    </row>
    <row r="6089" spans="12:17" x14ac:dyDescent="0.3">
      <c r="L6089" s="25"/>
      <c r="Q6089" s="17"/>
    </row>
    <row r="6090" spans="12:17" x14ac:dyDescent="0.3">
      <c r="L6090" s="25"/>
      <c r="Q6090" s="17"/>
    </row>
    <row r="6091" spans="12:17" x14ac:dyDescent="0.3">
      <c r="L6091" s="25"/>
      <c r="Q6091" s="17"/>
    </row>
    <row r="6092" spans="12:17" x14ac:dyDescent="0.3">
      <c r="L6092" s="25"/>
      <c r="Q6092" s="17"/>
    </row>
    <row r="6093" spans="12:17" x14ac:dyDescent="0.3">
      <c r="L6093" s="25"/>
      <c r="Q6093" s="17"/>
    </row>
    <row r="6094" spans="12:17" x14ac:dyDescent="0.3">
      <c r="L6094" s="25"/>
      <c r="Q6094" s="17"/>
    </row>
    <row r="6095" spans="12:17" x14ac:dyDescent="0.3">
      <c r="L6095" s="25"/>
      <c r="Q6095" s="17"/>
    </row>
    <row r="6096" spans="12:17" x14ac:dyDescent="0.3">
      <c r="L6096" s="25"/>
      <c r="Q6096" s="17"/>
    </row>
    <row r="6097" spans="12:17" x14ac:dyDescent="0.3">
      <c r="L6097" s="25"/>
      <c r="Q6097" s="17"/>
    </row>
    <row r="6098" spans="12:17" x14ac:dyDescent="0.3">
      <c r="L6098" s="25"/>
      <c r="Q6098" s="17"/>
    </row>
    <row r="6099" spans="12:17" x14ac:dyDescent="0.3">
      <c r="L6099" s="25"/>
      <c r="Q6099" s="17"/>
    </row>
    <row r="6100" spans="12:17" x14ac:dyDescent="0.3">
      <c r="L6100" s="25"/>
      <c r="Q6100" s="17"/>
    </row>
    <row r="6101" spans="12:17" x14ac:dyDescent="0.3">
      <c r="L6101" s="25"/>
      <c r="Q6101" s="17"/>
    </row>
    <row r="6102" spans="12:17" x14ac:dyDescent="0.3">
      <c r="L6102" s="25"/>
      <c r="Q6102" s="17"/>
    </row>
    <row r="6103" spans="12:17" x14ac:dyDescent="0.3">
      <c r="L6103" s="25"/>
      <c r="Q6103" s="17"/>
    </row>
    <row r="6104" spans="12:17" x14ac:dyDescent="0.3">
      <c r="L6104" s="25"/>
      <c r="Q6104" s="17"/>
    </row>
    <row r="6105" spans="12:17" x14ac:dyDescent="0.3">
      <c r="L6105" s="25"/>
      <c r="Q6105" s="17"/>
    </row>
    <row r="6106" spans="12:17" x14ac:dyDescent="0.3">
      <c r="L6106" s="25"/>
      <c r="Q6106" s="17"/>
    </row>
    <row r="6107" spans="12:17" x14ac:dyDescent="0.3">
      <c r="L6107" s="25"/>
      <c r="Q6107" s="17"/>
    </row>
    <row r="6108" spans="12:17" x14ac:dyDescent="0.3">
      <c r="L6108" s="25"/>
      <c r="Q6108" s="17"/>
    </row>
    <row r="6109" spans="12:17" x14ac:dyDescent="0.3">
      <c r="L6109" s="25"/>
      <c r="Q6109" s="17"/>
    </row>
    <row r="6110" spans="12:17" x14ac:dyDescent="0.3">
      <c r="L6110" s="25"/>
      <c r="Q6110" s="17"/>
    </row>
    <row r="6111" spans="12:17" x14ac:dyDescent="0.3">
      <c r="L6111" s="25"/>
      <c r="Q6111" s="17"/>
    </row>
    <row r="6112" spans="12:17" x14ac:dyDescent="0.3">
      <c r="L6112" s="25"/>
      <c r="Q6112" s="17"/>
    </row>
    <row r="6113" spans="12:17" x14ac:dyDescent="0.3">
      <c r="L6113" s="25"/>
      <c r="Q6113" s="17"/>
    </row>
    <row r="6114" spans="12:17" x14ac:dyDescent="0.3">
      <c r="L6114" s="25"/>
      <c r="Q6114" s="17"/>
    </row>
    <row r="6115" spans="12:17" x14ac:dyDescent="0.3">
      <c r="L6115" s="25"/>
      <c r="Q6115" s="17"/>
    </row>
    <row r="6116" spans="12:17" x14ac:dyDescent="0.3">
      <c r="L6116" s="25"/>
      <c r="Q6116" s="17"/>
    </row>
    <row r="6117" spans="12:17" x14ac:dyDescent="0.3">
      <c r="L6117" s="25"/>
      <c r="Q6117" s="17"/>
    </row>
    <row r="6118" spans="12:17" x14ac:dyDescent="0.3">
      <c r="L6118" s="25"/>
      <c r="Q6118" s="17"/>
    </row>
    <row r="6119" spans="12:17" x14ac:dyDescent="0.3">
      <c r="L6119" s="25"/>
      <c r="Q6119" s="17"/>
    </row>
    <row r="6120" spans="12:17" x14ac:dyDescent="0.3">
      <c r="L6120" s="25"/>
      <c r="Q6120" s="17"/>
    </row>
    <row r="6121" spans="12:17" x14ac:dyDescent="0.3">
      <c r="L6121" s="25"/>
      <c r="Q6121" s="17"/>
    </row>
    <row r="6122" spans="12:17" x14ac:dyDescent="0.3">
      <c r="L6122" s="25"/>
      <c r="Q6122" s="17"/>
    </row>
    <row r="6123" spans="12:17" x14ac:dyDescent="0.3">
      <c r="L6123" s="25"/>
      <c r="Q6123" s="17"/>
    </row>
    <row r="6124" spans="12:17" x14ac:dyDescent="0.3">
      <c r="L6124" s="25"/>
      <c r="Q6124" s="17"/>
    </row>
    <row r="6125" spans="12:17" x14ac:dyDescent="0.3">
      <c r="L6125" s="25"/>
      <c r="Q6125" s="17"/>
    </row>
    <row r="6126" spans="12:17" x14ac:dyDescent="0.3">
      <c r="L6126" s="25"/>
      <c r="Q6126" s="17"/>
    </row>
    <row r="6127" spans="12:17" x14ac:dyDescent="0.3">
      <c r="L6127" s="25"/>
      <c r="Q6127" s="17"/>
    </row>
    <row r="6128" spans="12:17" x14ac:dyDescent="0.3">
      <c r="L6128" s="25"/>
      <c r="Q6128" s="17"/>
    </row>
    <row r="6129" spans="12:17" x14ac:dyDescent="0.3">
      <c r="L6129" s="25"/>
      <c r="Q6129" s="17"/>
    </row>
    <row r="6130" spans="12:17" x14ac:dyDescent="0.3">
      <c r="L6130" s="25"/>
      <c r="Q6130" s="17"/>
    </row>
    <row r="6131" spans="12:17" x14ac:dyDescent="0.3">
      <c r="L6131" s="25"/>
      <c r="Q6131" s="17"/>
    </row>
    <row r="6132" spans="12:17" x14ac:dyDescent="0.3">
      <c r="L6132" s="25"/>
      <c r="Q6132" s="17"/>
    </row>
    <row r="6133" spans="12:17" x14ac:dyDescent="0.3">
      <c r="L6133" s="25"/>
      <c r="Q6133" s="17"/>
    </row>
    <row r="6134" spans="12:17" x14ac:dyDescent="0.3">
      <c r="L6134" s="25"/>
      <c r="Q6134" s="17"/>
    </row>
    <row r="6135" spans="12:17" x14ac:dyDescent="0.3">
      <c r="L6135" s="25"/>
      <c r="Q6135" s="17"/>
    </row>
    <row r="6136" spans="12:17" x14ac:dyDescent="0.3">
      <c r="L6136" s="25"/>
      <c r="Q6136" s="17"/>
    </row>
    <row r="6137" spans="12:17" x14ac:dyDescent="0.3">
      <c r="L6137" s="25"/>
      <c r="Q6137" s="17"/>
    </row>
    <row r="6138" spans="12:17" x14ac:dyDescent="0.3">
      <c r="L6138" s="25"/>
      <c r="Q6138" s="17"/>
    </row>
    <row r="6139" spans="12:17" x14ac:dyDescent="0.3">
      <c r="L6139" s="25"/>
      <c r="Q6139" s="17"/>
    </row>
    <row r="6140" spans="12:17" x14ac:dyDescent="0.3">
      <c r="L6140" s="25"/>
      <c r="Q6140" s="17"/>
    </row>
    <row r="6141" spans="12:17" x14ac:dyDescent="0.3">
      <c r="L6141" s="25"/>
      <c r="Q6141" s="17"/>
    </row>
    <row r="6142" spans="12:17" x14ac:dyDescent="0.3">
      <c r="L6142" s="25"/>
      <c r="Q6142" s="17"/>
    </row>
    <row r="6143" spans="12:17" x14ac:dyDescent="0.3">
      <c r="L6143" s="25"/>
      <c r="Q6143" s="17"/>
    </row>
    <row r="6144" spans="12:17" x14ac:dyDescent="0.3">
      <c r="L6144" s="25"/>
      <c r="Q6144" s="17"/>
    </row>
    <row r="6145" spans="12:17" x14ac:dyDescent="0.3">
      <c r="L6145" s="25"/>
      <c r="Q6145" s="17"/>
    </row>
    <row r="6146" spans="12:17" x14ac:dyDescent="0.3">
      <c r="L6146" s="25"/>
      <c r="Q6146" s="17"/>
    </row>
    <row r="6147" spans="12:17" x14ac:dyDescent="0.3">
      <c r="L6147" s="25"/>
      <c r="Q6147" s="17"/>
    </row>
    <row r="6148" spans="12:17" x14ac:dyDescent="0.3">
      <c r="L6148" s="25"/>
      <c r="Q6148" s="17"/>
    </row>
    <row r="6149" spans="12:17" x14ac:dyDescent="0.3">
      <c r="L6149" s="25"/>
      <c r="Q6149" s="17"/>
    </row>
    <row r="6150" spans="12:17" x14ac:dyDescent="0.3">
      <c r="L6150" s="25"/>
      <c r="Q6150" s="17"/>
    </row>
    <row r="6151" spans="12:17" x14ac:dyDescent="0.3">
      <c r="L6151" s="25"/>
      <c r="Q6151" s="17"/>
    </row>
    <row r="6152" spans="12:17" x14ac:dyDescent="0.3">
      <c r="L6152" s="25"/>
      <c r="Q6152" s="17"/>
    </row>
    <row r="6153" spans="12:17" x14ac:dyDescent="0.3">
      <c r="L6153" s="25"/>
      <c r="Q6153" s="17"/>
    </row>
    <row r="6154" spans="12:17" x14ac:dyDescent="0.3">
      <c r="L6154" s="25"/>
      <c r="Q6154" s="17"/>
    </row>
    <row r="6155" spans="12:17" x14ac:dyDescent="0.3">
      <c r="L6155" s="25"/>
      <c r="Q6155" s="17"/>
    </row>
    <row r="6156" spans="12:17" x14ac:dyDescent="0.3">
      <c r="L6156" s="25"/>
      <c r="Q6156" s="17"/>
    </row>
    <row r="6157" spans="12:17" x14ac:dyDescent="0.3">
      <c r="L6157" s="25"/>
      <c r="Q6157" s="17"/>
    </row>
    <row r="6158" spans="12:17" x14ac:dyDescent="0.3">
      <c r="L6158" s="25"/>
      <c r="Q6158" s="17"/>
    </row>
    <row r="6159" spans="12:17" x14ac:dyDescent="0.3">
      <c r="L6159" s="25"/>
      <c r="Q6159" s="17"/>
    </row>
    <row r="6160" spans="12:17" x14ac:dyDescent="0.3">
      <c r="L6160" s="25"/>
      <c r="Q6160" s="17"/>
    </row>
    <row r="6161" spans="12:17" x14ac:dyDescent="0.3">
      <c r="L6161" s="25"/>
      <c r="Q6161" s="17"/>
    </row>
    <row r="6162" spans="12:17" x14ac:dyDescent="0.3">
      <c r="L6162" s="25"/>
      <c r="Q6162" s="17"/>
    </row>
    <row r="6163" spans="12:17" x14ac:dyDescent="0.3">
      <c r="L6163" s="25"/>
      <c r="Q6163" s="17"/>
    </row>
    <row r="6164" spans="12:17" x14ac:dyDescent="0.3">
      <c r="L6164" s="25"/>
      <c r="Q6164" s="17"/>
    </row>
    <row r="6165" spans="12:17" x14ac:dyDescent="0.3">
      <c r="L6165" s="25"/>
      <c r="Q6165" s="17"/>
    </row>
    <row r="6166" spans="12:17" x14ac:dyDescent="0.3">
      <c r="L6166" s="25"/>
      <c r="Q6166" s="17"/>
    </row>
    <row r="6167" spans="12:17" x14ac:dyDescent="0.3">
      <c r="L6167" s="25"/>
      <c r="Q6167" s="17"/>
    </row>
    <row r="6168" spans="12:17" x14ac:dyDescent="0.3">
      <c r="L6168" s="25"/>
      <c r="Q6168" s="17"/>
    </row>
    <row r="6169" spans="12:17" x14ac:dyDescent="0.3">
      <c r="L6169" s="25"/>
      <c r="Q6169" s="17"/>
    </row>
    <row r="6170" spans="12:17" x14ac:dyDescent="0.3">
      <c r="L6170" s="25"/>
      <c r="Q6170" s="17"/>
    </row>
    <row r="6171" spans="12:17" x14ac:dyDescent="0.3">
      <c r="L6171" s="25"/>
      <c r="Q6171" s="17"/>
    </row>
    <row r="6172" spans="12:17" x14ac:dyDescent="0.3">
      <c r="L6172" s="25"/>
      <c r="Q6172" s="17"/>
    </row>
    <row r="6173" spans="12:17" x14ac:dyDescent="0.3">
      <c r="L6173" s="25"/>
      <c r="Q6173" s="17"/>
    </row>
    <row r="6174" spans="12:17" x14ac:dyDescent="0.3">
      <c r="L6174" s="25"/>
      <c r="Q6174" s="17"/>
    </row>
    <row r="6175" spans="12:17" x14ac:dyDescent="0.3">
      <c r="L6175" s="25"/>
      <c r="Q6175" s="17"/>
    </row>
    <row r="6176" spans="12:17" x14ac:dyDescent="0.3">
      <c r="L6176" s="25"/>
      <c r="Q6176" s="17"/>
    </row>
    <row r="6177" spans="12:17" x14ac:dyDescent="0.3">
      <c r="L6177" s="25"/>
      <c r="Q6177" s="17"/>
    </row>
    <row r="6178" spans="12:17" x14ac:dyDescent="0.3">
      <c r="L6178" s="25"/>
      <c r="Q6178" s="17"/>
    </row>
    <row r="6179" spans="12:17" x14ac:dyDescent="0.3">
      <c r="L6179" s="25"/>
      <c r="Q6179" s="17"/>
    </row>
    <row r="6180" spans="12:17" x14ac:dyDescent="0.3">
      <c r="L6180" s="25"/>
      <c r="Q6180" s="17"/>
    </row>
    <row r="6181" spans="12:17" x14ac:dyDescent="0.3">
      <c r="L6181" s="25"/>
      <c r="Q6181" s="17"/>
    </row>
    <row r="6182" spans="12:17" x14ac:dyDescent="0.3">
      <c r="L6182" s="25"/>
      <c r="Q6182" s="17"/>
    </row>
    <row r="6183" spans="12:17" x14ac:dyDescent="0.3">
      <c r="L6183" s="25"/>
      <c r="Q6183" s="17"/>
    </row>
    <row r="6184" spans="12:17" x14ac:dyDescent="0.3">
      <c r="L6184" s="25"/>
      <c r="Q6184" s="17"/>
    </row>
    <row r="6185" spans="12:17" x14ac:dyDescent="0.3">
      <c r="L6185" s="25"/>
      <c r="Q6185" s="17"/>
    </row>
    <row r="6186" spans="12:17" x14ac:dyDescent="0.3">
      <c r="L6186" s="25"/>
      <c r="Q6186" s="17"/>
    </row>
    <row r="6187" spans="12:17" x14ac:dyDescent="0.3">
      <c r="L6187" s="25"/>
      <c r="Q6187" s="17"/>
    </row>
    <row r="6188" spans="12:17" x14ac:dyDescent="0.3">
      <c r="L6188" s="25"/>
      <c r="Q6188" s="17"/>
    </row>
    <row r="6189" spans="12:17" x14ac:dyDescent="0.3">
      <c r="L6189" s="25"/>
      <c r="Q6189" s="17"/>
    </row>
    <row r="6190" spans="12:17" x14ac:dyDescent="0.3">
      <c r="L6190" s="25"/>
      <c r="Q6190" s="17"/>
    </row>
    <row r="6191" spans="12:17" x14ac:dyDescent="0.3">
      <c r="L6191" s="25"/>
      <c r="Q6191" s="17"/>
    </row>
    <row r="6192" spans="12:17" x14ac:dyDescent="0.3">
      <c r="L6192" s="25"/>
      <c r="Q6192" s="17"/>
    </row>
    <row r="6193" spans="12:17" x14ac:dyDescent="0.3">
      <c r="L6193" s="25"/>
      <c r="Q6193" s="17"/>
    </row>
    <row r="6194" spans="12:17" x14ac:dyDescent="0.3">
      <c r="L6194" s="25"/>
      <c r="Q6194" s="17"/>
    </row>
    <row r="6195" spans="12:17" x14ac:dyDescent="0.3">
      <c r="L6195" s="25"/>
      <c r="Q6195" s="17"/>
    </row>
    <row r="6196" spans="12:17" x14ac:dyDescent="0.3">
      <c r="L6196" s="25"/>
      <c r="Q6196" s="17"/>
    </row>
    <row r="6197" spans="12:17" x14ac:dyDescent="0.3">
      <c r="L6197" s="25"/>
      <c r="Q6197" s="17"/>
    </row>
    <row r="6198" spans="12:17" x14ac:dyDescent="0.3">
      <c r="L6198" s="25"/>
      <c r="Q6198" s="17"/>
    </row>
    <row r="6199" spans="12:17" x14ac:dyDescent="0.3">
      <c r="L6199" s="25"/>
      <c r="Q6199" s="17"/>
    </row>
    <row r="6200" spans="12:17" x14ac:dyDescent="0.3">
      <c r="L6200" s="25"/>
      <c r="Q6200" s="17"/>
    </row>
    <row r="6201" spans="12:17" x14ac:dyDescent="0.3">
      <c r="L6201" s="25"/>
      <c r="Q6201" s="17"/>
    </row>
    <row r="6202" spans="12:17" x14ac:dyDescent="0.3">
      <c r="L6202" s="25"/>
      <c r="Q6202" s="17"/>
    </row>
    <row r="6203" spans="12:17" x14ac:dyDescent="0.3">
      <c r="L6203" s="25"/>
      <c r="Q6203" s="17"/>
    </row>
    <row r="6204" spans="12:17" x14ac:dyDescent="0.3">
      <c r="L6204" s="25"/>
      <c r="Q6204" s="17"/>
    </row>
    <row r="6205" spans="12:17" x14ac:dyDescent="0.3">
      <c r="L6205" s="25"/>
      <c r="Q6205" s="17"/>
    </row>
    <row r="6206" spans="12:17" x14ac:dyDescent="0.3">
      <c r="L6206" s="25"/>
      <c r="Q6206" s="17"/>
    </row>
    <row r="6207" spans="12:17" x14ac:dyDescent="0.3">
      <c r="L6207" s="25"/>
      <c r="Q6207" s="17"/>
    </row>
    <row r="6208" spans="12:17" x14ac:dyDescent="0.3">
      <c r="L6208" s="25"/>
      <c r="Q6208" s="17"/>
    </row>
    <row r="6209" spans="12:17" x14ac:dyDescent="0.3">
      <c r="L6209" s="25"/>
      <c r="Q6209" s="17"/>
    </row>
    <row r="6210" spans="12:17" x14ac:dyDescent="0.3">
      <c r="L6210" s="25"/>
      <c r="Q6210" s="17"/>
    </row>
    <row r="6211" spans="12:17" x14ac:dyDescent="0.3">
      <c r="L6211" s="25"/>
      <c r="Q6211" s="17"/>
    </row>
    <row r="6212" spans="12:17" x14ac:dyDescent="0.3">
      <c r="L6212" s="25"/>
      <c r="Q6212" s="17"/>
    </row>
    <row r="6213" spans="12:17" x14ac:dyDescent="0.3">
      <c r="L6213" s="25"/>
      <c r="Q6213" s="17"/>
    </row>
    <row r="6214" spans="12:17" x14ac:dyDescent="0.3">
      <c r="L6214" s="25"/>
      <c r="Q6214" s="17"/>
    </row>
    <row r="6215" spans="12:17" x14ac:dyDescent="0.3">
      <c r="L6215" s="25"/>
      <c r="Q6215" s="17"/>
    </row>
    <row r="6216" spans="12:17" x14ac:dyDescent="0.3">
      <c r="L6216" s="25"/>
      <c r="Q6216" s="17"/>
    </row>
    <row r="6217" spans="12:17" x14ac:dyDescent="0.3">
      <c r="L6217" s="25"/>
      <c r="Q6217" s="17"/>
    </row>
    <row r="6218" spans="12:17" x14ac:dyDescent="0.3">
      <c r="L6218" s="25"/>
      <c r="Q6218" s="17"/>
    </row>
    <row r="6219" spans="12:17" x14ac:dyDescent="0.3">
      <c r="L6219" s="25"/>
      <c r="Q6219" s="17"/>
    </row>
    <row r="6220" spans="12:17" x14ac:dyDescent="0.3">
      <c r="L6220" s="25"/>
      <c r="Q6220" s="17"/>
    </row>
    <row r="6221" spans="12:17" x14ac:dyDescent="0.3">
      <c r="L6221" s="25"/>
      <c r="Q6221" s="17"/>
    </row>
    <row r="6222" spans="12:17" x14ac:dyDescent="0.3">
      <c r="L6222" s="25"/>
      <c r="Q6222" s="17"/>
    </row>
    <row r="6223" spans="12:17" x14ac:dyDescent="0.3">
      <c r="L6223" s="25"/>
      <c r="Q6223" s="17"/>
    </row>
    <row r="6224" spans="12:17" x14ac:dyDescent="0.3">
      <c r="L6224" s="25"/>
      <c r="Q6224" s="17"/>
    </row>
    <row r="6225" spans="12:17" x14ac:dyDescent="0.3">
      <c r="L6225" s="25"/>
      <c r="Q6225" s="17"/>
    </row>
    <row r="6226" spans="12:17" x14ac:dyDescent="0.3">
      <c r="L6226" s="25"/>
      <c r="Q6226" s="17"/>
    </row>
    <row r="6227" spans="12:17" x14ac:dyDescent="0.3">
      <c r="L6227" s="25"/>
      <c r="Q6227" s="17"/>
    </row>
    <row r="6228" spans="12:17" x14ac:dyDescent="0.3">
      <c r="L6228" s="25"/>
      <c r="Q6228" s="17"/>
    </row>
    <row r="6229" spans="12:17" x14ac:dyDescent="0.3">
      <c r="L6229" s="25"/>
      <c r="Q6229" s="17"/>
    </row>
    <row r="6230" spans="12:17" x14ac:dyDescent="0.3">
      <c r="L6230" s="25"/>
      <c r="Q6230" s="17"/>
    </row>
    <row r="6231" spans="12:17" x14ac:dyDescent="0.3">
      <c r="L6231" s="25"/>
      <c r="Q6231" s="17"/>
    </row>
    <row r="6232" spans="12:17" x14ac:dyDescent="0.3">
      <c r="L6232" s="25"/>
      <c r="Q6232" s="17"/>
    </row>
    <row r="6233" spans="12:17" x14ac:dyDescent="0.3">
      <c r="L6233" s="25"/>
      <c r="Q6233" s="17"/>
    </row>
    <row r="6234" spans="12:17" x14ac:dyDescent="0.3">
      <c r="L6234" s="25"/>
      <c r="Q6234" s="17"/>
    </row>
    <row r="6235" spans="12:17" x14ac:dyDescent="0.3">
      <c r="L6235" s="25"/>
      <c r="Q6235" s="17"/>
    </row>
    <row r="6236" spans="12:17" x14ac:dyDescent="0.3">
      <c r="L6236" s="25"/>
      <c r="Q6236" s="17"/>
    </row>
    <row r="6237" spans="12:17" x14ac:dyDescent="0.3">
      <c r="L6237" s="25"/>
      <c r="Q6237" s="17"/>
    </row>
    <row r="6238" spans="12:17" x14ac:dyDescent="0.3">
      <c r="L6238" s="25"/>
      <c r="Q6238" s="17"/>
    </row>
    <row r="6239" spans="12:17" x14ac:dyDescent="0.3">
      <c r="L6239" s="25"/>
      <c r="Q6239" s="17"/>
    </row>
    <row r="6240" spans="12:17" x14ac:dyDescent="0.3">
      <c r="L6240" s="25"/>
      <c r="Q6240" s="17"/>
    </row>
    <row r="6241" spans="12:17" x14ac:dyDescent="0.3">
      <c r="L6241" s="25"/>
      <c r="Q6241" s="17"/>
    </row>
    <row r="6242" spans="12:17" x14ac:dyDescent="0.3">
      <c r="L6242" s="25"/>
      <c r="Q6242" s="17"/>
    </row>
    <row r="6243" spans="12:17" x14ac:dyDescent="0.3">
      <c r="L6243" s="25"/>
      <c r="Q6243" s="17"/>
    </row>
    <row r="6244" spans="12:17" x14ac:dyDescent="0.3">
      <c r="L6244" s="25"/>
      <c r="Q6244" s="17"/>
    </row>
    <row r="6245" spans="12:17" x14ac:dyDescent="0.3">
      <c r="L6245" s="25"/>
      <c r="Q6245" s="17"/>
    </row>
    <row r="6246" spans="12:17" x14ac:dyDescent="0.3">
      <c r="L6246" s="25"/>
      <c r="Q6246" s="17"/>
    </row>
    <row r="6247" spans="12:17" x14ac:dyDescent="0.3">
      <c r="L6247" s="25"/>
      <c r="Q6247" s="17"/>
    </row>
    <row r="6248" spans="12:17" x14ac:dyDescent="0.3">
      <c r="L6248" s="25"/>
      <c r="Q6248" s="17"/>
    </row>
    <row r="6249" spans="12:17" x14ac:dyDescent="0.3">
      <c r="L6249" s="25"/>
      <c r="Q6249" s="17"/>
    </row>
    <row r="6250" spans="12:17" x14ac:dyDescent="0.3">
      <c r="L6250" s="25"/>
      <c r="Q6250" s="17"/>
    </row>
    <row r="6251" spans="12:17" x14ac:dyDescent="0.3">
      <c r="L6251" s="25"/>
      <c r="Q6251" s="17"/>
    </row>
    <row r="6252" spans="12:17" x14ac:dyDescent="0.3">
      <c r="L6252" s="25"/>
      <c r="Q6252" s="17"/>
    </row>
    <row r="6253" spans="12:17" x14ac:dyDescent="0.3">
      <c r="L6253" s="25"/>
      <c r="Q6253" s="17"/>
    </row>
    <row r="6254" spans="12:17" x14ac:dyDescent="0.3">
      <c r="L6254" s="25"/>
      <c r="Q6254" s="17"/>
    </row>
    <row r="6255" spans="12:17" x14ac:dyDescent="0.3">
      <c r="L6255" s="25"/>
      <c r="Q6255" s="17"/>
    </row>
    <row r="6256" spans="12:17" x14ac:dyDescent="0.3">
      <c r="L6256" s="25"/>
      <c r="Q6256" s="17"/>
    </row>
    <row r="6257" spans="12:17" x14ac:dyDescent="0.3">
      <c r="L6257" s="25"/>
      <c r="Q6257" s="17"/>
    </row>
    <row r="6258" spans="12:17" x14ac:dyDescent="0.3">
      <c r="L6258" s="25"/>
      <c r="Q6258" s="17"/>
    </row>
    <row r="6259" spans="12:17" x14ac:dyDescent="0.3">
      <c r="L6259" s="25"/>
      <c r="Q6259" s="17"/>
    </row>
    <row r="6260" spans="12:17" x14ac:dyDescent="0.3">
      <c r="L6260" s="25"/>
      <c r="Q6260" s="17"/>
    </row>
    <row r="6261" spans="12:17" x14ac:dyDescent="0.3">
      <c r="L6261" s="25"/>
      <c r="Q6261" s="17"/>
    </row>
    <row r="6262" spans="12:17" x14ac:dyDescent="0.3">
      <c r="L6262" s="25"/>
      <c r="Q6262" s="17"/>
    </row>
    <row r="6263" spans="12:17" x14ac:dyDescent="0.3">
      <c r="L6263" s="25"/>
      <c r="Q6263" s="17"/>
    </row>
    <row r="6264" spans="12:17" x14ac:dyDescent="0.3">
      <c r="L6264" s="25"/>
      <c r="Q6264" s="17"/>
    </row>
    <row r="6265" spans="12:17" x14ac:dyDescent="0.3">
      <c r="L6265" s="25"/>
      <c r="Q6265" s="17"/>
    </row>
    <row r="6266" spans="12:17" x14ac:dyDescent="0.3">
      <c r="L6266" s="25"/>
      <c r="Q6266" s="17"/>
    </row>
    <row r="6267" spans="12:17" x14ac:dyDescent="0.3">
      <c r="L6267" s="25"/>
      <c r="Q6267" s="17"/>
    </row>
    <row r="6268" spans="12:17" x14ac:dyDescent="0.3">
      <c r="L6268" s="25"/>
      <c r="Q6268" s="17"/>
    </row>
    <row r="6269" spans="12:17" x14ac:dyDescent="0.3">
      <c r="L6269" s="25"/>
      <c r="Q6269" s="17"/>
    </row>
    <row r="6270" spans="12:17" x14ac:dyDescent="0.3">
      <c r="L6270" s="25"/>
      <c r="Q6270" s="17"/>
    </row>
    <row r="6271" spans="12:17" x14ac:dyDescent="0.3">
      <c r="L6271" s="25"/>
      <c r="Q6271" s="17"/>
    </row>
    <row r="6272" spans="12:17" x14ac:dyDescent="0.3">
      <c r="L6272" s="25"/>
      <c r="Q6272" s="17"/>
    </row>
    <row r="6273" spans="12:17" x14ac:dyDescent="0.3">
      <c r="L6273" s="25"/>
      <c r="Q6273" s="17"/>
    </row>
    <row r="6274" spans="12:17" x14ac:dyDescent="0.3">
      <c r="L6274" s="25"/>
      <c r="Q6274" s="17"/>
    </row>
    <row r="6275" spans="12:17" x14ac:dyDescent="0.3">
      <c r="L6275" s="25"/>
      <c r="Q6275" s="17"/>
    </row>
    <row r="6276" spans="12:17" x14ac:dyDescent="0.3">
      <c r="L6276" s="25"/>
      <c r="Q6276" s="17"/>
    </row>
    <row r="6277" spans="12:17" x14ac:dyDescent="0.3">
      <c r="L6277" s="25"/>
      <c r="Q6277" s="17"/>
    </row>
    <row r="6278" spans="12:17" x14ac:dyDescent="0.3">
      <c r="L6278" s="25"/>
      <c r="Q6278" s="17"/>
    </row>
    <row r="6279" spans="12:17" x14ac:dyDescent="0.3">
      <c r="L6279" s="25"/>
      <c r="Q6279" s="17"/>
    </row>
    <row r="6280" spans="12:17" x14ac:dyDescent="0.3">
      <c r="L6280" s="25"/>
      <c r="Q6280" s="17"/>
    </row>
    <row r="6281" spans="12:17" x14ac:dyDescent="0.3">
      <c r="L6281" s="25"/>
      <c r="Q6281" s="17"/>
    </row>
    <row r="6282" spans="12:17" x14ac:dyDescent="0.3">
      <c r="L6282" s="25"/>
      <c r="Q6282" s="17"/>
    </row>
    <row r="6283" spans="12:17" x14ac:dyDescent="0.3">
      <c r="L6283" s="25"/>
      <c r="Q6283" s="17"/>
    </row>
    <row r="6284" spans="12:17" x14ac:dyDescent="0.3">
      <c r="L6284" s="25"/>
      <c r="Q6284" s="17"/>
    </row>
    <row r="6285" spans="12:17" x14ac:dyDescent="0.3">
      <c r="L6285" s="25"/>
      <c r="Q6285" s="17"/>
    </row>
    <row r="6286" spans="12:17" x14ac:dyDescent="0.3">
      <c r="L6286" s="25"/>
      <c r="Q6286" s="17"/>
    </row>
    <row r="6287" spans="12:17" x14ac:dyDescent="0.3">
      <c r="L6287" s="25"/>
      <c r="Q6287" s="17"/>
    </row>
    <row r="6288" spans="12:17" x14ac:dyDescent="0.3">
      <c r="L6288" s="25"/>
      <c r="Q6288" s="17"/>
    </row>
    <row r="6289" spans="12:17" x14ac:dyDescent="0.3">
      <c r="L6289" s="25"/>
      <c r="Q6289" s="17"/>
    </row>
    <row r="6290" spans="12:17" x14ac:dyDescent="0.3">
      <c r="L6290" s="25"/>
      <c r="Q6290" s="17"/>
    </row>
    <row r="6291" spans="12:17" x14ac:dyDescent="0.3">
      <c r="L6291" s="25"/>
      <c r="Q6291" s="17"/>
    </row>
    <row r="6292" spans="12:17" x14ac:dyDescent="0.3">
      <c r="L6292" s="25"/>
      <c r="Q6292" s="17"/>
    </row>
    <row r="6293" spans="12:17" x14ac:dyDescent="0.3">
      <c r="L6293" s="25"/>
      <c r="Q6293" s="17"/>
    </row>
    <row r="6294" spans="12:17" x14ac:dyDescent="0.3">
      <c r="L6294" s="25"/>
      <c r="Q6294" s="17"/>
    </row>
    <row r="6295" spans="12:17" x14ac:dyDescent="0.3">
      <c r="L6295" s="25"/>
      <c r="Q6295" s="17"/>
    </row>
    <row r="6296" spans="12:17" x14ac:dyDescent="0.3">
      <c r="L6296" s="25"/>
      <c r="Q6296" s="17"/>
    </row>
    <row r="6297" spans="12:17" x14ac:dyDescent="0.3">
      <c r="L6297" s="25"/>
      <c r="Q6297" s="17"/>
    </row>
    <row r="6298" spans="12:17" x14ac:dyDescent="0.3">
      <c r="L6298" s="25"/>
      <c r="Q6298" s="17"/>
    </row>
    <row r="6299" spans="12:17" x14ac:dyDescent="0.3">
      <c r="L6299" s="25"/>
      <c r="Q6299" s="17"/>
    </row>
    <row r="6300" spans="12:17" x14ac:dyDescent="0.3">
      <c r="L6300" s="25"/>
      <c r="Q6300" s="17"/>
    </row>
    <row r="6301" spans="12:17" x14ac:dyDescent="0.3">
      <c r="L6301" s="25"/>
      <c r="Q6301" s="17"/>
    </row>
    <row r="6302" spans="12:17" x14ac:dyDescent="0.3">
      <c r="L6302" s="25"/>
      <c r="Q6302" s="17"/>
    </row>
    <row r="6303" spans="12:17" x14ac:dyDescent="0.3">
      <c r="L6303" s="25"/>
      <c r="Q6303" s="17"/>
    </row>
    <row r="6304" spans="12:17" x14ac:dyDescent="0.3">
      <c r="L6304" s="25"/>
      <c r="Q6304" s="17"/>
    </row>
    <row r="6305" spans="12:17" x14ac:dyDescent="0.3">
      <c r="L6305" s="25"/>
      <c r="Q6305" s="17"/>
    </row>
    <row r="6306" spans="12:17" x14ac:dyDescent="0.3">
      <c r="L6306" s="25"/>
      <c r="Q6306" s="17"/>
    </row>
    <row r="6307" spans="12:17" x14ac:dyDescent="0.3">
      <c r="L6307" s="25"/>
      <c r="Q6307" s="17"/>
    </row>
    <row r="6308" spans="12:17" x14ac:dyDescent="0.3">
      <c r="L6308" s="25"/>
      <c r="Q6308" s="17"/>
    </row>
    <row r="6309" spans="12:17" x14ac:dyDescent="0.3">
      <c r="L6309" s="25"/>
      <c r="Q6309" s="17"/>
    </row>
    <row r="6310" spans="12:17" x14ac:dyDescent="0.3">
      <c r="L6310" s="25"/>
      <c r="Q6310" s="17"/>
    </row>
    <row r="6311" spans="12:17" x14ac:dyDescent="0.3">
      <c r="L6311" s="25"/>
      <c r="Q6311" s="17"/>
    </row>
    <row r="6312" spans="12:17" x14ac:dyDescent="0.3">
      <c r="L6312" s="25"/>
      <c r="Q6312" s="17"/>
    </row>
    <row r="6313" spans="12:17" x14ac:dyDescent="0.3">
      <c r="L6313" s="25"/>
      <c r="Q6313" s="17"/>
    </row>
    <row r="6314" spans="12:17" x14ac:dyDescent="0.3">
      <c r="L6314" s="25"/>
      <c r="Q6314" s="17"/>
    </row>
    <row r="6315" spans="12:17" x14ac:dyDescent="0.3">
      <c r="L6315" s="25"/>
      <c r="Q6315" s="17"/>
    </row>
    <row r="6316" spans="12:17" x14ac:dyDescent="0.3">
      <c r="L6316" s="25"/>
      <c r="Q6316" s="17"/>
    </row>
    <row r="6317" spans="12:17" x14ac:dyDescent="0.3">
      <c r="L6317" s="25"/>
      <c r="Q6317" s="17"/>
    </row>
    <row r="6318" spans="12:17" x14ac:dyDescent="0.3">
      <c r="L6318" s="25"/>
      <c r="Q6318" s="17"/>
    </row>
    <row r="6319" spans="12:17" x14ac:dyDescent="0.3">
      <c r="L6319" s="25"/>
      <c r="Q6319" s="17"/>
    </row>
    <row r="6320" spans="12:17" x14ac:dyDescent="0.3">
      <c r="L6320" s="25"/>
      <c r="Q6320" s="17"/>
    </row>
    <row r="6321" spans="12:17" x14ac:dyDescent="0.3">
      <c r="L6321" s="25"/>
      <c r="Q6321" s="17"/>
    </row>
    <row r="6322" spans="12:17" x14ac:dyDescent="0.3">
      <c r="L6322" s="25"/>
      <c r="Q6322" s="17"/>
    </row>
    <row r="6323" spans="12:17" x14ac:dyDescent="0.3">
      <c r="L6323" s="25"/>
      <c r="Q6323" s="17"/>
    </row>
    <row r="6324" spans="12:17" x14ac:dyDescent="0.3">
      <c r="L6324" s="25"/>
      <c r="Q6324" s="17"/>
    </row>
    <row r="6325" spans="12:17" x14ac:dyDescent="0.3">
      <c r="L6325" s="25"/>
      <c r="Q6325" s="17"/>
    </row>
    <row r="6326" spans="12:17" x14ac:dyDescent="0.3">
      <c r="L6326" s="25"/>
      <c r="Q6326" s="17"/>
    </row>
    <row r="6327" spans="12:17" x14ac:dyDescent="0.3">
      <c r="L6327" s="25"/>
      <c r="Q6327" s="17"/>
    </row>
    <row r="6328" spans="12:17" x14ac:dyDescent="0.3">
      <c r="L6328" s="25"/>
      <c r="Q6328" s="17"/>
    </row>
    <row r="6329" spans="12:17" x14ac:dyDescent="0.3">
      <c r="L6329" s="25"/>
      <c r="Q6329" s="17"/>
    </row>
    <row r="6330" spans="12:17" x14ac:dyDescent="0.3">
      <c r="L6330" s="25"/>
      <c r="Q6330" s="17"/>
    </row>
    <row r="6331" spans="12:17" x14ac:dyDescent="0.3">
      <c r="L6331" s="25"/>
      <c r="Q6331" s="17"/>
    </row>
    <row r="6332" spans="12:17" x14ac:dyDescent="0.3">
      <c r="L6332" s="25"/>
      <c r="Q6332" s="17"/>
    </row>
    <row r="6333" spans="12:17" x14ac:dyDescent="0.3">
      <c r="L6333" s="25"/>
      <c r="Q6333" s="17"/>
    </row>
    <row r="6334" spans="12:17" x14ac:dyDescent="0.3">
      <c r="L6334" s="25"/>
      <c r="Q6334" s="17"/>
    </row>
    <row r="6335" spans="12:17" x14ac:dyDescent="0.3">
      <c r="L6335" s="25"/>
      <c r="Q6335" s="17"/>
    </row>
    <row r="6336" spans="12:17" x14ac:dyDescent="0.3">
      <c r="L6336" s="25"/>
      <c r="Q6336" s="17"/>
    </row>
    <row r="6337" spans="12:17" x14ac:dyDescent="0.3">
      <c r="L6337" s="25"/>
      <c r="Q6337" s="17"/>
    </row>
    <row r="6338" spans="12:17" x14ac:dyDescent="0.3">
      <c r="L6338" s="25"/>
      <c r="Q6338" s="17"/>
    </row>
    <row r="6339" spans="12:17" x14ac:dyDescent="0.3">
      <c r="L6339" s="25"/>
      <c r="Q6339" s="17"/>
    </row>
    <row r="6340" spans="12:17" x14ac:dyDescent="0.3">
      <c r="L6340" s="25"/>
      <c r="Q6340" s="17"/>
    </row>
    <row r="6341" spans="12:17" x14ac:dyDescent="0.3">
      <c r="L6341" s="25"/>
      <c r="Q6341" s="17"/>
    </row>
    <row r="6342" spans="12:17" x14ac:dyDescent="0.3">
      <c r="L6342" s="25"/>
      <c r="Q6342" s="17"/>
    </row>
    <row r="6343" spans="12:17" x14ac:dyDescent="0.3">
      <c r="L6343" s="25"/>
      <c r="Q6343" s="17"/>
    </row>
    <row r="6344" spans="12:17" x14ac:dyDescent="0.3">
      <c r="L6344" s="25"/>
      <c r="Q6344" s="17"/>
    </row>
    <row r="6345" spans="12:17" x14ac:dyDescent="0.3">
      <c r="L6345" s="25"/>
      <c r="Q6345" s="17"/>
    </row>
    <row r="6346" spans="12:17" x14ac:dyDescent="0.3">
      <c r="L6346" s="25"/>
      <c r="Q6346" s="17"/>
    </row>
    <row r="6347" spans="12:17" x14ac:dyDescent="0.3">
      <c r="L6347" s="25"/>
      <c r="Q6347" s="17"/>
    </row>
    <row r="6348" spans="12:17" x14ac:dyDescent="0.3">
      <c r="L6348" s="25"/>
      <c r="Q6348" s="17"/>
    </row>
    <row r="6349" spans="12:17" x14ac:dyDescent="0.3">
      <c r="L6349" s="25"/>
      <c r="Q6349" s="17"/>
    </row>
    <row r="6350" spans="12:17" x14ac:dyDescent="0.3">
      <c r="L6350" s="25"/>
      <c r="Q6350" s="17"/>
    </row>
    <row r="6351" spans="12:17" x14ac:dyDescent="0.3">
      <c r="L6351" s="25"/>
      <c r="Q6351" s="17"/>
    </row>
    <row r="6352" spans="12:17" x14ac:dyDescent="0.3">
      <c r="L6352" s="25"/>
      <c r="Q6352" s="17"/>
    </row>
    <row r="6353" spans="12:17" x14ac:dyDescent="0.3">
      <c r="L6353" s="25"/>
      <c r="Q6353" s="17"/>
    </row>
    <row r="6354" spans="12:17" x14ac:dyDescent="0.3">
      <c r="L6354" s="25"/>
      <c r="Q6354" s="17"/>
    </row>
    <row r="6355" spans="12:17" x14ac:dyDescent="0.3">
      <c r="L6355" s="25"/>
      <c r="Q6355" s="17"/>
    </row>
    <row r="6356" spans="12:17" x14ac:dyDescent="0.3">
      <c r="L6356" s="25"/>
      <c r="Q6356" s="17"/>
    </row>
    <row r="6357" spans="12:17" x14ac:dyDescent="0.3">
      <c r="L6357" s="25"/>
      <c r="Q6357" s="17"/>
    </row>
    <row r="6358" spans="12:17" x14ac:dyDescent="0.3">
      <c r="L6358" s="25"/>
      <c r="Q6358" s="17"/>
    </row>
    <row r="6359" spans="12:17" x14ac:dyDescent="0.3">
      <c r="L6359" s="25"/>
      <c r="Q6359" s="17"/>
    </row>
    <row r="6360" spans="12:17" x14ac:dyDescent="0.3">
      <c r="L6360" s="25"/>
      <c r="Q6360" s="17"/>
    </row>
    <row r="6361" spans="12:17" x14ac:dyDescent="0.3">
      <c r="L6361" s="25"/>
      <c r="Q6361" s="17"/>
    </row>
    <row r="6362" spans="12:17" x14ac:dyDescent="0.3">
      <c r="L6362" s="25"/>
      <c r="Q6362" s="17"/>
    </row>
    <row r="6363" spans="12:17" x14ac:dyDescent="0.3">
      <c r="L6363" s="25"/>
      <c r="Q6363" s="17"/>
    </row>
    <row r="6364" spans="12:17" x14ac:dyDescent="0.3">
      <c r="L6364" s="25"/>
      <c r="Q6364" s="17"/>
    </row>
    <row r="6365" spans="12:17" x14ac:dyDescent="0.3">
      <c r="L6365" s="25"/>
      <c r="Q6365" s="17"/>
    </row>
    <row r="6366" spans="12:17" x14ac:dyDescent="0.3">
      <c r="L6366" s="25"/>
      <c r="Q6366" s="17"/>
    </row>
    <row r="6367" spans="12:17" x14ac:dyDescent="0.3">
      <c r="L6367" s="25"/>
      <c r="Q6367" s="17"/>
    </row>
    <row r="6368" spans="12:17" x14ac:dyDescent="0.3">
      <c r="L6368" s="25"/>
      <c r="Q6368" s="17"/>
    </row>
    <row r="6369" spans="12:17" x14ac:dyDescent="0.3">
      <c r="L6369" s="25"/>
      <c r="Q6369" s="17"/>
    </row>
    <row r="6370" spans="12:17" x14ac:dyDescent="0.3">
      <c r="L6370" s="25"/>
      <c r="Q6370" s="17"/>
    </row>
    <row r="6371" spans="12:17" x14ac:dyDescent="0.3">
      <c r="L6371" s="25"/>
      <c r="Q6371" s="17"/>
    </row>
    <row r="6372" spans="12:17" x14ac:dyDescent="0.3">
      <c r="L6372" s="25"/>
      <c r="Q6372" s="17"/>
    </row>
    <row r="6373" spans="12:17" x14ac:dyDescent="0.3">
      <c r="L6373" s="25"/>
      <c r="Q6373" s="17"/>
    </row>
    <row r="6374" spans="12:17" x14ac:dyDescent="0.3">
      <c r="L6374" s="25"/>
      <c r="Q6374" s="17"/>
    </row>
    <row r="6375" spans="12:17" x14ac:dyDescent="0.3">
      <c r="L6375" s="25"/>
      <c r="Q6375" s="17"/>
    </row>
    <row r="6376" spans="12:17" x14ac:dyDescent="0.3">
      <c r="L6376" s="25"/>
      <c r="Q6376" s="17"/>
    </row>
    <row r="6377" spans="12:17" x14ac:dyDescent="0.3">
      <c r="L6377" s="25"/>
      <c r="Q6377" s="17"/>
    </row>
    <row r="6378" spans="12:17" x14ac:dyDescent="0.3">
      <c r="L6378" s="25"/>
      <c r="Q6378" s="17"/>
    </row>
    <row r="6379" spans="12:17" x14ac:dyDescent="0.3">
      <c r="L6379" s="25"/>
      <c r="Q6379" s="17"/>
    </row>
    <row r="6380" spans="12:17" x14ac:dyDescent="0.3">
      <c r="L6380" s="25"/>
      <c r="Q6380" s="17"/>
    </row>
    <row r="6381" spans="12:17" x14ac:dyDescent="0.3">
      <c r="L6381" s="25"/>
      <c r="Q6381" s="17"/>
    </row>
    <row r="6382" spans="12:17" x14ac:dyDescent="0.3">
      <c r="L6382" s="25"/>
      <c r="Q6382" s="17"/>
    </row>
    <row r="6383" spans="12:17" x14ac:dyDescent="0.3">
      <c r="L6383" s="25"/>
      <c r="Q6383" s="17"/>
    </row>
    <row r="6384" spans="12:17" x14ac:dyDescent="0.3">
      <c r="L6384" s="25"/>
      <c r="Q6384" s="17"/>
    </row>
    <row r="6385" spans="12:17" x14ac:dyDescent="0.3">
      <c r="L6385" s="25"/>
      <c r="Q6385" s="17"/>
    </row>
    <row r="6386" spans="12:17" x14ac:dyDescent="0.3">
      <c r="L6386" s="25"/>
      <c r="Q6386" s="17"/>
    </row>
    <row r="6387" spans="12:17" x14ac:dyDescent="0.3">
      <c r="L6387" s="25"/>
      <c r="Q6387" s="17"/>
    </row>
    <row r="6388" spans="12:17" x14ac:dyDescent="0.3">
      <c r="L6388" s="25"/>
      <c r="Q6388" s="17"/>
    </row>
    <row r="6389" spans="12:17" x14ac:dyDescent="0.3">
      <c r="L6389" s="25"/>
      <c r="Q6389" s="17"/>
    </row>
    <row r="6390" spans="12:17" x14ac:dyDescent="0.3">
      <c r="L6390" s="25"/>
      <c r="Q6390" s="17"/>
    </row>
    <row r="6391" spans="12:17" x14ac:dyDescent="0.3">
      <c r="L6391" s="25"/>
      <c r="Q6391" s="17"/>
    </row>
    <row r="6392" spans="12:17" x14ac:dyDescent="0.3">
      <c r="L6392" s="25"/>
      <c r="Q6392" s="17"/>
    </row>
    <row r="6393" spans="12:17" x14ac:dyDescent="0.3">
      <c r="L6393" s="25"/>
      <c r="Q6393" s="17"/>
    </row>
    <row r="6394" spans="12:17" x14ac:dyDescent="0.3">
      <c r="L6394" s="25"/>
      <c r="Q6394" s="17"/>
    </row>
    <row r="6395" spans="12:17" x14ac:dyDescent="0.3">
      <c r="L6395" s="25"/>
      <c r="Q6395" s="17"/>
    </row>
    <row r="6396" spans="12:17" x14ac:dyDescent="0.3">
      <c r="L6396" s="25"/>
      <c r="Q6396" s="17"/>
    </row>
    <row r="6397" spans="12:17" x14ac:dyDescent="0.3">
      <c r="L6397" s="25"/>
      <c r="Q6397" s="17"/>
    </row>
    <row r="6398" spans="12:17" x14ac:dyDescent="0.3">
      <c r="L6398" s="25"/>
      <c r="Q6398" s="17"/>
    </row>
    <row r="6399" spans="12:17" x14ac:dyDescent="0.3">
      <c r="L6399" s="25"/>
      <c r="Q6399" s="17"/>
    </row>
    <row r="6400" spans="12:17" x14ac:dyDescent="0.3">
      <c r="L6400" s="25"/>
      <c r="Q6400" s="17"/>
    </row>
    <row r="6401" spans="12:17" x14ac:dyDescent="0.3">
      <c r="L6401" s="25"/>
      <c r="Q6401" s="17"/>
    </row>
    <row r="6402" spans="12:17" x14ac:dyDescent="0.3">
      <c r="L6402" s="25"/>
      <c r="Q6402" s="17"/>
    </row>
    <row r="6403" spans="12:17" x14ac:dyDescent="0.3">
      <c r="L6403" s="25"/>
      <c r="Q6403" s="17"/>
    </row>
    <row r="6404" spans="12:17" x14ac:dyDescent="0.3">
      <c r="L6404" s="25"/>
      <c r="Q6404" s="17"/>
    </row>
    <row r="6405" spans="12:17" x14ac:dyDescent="0.3">
      <c r="L6405" s="25"/>
      <c r="Q6405" s="17"/>
    </row>
    <row r="6406" spans="12:17" x14ac:dyDescent="0.3">
      <c r="L6406" s="25"/>
      <c r="Q6406" s="17"/>
    </row>
    <row r="6407" spans="12:17" x14ac:dyDescent="0.3">
      <c r="L6407" s="25"/>
      <c r="Q6407" s="17"/>
    </row>
    <row r="6408" spans="12:17" x14ac:dyDescent="0.3">
      <c r="L6408" s="25"/>
      <c r="Q6408" s="17"/>
    </row>
    <row r="6409" spans="12:17" x14ac:dyDescent="0.3">
      <c r="L6409" s="25"/>
      <c r="Q6409" s="17"/>
    </row>
    <row r="6410" spans="12:17" x14ac:dyDescent="0.3">
      <c r="L6410" s="25"/>
      <c r="Q6410" s="17"/>
    </row>
    <row r="6411" spans="12:17" x14ac:dyDescent="0.3">
      <c r="L6411" s="25"/>
      <c r="Q6411" s="17"/>
    </row>
    <row r="6412" spans="12:17" x14ac:dyDescent="0.3">
      <c r="L6412" s="25"/>
      <c r="Q6412" s="17"/>
    </row>
    <row r="6413" spans="12:17" x14ac:dyDescent="0.3">
      <c r="L6413" s="25"/>
      <c r="Q6413" s="17"/>
    </row>
    <row r="6414" spans="12:17" x14ac:dyDescent="0.3">
      <c r="L6414" s="25"/>
      <c r="Q6414" s="17"/>
    </row>
    <row r="6415" spans="12:17" x14ac:dyDescent="0.3">
      <c r="L6415" s="25"/>
      <c r="Q6415" s="17"/>
    </row>
    <row r="6416" spans="12:17" x14ac:dyDescent="0.3">
      <c r="L6416" s="25"/>
      <c r="Q6416" s="17"/>
    </row>
    <row r="6417" spans="12:17" x14ac:dyDescent="0.3">
      <c r="L6417" s="25"/>
      <c r="Q6417" s="17"/>
    </row>
    <row r="6418" spans="12:17" x14ac:dyDescent="0.3">
      <c r="L6418" s="25"/>
      <c r="Q6418" s="17"/>
    </row>
    <row r="6419" spans="12:17" x14ac:dyDescent="0.3">
      <c r="L6419" s="25"/>
      <c r="Q6419" s="17"/>
    </row>
    <row r="6420" spans="12:17" x14ac:dyDescent="0.3">
      <c r="L6420" s="25"/>
      <c r="Q6420" s="17"/>
    </row>
    <row r="6421" spans="12:17" x14ac:dyDescent="0.3">
      <c r="L6421" s="25"/>
      <c r="Q6421" s="17"/>
    </row>
    <row r="6422" spans="12:17" x14ac:dyDescent="0.3">
      <c r="L6422" s="25"/>
      <c r="Q6422" s="17"/>
    </row>
    <row r="6423" spans="12:17" x14ac:dyDescent="0.3">
      <c r="L6423" s="25"/>
      <c r="Q6423" s="17"/>
    </row>
    <row r="6424" spans="12:17" x14ac:dyDescent="0.3">
      <c r="L6424" s="25"/>
      <c r="Q6424" s="17"/>
    </row>
    <row r="6425" spans="12:17" x14ac:dyDescent="0.3">
      <c r="L6425" s="25"/>
      <c r="Q6425" s="17"/>
    </row>
    <row r="6426" spans="12:17" x14ac:dyDescent="0.3">
      <c r="L6426" s="25"/>
      <c r="Q6426" s="17"/>
    </row>
    <row r="6427" spans="12:17" x14ac:dyDescent="0.3">
      <c r="L6427" s="25"/>
      <c r="Q6427" s="17"/>
    </row>
    <row r="6428" spans="12:17" x14ac:dyDescent="0.3">
      <c r="L6428" s="25"/>
      <c r="Q6428" s="17"/>
    </row>
    <row r="6429" spans="12:17" x14ac:dyDescent="0.3">
      <c r="L6429" s="25"/>
      <c r="Q6429" s="17"/>
    </row>
    <row r="6430" spans="12:17" x14ac:dyDescent="0.3">
      <c r="L6430" s="25"/>
      <c r="Q6430" s="17"/>
    </row>
    <row r="6431" spans="12:17" x14ac:dyDescent="0.3">
      <c r="L6431" s="25"/>
      <c r="Q6431" s="17"/>
    </row>
    <row r="6432" spans="12:17" x14ac:dyDescent="0.3">
      <c r="L6432" s="25"/>
      <c r="Q6432" s="17"/>
    </row>
    <row r="6433" spans="12:17" x14ac:dyDescent="0.3">
      <c r="L6433" s="25"/>
      <c r="Q6433" s="17"/>
    </row>
    <row r="6434" spans="12:17" x14ac:dyDescent="0.3">
      <c r="L6434" s="25"/>
      <c r="Q6434" s="17"/>
    </row>
    <row r="6435" spans="12:17" x14ac:dyDescent="0.3">
      <c r="L6435" s="25"/>
      <c r="Q6435" s="17"/>
    </row>
    <row r="6436" spans="12:17" x14ac:dyDescent="0.3">
      <c r="L6436" s="25"/>
      <c r="Q6436" s="17"/>
    </row>
    <row r="6437" spans="12:17" x14ac:dyDescent="0.3">
      <c r="L6437" s="25"/>
      <c r="Q6437" s="17"/>
    </row>
    <row r="6438" spans="12:17" x14ac:dyDescent="0.3">
      <c r="L6438" s="25"/>
      <c r="Q6438" s="17"/>
    </row>
    <row r="6439" spans="12:17" x14ac:dyDescent="0.3">
      <c r="L6439" s="25"/>
      <c r="Q6439" s="17"/>
    </row>
    <row r="6440" spans="12:17" x14ac:dyDescent="0.3">
      <c r="L6440" s="25"/>
      <c r="Q6440" s="17"/>
    </row>
    <row r="6441" spans="12:17" x14ac:dyDescent="0.3">
      <c r="L6441" s="25"/>
      <c r="Q6441" s="17"/>
    </row>
    <row r="6442" spans="12:17" x14ac:dyDescent="0.3">
      <c r="L6442" s="25"/>
      <c r="Q6442" s="17"/>
    </row>
    <row r="6443" spans="12:17" x14ac:dyDescent="0.3">
      <c r="L6443" s="25"/>
      <c r="Q6443" s="17"/>
    </row>
    <row r="6444" spans="12:17" x14ac:dyDescent="0.3">
      <c r="L6444" s="25"/>
      <c r="Q6444" s="17"/>
    </row>
    <row r="6445" spans="12:17" x14ac:dyDescent="0.3">
      <c r="L6445" s="25"/>
      <c r="Q6445" s="17"/>
    </row>
    <row r="6446" spans="12:17" x14ac:dyDescent="0.3">
      <c r="L6446" s="25"/>
      <c r="Q6446" s="17"/>
    </row>
    <row r="6447" spans="12:17" x14ac:dyDescent="0.3">
      <c r="L6447" s="25"/>
      <c r="Q6447" s="17"/>
    </row>
    <row r="6448" spans="12:17" x14ac:dyDescent="0.3">
      <c r="L6448" s="25"/>
      <c r="Q6448" s="17"/>
    </row>
    <row r="6449" spans="12:17" x14ac:dyDescent="0.3">
      <c r="L6449" s="25"/>
      <c r="Q6449" s="17"/>
    </row>
    <row r="6450" spans="12:17" x14ac:dyDescent="0.3">
      <c r="L6450" s="25"/>
      <c r="Q6450" s="17"/>
    </row>
    <row r="6451" spans="12:17" x14ac:dyDescent="0.3">
      <c r="L6451" s="25"/>
      <c r="Q6451" s="17"/>
    </row>
    <row r="6452" spans="12:17" x14ac:dyDescent="0.3">
      <c r="L6452" s="25"/>
      <c r="Q6452" s="17"/>
    </row>
    <row r="6453" spans="12:17" x14ac:dyDescent="0.3">
      <c r="L6453" s="25"/>
      <c r="Q6453" s="17"/>
    </row>
    <row r="6454" spans="12:17" x14ac:dyDescent="0.3">
      <c r="L6454" s="25"/>
      <c r="Q6454" s="17"/>
    </row>
    <row r="6455" spans="12:17" x14ac:dyDescent="0.3">
      <c r="L6455" s="25"/>
      <c r="Q6455" s="17"/>
    </row>
    <row r="6456" spans="12:17" x14ac:dyDescent="0.3">
      <c r="L6456" s="25"/>
      <c r="Q6456" s="17"/>
    </row>
    <row r="6457" spans="12:17" x14ac:dyDescent="0.3">
      <c r="L6457" s="25"/>
      <c r="Q6457" s="17"/>
    </row>
    <row r="6458" spans="12:17" x14ac:dyDescent="0.3">
      <c r="L6458" s="25"/>
      <c r="Q6458" s="17"/>
    </row>
    <row r="6459" spans="12:17" x14ac:dyDescent="0.3">
      <c r="L6459" s="25"/>
      <c r="Q6459" s="17"/>
    </row>
    <row r="6460" spans="12:17" x14ac:dyDescent="0.3">
      <c r="L6460" s="25"/>
      <c r="Q6460" s="17"/>
    </row>
    <row r="6461" spans="12:17" x14ac:dyDescent="0.3">
      <c r="L6461" s="25"/>
      <c r="Q6461" s="17"/>
    </row>
    <row r="6462" spans="12:17" x14ac:dyDescent="0.3">
      <c r="L6462" s="25"/>
      <c r="Q6462" s="17"/>
    </row>
    <row r="6463" spans="12:17" x14ac:dyDescent="0.3">
      <c r="L6463" s="25"/>
      <c r="Q6463" s="17"/>
    </row>
    <row r="6464" spans="12:17" x14ac:dyDescent="0.3">
      <c r="L6464" s="25"/>
      <c r="Q6464" s="17"/>
    </row>
    <row r="6465" spans="12:17" x14ac:dyDescent="0.3">
      <c r="L6465" s="25"/>
      <c r="Q6465" s="17"/>
    </row>
    <row r="6466" spans="12:17" x14ac:dyDescent="0.3">
      <c r="L6466" s="25"/>
      <c r="Q6466" s="17"/>
    </row>
    <row r="6467" spans="12:17" x14ac:dyDescent="0.3">
      <c r="L6467" s="25"/>
      <c r="Q6467" s="17"/>
    </row>
    <row r="6468" spans="12:17" x14ac:dyDescent="0.3">
      <c r="L6468" s="25"/>
      <c r="Q6468" s="17"/>
    </row>
    <row r="6469" spans="12:17" x14ac:dyDescent="0.3">
      <c r="L6469" s="25"/>
      <c r="Q6469" s="17"/>
    </row>
    <row r="6470" spans="12:17" x14ac:dyDescent="0.3">
      <c r="L6470" s="25"/>
      <c r="Q6470" s="17"/>
    </row>
    <row r="6471" spans="12:17" x14ac:dyDescent="0.3">
      <c r="L6471" s="25"/>
      <c r="Q6471" s="17"/>
    </row>
    <row r="6472" spans="12:17" x14ac:dyDescent="0.3">
      <c r="L6472" s="25"/>
      <c r="Q6472" s="17"/>
    </row>
    <row r="6473" spans="12:17" x14ac:dyDescent="0.3">
      <c r="L6473" s="25"/>
      <c r="Q6473" s="17"/>
    </row>
    <row r="6474" spans="12:17" x14ac:dyDescent="0.3">
      <c r="L6474" s="25"/>
      <c r="Q6474" s="17"/>
    </row>
    <row r="6475" spans="12:17" x14ac:dyDescent="0.3">
      <c r="L6475" s="25"/>
      <c r="Q6475" s="17"/>
    </row>
    <row r="6476" spans="12:17" x14ac:dyDescent="0.3">
      <c r="L6476" s="25"/>
      <c r="Q6476" s="17"/>
    </row>
    <row r="6477" spans="12:17" x14ac:dyDescent="0.3">
      <c r="L6477" s="25"/>
      <c r="Q6477" s="17"/>
    </row>
    <row r="6478" spans="12:17" x14ac:dyDescent="0.3">
      <c r="L6478" s="25"/>
      <c r="Q6478" s="17"/>
    </row>
    <row r="6479" spans="12:17" x14ac:dyDescent="0.3">
      <c r="L6479" s="25"/>
      <c r="Q6479" s="17"/>
    </row>
    <row r="6480" spans="12:17" x14ac:dyDescent="0.3">
      <c r="L6480" s="25"/>
      <c r="Q6480" s="17"/>
    </row>
    <row r="6481" spans="12:17" x14ac:dyDescent="0.3">
      <c r="L6481" s="25"/>
      <c r="Q6481" s="17"/>
    </row>
    <row r="6482" spans="12:17" x14ac:dyDescent="0.3">
      <c r="L6482" s="25"/>
      <c r="Q6482" s="17"/>
    </row>
    <row r="6483" spans="12:17" x14ac:dyDescent="0.3">
      <c r="L6483" s="25"/>
      <c r="Q6483" s="17"/>
    </row>
    <row r="6484" spans="12:17" x14ac:dyDescent="0.3">
      <c r="L6484" s="25"/>
      <c r="Q6484" s="17"/>
    </row>
    <row r="6485" spans="12:17" x14ac:dyDescent="0.3">
      <c r="L6485" s="25"/>
      <c r="Q6485" s="17"/>
    </row>
    <row r="6486" spans="12:17" x14ac:dyDescent="0.3">
      <c r="L6486" s="25"/>
      <c r="Q6486" s="17"/>
    </row>
    <row r="6487" spans="12:17" x14ac:dyDescent="0.3">
      <c r="L6487" s="25"/>
      <c r="Q6487" s="17"/>
    </row>
    <row r="6488" spans="12:17" x14ac:dyDescent="0.3">
      <c r="L6488" s="25"/>
      <c r="Q6488" s="17"/>
    </row>
    <row r="6489" spans="12:17" x14ac:dyDescent="0.3">
      <c r="L6489" s="25"/>
      <c r="Q6489" s="17"/>
    </row>
    <row r="6490" spans="12:17" x14ac:dyDescent="0.3">
      <c r="L6490" s="25"/>
      <c r="Q6490" s="17"/>
    </row>
    <row r="6491" spans="12:17" x14ac:dyDescent="0.3">
      <c r="L6491" s="25"/>
      <c r="Q6491" s="17"/>
    </row>
    <row r="6492" spans="12:17" x14ac:dyDescent="0.3">
      <c r="L6492" s="25"/>
      <c r="Q6492" s="17"/>
    </row>
    <row r="6493" spans="12:17" x14ac:dyDescent="0.3">
      <c r="L6493" s="25"/>
      <c r="Q6493" s="17"/>
    </row>
    <row r="6494" spans="12:17" x14ac:dyDescent="0.3">
      <c r="L6494" s="25"/>
      <c r="Q6494" s="17"/>
    </row>
    <row r="6495" spans="12:17" x14ac:dyDescent="0.3">
      <c r="L6495" s="25"/>
      <c r="Q6495" s="17"/>
    </row>
    <row r="6496" spans="12:17" x14ac:dyDescent="0.3">
      <c r="L6496" s="25"/>
      <c r="Q6496" s="17"/>
    </row>
    <row r="6497" spans="12:17" x14ac:dyDescent="0.3">
      <c r="L6497" s="25"/>
      <c r="Q6497" s="17"/>
    </row>
    <row r="6498" spans="12:17" x14ac:dyDescent="0.3">
      <c r="L6498" s="25"/>
      <c r="Q6498" s="17"/>
    </row>
    <row r="6499" spans="12:17" x14ac:dyDescent="0.3">
      <c r="L6499" s="25"/>
      <c r="Q6499" s="17"/>
    </row>
    <row r="6500" spans="12:17" x14ac:dyDescent="0.3">
      <c r="L6500" s="25"/>
      <c r="Q6500" s="17"/>
    </row>
    <row r="6501" spans="12:17" x14ac:dyDescent="0.3">
      <c r="L6501" s="25"/>
      <c r="Q6501" s="17"/>
    </row>
    <row r="6502" spans="12:17" x14ac:dyDescent="0.3">
      <c r="L6502" s="25"/>
      <c r="Q6502" s="17"/>
    </row>
    <row r="6503" spans="12:17" x14ac:dyDescent="0.3">
      <c r="L6503" s="25"/>
      <c r="Q6503" s="17"/>
    </row>
    <row r="6504" spans="12:17" x14ac:dyDescent="0.3">
      <c r="L6504" s="25"/>
      <c r="Q6504" s="17"/>
    </row>
    <row r="6505" spans="12:17" x14ac:dyDescent="0.3">
      <c r="L6505" s="25"/>
      <c r="Q6505" s="17"/>
    </row>
    <row r="6506" spans="12:17" x14ac:dyDescent="0.3">
      <c r="L6506" s="25"/>
      <c r="Q6506" s="17"/>
    </row>
    <row r="6507" spans="12:17" x14ac:dyDescent="0.3">
      <c r="L6507" s="25"/>
      <c r="Q6507" s="17"/>
    </row>
    <row r="6508" spans="12:17" x14ac:dyDescent="0.3">
      <c r="L6508" s="25"/>
      <c r="Q6508" s="17"/>
    </row>
    <row r="6509" spans="12:17" x14ac:dyDescent="0.3">
      <c r="L6509" s="25"/>
      <c r="Q6509" s="17"/>
    </row>
    <row r="6510" spans="12:17" x14ac:dyDescent="0.3">
      <c r="L6510" s="25"/>
      <c r="Q6510" s="17"/>
    </row>
    <row r="6511" spans="12:17" x14ac:dyDescent="0.3">
      <c r="L6511" s="25"/>
      <c r="Q6511" s="17"/>
    </row>
    <row r="6512" spans="12:17" x14ac:dyDescent="0.3">
      <c r="L6512" s="25"/>
      <c r="Q6512" s="17"/>
    </row>
    <row r="6513" spans="12:17" x14ac:dyDescent="0.3">
      <c r="L6513" s="25"/>
      <c r="Q6513" s="17"/>
    </row>
    <row r="6514" spans="12:17" x14ac:dyDescent="0.3">
      <c r="L6514" s="25"/>
      <c r="Q6514" s="17"/>
    </row>
    <row r="6515" spans="12:17" x14ac:dyDescent="0.3">
      <c r="L6515" s="25"/>
      <c r="Q6515" s="17"/>
    </row>
    <row r="6516" spans="12:17" x14ac:dyDescent="0.3">
      <c r="L6516" s="25"/>
      <c r="Q6516" s="17"/>
    </row>
    <row r="6517" spans="12:17" x14ac:dyDescent="0.3">
      <c r="L6517" s="25"/>
      <c r="Q6517" s="17"/>
    </row>
    <row r="6518" spans="12:17" x14ac:dyDescent="0.3">
      <c r="L6518" s="25"/>
      <c r="Q6518" s="17"/>
    </row>
    <row r="6519" spans="12:17" x14ac:dyDescent="0.3">
      <c r="L6519" s="25"/>
      <c r="Q6519" s="17"/>
    </row>
    <row r="6520" spans="12:17" x14ac:dyDescent="0.3">
      <c r="L6520" s="25"/>
      <c r="Q6520" s="17"/>
    </row>
    <row r="6521" spans="12:17" x14ac:dyDescent="0.3">
      <c r="L6521" s="25"/>
      <c r="Q6521" s="17"/>
    </row>
    <row r="6522" spans="12:17" x14ac:dyDescent="0.3">
      <c r="L6522" s="25"/>
      <c r="Q6522" s="17"/>
    </row>
    <row r="6523" spans="12:17" x14ac:dyDescent="0.3">
      <c r="L6523" s="25"/>
      <c r="Q6523" s="17"/>
    </row>
    <row r="6524" spans="12:17" x14ac:dyDescent="0.3">
      <c r="L6524" s="25"/>
      <c r="Q6524" s="17"/>
    </row>
    <row r="6525" spans="12:17" x14ac:dyDescent="0.3">
      <c r="L6525" s="25"/>
      <c r="Q6525" s="17"/>
    </row>
    <row r="6526" spans="12:17" x14ac:dyDescent="0.3">
      <c r="L6526" s="25"/>
      <c r="Q6526" s="17"/>
    </row>
    <row r="6527" spans="12:17" x14ac:dyDescent="0.3">
      <c r="L6527" s="25"/>
      <c r="Q6527" s="17"/>
    </row>
    <row r="6528" spans="12:17" x14ac:dyDescent="0.3">
      <c r="L6528" s="25"/>
      <c r="Q6528" s="17"/>
    </row>
    <row r="6529" spans="12:17" x14ac:dyDescent="0.3">
      <c r="L6529" s="25"/>
      <c r="Q6529" s="17"/>
    </row>
    <row r="6530" spans="12:17" x14ac:dyDescent="0.3">
      <c r="L6530" s="25"/>
      <c r="Q6530" s="17"/>
    </row>
    <row r="6531" spans="12:17" x14ac:dyDescent="0.3">
      <c r="L6531" s="25"/>
      <c r="Q6531" s="17"/>
    </row>
    <row r="6532" spans="12:17" x14ac:dyDescent="0.3">
      <c r="L6532" s="25"/>
      <c r="Q6532" s="17"/>
    </row>
    <row r="6533" spans="12:17" x14ac:dyDescent="0.3">
      <c r="L6533" s="25"/>
      <c r="Q6533" s="17"/>
    </row>
    <row r="6534" spans="12:17" x14ac:dyDescent="0.3">
      <c r="L6534" s="25"/>
      <c r="Q6534" s="17"/>
    </row>
    <row r="6535" spans="12:17" x14ac:dyDescent="0.3">
      <c r="L6535" s="25"/>
      <c r="Q6535" s="17"/>
    </row>
    <row r="6536" spans="12:17" x14ac:dyDescent="0.3">
      <c r="L6536" s="25"/>
      <c r="Q6536" s="17"/>
    </row>
    <row r="6537" spans="12:17" x14ac:dyDescent="0.3">
      <c r="L6537" s="25"/>
      <c r="Q6537" s="17"/>
    </row>
    <row r="6538" spans="12:17" x14ac:dyDescent="0.3">
      <c r="L6538" s="25"/>
      <c r="Q6538" s="17"/>
    </row>
    <row r="6539" spans="12:17" x14ac:dyDescent="0.3">
      <c r="L6539" s="25"/>
      <c r="Q6539" s="17"/>
    </row>
    <row r="6540" spans="12:17" x14ac:dyDescent="0.3">
      <c r="L6540" s="25"/>
      <c r="Q6540" s="17"/>
    </row>
    <row r="6541" spans="12:17" x14ac:dyDescent="0.3">
      <c r="L6541" s="25"/>
      <c r="Q6541" s="17"/>
    </row>
    <row r="6542" spans="12:17" x14ac:dyDescent="0.3">
      <c r="L6542" s="25"/>
      <c r="Q6542" s="17"/>
    </row>
    <row r="6543" spans="12:17" x14ac:dyDescent="0.3">
      <c r="L6543" s="25"/>
      <c r="Q6543" s="17"/>
    </row>
    <row r="6544" spans="12:17" x14ac:dyDescent="0.3">
      <c r="L6544" s="25"/>
      <c r="Q6544" s="17"/>
    </row>
    <row r="6545" spans="12:17" x14ac:dyDescent="0.3">
      <c r="L6545" s="25"/>
      <c r="Q6545" s="17"/>
    </row>
    <row r="6546" spans="12:17" x14ac:dyDescent="0.3">
      <c r="L6546" s="25"/>
      <c r="Q6546" s="17"/>
    </row>
    <row r="6547" spans="12:17" x14ac:dyDescent="0.3">
      <c r="L6547" s="25"/>
      <c r="Q6547" s="17"/>
    </row>
    <row r="6548" spans="12:17" x14ac:dyDescent="0.3">
      <c r="L6548" s="25"/>
      <c r="Q6548" s="17"/>
    </row>
    <row r="6549" spans="12:17" x14ac:dyDescent="0.3">
      <c r="L6549" s="25"/>
      <c r="Q6549" s="17"/>
    </row>
    <row r="6550" spans="12:17" x14ac:dyDescent="0.3">
      <c r="L6550" s="25"/>
      <c r="Q6550" s="17"/>
    </row>
    <row r="6551" spans="12:17" x14ac:dyDescent="0.3">
      <c r="L6551" s="25"/>
      <c r="Q6551" s="17"/>
    </row>
    <row r="6552" spans="12:17" x14ac:dyDescent="0.3">
      <c r="L6552" s="25"/>
      <c r="Q6552" s="17"/>
    </row>
    <row r="6553" spans="12:17" x14ac:dyDescent="0.3">
      <c r="L6553" s="25"/>
      <c r="Q6553" s="17"/>
    </row>
    <row r="6554" spans="12:17" x14ac:dyDescent="0.3">
      <c r="L6554" s="25"/>
      <c r="Q6554" s="17"/>
    </row>
    <row r="6555" spans="12:17" x14ac:dyDescent="0.3">
      <c r="L6555" s="25"/>
      <c r="Q6555" s="17"/>
    </row>
    <row r="6556" spans="12:17" x14ac:dyDescent="0.3">
      <c r="L6556" s="25"/>
      <c r="Q6556" s="17"/>
    </row>
    <row r="6557" spans="12:17" x14ac:dyDescent="0.3">
      <c r="L6557" s="25"/>
      <c r="Q6557" s="17"/>
    </row>
    <row r="6558" spans="12:17" x14ac:dyDescent="0.3">
      <c r="L6558" s="25"/>
      <c r="Q6558" s="17"/>
    </row>
    <row r="6559" spans="12:17" x14ac:dyDescent="0.3">
      <c r="L6559" s="25"/>
      <c r="Q6559" s="17"/>
    </row>
    <row r="6560" spans="12:17" x14ac:dyDescent="0.3">
      <c r="L6560" s="25"/>
      <c r="Q6560" s="17"/>
    </row>
    <row r="6561" spans="12:17" x14ac:dyDescent="0.3">
      <c r="L6561" s="25"/>
      <c r="Q6561" s="17"/>
    </row>
    <row r="6562" spans="12:17" x14ac:dyDescent="0.3">
      <c r="L6562" s="25"/>
      <c r="Q6562" s="17"/>
    </row>
    <row r="6563" spans="12:17" x14ac:dyDescent="0.3">
      <c r="L6563" s="25"/>
      <c r="Q6563" s="17"/>
    </row>
    <row r="6564" spans="12:17" x14ac:dyDescent="0.3">
      <c r="L6564" s="25"/>
      <c r="Q6564" s="17"/>
    </row>
    <row r="6565" spans="12:17" x14ac:dyDescent="0.3">
      <c r="L6565" s="25"/>
      <c r="Q6565" s="17"/>
    </row>
    <row r="6566" spans="12:17" x14ac:dyDescent="0.3">
      <c r="L6566" s="25"/>
      <c r="Q6566" s="17"/>
    </row>
    <row r="6567" spans="12:17" x14ac:dyDescent="0.3">
      <c r="L6567" s="25"/>
      <c r="Q6567" s="17"/>
    </row>
    <row r="6568" spans="12:17" x14ac:dyDescent="0.3">
      <c r="L6568" s="25"/>
      <c r="Q6568" s="17"/>
    </row>
    <row r="6569" spans="12:17" x14ac:dyDescent="0.3">
      <c r="L6569" s="25"/>
      <c r="Q6569" s="17"/>
    </row>
    <row r="6570" spans="12:17" x14ac:dyDescent="0.3">
      <c r="L6570" s="25"/>
      <c r="Q6570" s="17"/>
    </row>
    <row r="6571" spans="12:17" x14ac:dyDescent="0.3">
      <c r="L6571" s="25"/>
      <c r="Q6571" s="17"/>
    </row>
    <row r="6572" spans="12:17" x14ac:dyDescent="0.3">
      <c r="L6572" s="25"/>
      <c r="Q6572" s="17"/>
    </row>
    <row r="6573" spans="12:17" x14ac:dyDescent="0.3">
      <c r="L6573" s="25"/>
      <c r="Q6573" s="17"/>
    </row>
    <row r="6574" spans="12:17" x14ac:dyDescent="0.3">
      <c r="L6574" s="25"/>
      <c r="Q6574" s="17"/>
    </row>
    <row r="6575" spans="12:17" x14ac:dyDescent="0.3">
      <c r="L6575" s="25"/>
      <c r="Q6575" s="17"/>
    </row>
    <row r="6576" spans="12:17" x14ac:dyDescent="0.3">
      <c r="L6576" s="25"/>
      <c r="Q6576" s="17"/>
    </row>
    <row r="6577" spans="12:17" x14ac:dyDescent="0.3">
      <c r="L6577" s="25"/>
      <c r="Q6577" s="17"/>
    </row>
    <row r="6578" spans="12:17" x14ac:dyDescent="0.3">
      <c r="L6578" s="25"/>
      <c r="Q6578" s="17"/>
    </row>
    <row r="6579" spans="12:17" x14ac:dyDescent="0.3">
      <c r="L6579" s="25"/>
      <c r="Q6579" s="17"/>
    </row>
    <row r="6580" spans="12:17" x14ac:dyDescent="0.3">
      <c r="L6580" s="25"/>
      <c r="Q6580" s="17"/>
    </row>
    <row r="6581" spans="12:17" x14ac:dyDescent="0.3">
      <c r="L6581" s="25"/>
      <c r="Q6581" s="17"/>
    </row>
    <row r="6582" spans="12:17" x14ac:dyDescent="0.3">
      <c r="L6582" s="25"/>
      <c r="Q6582" s="17"/>
    </row>
    <row r="6583" spans="12:17" x14ac:dyDescent="0.3">
      <c r="L6583" s="25"/>
      <c r="Q6583" s="17"/>
    </row>
    <row r="6584" spans="12:17" x14ac:dyDescent="0.3">
      <c r="L6584" s="25"/>
      <c r="Q6584" s="17"/>
    </row>
    <row r="6585" spans="12:17" x14ac:dyDescent="0.3">
      <c r="L6585" s="25"/>
      <c r="Q6585" s="17"/>
    </row>
    <row r="6586" spans="12:17" x14ac:dyDescent="0.3">
      <c r="L6586" s="25"/>
      <c r="Q6586" s="17"/>
    </row>
    <row r="6587" spans="12:17" x14ac:dyDescent="0.3">
      <c r="L6587" s="25"/>
      <c r="Q6587" s="17"/>
    </row>
    <row r="6588" spans="12:17" x14ac:dyDescent="0.3">
      <c r="L6588" s="25"/>
      <c r="Q6588" s="17"/>
    </row>
    <row r="6589" spans="12:17" x14ac:dyDescent="0.3">
      <c r="L6589" s="25"/>
      <c r="Q6589" s="17"/>
    </row>
    <row r="6590" spans="12:17" x14ac:dyDescent="0.3">
      <c r="L6590" s="25"/>
      <c r="Q6590" s="17"/>
    </row>
    <row r="6591" spans="12:17" x14ac:dyDescent="0.3">
      <c r="L6591" s="25"/>
      <c r="Q6591" s="17"/>
    </row>
    <row r="6592" spans="12:17" x14ac:dyDescent="0.3">
      <c r="L6592" s="25"/>
      <c r="Q6592" s="17"/>
    </row>
    <row r="6593" spans="12:17" x14ac:dyDescent="0.3">
      <c r="L6593" s="25"/>
      <c r="Q6593" s="17"/>
    </row>
    <row r="6594" spans="12:17" x14ac:dyDescent="0.3">
      <c r="L6594" s="25"/>
      <c r="Q6594" s="17"/>
    </row>
    <row r="6595" spans="12:17" x14ac:dyDescent="0.3">
      <c r="L6595" s="25"/>
      <c r="Q6595" s="17"/>
    </row>
    <row r="6596" spans="12:17" x14ac:dyDescent="0.3">
      <c r="L6596" s="25"/>
      <c r="Q6596" s="17"/>
    </row>
    <row r="6597" spans="12:17" x14ac:dyDescent="0.3">
      <c r="L6597" s="25"/>
      <c r="Q6597" s="17"/>
    </row>
    <row r="6598" spans="12:17" x14ac:dyDescent="0.3">
      <c r="L6598" s="25"/>
      <c r="Q6598" s="17"/>
    </row>
    <row r="6599" spans="12:17" x14ac:dyDescent="0.3">
      <c r="L6599" s="25"/>
      <c r="Q6599" s="17"/>
    </row>
    <row r="6600" spans="12:17" x14ac:dyDescent="0.3">
      <c r="L6600" s="25"/>
      <c r="Q6600" s="17"/>
    </row>
    <row r="6601" spans="12:17" x14ac:dyDescent="0.3">
      <c r="L6601" s="25"/>
      <c r="Q6601" s="17"/>
    </row>
    <row r="6602" spans="12:17" x14ac:dyDescent="0.3">
      <c r="L6602" s="25"/>
      <c r="Q6602" s="17"/>
    </row>
    <row r="6603" spans="12:17" x14ac:dyDescent="0.3">
      <c r="L6603" s="25"/>
      <c r="Q6603" s="17"/>
    </row>
    <row r="6604" spans="12:17" x14ac:dyDescent="0.3">
      <c r="L6604" s="25"/>
      <c r="Q6604" s="17"/>
    </row>
    <row r="6605" spans="12:17" x14ac:dyDescent="0.3">
      <c r="L6605" s="25"/>
      <c r="Q6605" s="17"/>
    </row>
    <row r="6606" spans="12:17" x14ac:dyDescent="0.3">
      <c r="L6606" s="25"/>
      <c r="Q6606" s="17"/>
    </row>
    <row r="6607" spans="12:17" x14ac:dyDescent="0.3">
      <c r="L6607" s="25"/>
      <c r="Q6607" s="17"/>
    </row>
    <row r="6608" spans="12:17" x14ac:dyDescent="0.3">
      <c r="L6608" s="25"/>
      <c r="Q6608" s="17"/>
    </row>
    <row r="6609" spans="12:17" x14ac:dyDescent="0.3">
      <c r="L6609" s="25"/>
      <c r="Q6609" s="17"/>
    </row>
    <row r="6610" spans="12:17" x14ac:dyDescent="0.3">
      <c r="L6610" s="25"/>
      <c r="Q6610" s="17"/>
    </row>
    <row r="6611" spans="12:17" x14ac:dyDescent="0.3">
      <c r="L6611" s="25"/>
      <c r="Q6611" s="17"/>
    </row>
    <row r="6612" spans="12:17" x14ac:dyDescent="0.3">
      <c r="L6612" s="25"/>
      <c r="Q6612" s="17"/>
    </row>
    <row r="6613" spans="12:17" x14ac:dyDescent="0.3">
      <c r="L6613" s="25"/>
      <c r="Q6613" s="17"/>
    </row>
    <row r="6614" spans="12:17" x14ac:dyDescent="0.3">
      <c r="L6614" s="25"/>
      <c r="Q6614" s="17"/>
    </row>
    <row r="6615" spans="12:17" x14ac:dyDescent="0.3">
      <c r="L6615" s="25"/>
      <c r="Q6615" s="17"/>
    </row>
    <row r="6616" spans="12:17" x14ac:dyDescent="0.3">
      <c r="L6616" s="25"/>
      <c r="Q6616" s="17"/>
    </row>
    <row r="6617" spans="12:17" x14ac:dyDescent="0.3">
      <c r="L6617" s="25"/>
      <c r="Q6617" s="17"/>
    </row>
    <row r="6618" spans="12:17" x14ac:dyDescent="0.3">
      <c r="L6618" s="25"/>
      <c r="Q6618" s="17"/>
    </row>
    <row r="6619" spans="12:17" x14ac:dyDescent="0.3">
      <c r="L6619" s="25"/>
      <c r="Q6619" s="17"/>
    </row>
    <row r="6620" spans="12:17" x14ac:dyDescent="0.3">
      <c r="L6620" s="25"/>
      <c r="Q6620" s="17"/>
    </row>
    <row r="6621" spans="12:17" x14ac:dyDescent="0.3">
      <c r="L6621" s="25"/>
      <c r="Q6621" s="17"/>
    </row>
    <row r="6622" spans="12:17" x14ac:dyDescent="0.3">
      <c r="L6622" s="25"/>
      <c r="Q6622" s="17"/>
    </row>
    <row r="6623" spans="12:17" x14ac:dyDescent="0.3">
      <c r="L6623" s="25"/>
      <c r="Q6623" s="17"/>
    </row>
    <row r="6624" spans="12:17" x14ac:dyDescent="0.3">
      <c r="L6624" s="25"/>
      <c r="Q6624" s="17"/>
    </row>
    <row r="6625" spans="12:17" x14ac:dyDescent="0.3">
      <c r="L6625" s="25"/>
      <c r="Q6625" s="17"/>
    </row>
    <row r="6626" spans="12:17" x14ac:dyDescent="0.3">
      <c r="L6626" s="25"/>
      <c r="Q6626" s="17"/>
    </row>
    <row r="6627" spans="12:17" x14ac:dyDescent="0.3">
      <c r="L6627" s="25"/>
      <c r="Q6627" s="17"/>
    </row>
    <row r="6628" spans="12:17" x14ac:dyDescent="0.3">
      <c r="L6628" s="25"/>
      <c r="Q6628" s="17"/>
    </row>
    <row r="6629" spans="12:17" x14ac:dyDescent="0.3">
      <c r="L6629" s="25"/>
      <c r="Q6629" s="17"/>
    </row>
    <row r="6630" spans="12:17" x14ac:dyDescent="0.3">
      <c r="L6630" s="25"/>
      <c r="Q6630" s="17"/>
    </row>
    <row r="6631" spans="12:17" x14ac:dyDescent="0.3">
      <c r="L6631" s="25"/>
      <c r="Q6631" s="17"/>
    </row>
    <row r="6632" spans="12:17" x14ac:dyDescent="0.3">
      <c r="L6632" s="25"/>
      <c r="Q6632" s="17"/>
    </row>
    <row r="6633" spans="12:17" x14ac:dyDescent="0.3">
      <c r="L6633" s="25"/>
      <c r="Q6633" s="17"/>
    </row>
    <row r="6634" spans="12:17" x14ac:dyDescent="0.3">
      <c r="L6634" s="25"/>
      <c r="Q6634" s="17"/>
    </row>
    <row r="6635" spans="12:17" x14ac:dyDescent="0.3">
      <c r="L6635" s="25"/>
      <c r="Q6635" s="17"/>
    </row>
    <row r="6636" spans="12:17" x14ac:dyDescent="0.3">
      <c r="L6636" s="25"/>
      <c r="Q6636" s="17"/>
    </row>
    <row r="6637" spans="12:17" x14ac:dyDescent="0.3">
      <c r="L6637" s="25"/>
      <c r="Q6637" s="17"/>
    </row>
    <row r="6638" spans="12:17" x14ac:dyDescent="0.3">
      <c r="L6638" s="25"/>
      <c r="Q6638" s="17"/>
    </row>
    <row r="6639" spans="12:17" x14ac:dyDescent="0.3">
      <c r="L6639" s="25"/>
      <c r="Q6639" s="17"/>
    </row>
    <row r="6640" spans="12:17" x14ac:dyDescent="0.3">
      <c r="L6640" s="25"/>
      <c r="Q6640" s="17"/>
    </row>
    <row r="6641" spans="12:17" x14ac:dyDescent="0.3">
      <c r="L6641" s="25"/>
      <c r="Q6641" s="17"/>
    </row>
    <row r="6642" spans="12:17" x14ac:dyDescent="0.3">
      <c r="L6642" s="25"/>
      <c r="Q6642" s="17"/>
    </row>
    <row r="6643" spans="12:17" x14ac:dyDescent="0.3">
      <c r="L6643" s="25"/>
      <c r="Q6643" s="17"/>
    </row>
    <row r="6644" spans="12:17" x14ac:dyDescent="0.3">
      <c r="L6644" s="25"/>
      <c r="Q6644" s="17"/>
    </row>
    <row r="6645" spans="12:17" x14ac:dyDescent="0.3">
      <c r="L6645" s="25"/>
      <c r="Q6645" s="17"/>
    </row>
    <row r="6646" spans="12:17" x14ac:dyDescent="0.3">
      <c r="L6646" s="25"/>
      <c r="Q6646" s="17"/>
    </row>
    <row r="6647" spans="12:17" x14ac:dyDescent="0.3">
      <c r="L6647" s="25"/>
      <c r="Q6647" s="17"/>
    </row>
    <row r="6648" spans="12:17" x14ac:dyDescent="0.3">
      <c r="L6648" s="25"/>
      <c r="Q6648" s="17"/>
    </row>
    <row r="6649" spans="12:17" x14ac:dyDescent="0.3">
      <c r="L6649" s="25"/>
      <c r="Q6649" s="17"/>
    </row>
    <row r="6650" spans="12:17" x14ac:dyDescent="0.3">
      <c r="L6650" s="25"/>
      <c r="Q6650" s="17"/>
    </row>
    <row r="6651" spans="12:17" x14ac:dyDescent="0.3">
      <c r="L6651" s="25"/>
      <c r="Q6651" s="17"/>
    </row>
    <row r="6652" spans="12:17" x14ac:dyDescent="0.3">
      <c r="L6652" s="25"/>
      <c r="Q6652" s="17"/>
    </row>
    <row r="6653" spans="12:17" x14ac:dyDescent="0.3">
      <c r="L6653" s="25"/>
      <c r="Q6653" s="17"/>
    </row>
    <row r="6654" spans="12:17" x14ac:dyDescent="0.3">
      <c r="L6654" s="25"/>
      <c r="Q6654" s="17"/>
    </row>
    <row r="6655" spans="12:17" x14ac:dyDescent="0.3">
      <c r="L6655" s="25"/>
      <c r="Q6655" s="17"/>
    </row>
    <row r="6656" spans="12:17" x14ac:dyDescent="0.3">
      <c r="L6656" s="25"/>
      <c r="Q6656" s="17"/>
    </row>
    <row r="6657" spans="12:17" x14ac:dyDescent="0.3">
      <c r="L6657" s="25"/>
      <c r="Q6657" s="17"/>
    </row>
    <row r="6658" spans="12:17" x14ac:dyDescent="0.3">
      <c r="L6658" s="25"/>
      <c r="Q6658" s="17"/>
    </row>
    <row r="6659" spans="12:17" x14ac:dyDescent="0.3">
      <c r="L6659" s="25"/>
      <c r="Q6659" s="17"/>
    </row>
    <row r="6660" spans="12:17" x14ac:dyDescent="0.3">
      <c r="L6660" s="25"/>
      <c r="Q6660" s="17"/>
    </row>
    <row r="6661" spans="12:17" x14ac:dyDescent="0.3">
      <c r="L6661" s="25"/>
      <c r="Q6661" s="17"/>
    </row>
    <row r="6662" spans="12:17" x14ac:dyDescent="0.3">
      <c r="L6662" s="25"/>
      <c r="Q6662" s="17"/>
    </row>
    <row r="6663" spans="12:17" x14ac:dyDescent="0.3">
      <c r="L6663" s="25"/>
      <c r="Q6663" s="17"/>
    </row>
    <row r="6664" spans="12:17" x14ac:dyDescent="0.3">
      <c r="L6664" s="25"/>
      <c r="Q6664" s="17"/>
    </row>
    <row r="6665" spans="12:17" x14ac:dyDescent="0.3">
      <c r="L6665" s="25"/>
      <c r="Q6665" s="17"/>
    </row>
    <row r="6666" spans="12:17" x14ac:dyDescent="0.3">
      <c r="L6666" s="25"/>
      <c r="Q6666" s="17"/>
    </row>
    <row r="6667" spans="12:17" x14ac:dyDescent="0.3">
      <c r="L6667" s="25"/>
      <c r="Q6667" s="17"/>
    </row>
    <row r="6668" spans="12:17" x14ac:dyDescent="0.3">
      <c r="L6668" s="25"/>
      <c r="Q6668" s="17"/>
    </row>
    <row r="6669" spans="12:17" x14ac:dyDescent="0.3">
      <c r="L6669" s="25"/>
      <c r="Q6669" s="17"/>
    </row>
    <row r="6670" spans="12:17" x14ac:dyDescent="0.3">
      <c r="L6670" s="25"/>
      <c r="Q6670" s="17"/>
    </row>
    <row r="6671" spans="12:17" x14ac:dyDescent="0.3">
      <c r="L6671" s="25"/>
      <c r="Q6671" s="17"/>
    </row>
    <row r="6672" spans="12:17" x14ac:dyDescent="0.3">
      <c r="L6672" s="25"/>
      <c r="Q6672" s="17"/>
    </row>
    <row r="6673" spans="12:17" x14ac:dyDescent="0.3">
      <c r="L6673" s="25"/>
      <c r="Q6673" s="17"/>
    </row>
    <row r="6674" spans="12:17" x14ac:dyDescent="0.3">
      <c r="L6674" s="25"/>
      <c r="Q6674" s="17"/>
    </row>
    <row r="6675" spans="12:17" x14ac:dyDescent="0.3">
      <c r="L6675" s="25"/>
      <c r="Q6675" s="17"/>
    </row>
    <row r="6676" spans="12:17" x14ac:dyDescent="0.3">
      <c r="L6676" s="25"/>
      <c r="Q6676" s="17"/>
    </row>
    <row r="6677" spans="12:17" x14ac:dyDescent="0.3">
      <c r="L6677" s="25"/>
      <c r="Q6677" s="17"/>
    </row>
    <row r="6678" spans="12:17" x14ac:dyDescent="0.3">
      <c r="L6678" s="25"/>
      <c r="Q6678" s="17"/>
    </row>
    <row r="6679" spans="12:17" x14ac:dyDescent="0.3">
      <c r="L6679" s="25"/>
      <c r="Q6679" s="17"/>
    </row>
    <row r="6680" spans="12:17" x14ac:dyDescent="0.3">
      <c r="L6680" s="25"/>
      <c r="Q6680" s="17"/>
    </row>
    <row r="6681" spans="12:17" x14ac:dyDescent="0.3">
      <c r="L6681" s="25"/>
      <c r="Q6681" s="17"/>
    </row>
    <row r="6682" spans="12:17" x14ac:dyDescent="0.3">
      <c r="L6682" s="25"/>
      <c r="Q6682" s="17"/>
    </row>
    <row r="6683" spans="12:17" x14ac:dyDescent="0.3">
      <c r="L6683" s="25"/>
      <c r="Q6683" s="17"/>
    </row>
    <row r="6684" spans="12:17" x14ac:dyDescent="0.3">
      <c r="L6684" s="25"/>
      <c r="Q6684" s="17"/>
    </row>
    <row r="6685" spans="12:17" x14ac:dyDescent="0.3">
      <c r="L6685" s="25"/>
      <c r="Q6685" s="17"/>
    </row>
    <row r="6686" spans="12:17" x14ac:dyDescent="0.3">
      <c r="L6686" s="25"/>
      <c r="Q6686" s="17"/>
    </row>
    <row r="6687" spans="12:17" x14ac:dyDescent="0.3">
      <c r="L6687" s="25"/>
      <c r="Q6687" s="17"/>
    </row>
    <row r="6688" spans="12:17" x14ac:dyDescent="0.3">
      <c r="L6688" s="25"/>
      <c r="Q6688" s="17"/>
    </row>
    <row r="6689" spans="12:17" x14ac:dyDescent="0.3">
      <c r="L6689" s="25"/>
      <c r="Q6689" s="17"/>
    </row>
    <row r="6690" spans="12:17" x14ac:dyDescent="0.3">
      <c r="L6690" s="25"/>
      <c r="Q6690" s="17"/>
    </row>
    <row r="6691" spans="12:17" x14ac:dyDescent="0.3">
      <c r="L6691" s="25"/>
      <c r="Q6691" s="17"/>
    </row>
    <row r="6692" spans="12:17" x14ac:dyDescent="0.3">
      <c r="L6692" s="25"/>
      <c r="Q6692" s="17"/>
    </row>
    <row r="6693" spans="12:17" x14ac:dyDescent="0.3">
      <c r="L6693" s="25"/>
      <c r="Q6693" s="17"/>
    </row>
    <row r="6694" spans="12:17" x14ac:dyDescent="0.3">
      <c r="L6694" s="25"/>
      <c r="Q6694" s="17"/>
    </row>
    <row r="6695" spans="12:17" x14ac:dyDescent="0.3">
      <c r="L6695" s="25"/>
      <c r="Q6695" s="17"/>
    </row>
    <row r="6696" spans="12:17" x14ac:dyDescent="0.3">
      <c r="L6696" s="25"/>
      <c r="Q6696" s="17"/>
    </row>
    <row r="6697" spans="12:17" x14ac:dyDescent="0.3">
      <c r="L6697" s="25"/>
      <c r="Q6697" s="17"/>
    </row>
    <row r="6698" spans="12:17" x14ac:dyDescent="0.3">
      <c r="L6698" s="25"/>
      <c r="Q6698" s="17"/>
    </row>
    <row r="6699" spans="12:17" x14ac:dyDescent="0.3">
      <c r="L6699" s="25"/>
      <c r="Q6699" s="17"/>
    </row>
    <row r="6700" spans="12:17" x14ac:dyDescent="0.3">
      <c r="L6700" s="25"/>
      <c r="Q6700" s="17"/>
    </row>
    <row r="6701" spans="12:17" x14ac:dyDescent="0.3">
      <c r="L6701" s="25"/>
      <c r="Q6701" s="17"/>
    </row>
    <row r="6702" spans="12:17" x14ac:dyDescent="0.3">
      <c r="L6702" s="25"/>
      <c r="Q6702" s="17"/>
    </row>
    <row r="6703" spans="12:17" x14ac:dyDescent="0.3">
      <c r="L6703" s="25"/>
      <c r="Q6703" s="17"/>
    </row>
    <row r="6704" spans="12:17" x14ac:dyDescent="0.3">
      <c r="L6704" s="25"/>
      <c r="Q6704" s="17"/>
    </row>
    <row r="6705" spans="12:17" x14ac:dyDescent="0.3">
      <c r="L6705" s="25"/>
      <c r="Q6705" s="17"/>
    </row>
    <row r="6706" spans="12:17" x14ac:dyDescent="0.3">
      <c r="L6706" s="25"/>
      <c r="Q6706" s="17"/>
    </row>
    <row r="6707" spans="12:17" x14ac:dyDescent="0.3">
      <c r="L6707" s="25"/>
      <c r="Q6707" s="17"/>
    </row>
    <row r="6708" spans="12:17" x14ac:dyDescent="0.3">
      <c r="L6708" s="25"/>
      <c r="Q6708" s="17"/>
    </row>
    <row r="6709" spans="12:17" x14ac:dyDescent="0.3">
      <c r="L6709" s="25"/>
      <c r="Q6709" s="17"/>
    </row>
    <row r="6710" spans="12:17" x14ac:dyDescent="0.3">
      <c r="L6710" s="25"/>
      <c r="Q6710" s="17"/>
    </row>
    <row r="6711" spans="12:17" x14ac:dyDescent="0.3">
      <c r="L6711" s="25"/>
      <c r="Q6711" s="17"/>
    </row>
    <row r="6712" spans="12:17" x14ac:dyDescent="0.3">
      <c r="L6712" s="25"/>
      <c r="Q6712" s="17"/>
    </row>
    <row r="6713" spans="12:17" x14ac:dyDescent="0.3">
      <c r="L6713" s="25"/>
      <c r="Q6713" s="17"/>
    </row>
    <row r="6714" spans="12:17" x14ac:dyDescent="0.3">
      <c r="L6714" s="25"/>
      <c r="Q6714" s="17"/>
    </row>
    <row r="6715" spans="12:17" x14ac:dyDescent="0.3">
      <c r="L6715" s="25"/>
      <c r="Q6715" s="17"/>
    </row>
    <row r="6716" spans="12:17" x14ac:dyDescent="0.3">
      <c r="L6716" s="25"/>
      <c r="Q6716" s="17"/>
    </row>
    <row r="6717" spans="12:17" x14ac:dyDescent="0.3">
      <c r="L6717" s="25"/>
      <c r="Q6717" s="17"/>
    </row>
    <row r="6718" spans="12:17" x14ac:dyDescent="0.3">
      <c r="L6718" s="25"/>
      <c r="Q6718" s="17"/>
    </row>
    <row r="6719" spans="12:17" x14ac:dyDescent="0.3">
      <c r="L6719" s="25"/>
      <c r="Q6719" s="17"/>
    </row>
    <row r="6720" spans="12:17" x14ac:dyDescent="0.3">
      <c r="L6720" s="25"/>
      <c r="Q6720" s="17"/>
    </row>
    <row r="6721" spans="12:17" x14ac:dyDescent="0.3">
      <c r="L6721" s="25"/>
      <c r="Q6721" s="17"/>
    </row>
    <row r="6722" spans="12:17" x14ac:dyDescent="0.3">
      <c r="L6722" s="25"/>
      <c r="Q6722" s="17"/>
    </row>
    <row r="6723" spans="12:17" x14ac:dyDescent="0.3">
      <c r="L6723" s="25"/>
      <c r="Q6723" s="17"/>
    </row>
    <row r="6724" spans="12:17" x14ac:dyDescent="0.3">
      <c r="L6724" s="25"/>
      <c r="Q6724" s="17"/>
    </row>
    <row r="6725" spans="12:17" x14ac:dyDescent="0.3">
      <c r="L6725" s="25"/>
      <c r="Q6725" s="17"/>
    </row>
    <row r="6726" spans="12:17" x14ac:dyDescent="0.3">
      <c r="L6726" s="25"/>
      <c r="Q6726" s="17"/>
    </row>
    <row r="6727" spans="12:17" x14ac:dyDescent="0.3">
      <c r="L6727" s="25"/>
      <c r="Q6727" s="17"/>
    </row>
    <row r="6728" spans="12:17" x14ac:dyDescent="0.3">
      <c r="L6728" s="25"/>
      <c r="Q6728" s="17"/>
    </row>
    <row r="6729" spans="12:17" x14ac:dyDescent="0.3">
      <c r="L6729" s="25"/>
      <c r="Q6729" s="17"/>
    </row>
    <row r="6730" spans="12:17" x14ac:dyDescent="0.3">
      <c r="L6730" s="25"/>
      <c r="Q6730" s="17"/>
    </row>
    <row r="6731" spans="12:17" x14ac:dyDescent="0.3">
      <c r="L6731" s="25"/>
      <c r="Q6731" s="17"/>
    </row>
    <row r="6732" spans="12:17" x14ac:dyDescent="0.3">
      <c r="L6732" s="25"/>
      <c r="Q6732" s="17"/>
    </row>
    <row r="6733" spans="12:17" x14ac:dyDescent="0.3">
      <c r="L6733" s="25"/>
      <c r="Q6733" s="17"/>
    </row>
    <row r="6734" spans="12:17" x14ac:dyDescent="0.3">
      <c r="L6734" s="25"/>
      <c r="Q6734" s="17"/>
    </row>
    <row r="6735" spans="12:17" x14ac:dyDescent="0.3">
      <c r="L6735" s="25"/>
      <c r="Q6735" s="17"/>
    </row>
    <row r="6736" spans="12:17" x14ac:dyDescent="0.3">
      <c r="L6736" s="25"/>
      <c r="Q6736" s="17"/>
    </row>
    <row r="6737" spans="12:17" x14ac:dyDescent="0.3">
      <c r="L6737" s="25"/>
      <c r="Q6737" s="17"/>
    </row>
    <row r="6738" spans="12:17" x14ac:dyDescent="0.3">
      <c r="L6738" s="25"/>
      <c r="Q6738" s="17"/>
    </row>
    <row r="6739" spans="12:17" x14ac:dyDescent="0.3">
      <c r="L6739" s="25"/>
      <c r="Q6739" s="17"/>
    </row>
    <row r="6740" spans="12:17" x14ac:dyDescent="0.3">
      <c r="L6740" s="25"/>
      <c r="Q6740" s="17"/>
    </row>
    <row r="6741" spans="12:17" x14ac:dyDescent="0.3">
      <c r="L6741" s="25"/>
      <c r="Q6741" s="17"/>
    </row>
    <row r="6742" spans="12:17" x14ac:dyDescent="0.3">
      <c r="L6742" s="25"/>
      <c r="Q6742" s="17"/>
    </row>
    <row r="6743" spans="12:17" x14ac:dyDescent="0.3">
      <c r="L6743" s="25"/>
      <c r="Q6743" s="17"/>
    </row>
    <row r="6744" spans="12:17" x14ac:dyDescent="0.3">
      <c r="L6744" s="25"/>
      <c r="Q6744" s="17"/>
    </row>
    <row r="6745" spans="12:17" x14ac:dyDescent="0.3">
      <c r="L6745" s="25"/>
      <c r="Q6745" s="17"/>
    </row>
    <row r="6746" spans="12:17" x14ac:dyDescent="0.3">
      <c r="L6746" s="25"/>
      <c r="Q6746" s="17"/>
    </row>
    <row r="6747" spans="12:17" x14ac:dyDescent="0.3">
      <c r="L6747" s="25"/>
      <c r="Q6747" s="17"/>
    </row>
    <row r="6748" spans="12:17" x14ac:dyDescent="0.3">
      <c r="L6748" s="25"/>
      <c r="Q6748" s="17"/>
    </row>
    <row r="6749" spans="12:17" x14ac:dyDescent="0.3">
      <c r="L6749" s="25"/>
      <c r="Q6749" s="17"/>
    </row>
    <row r="6750" spans="12:17" x14ac:dyDescent="0.3">
      <c r="L6750" s="25"/>
      <c r="Q6750" s="17"/>
    </row>
    <row r="6751" spans="12:17" x14ac:dyDescent="0.3">
      <c r="L6751" s="25"/>
      <c r="Q6751" s="17"/>
    </row>
    <row r="6752" spans="12:17" x14ac:dyDescent="0.3">
      <c r="L6752" s="25"/>
      <c r="Q6752" s="17"/>
    </row>
    <row r="6753" spans="12:17" x14ac:dyDescent="0.3">
      <c r="L6753" s="25"/>
      <c r="Q6753" s="17"/>
    </row>
    <row r="6754" spans="12:17" x14ac:dyDescent="0.3">
      <c r="L6754" s="25"/>
      <c r="Q6754" s="17"/>
    </row>
    <row r="6755" spans="12:17" x14ac:dyDescent="0.3">
      <c r="L6755" s="25"/>
      <c r="Q6755" s="17"/>
    </row>
    <row r="6756" spans="12:17" x14ac:dyDescent="0.3">
      <c r="L6756" s="25"/>
      <c r="Q6756" s="17"/>
    </row>
    <row r="6757" spans="12:17" x14ac:dyDescent="0.3">
      <c r="L6757" s="25"/>
      <c r="Q6757" s="17"/>
    </row>
    <row r="6758" spans="12:17" x14ac:dyDescent="0.3">
      <c r="L6758" s="25"/>
      <c r="Q6758" s="17"/>
    </row>
    <row r="6759" spans="12:17" x14ac:dyDescent="0.3">
      <c r="L6759" s="25"/>
      <c r="Q6759" s="17"/>
    </row>
    <row r="6760" spans="12:17" x14ac:dyDescent="0.3">
      <c r="L6760" s="25"/>
      <c r="Q6760" s="17"/>
    </row>
    <row r="6761" spans="12:17" x14ac:dyDescent="0.3">
      <c r="L6761" s="25"/>
      <c r="Q6761" s="17"/>
    </row>
    <row r="6762" spans="12:17" x14ac:dyDescent="0.3">
      <c r="L6762" s="25"/>
      <c r="Q6762" s="17"/>
    </row>
    <row r="6763" spans="12:17" x14ac:dyDescent="0.3">
      <c r="L6763" s="25"/>
      <c r="Q6763" s="17"/>
    </row>
    <row r="6764" spans="12:17" x14ac:dyDescent="0.3">
      <c r="L6764" s="25"/>
      <c r="Q6764" s="17"/>
    </row>
    <row r="6765" spans="12:17" x14ac:dyDescent="0.3">
      <c r="L6765" s="25"/>
      <c r="Q6765" s="17"/>
    </row>
    <row r="6766" spans="12:17" x14ac:dyDescent="0.3">
      <c r="L6766" s="25"/>
      <c r="Q6766" s="17"/>
    </row>
    <row r="6767" spans="12:17" x14ac:dyDescent="0.3">
      <c r="L6767" s="25"/>
      <c r="Q6767" s="17"/>
    </row>
    <row r="6768" spans="12:17" x14ac:dyDescent="0.3">
      <c r="L6768" s="25"/>
      <c r="Q6768" s="17"/>
    </row>
    <row r="6769" spans="12:17" x14ac:dyDescent="0.3">
      <c r="L6769" s="25"/>
      <c r="Q6769" s="17"/>
    </row>
    <row r="6770" spans="12:17" x14ac:dyDescent="0.3">
      <c r="L6770" s="25"/>
      <c r="Q6770" s="17"/>
    </row>
    <row r="6771" spans="12:17" x14ac:dyDescent="0.3">
      <c r="L6771" s="25"/>
      <c r="Q6771" s="17"/>
    </row>
    <row r="6772" spans="12:17" x14ac:dyDescent="0.3">
      <c r="L6772" s="25"/>
      <c r="Q6772" s="17"/>
    </row>
    <row r="6773" spans="12:17" x14ac:dyDescent="0.3">
      <c r="L6773" s="25"/>
      <c r="Q6773" s="17"/>
    </row>
    <row r="6774" spans="12:17" x14ac:dyDescent="0.3">
      <c r="L6774" s="25"/>
      <c r="Q6774" s="17"/>
    </row>
    <row r="6775" spans="12:17" x14ac:dyDescent="0.3">
      <c r="L6775" s="25"/>
      <c r="Q6775" s="17"/>
    </row>
    <row r="6776" spans="12:17" x14ac:dyDescent="0.3">
      <c r="L6776" s="25"/>
      <c r="Q6776" s="17"/>
    </row>
    <row r="6777" spans="12:17" x14ac:dyDescent="0.3">
      <c r="L6777" s="25"/>
      <c r="Q6777" s="17"/>
    </row>
    <row r="6778" spans="12:17" x14ac:dyDescent="0.3">
      <c r="L6778" s="25"/>
      <c r="Q6778" s="17"/>
    </row>
    <row r="6779" spans="12:17" x14ac:dyDescent="0.3">
      <c r="L6779" s="25"/>
      <c r="Q6779" s="17"/>
    </row>
    <row r="6780" spans="12:17" x14ac:dyDescent="0.3">
      <c r="L6780" s="25"/>
      <c r="Q6780" s="17"/>
    </row>
    <row r="6781" spans="12:17" x14ac:dyDescent="0.3">
      <c r="L6781" s="25"/>
      <c r="Q6781" s="17"/>
    </row>
    <row r="6782" spans="12:17" x14ac:dyDescent="0.3">
      <c r="L6782" s="25"/>
      <c r="Q6782" s="17"/>
    </row>
    <row r="6783" spans="12:17" x14ac:dyDescent="0.3">
      <c r="L6783" s="25"/>
      <c r="Q6783" s="17"/>
    </row>
    <row r="6784" spans="12:17" x14ac:dyDescent="0.3">
      <c r="L6784" s="25"/>
      <c r="Q6784" s="17"/>
    </row>
    <row r="6785" spans="12:17" x14ac:dyDescent="0.3">
      <c r="L6785" s="25"/>
      <c r="Q6785" s="17"/>
    </row>
    <row r="6786" spans="12:17" x14ac:dyDescent="0.3">
      <c r="L6786" s="25"/>
      <c r="Q6786" s="17"/>
    </row>
    <row r="6787" spans="12:17" x14ac:dyDescent="0.3">
      <c r="L6787" s="25"/>
      <c r="Q6787" s="17"/>
    </row>
    <row r="6788" spans="12:17" x14ac:dyDescent="0.3">
      <c r="L6788" s="25"/>
      <c r="Q6788" s="17"/>
    </row>
    <row r="6789" spans="12:17" x14ac:dyDescent="0.3">
      <c r="L6789" s="25"/>
      <c r="Q6789" s="17"/>
    </row>
    <row r="6790" spans="12:17" x14ac:dyDescent="0.3">
      <c r="L6790" s="25"/>
      <c r="Q6790" s="17"/>
    </row>
    <row r="6791" spans="12:17" x14ac:dyDescent="0.3">
      <c r="L6791" s="25"/>
      <c r="Q6791" s="17"/>
    </row>
    <row r="6792" spans="12:17" x14ac:dyDescent="0.3">
      <c r="L6792" s="25"/>
      <c r="Q6792" s="17"/>
    </row>
    <row r="6793" spans="12:17" x14ac:dyDescent="0.3">
      <c r="L6793" s="25"/>
      <c r="Q6793" s="17"/>
    </row>
    <row r="6794" spans="12:17" x14ac:dyDescent="0.3">
      <c r="L6794" s="25"/>
      <c r="Q6794" s="17"/>
    </row>
    <row r="6795" spans="12:17" x14ac:dyDescent="0.3">
      <c r="L6795" s="25"/>
      <c r="Q6795" s="17"/>
    </row>
    <row r="6796" spans="12:17" x14ac:dyDescent="0.3">
      <c r="L6796" s="25"/>
      <c r="Q6796" s="17"/>
    </row>
    <row r="6797" spans="12:17" x14ac:dyDescent="0.3">
      <c r="L6797" s="25"/>
      <c r="Q6797" s="17"/>
    </row>
    <row r="6798" spans="12:17" x14ac:dyDescent="0.3">
      <c r="L6798" s="25"/>
      <c r="Q6798" s="17"/>
    </row>
    <row r="6799" spans="12:17" x14ac:dyDescent="0.3">
      <c r="L6799" s="25"/>
      <c r="Q6799" s="17"/>
    </row>
    <row r="6800" spans="12:17" x14ac:dyDescent="0.3">
      <c r="L6800" s="25"/>
      <c r="Q6800" s="17"/>
    </row>
    <row r="6801" spans="12:17" x14ac:dyDescent="0.3">
      <c r="L6801" s="25"/>
      <c r="Q6801" s="17"/>
    </row>
    <row r="6802" spans="12:17" x14ac:dyDescent="0.3">
      <c r="L6802" s="25"/>
      <c r="Q6802" s="17"/>
    </row>
    <row r="6803" spans="12:17" x14ac:dyDescent="0.3">
      <c r="L6803" s="25"/>
      <c r="Q6803" s="17"/>
    </row>
    <row r="6804" spans="12:17" x14ac:dyDescent="0.3">
      <c r="L6804" s="25"/>
      <c r="Q6804" s="17"/>
    </row>
    <row r="6805" spans="12:17" x14ac:dyDescent="0.3">
      <c r="L6805" s="25"/>
      <c r="Q6805" s="17"/>
    </row>
    <row r="6806" spans="12:17" x14ac:dyDescent="0.3">
      <c r="L6806" s="25"/>
      <c r="Q6806" s="17"/>
    </row>
    <row r="6807" spans="12:17" x14ac:dyDescent="0.3">
      <c r="L6807" s="25"/>
      <c r="Q6807" s="17"/>
    </row>
    <row r="6808" spans="12:17" x14ac:dyDescent="0.3">
      <c r="L6808" s="25"/>
      <c r="Q6808" s="17"/>
    </row>
    <row r="6809" spans="12:17" x14ac:dyDescent="0.3">
      <c r="L6809" s="25"/>
      <c r="Q6809" s="17"/>
    </row>
    <row r="6810" spans="12:17" x14ac:dyDescent="0.3">
      <c r="L6810" s="25"/>
      <c r="Q6810" s="17"/>
    </row>
    <row r="6811" spans="12:17" x14ac:dyDescent="0.3">
      <c r="L6811" s="25"/>
      <c r="Q6811" s="17"/>
    </row>
    <row r="6812" spans="12:17" x14ac:dyDescent="0.3">
      <c r="L6812" s="25"/>
      <c r="Q6812" s="17"/>
    </row>
    <row r="6813" spans="12:17" x14ac:dyDescent="0.3">
      <c r="L6813" s="25"/>
      <c r="Q6813" s="17"/>
    </row>
    <row r="6814" spans="12:17" x14ac:dyDescent="0.3">
      <c r="L6814" s="25"/>
      <c r="Q6814" s="17"/>
    </row>
    <row r="6815" spans="12:17" x14ac:dyDescent="0.3">
      <c r="L6815" s="25"/>
      <c r="Q6815" s="17"/>
    </row>
    <row r="6816" spans="12:17" x14ac:dyDescent="0.3">
      <c r="L6816" s="25"/>
      <c r="Q6816" s="17"/>
    </row>
    <row r="6817" spans="12:17" x14ac:dyDescent="0.3">
      <c r="L6817" s="25"/>
      <c r="Q6817" s="17"/>
    </row>
    <row r="6818" spans="12:17" x14ac:dyDescent="0.3">
      <c r="L6818" s="25"/>
      <c r="Q6818" s="17"/>
    </row>
    <row r="6819" spans="12:17" x14ac:dyDescent="0.3">
      <c r="L6819" s="25"/>
      <c r="Q6819" s="17"/>
    </row>
    <row r="6820" spans="12:17" x14ac:dyDescent="0.3">
      <c r="L6820" s="25"/>
      <c r="Q6820" s="17"/>
    </row>
    <row r="6821" spans="12:17" x14ac:dyDescent="0.3">
      <c r="L6821" s="25"/>
      <c r="Q6821" s="17"/>
    </row>
    <row r="6822" spans="12:17" x14ac:dyDescent="0.3">
      <c r="L6822" s="25"/>
      <c r="Q6822" s="17"/>
    </row>
    <row r="6823" spans="12:17" x14ac:dyDescent="0.3">
      <c r="L6823" s="25"/>
      <c r="Q6823" s="17"/>
    </row>
    <row r="6824" spans="12:17" x14ac:dyDescent="0.3">
      <c r="L6824" s="25"/>
      <c r="Q6824" s="17"/>
    </row>
    <row r="6825" spans="12:17" x14ac:dyDescent="0.3">
      <c r="L6825" s="25"/>
      <c r="Q6825" s="17"/>
    </row>
    <row r="6826" spans="12:17" x14ac:dyDescent="0.3">
      <c r="L6826" s="25"/>
      <c r="Q6826" s="17"/>
    </row>
    <row r="6827" spans="12:17" x14ac:dyDescent="0.3">
      <c r="L6827" s="25"/>
      <c r="Q6827" s="17"/>
    </row>
    <row r="6828" spans="12:17" x14ac:dyDescent="0.3">
      <c r="L6828" s="25"/>
      <c r="Q6828" s="17"/>
    </row>
    <row r="6829" spans="12:17" x14ac:dyDescent="0.3">
      <c r="L6829" s="25"/>
      <c r="Q6829" s="17"/>
    </row>
    <row r="6830" spans="12:17" x14ac:dyDescent="0.3">
      <c r="L6830" s="25"/>
      <c r="Q6830" s="17"/>
    </row>
    <row r="6831" spans="12:17" x14ac:dyDescent="0.3">
      <c r="L6831" s="25"/>
      <c r="Q6831" s="17"/>
    </row>
    <row r="6832" spans="12:17" x14ac:dyDescent="0.3">
      <c r="L6832" s="25"/>
      <c r="Q6832" s="17"/>
    </row>
    <row r="6833" spans="12:17" x14ac:dyDescent="0.3">
      <c r="L6833" s="25"/>
      <c r="Q6833" s="17"/>
    </row>
    <row r="6834" spans="12:17" x14ac:dyDescent="0.3">
      <c r="L6834" s="25"/>
      <c r="Q6834" s="17"/>
    </row>
    <row r="6835" spans="12:17" x14ac:dyDescent="0.3">
      <c r="L6835" s="25"/>
      <c r="Q6835" s="17"/>
    </row>
    <row r="6836" spans="12:17" x14ac:dyDescent="0.3">
      <c r="L6836" s="25"/>
      <c r="Q6836" s="17"/>
    </row>
    <row r="6837" spans="12:17" x14ac:dyDescent="0.3">
      <c r="L6837" s="25"/>
      <c r="Q6837" s="17"/>
    </row>
    <row r="6838" spans="12:17" x14ac:dyDescent="0.3">
      <c r="L6838" s="25"/>
      <c r="Q6838" s="17"/>
    </row>
    <row r="6839" spans="12:17" x14ac:dyDescent="0.3">
      <c r="L6839" s="25"/>
      <c r="Q6839" s="17"/>
    </row>
    <row r="6840" spans="12:17" x14ac:dyDescent="0.3">
      <c r="L6840" s="25"/>
      <c r="Q6840" s="17"/>
    </row>
    <row r="6841" spans="12:17" x14ac:dyDescent="0.3">
      <c r="L6841" s="25"/>
      <c r="Q6841" s="17"/>
    </row>
    <row r="6842" spans="12:17" x14ac:dyDescent="0.3">
      <c r="L6842" s="25"/>
      <c r="Q6842" s="17"/>
    </row>
    <row r="6843" spans="12:17" x14ac:dyDescent="0.3">
      <c r="L6843" s="25"/>
      <c r="Q6843" s="17"/>
    </row>
    <row r="6844" spans="12:17" x14ac:dyDescent="0.3">
      <c r="L6844" s="25"/>
      <c r="Q6844" s="17"/>
    </row>
    <row r="6845" spans="12:17" x14ac:dyDescent="0.3">
      <c r="L6845" s="25"/>
      <c r="Q6845" s="17"/>
    </row>
    <row r="6846" spans="12:17" x14ac:dyDescent="0.3">
      <c r="L6846" s="25"/>
      <c r="Q6846" s="17"/>
    </row>
    <row r="6847" spans="12:17" x14ac:dyDescent="0.3">
      <c r="L6847" s="25"/>
      <c r="Q6847" s="17"/>
    </row>
    <row r="6848" spans="12:17" x14ac:dyDescent="0.3">
      <c r="L6848" s="25"/>
      <c r="Q6848" s="17"/>
    </row>
    <row r="6849" spans="12:17" x14ac:dyDescent="0.3">
      <c r="L6849" s="25"/>
      <c r="Q6849" s="17"/>
    </row>
    <row r="6850" spans="12:17" x14ac:dyDescent="0.3">
      <c r="L6850" s="25"/>
      <c r="Q6850" s="17"/>
    </row>
    <row r="6851" spans="12:17" x14ac:dyDescent="0.3">
      <c r="L6851" s="25"/>
      <c r="Q6851" s="17"/>
    </row>
    <row r="6852" spans="12:17" x14ac:dyDescent="0.3">
      <c r="L6852" s="25"/>
      <c r="Q6852" s="17"/>
    </row>
    <row r="6853" spans="12:17" x14ac:dyDescent="0.3">
      <c r="L6853" s="25"/>
      <c r="Q6853" s="17"/>
    </row>
    <row r="6854" spans="12:17" x14ac:dyDescent="0.3">
      <c r="L6854" s="25"/>
      <c r="Q6854" s="17"/>
    </row>
    <row r="6855" spans="12:17" x14ac:dyDescent="0.3">
      <c r="L6855" s="25"/>
      <c r="Q6855" s="17"/>
    </row>
    <row r="6856" spans="12:17" x14ac:dyDescent="0.3">
      <c r="L6856" s="25"/>
      <c r="Q6856" s="17"/>
    </row>
    <row r="6857" spans="12:17" x14ac:dyDescent="0.3">
      <c r="L6857" s="25"/>
      <c r="Q6857" s="17"/>
    </row>
    <row r="6858" spans="12:17" x14ac:dyDescent="0.3">
      <c r="L6858" s="25"/>
      <c r="Q6858" s="17"/>
    </row>
    <row r="6859" spans="12:17" x14ac:dyDescent="0.3">
      <c r="L6859" s="25"/>
      <c r="Q6859" s="17"/>
    </row>
    <row r="6860" spans="12:17" x14ac:dyDescent="0.3">
      <c r="L6860" s="25"/>
      <c r="Q6860" s="17"/>
    </row>
    <row r="6861" spans="12:17" x14ac:dyDescent="0.3">
      <c r="L6861" s="25"/>
      <c r="Q6861" s="17"/>
    </row>
    <row r="6862" spans="12:17" x14ac:dyDescent="0.3">
      <c r="L6862" s="25"/>
      <c r="Q6862" s="17"/>
    </row>
    <row r="6863" spans="12:17" x14ac:dyDescent="0.3">
      <c r="L6863" s="25"/>
      <c r="Q6863" s="17"/>
    </row>
    <row r="6864" spans="12:17" x14ac:dyDescent="0.3">
      <c r="L6864" s="25"/>
      <c r="Q6864" s="17"/>
    </row>
    <row r="6865" spans="12:17" x14ac:dyDescent="0.3">
      <c r="L6865" s="25"/>
      <c r="Q6865" s="17"/>
    </row>
    <row r="6866" spans="12:17" x14ac:dyDescent="0.3">
      <c r="L6866" s="25"/>
      <c r="Q6866" s="17"/>
    </row>
    <row r="6867" spans="12:17" x14ac:dyDescent="0.3">
      <c r="L6867" s="25"/>
      <c r="Q6867" s="17"/>
    </row>
    <row r="6868" spans="12:17" x14ac:dyDescent="0.3">
      <c r="L6868" s="25"/>
      <c r="Q6868" s="17"/>
    </row>
    <row r="6869" spans="12:17" x14ac:dyDescent="0.3">
      <c r="L6869" s="25"/>
      <c r="Q6869" s="17"/>
    </row>
    <row r="6870" spans="12:17" x14ac:dyDescent="0.3">
      <c r="L6870" s="25"/>
      <c r="Q6870" s="17"/>
    </row>
    <row r="6871" spans="12:17" x14ac:dyDescent="0.3">
      <c r="L6871" s="25"/>
      <c r="Q6871" s="17"/>
    </row>
    <row r="6872" spans="12:17" x14ac:dyDescent="0.3">
      <c r="L6872" s="25"/>
      <c r="Q6872" s="17"/>
    </row>
    <row r="6873" spans="12:17" x14ac:dyDescent="0.3">
      <c r="L6873" s="25"/>
      <c r="Q6873" s="17"/>
    </row>
    <row r="6874" spans="12:17" x14ac:dyDescent="0.3">
      <c r="L6874" s="25"/>
      <c r="Q6874" s="17"/>
    </row>
    <row r="6875" spans="12:17" x14ac:dyDescent="0.3">
      <c r="L6875" s="25"/>
      <c r="Q6875" s="17"/>
    </row>
    <row r="6876" spans="12:17" x14ac:dyDescent="0.3">
      <c r="L6876" s="25"/>
      <c r="Q6876" s="17"/>
    </row>
    <row r="6877" spans="12:17" x14ac:dyDescent="0.3">
      <c r="L6877" s="25"/>
      <c r="Q6877" s="17"/>
    </row>
    <row r="6878" spans="12:17" x14ac:dyDescent="0.3">
      <c r="L6878" s="25"/>
      <c r="Q6878" s="17"/>
    </row>
    <row r="6879" spans="12:17" x14ac:dyDescent="0.3">
      <c r="L6879" s="25"/>
      <c r="Q6879" s="17"/>
    </row>
    <row r="6880" spans="12:17" x14ac:dyDescent="0.3">
      <c r="L6880" s="25"/>
      <c r="Q6880" s="17"/>
    </row>
    <row r="6881" spans="12:17" x14ac:dyDescent="0.3">
      <c r="L6881" s="25"/>
      <c r="Q6881" s="17"/>
    </row>
    <row r="6882" spans="12:17" x14ac:dyDescent="0.3">
      <c r="L6882" s="25"/>
      <c r="Q6882" s="17"/>
    </row>
    <row r="6883" spans="12:17" x14ac:dyDescent="0.3">
      <c r="L6883" s="25"/>
      <c r="Q6883" s="17"/>
    </row>
    <row r="6884" spans="12:17" x14ac:dyDescent="0.3">
      <c r="L6884" s="25"/>
      <c r="Q6884" s="17"/>
    </row>
    <row r="6885" spans="12:17" x14ac:dyDescent="0.3">
      <c r="L6885" s="25"/>
      <c r="Q6885" s="17"/>
    </row>
    <row r="6886" spans="12:17" x14ac:dyDescent="0.3">
      <c r="L6886" s="25"/>
      <c r="Q6886" s="17"/>
    </row>
    <row r="6887" spans="12:17" x14ac:dyDescent="0.3">
      <c r="L6887" s="25"/>
      <c r="Q6887" s="17"/>
    </row>
    <row r="6888" spans="12:17" x14ac:dyDescent="0.3">
      <c r="L6888" s="25"/>
      <c r="Q6888" s="17"/>
    </row>
    <row r="6889" spans="12:17" x14ac:dyDescent="0.3">
      <c r="L6889" s="25"/>
      <c r="Q6889" s="17"/>
    </row>
    <row r="6890" spans="12:17" x14ac:dyDescent="0.3">
      <c r="L6890" s="25"/>
      <c r="Q6890" s="17"/>
    </row>
    <row r="6891" spans="12:17" x14ac:dyDescent="0.3">
      <c r="L6891" s="25"/>
      <c r="Q6891" s="17"/>
    </row>
    <row r="6892" spans="12:17" x14ac:dyDescent="0.3">
      <c r="L6892" s="25"/>
      <c r="Q6892" s="17"/>
    </row>
    <row r="6893" spans="12:17" x14ac:dyDescent="0.3">
      <c r="L6893" s="25"/>
      <c r="Q6893" s="17"/>
    </row>
    <row r="6894" spans="12:17" x14ac:dyDescent="0.3">
      <c r="L6894" s="25"/>
      <c r="Q6894" s="17"/>
    </row>
    <row r="6895" spans="12:17" x14ac:dyDescent="0.3">
      <c r="L6895" s="25"/>
      <c r="Q6895" s="17"/>
    </row>
    <row r="6896" spans="12:17" x14ac:dyDescent="0.3">
      <c r="L6896" s="25"/>
      <c r="Q6896" s="17"/>
    </row>
    <row r="6897" spans="12:17" x14ac:dyDescent="0.3">
      <c r="L6897" s="25"/>
      <c r="Q6897" s="17"/>
    </row>
    <row r="6898" spans="12:17" x14ac:dyDescent="0.3">
      <c r="L6898" s="25"/>
      <c r="Q6898" s="17"/>
    </row>
    <row r="6899" spans="12:17" x14ac:dyDescent="0.3">
      <c r="L6899" s="25"/>
      <c r="Q6899" s="17"/>
    </row>
    <row r="6900" spans="12:17" x14ac:dyDescent="0.3">
      <c r="L6900" s="25"/>
      <c r="Q6900" s="17"/>
    </row>
    <row r="6901" spans="12:17" x14ac:dyDescent="0.3">
      <c r="L6901" s="25"/>
      <c r="Q6901" s="17"/>
    </row>
    <row r="6902" spans="12:17" x14ac:dyDescent="0.3">
      <c r="L6902" s="25"/>
      <c r="Q6902" s="17"/>
    </row>
    <row r="6903" spans="12:17" x14ac:dyDescent="0.3">
      <c r="L6903" s="25"/>
      <c r="Q6903" s="17"/>
    </row>
    <row r="6904" spans="12:17" x14ac:dyDescent="0.3">
      <c r="L6904" s="25"/>
      <c r="Q6904" s="17"/>
    </row>
    <row r="6905" spans="12:17" x14ac:dyDescent="0.3">
      <c r="L6905" s="25"/>
      <c r="Q6905" s="17"/>
    </row>
    <row r="6906" spans="12:17" x14ac:dyDescent="0.3">
      <c r="L6906" s="25"/>
      <c r="Q6906" s="17"/>
    </row>
    <row r="6907" spans="12:17" x14ac:dyDescent="0.3">
      <c r="L6907" s="25"/>
      <c r="Q6907" s="17"/>
    </row>
    <row r="6908" spans="12:17" x14ac:dyDescent="0.3">
      <c r="L6908" s="25"/>
      <c r="Q6908" s="17"/>
    </row>
    <row r="6909" spans="12:17" x14ac:dyDescent="0.3">
      <c r="L6909" s="25"/>
      <c r="Q6909" s="17"/>
    </row>
    <row r="6910" spans="12:17" x14ac:dyDescent="0.3">
      <c r="L6910" s="25"/>
      <c r="Q6910" s="17"/>
    </row>
    <row r="6911" spans="12:17" x14ac:dyDescent="0.3">
      <c r="L6911" s="25"/>
      <c r="Q6911" s="17"/>
    </row>
    <row r="6912" spans="12:17" x14ac:dyDescent="0.3">
      <c r="L6912" s="25"/>
      <c r="Q6912" s="17"/>
    </row>
    <row r="6913" spans="12:17" x14ac:dyDescent="0.3">
      <c r="L6913" s="25"/>
      <c r="Q6913" s="17"/>
    </row>
    <row r="6914" spans="12:17" x14ac:dyDescent="0.3">
      <c r="L6914" s="25"/>
      <c r="Q6914" s="17"/>
    </row>
    <row r="6915" spans="12:17" x14ac:dyDescent="0.3">
      <c r="L6915" s="25"/>
      <c r="Q6915" s="17"/>
    </row>
    <row r="6916" spans="12:17" x14ac:dyDescent="0.3">
      <c r="L6916" s="25"/>
      <c r="Q6916" s="17"/>
    </row>
    <row r="6917" spans="12:17" x14ac:dyDescent="0.3">
      <c r="L6917" s="25"/>
      <c r="Q6917" s="17"/>
    </row>
    <row r="6918" spans="12:17" x14ac:dyDescent="0.3">
      <c r="L6918" s="25"/>
      <c r="Q6918" s="17"/>
    </row>
    <row r="6919" spans="12:17" x14ac:dyDescent="0.3">
      <c r="L6919" s="25"/>
      <c r="Q6919" s="17"/>
    </row>
    <row r="6920" spans="12:17" x14ac:dyDescent="0.3">
      <c r="L6920" s="25"/>
      <c r="Q6920" s="17"/>
    </row>
    <row r="6921" spans="12:17" x14ac:dyDescent="0.3">
      <c r="L6921" s="25"/>
      <c r="Q6921" s="17"/>
    </row>
    <row r="6922" spans="12:17" x14ac:dyDescent="0.3">
      <c r="L6922" s="25"/>
      <c r="Q6922" s="17"/>
    </row>
    <row r="6923" spans="12:17" x14ac:dyDescent="0.3">
      <c r="L6923" s="25"/>
      <c r="Q6923" s="17"/>
    </row>
    <row r="6924" spans="12:17" x14ac:dyDescent="0.3">
      <c r="L6924" s="25"/>
      <c r="Q6924" s="17"/>
    </row>
    <row r="6925" spans="12:17" x14ac:dyDescent="0.3">
      <c r="L6925" s="25"/>
      <c r="Q6925" s="17"/>
    </row>
    <row r="6926" spans="12:17" x14ac:dyDescent="0.3">
      <c r="L6926" s="25"/>
      <c r="Q6926" s="17"/>
    </row>
    <row r="6927" spans="12:17" x14ac:dyDescent="0.3">
      <c r="L6927" s="25"/>
      <c r="Q6927" s="17"/>
    </row>
    <row r="6928" spans="12:17" x14ac:dyDescent="0.3">
      <c r="L6928" s="25"/>
      <c r="Q6928" s="17"/>
    </row>
    <row r="6929" spans="12:17" x14ac:dyDescent="0.3">
      <c r="L6929" s="25"/>
      <c r="Q6929" s="17"/>
    </row>
    <row r="6930" spans="12:17" x14ac:dyDescent="0.3">
      <c r="L6930" s="25"/>
      <c r="Q6930" s="17"/>
    </row>
    <row r="6931" spans="12:17" x14ac:dyDescent="0.3">
      <c r="L6931" s="25"/>
      <c r="Q6931" s="17"/>
    </row>
    <row r="6932" spans="12:17" x14ac:dyDescent="0.3">
      <c r="L6932" s="25"/>
      <c r="Q6932" s="17"/>
    </row>
    <row r="6933" spans="12:17" x14ac:dyDescent="0.3">
      <c r="L6933" s="25"/>
      <c r="Q6933" s="17"/>
    </row>
    <row r="6934" spans="12:17" x14ac:dyDescent="0.3">
      <c r="L6934" s="25"/>
      <c r="Q6934" s="17"/>
    </row>
    <row r="6935" spans="12:17" x14ac:dyDescent="0.3">
      <c r="L6935" s="25"/>
      <c r="Q6935" s="17"/>
    </row>
    <row r="6936" spans="12:17" x14ac:dyDescent="0.3">
      <c r="L6936" s="25"/>
      <c r="Q6936" s="17"/>
    </row>
    <row r="6937" spans="12:17" x14ac:dyDescent="0.3">
      <c r="L6937" s="25"/>
      <c r="Q6937" s="17"/>
    </row>
    <row r="6938" spans="12:17" x14ac:dyDescent="0.3">
      <c r="L6938" s="25"/>
      <c r="Q6938" s="17"/>
    </row>
    <row r="6939" spans="12:17" x14ac:dyDescent="0.3">
      <c r="L6939" s="25"/>
      <c r="Q6939" s="17"/>
    </row>
    <row r="6940" spans="12:17" x14ac:dyDescent="0.3">
      <c r="L6940" s="25"/>
      <c r="Q6940" s="17"/>
    </row>
    <row r="6941" spans="12:17" x14ac:dyDescent="0.3">
      <c r="L6941" s="25"/>
      <c r="Q6941" s="17"/>
    </row>
    <row r="6942" spans="12:17" x14ac:dyDescent="0.3">
      <c r="L6942" s="25"/>
      <c r="Q6942" s="17"/>
    </row>
    <row r="6943" spans="12:17" x14ac:dyDescent="0.3">
      <c r="L6943" s="25"/>
      <c r="Q6943" s="17"/>
    </row>
    <row r="6944" spans="12:17" x14ac:dyDescent="0.3">
      <c r="L6944" s="25"/>
      <c r="Q6944" s="17"/>
    </row>
    <row r="6945" spans="12:17" x14ac:dyDescent="0.3">
      <c r="L6945" s="25"/>
      <c r="Q6945" s="17"/>
    </row>
    <row r="6946" spans="12:17" x14ac:dyDescent="0.3">
      <c r="L6946" s="25"/>
      <c r="Q6946" s="17"/>
    </row>
    <row r="6947" spans="12:17" x14ac:dyDescent="0.3">
      <c r="L6947" s="25"/>
      <c r="Q6947" s="17"/>
    </row>
    <row r="6948" spans="12:17" x14ac:dyDescent="0.3">
      <c r="L6948" s="25"/>
      <c r="Q6948" s="17"/>
    </row>
    <row r="6949" spans="12:17" x14ac:dyDescent="0.3">
      <c r="L6949" s="25"/>
      <c r="Q6949" s="17"/>
    </row>
    <row r="6950" spans="12:17" x14ac:dyDescent="0.3">
      <c r="L6950" s="25"/>
      <c r="Q6950" s="17"/>
    </row>
    <row r="6951" spans="12:17" x14ac:dyDescent="0.3">
      <c r="L6951" s="25"/>
      <c r="Q6951" s="17"/>
    </row>
    <row r="6952" spans="12:17" x14ac:dyDescent="0.3">
      <c r="L6952" s="25"/>
      <c r="Q6952" s="17"/>
    </row>
    <row r="6953" spans="12:17" x14ac:dyDescent="0.3">
      <c r="L6953" s="25"/>
      <c r="Q6953" s="17"/>
    </row>
    <row r="6954" spans="12:17" x14ac:dyDescent="0.3">
      <c r="L6954" s="25"/>
      <c r="Q6954" s="17"/>
    </row>
    <row r="6955" spans="12:17" x14ac:dyDescent="0.3">
      <c r="L6955" s="25"/>
      <c r="Q6955" s="17"/>
    </row>
    <row r="6956" spans="12:17" x14ac:dyDescent="0.3">
      <c r="L6956" s="25"/>
      <c r="Q6956" s="17"/>
    </row>
    <row r="6957" spans="12:17" x14ac:dyDescent="0.3">
      <c r="L6957" s="25"/>
      <c r="Q6957" s="17"/>
    </row>
    <row r="6958" spans="12:17" x14ac:dyDescent="0.3">
      <c r="L6958" s="25"/>
      <c r="Q6958" s="17"/>
    </row>
    <row r="6959" spans="12:17" x14ac:dyDescent="0.3">
      <c r="L6959" s="25"/>
      <c r="Q6959" s="17"/>
    </row>
    <row r="6960" spans="12:17" x14ac:dyDescent="0.3">
      <c r="L6960" s="25"/>
      <c r="Q6960" s="17"/>
    </row>
    <row r="6961" spans="12:17" x14ac:dyDescent="0.3">
      <c r="L6961" s="25"/>
      <c r="Q6961" s="17"/>
    </row>
    <row r="6962" spans="12:17" x14ac:dyDescent="0.3">
      <c r="L6962" s="25"/>
      <c r="Q6962" s="17"/>
    </row>
    <row r="6963" spans="12:17" x14ac:dyDescent="0.3">
      <c r="L6963" s="25"/>
      <c r="Q6963" s="17"/>
    </row>
    <row r="6964" spans="12:17" x14ac:dyDescent="0.3">
      <c r="L6964" s="25"/>
      <c r="Q6964" s="17"/>
    </row>
    <row r="6965" spans="12:17" x14ac:dyDescent="0.3">
      <c r="L6965" s="25"/>
      <c r="Q6965" s="17"/>
    </row>
    <row r="6966" spans="12:17" x14ac:dyDescent="0.3">
      <c r="L6966" s="25"/>
      <c r="Q6966" s="17"/>
    </row>
    <row r="6967" spans="12:17" x14ac:dyDescent="0.3">
      <c r="L6967" s="25"/>
      <c r="Q6967" s="17"/>
    </row>
    <row r="6968" spans="12:17" x14ac:dyDescent="0.3">
      <c r="L6968" s="25"/>
      <c r="Q6968" s="17"/>
    </row>
    <row r="6969" spans="12:17" x14ac:dyDescent="0.3">
      <c r="L6969" s="25"/>
      <c r="Q6969" s="17"/>
    </row>
    <row r="6970" spans="12:17" x14ac:dyDescent="0.3">
      <c r="L6970" s="25"/>
      <c r="Q6970" s="17"/>
    </row>
    <row r="6971" spans="12:17" x14ac:dyDescent="0.3">
      <c r="L6971" s="25"/>
      <c r="Q6971" s="17"/>
    </row>
    <row r="6972" spans="12:17" x14ac:dyDescent="0.3">
      <c r="L6972" s="25"/>
      <c r="Q6972" s="17"/>
    </row>
    <row r="6973" spans="12:17" x14ac:dyDescent="0.3">
      <c r="L6973" s="25"/>
      <c r="Q6973" s="17"/>
    </row>
    <row r="6974" spans="12:17" x14ac:dyDescent="0.3">
      <c r="L6974" s="25"/>
      <c r="Q6974" s="17"/>
    </row>
    <row r="6975" spans="12:17" x14ac:dyDescent="0.3">
      <c r="L6975" s="25"/>
      <c r="Q6975" s="17"/>
    </row>
    <row r="6976" spans="12:17" x14ac:dyDescent="0.3">
      <c r="L6976" s="25"/>
      <c r="Q6976" s="17"/>
    </row>
    <row r="6977" spans="12:17" x14ac:dyDescent="0.3">
      <c r="L6977" s="25"/>
      <c r="Q6977" s="17"/>
    </row>
    <row r="6978" spans="12:17" x14ac:dyDescent="0.3">
      <c r="L6978" s="25"/>
      <c r="Q6978" s="17"/>
    </row>
    <row r="6979" spans="12:17" x14ac:dyDescent="0.3">
      <c r="L6979" s="25"/>
      <c r="Q6979" s="17"/>
    </row>
    <row r="6980" spans="12:17" x14ac:dyDescent="0.3">
      <c r="L6980" s="25"/>
      <c r="Q6980" s="17"/>
    </row>
    <row r="6981" spans="12:17" x14ac:dyDescent="0.3">
      <c r="L6981" s="25"/>
      <c r="Q6981" s="17"/>
    </row>
    <row r="6982" spans="12:17" x14ac:dyDescent="0.3">
      <c r="L6982" s="25"/>
      <c r="Q6982" s="17"/>
    </row>
    <row r="6983" spans="12:17" x14ac:dyDescent="0.3">
      <c r="L6983" s="25"/>
      <c r="Q6983" s="17"/>
    </row>
    <row r="6984" spans="12:17" x14ac:dyDescent="0.3">
      <c r="L6984" s="25"/>
      <c r="Q6984" s="17"/>
    </row>
    <row r="6985" spans="12:17" x14ac:dyDescent="0.3">
      <c r="L6985" s="25"/>
      <c r="Q6985" s="17"/>
    </row>
    <row r="6986" spans="12:17" x14ac:dyDescent="0.3">
      <c r="L6986" s="25"/>
      <c r="Q6986" s="17"/>
    </row>
    <row r="6987" spans="12:17" x14ac:dyDescent="0.3">
      <c r="L6987" s="25"/>
      <c r="Q6987" s="17"/>
    </row>
    <row r="6988" spans="12:17" x14ac:dyDescent="0.3">
      <c r="L6988" s="25"/>
      <c r="Q6988" s="17"/>
    </row>
    <row r="6989" spans="12:17" x14ac:dyDescent="0.3">
      <c r="L6989" s="25"/>
      <c r="Q6989" s="17"/>
    </row>
    <row r="6990" spans="12:17" x14ac:dyDescent="0.3">
      <c r="L6990" s="25"/>
      <c r="Q6990" s="17"/>
    </row>
    <row r="6991" spans="12:17" x14ac:dyDescent="0.3">
      <c r="L6991" s="25"/>
      <c r="Q6991" s="17"/>
    </row>
    <row r="6992" spans="12:17" x14ac:dyDescent="0.3">
      <c r="L6992" s="25"/>
      <c r="Q6992" s="17"/>
    </row>
    <row r="6993" spans="12:17" x14ac:dyDescent="0.3">
      <c r="L6993" s="25"/>
      <c r="Q6993" s="17"/>
    </row>
    <row r="6994" spans="12:17" x14ac:dyDescent="0.3">
      <c r="L6994" s="25"/>
      <c r="Q6994" s="17"/>
    </row>
    <row r="6995" spans="12:17" x14ac:dyDescent="0.3">
      <c r="L6995" s="25"/>
      <c r="Q6995" s="17"/>
    </row>
    <row r="6996" spans="12:17" x14ac:dyDescent="0.3">
      <c r="L6996" s="25"/>
      <c r="Q6996" s="17"/>
    </row>
    <row r="6997" spans="12:17" x14ac:dyDescent="0.3">
      <c r="L6997" s="25"/>
      <c r="Q6997" s="17"/>
    </row>
    <row r="6998" spans="12:17" x14ac:dyDescent="0.3">
      <c r="L6998" s="25"/>
      <c r="Q6998" s="17"/>
    </row>
    <row r="6999" spans="12:17" x14ac:dyDescent="0.3">
      <c r="L6999" s="25"/>
      <c r="Q6999" s="17"/>
    </row>
    <row r="7000" spans="12:17" x14ac:dyDescent="0.3">
      <c r="L7000" s="25"/>
      <c r="Q7000" s="17"/>
    </row>
    <row r="7001" spans="12:17" x14ac:dyDescent="0.3">
      <c r="L7001" s="25"/>
      <c r="Q7001" s="17"/>
    </row>
    <row r="7002" spans="12:17" x14ac:dyDescent="0.3">
      <c r="L7002" s="25"/>
      <c r="Q7002" s="17"/>
    </row>
    <row r="7003" spans="12:17" x14ac:dyDescent="0.3">
      <c r="L7003" s="25"/>
      <c r="Q7003" s="17"/>
    </row>
    <row r="7004" spans="12:17" x14ac:dyDescent="0.3">
      <c r="L7004" s="25"/>
      <c r="Q7004" s="17"/>
    </row>
    <row r="7005" spans="12:17" x14ac:dyDescent="0.3">
      <c r="L7005" s="25"/>
      <c r="Q7005" s="17"/>
    </row>
    <row r="7006" spans="12:17" x14ac:dyDescent="0.3">
      <c r="L7006" s="25"/>
      <c r="Q7006" s="17"/>
    </row>
    <row r="7007" spans="12:17" x14ac:dyDescent="0.3">
      <c r="L7007" s="25"/>
      <c r="Q7007" s="17"/>
    </row>
    <row r="7008" spans="12:17" x14ac:dyDescent="0.3">
      <c r="L7008" s="25"/>
      <c r="Q7008" s="17"/>
    </row>
    <row r="7009" spans="12:17" x14ac:dyDescent="0.3">
      <c r="L7009" s="25"/>
      <c r="Q7009" s="17"/>
    </row>
    <row r="7010" spans="12:17" x14ac:dyDescent="0.3">
      <c r="L7010" s="25"/>
      <c r="Q7010" s="17"/>
    </row>
    <row r="7011" spans="12:17" x14ac:dyDescent="0.3">
      <c r="L7011" s="25"/>
      <c r="Q7011" s="17"/>
    </row>
    <row r="7012" spans="12:17" x14ac:dyDescent="0.3">
      <c r="L7012" s="25"/>
      <c r="Q7012" s="17"/>
    </row>
    <row r="7013" spans="12:17" x14ac:dyDescent="0.3">
      <c r="L7013" s="25"/>
      <c r="Q7013" s="17"/>
    </row>
    <row r="7014" spans="12:17" x14ac:dyDescent="0.3">
      <c r="L7014" s="25"/>
      <c r="Q7014" s="17"/>
    </row>
    <row r="7015" spans="12:17" x14ac:dyDescent="0.3">
      <c r="L7015" s="25"/>
      <c r="Q7015" s="17"/>
    </row>
    <row r="7016" spans="12:17" x14ac:dyDescent="0.3">
      <c r="L7016" s="25"/>
      <c r="Q7016" s="17"/>
    </row>
    <row r="7017" spans="12:17" x14ac:dyDescent="0.3">
      <c r="L7017" s="25"/>
      <c r="Q7017" s="17"/>
    </row>
    <row r="7018" spans="12:17" x14ac:dyDescent="0.3">
      <c r="L7018" s="25"/>
      <c r="Q7018" s="17"/>
    </row>
    <row r="7019" spans="12:17" x14ac:dyDescent="0.3">
      <c r="L7019" s="25"/>
      <c r="Q7019" s="17"/>
    </row>
    <row r="7020" spans="12:17" x14ac:dyDescent="0.3">
      <c r="L7020" s="25"/>
      <c r="Q7020" s="17"/>
    </row>
    <row r="7021" spans="12:17" x14ac:dyDescent="0.3">
      <c r="L7021" s="25"/>
      <c r="Q7021" s="17"/>
    </row>
    <row r="7022" spans="12:17" x14ac:dyDescent="0.3">
      <c r="L7022" s="25"/>
      <c r="Q7022" s="17"/>
    </row>
    <row r="7023" spans="12:17" x14ac:dyDescent="0.3">
      <c r="L7023" s="25"/>
      <c r="Q7023" s="17"/>
    </row>
    <row r="7024" spans="12:17" x14ac:dyDescent="0.3">
      <c r="L7024" s="25"/>
      <c r="Q7024" s="17"/>
    </row>
    <row r="7025" spans="12:17" x14ac:dyDescent="0.3">
      <c r="L7025" s="25"/>
      <c r="Q7025" s="17"/>
    </row>
    <row r="7026" spans="12:17" x14ac:dyDescent="0.3">
      <c r="L7026" s="25"/>
      <c r="Q7026" s="17"/>
    </row>
    <row r="7027" spans="12:17" x14ac:dyDescent="0.3">
      <c r="L7027" s="25"/>
      <c r="Q7027" s="17"/>
    </row>
    <row r="7028" spans="12:17" x14ac:dyDescent="0.3">
      <c r="L7028" s="25"/>
      <c r="Q7028" s="17"/>
    </row>
    <row r="7029" spans="12:17" x14ac:dyDescent="0.3">
      <c r="L7029" s="25"/>
      <c r="Q7029" s="17"/>
    </row>
    <row r="7030" spans="12:17" x14ac:dyDescent="0.3">
      <c r="L7030" s="25"/>
      <c r="Q7030" s="17"/>
    </row>
    <row r="7031" spans="12:17" x14ac:dyDescent="0.3">
      <c r="L7031" s="25"/>
      <c r="Q7031" s="17"/>
    </row>
    <row r="7032" spans="12:17" x14ac:dyDescent="0.3">
      <c r="L7032" s="25"/>
      <c r="Q7032" s="17"/>
    </row>
    <row r="7033" spans="12:17" x14ac:dyDescent="0.3">
      <c r="L7033" s="25"/>
      <c r="Q7033" s="17"/>
    </row>
    <row r="7034" spans="12:17" x14ac:dyDescent="0.3">
      <c r="L7034" s="25"/>
      <c r="Q7034" s="17"/>
    </row>
    <row r="7035" spans="12:17" x14ac:dyDescent="0.3">
      <c r="L7035" s="25"/>
      <c r="Q7035" s="17"/>
    </row>
    <row r="7036" spans="12:17" x14ac:dyDescent="0.3">
      <c r="L7036" s="25"/>
      <c r="Q7036" s="17"/>
    </row>
    <row r="7037" spans="12:17" x14ac:dyDescent="0.3">
      <c r="L7037" s="25"/>
      <c r="Q7037" s="17"/>
    </row>
    <row r="7038" spans="12:17" x14ac:dyDescent="0.3">
      <c r="L7038" s="25"/>
      <c r="Q7038" s="17"/>
    </row>
    <row r="7039" spans="12:17" x14ac:dyDescent="0.3">
      <c r="L7039" s="25"/>
      <c r="Q7039" s="17"/>
    </row>
    <row r="7040" spans="12:17" x14ac:dyDescent="0.3">
      <c r="L7040" s="25"/>
      <c r="Q7040" s="17"/>
    </row>
    <row r="7041" spans="12:17" x14ac:dyDescent="0.3">
      <c r="L7041" s="25"/>
      <c r="Q7041" s="17"/>
    </row>
    <row r="7042" spans="12:17" x14ac:dyDescent="0.3">
      <c r="L7042" s="25"/>
      <c r="Q7042" s="17"/>
    </row>
    <row r="7043" spans="12:17" x14ac:dyDescent="0.3">
      <c r="L7043" s="25"/>
      <c r="Q7043" s="17"/>
    </row>
    <row r="7044" spans="12:17" x14ac:dyDescent="0.3">
      <c r="L7044" s="25"/>
      <c r="Q7044" s="17"/>
    </row>
    <row r="7045" spans="12:17" x14ac:dyDescent="0.3">
      <c r="L7045" s="25"/>
      <c r="Q7045" s="17"/>
    </row>
    <row r="7046" spans="12:17" x14ac:dyDescent="0.3">
      <c r="L7046" s="25"/>
      <c r="Q7046" s="17"/>
    </row>
    <row r="7047" spans="12:17" x14ac:dyDescent="0.3">
      <c r="L7047" s="25"/>
      <c r="Q7047" s="17"/>
    </row>
    <row r="7048" spans="12:17" x14ac:dyDescent="0.3">
      <c r="L7048" s="25"/>
      <c r="Q7048" s="17"/>
    </row>
    <row r="7049" spans="12:17" x14ac:dyDescent="0.3">
      <c r="L7049" s="25"/>
      <c r="Q7049" s="17"/>
    </row>
    <row r="7050" spans="12:17" x14ac:dyDescent="0.3">
      <c r="L7050" s="25"/>
      <c r="Q7050" s="17"/>
    </row>
    <row r="7051" spans="12:17" x14ac:dyDescent="0.3">
      <c r="L7051" s="25"/>
      <c r="Q7051" s="17"/>
    </row>
    <row r="7052" spans="12:17" x14ac:dyDescent="0.3">
      <c r="L7052" s="25"/>
      <c r="Q7052" s="17"/>
    </row>
    <row r="7053" spans="12:17" x14ac:dyDescent="0.3">
      <c r="L7053" s="25"/>
      <c r="Q7053" s="17"/>
    </row>
    <row r="7054" spans="12:17" x14ac:dyDescent="0.3">
      <c r="L7054" s="25"/>
      <c r="Q7054" s="17"/>
    </row>
    <row r="7055" spans="12:17" x14ac:dyDescent="0.3">
      <c r="L7055" s="25"/>
      <c r="Q7055" s="17"/>
    </row>
    <row r="7056" spans="12:17" x14ac:dyDescent="0.3">
      <c r="L7056" s="25"/>
      <c r="Q7056" s="17"/>
    </row>
    <row r="7057" spans="12:17" x14ac:dyDescent="0.3">
      <c r="L7057" s="25"/>
      <c r="Q7057" s="17"/>
    </row>
    <row r="7058" spans="12:17" x14ac:dyDescent="0.3">
      <c r="L7058" s="25"/>
      <c r="Q7058" s="17"/>
    </row>
    <row r="7059" spans="12:17" x14ac:dyDescent="0.3">
      <c r="L7059" s="25"/>
      <c r="Q7059" s="17"/>
    </row>
    <row r="7060" spans="12:17" x14ac:dyDescent="0.3">
      <c r="L7060" s="25"/>
      <c r="Q7060" s="17"/>
    </row>
    <row r="7061" spans="12:17" x14ac:dyDescent="0.3">
      <c r="L7061" s="25"/>
      <c r="Q7061" s="17"/>
    </row>
    <row r="7062" spans="12:17" x14ac:dyDescent="0.3">
      <c r="L7062" s="25"/>
      <c r="Q7062" s="17"/>
    </row>
    <row r="7063" spans="12:17" x14ac:dyDescent="0.3">
      <c r="L7063" s="25"/>
      <c r="Q7063" s="17"/>
    </row>
    <row r="7064" spans="12:17" x14ac:dyDescent="0.3">
      <c r="L7064" s="25"/>
      <c r="Q7064" s="17"/>
    </row>
    <row r="7065" spans="12:17" x14ac:dyDescent="0.3">
      <c r="L7065" s="25"/>
      <c r="Q7065" s="17"/>
    </row>
    <row r="7066" spans="12:17" x14ac:dyDescent="0.3">
      <c r="L7066" s="25"/>
      <c r="Q7066" s="17"/>
    </row>
    <row r="7067" spans="12:17" x14ac:dyDescent="0.3">
      <c r="L7067" s="25"/>
      <c r="Q7067" s="17"/>
    </row>
    <row r="7068" spans="12:17" x14ac:dyDescent="0.3">
      <c r="L7068" s="25"/>
      <c r="Q7068" s="17"/>
    </row>
    <row r="7069" spans="12:17" x14ac:dyDescent="0.3">
      <c r="L7069" s="25"/>
      <c r="Q7069" s="17"/>
    </row>
    <row r="7070" spans="12:17" x14ac:dyDescent="0.3">
      <c r="L7070" s="25"/>
      <c r="Q7070" s="17"/>
    </row>
    <row r="7071" spans="12:17" x14ac:dyDescent="0.3">
      <c r="L7071" s="25"/>
      <c r="Q7071" s="17"/>
    </row>
    <row r="7072" spans="12:17" x14ac:dyDescent="0.3">
      <c r="L7072" s="25"/>
      <c r="Q7072" s="17"/>
    </row>
    <row r="7073" spans="12:17" x14ac:dyDescent="0.3">
      <c r="L7073" s="25"/>
      <c r="Q7073" s="17"/>
    </row>
    <row r="7074" spans="12:17" x14ac:dyDescent="0.3">
      <c r="L7074" s="25"/>
      <c r="Q7074" s="17"/>
    </row>
    <row r="7075" spans="12:17" x14ac:dyDescent="0.3">
      <c r="L7075" s="25"/>
      <c r="Q7075" s="17"/>
    </row>
    <row r="7076" spans="12:17" x14ac:dyDescent="0.3">
      <c r="L7076" s="25"/>
      <c r="Q7076" s="17"/>
    </row>
    <row r="7077" spans="12:17" x14ac:dyDescent="0.3">
      <c r="L7077" s="25"/>
      <c r="Q7077" s="17"/>
    </row>
    <row r="7078" spans="12:17" x14ac:dyDescent="0.3">
      <c r="L7078" s="25"/>
      <c r="Q7078" s="17"/>
    </row>
    <row r="7079" spans="12:17" x14ac:dyDescent="0.3">
      <c r="L7079" s="25"/>
      <c r="Q7079" s="17"/>
    </row>
    <row r="7080" spans="12:17" x14ac:dyDescent="0.3">
      <c r="L7080" s="25"/>
      <c r="Q7080" s="17"/>
    </row>
    <row r="7081" spans="12:17" x14ac:dyDescent="0.3">
      <c r="L7081" s="25"/>
      <c r="Q7081" s="17"/>
    </row>
    <row r="7082" spans="12:17" x14ac:dyDescent="0.3">
      <c r="L7082" s="25"/>
      <c r="Q7082" s="17"/>
    </row>
    <row r="7083" spans="12:17" x14ac:dyDescent="0.3">
      <c r="L7083" s="25"/>
      <c r="Q7083" s="17"/>
    </row>
    <row r="7084" spans="12:17" x14ac:dyDescent="0.3">
      <c r="L7084" s="25"/>
      <c r="Q7084" s="17"/>
    </row>
    <row r="7085" spans="12:17" x14ac:dyDescent="0.3">
      <c r="L7085" s="25"/>
      <c r="Q7085" s="17"/>
    </row>
    <row r="7086" spans="12:17" x14ac:dyDescent="0.3">
      <c r="L7086" s="25"/>
      <c r="Q7086" s="17"/>
    </row>
    <row r="7087" spans="12:17" x14ac:dyDescent="0.3">
      <c r="L7087" s="25"/>
      <c r="Q7087" s="17"/>
    </row>
    <row r="7088" spans="12:17" x14ac:dyDescent="0.3">
      <c r="L7088" s="25"/>
      <c r="Q7088" s="17"/>
    </row>
    <row r="7089" spans="12:17" x14ac:dyDescent="0.3">
      <c r="L7089" s="25"/>
      <c r="Q7089" s="17"/>
    </row>
    <row r="7090" spans="12:17" x14ac:dyDescent="0.3">
      <c r="L7090" s="25"/>
      <c r="Q7090" s="17"/>
    </row>
    <row r="7091" spans="12:17" x14ac:dyDescent="0.3">
      <c r="L7091" s="25"/>
      <c r="Q7091" s="17"/>
    </row>
    <row r="7092" spans="12:17" x14ac:dyDescent="0.3">
      <c r="L7092" s="25"/>
      <c r="Q7092" s="17"/>
    </row>
    <row r="7093" spans="12:17" x14ac:dyDescent="0.3">
      <c r="L7093" s="25"/>
      <c r="Q7093" s="17"/>
    </row>
    <row r="7094" spans="12:17" x14ac:dyDescent="0.3">
      <c r="L7094" s="25"/>
      <c r="Q7094" s="17"/>
    </row>
    <row r="7095" spans="12:17" x14ac:dyDescent="0.3">
      <c r="L7095" s="25"/>
      <c r="Q7095" s="17"/>
    </row>
    <row r="7096" spans="12:17" x14ac:dyDescent="0.3">
      <c r="L7096" s="25"/>
      <c r="Q7096" s="17"/>
    </row>
    <row r="7097" spans="12:17" x14ac:dyDescent="0.3">
      <c r="L7097" s="25"/>
      <c r="Q7097" s="17"/>
    </row>
    <row r="7098" spans="12:17" x14ac:dyDescent="0.3">
      <c r="L7098" s="25"/>
      <c r="Q7098" s="17"/>
    </row>
    <row r="7099" spans="12:17" x14ac:dyDescent="0.3">
      <c r="L7099" s="25"/>
      <c r="Q7099" s="17"/>
    </row>
    <row r="7100" spans="12:17" x14ac:dyDescent="0.3">
      <c r="L7100" s="25"/>
      <c r="Q7100" s="17"/>
    </row>
    <row r="7101" spans="12:17" x14ac:dyDescent="0.3">
      <c r="L7101" s="25"/>
      <c r="Q7101" s="17"/>
    </row>
    <row r="7102" spans="12:17" x14ac:dyDescent="0.3">
      <c r="L7102" s="25"/>
      <c r="Q7102" s="17"/>
    </row>
    <row r="7103" spans="12:17" x14ac:dyDescent="0.3">
      <c r="L7103" s="25"/>
      <c r="Q7103" s="17"/>
    </row>
    <row r="7104" spans="12:17" x14ac:dyDescent="0.3">
      <c r="L7104" s="25"/>
      <c r="Q7104" s="17"/>
    </row>
    <row r="7105" spans="12:17" x14ac:dyDescent="0.3">
      <c r="L7105" s="25"/>
      <c r="Q7105" s="17"/>
    </row>
    <row r="7106" spans="12:17" x14ac:dyDescent="0.3">
      <c r="L7106" s="25"/>
      <c r="Q7106" s="17"/>
    </row>
    <row r="7107" spans="12:17" x14ac:dyDescent="0.3">
      <c r="L7107" s="25"/>
      <c r="Q7107" s="17"/>
    </row>
    <row r="7108" spans="12:17" x14ac:dyDescent="0.3">
      <c r="L7108" s="25"/>
      <c r="Q7108" s="17"/>
    </row>
    <row r="7109" spans="12:17" x14ac:dyDescent="0.3">
      <c r="L7109" s="25"/>
      <c r="Q7109" s="17"/>
    </row>
    <row r="7110" spans="12:17" x14ac:dyDescent="0.3">
      <c r="L7110" s="25"/>
      <c r="Q7110" s="17"/>
    </row>
    <row r="7111" spans="12:17" x14ac:dyDescent="0.3">
      <c r="L7111" s="25"/>
      <c r="Q7111" s="17"/>
    </row>
    <row r="7112" spans="12:17" x14ac:dyDescent="0.3">
      <c r="L7112" s="25"/>
      <c r="Q7112" s="17"/>
    </row>
    <row r="7113" spans="12:17" x14ac:dyDescent="0.3">
      <c r="L7113" s="25"/>
      <c r="Q7113" s="17"/>
    </row>
    <row r="7114" spans="12:17" x14ac:dyDescent="0.3">
      <c r="L7114" s="25"/>
      <c r="Q7114" s="17"/>
    </row>
    <row r="7115" spans="12:17" x14ac:dyDescent="0.3">
      <c r="L7115" s="25"/>
      <c r="Q7115" s="17"/>
    </row>
    <row r="7116" spans="12:17" x14ac:dyDescent="0.3">
      <c r="L7116" s="25"/>
      <c r="Q7116" s="17"/>
    </row>
    <row r="7117" spans="12:17" x14ac:dyDescent="0.3">
      <c r="L7117" s="25"/>
      <c r="Q7117" s="17"/>
    </row>
    <row r="7118" spans="12:17" x14ac:dyDescent="0.3">
      <c r="L7118" s="25"/>
      <c r="Q7118" s="17"/>
    </row>
    <row r="7119" spans="12:17" x14ac:dyDescent="0.3">
      <c r="L7119" s="25"/>
      <c r="Q7119" s="17"/>
    </row>
    <row r="7120" spans="12:17" x14ac:dyDescent="0.3">
      <c r="L7120" s="25"/>
      <c r="Q7120" s="17"/>
    </row>
    <row r="7121" spans="12:17" x14ac:dyDescent="0.3">
      <c r="L7121" s="25"/>
      <c r="Q7121" s="17"/>
    </row>
    <row r="7122" spans="12:17" x14ac:dyDescent="0.3">
      <c r="L7122" s="25"/>
      <c r="Q7122" s="17"/>
    </row>
    <row r="7123" spans="12:17" x14ac:dyDescent="0.3">
      <c r="L7123" s="25"/>
      <c r="Q7123" s="17"/>
    </row>
    <row r="7124" spans="12:17" x14ac:dyDescent="0.3">
      <c r="L7124" s="25"/>
      <c r="Q7124" s="17"/>
    </row>
    <row r="7125" spans="12:17" x14ac:dyDescent="0.3">
      <c r="L7125" s="25"/>
      <c r="Q7125" s="17"/>
    </row>
    <row r="7126" spans="12:17" x14ac:dyDescent="0.3">
      <c r="L7126" s="25"/>
      <c r="Q7126" s="17"/>
    </row>
    <row r="7127" spans="12:17" x14ac:dyDescent="0.3">
      <c r="L7127" s="25"/>
      <c r="Q7127" s="17"/>
    </row>
    <row r="7128" spans="12:17" x14ac:dyDescent="0.3">
      <c r="L7128" s="25"/>
      <c r="Q7128" s="17"/>
    </row>
    <row r="7129" spans="12:17" x14ac:dyDescent="0.3">
      <c r="L7129" s="25"/>
      <c r="Q7129" s="17"/>
    </row>
    <row r="7130" spans="12:17" x14ac:dyDescent="0.3">
      <c r="L7130" s="25"/>
      <c r="Q7130" s="17"/>
    </row>
    <row r="7131" spans="12:17" x14ac:dyDescent="0.3">
      <c r="L7131" s="25"/>
      <c r="Q7131" s="17"/>
    </row>
    <row r="7132" spans="12:17" x14ac:dyDescent="0.3">
      <c r="L7132" s="25"/>
      <c r="Q7132" s="17"/>
    </row>
    <row r="7133" spans="12:17" x14ac:dyDescent="0.3">
      <c r="L7133" s="25"/>
      <c r="Q7133" s="17"/>
    </row>
    <row r="7134" spans="12:17" x14ac:dyDescent="0.3">
      <c r="L7134" s="25"/>
      <c r="Q7134" s="17"/>
    </row>
    <row r="7135" spans="12:17" x14ac:dyDescent="0.3">
      <c r="L7135" s="25"/>
      <c r="Q7135" s="17"/>
    </row>
    <row r="7136" spans="12:17" x14ac:dyDescent="0.3">
      <c r="L7136" s="25"/>
      <c r="Q7136" s="17"/>
    </row>
    <row r="7137" spans="12:17" x14ac:dyDescent="0.3">
      <c r="L7137" s="25"/>
      <c r="Q7137" s="17"/>
    </row>
    <row r="7138" spans="12:17" x14ac:dyDescent="0.3">
      <c r="L7138" s="25"/>
      <c r="Q7138" s="17"/>
    </row>
    <row r="7139" spans="12:17" x14ac:dyDescent="0.3">
      <c r="L7139" s="25"/>
      <c r="Q7139" s="17"/>
    </row>
    <row r="7140" spans="12:17" x14ac:dyDescent="0.3">
      <c r="L7140" s="25"/>
      <c r="Q7140" s="17"/>
    </row>
    <row r="7141" spans="12:17" x14ac:dyDescent="0.3">
      <c r="L7141" s="25"/>
      <c r="Q7141" s="17"/>
    </row>
    <row r="7142" spans="12:17" x14ac:dyDescent="0.3">
      <c r="L7142" s="25"/>
      <c r="Q7142" s="17"/>
    </row>
    <row r="7143" spans="12:17" x14ac:dyDescent="0.3">
      <c r="L7143" s="25"/>
      <c r="Q7143" s="17"/>
    </row>
    <row r="7144" spans="12:17" x14ac:dyDescent="0.3">
      <c r="L7144" s="25"/>
      <c r="Q7144" s="17"/>
    </row>
    <row r="7145" spans="12:17" x14ac:dyDescent="0.3">
      <c r="L7145" s="25"/>
      <c r="Q7145" s="17"/>
    </row>
    <row r="7146" spans="12:17" x14ac:dyDescent="0.3">
      <c r="L7146" s="25"/>
      <c r="Q7146" s="17"/>
    </row>
    <row r="7147" spans="12:17" x14ac:dyDescent="0.3">
      <c r="L7147" s="25"/>
      <c r="Q7147" s="17"/>
    </row>
    <row r="7148" spans="12:17" x14ac:dyDescent="0.3">
      <c r="L7148" s="25"/>
      <c r="Q7148" s="17"/>
    </row>
    <row r="7149" spans="12:17" x14ac:dyDescent="0.3">
      <c r="L7149" s="25"/>
      <c r="Q7149" s="17"/>
    </row>
    <row r="7150" spans="12:17" x14ac:dyDescent="0.3">
      <c r="L7150" s="25"/>
      <c r="Q7150" s="17"/>
    </row>
    <row r="7151" spans="12:17" x14ac:dyDescent="0.3">
      <c r="L7151" s="25"/>
      <c r="Q7151" s="17"/>
    </row>
    <row r="7152" spans="12:17" x14ac:dyDescent="0.3">
      <c r="L7152" s="25"/>
      <c r="Q7152" s="17"/>
    </row>
    <row r="7153" spans="12:17" x14ac:dyDescent="0.3">
      <c r="L7153" s="25"/>
      <c r="Q7153" s="17"/>
    </row>
    <row r="7154" spans="12:17" x14ac:dyDescent="0.3">
      <c r="L7154" s="25"/>
      <c r="Q7154" s="17"/>
    </row>
    <row r="7155" spans="12:17" x14ac:dyDescent="0.3">
      <c r="L7155" s="25"/>
      <c r="Q7155" s="17"/>
    </row>
    <row r="7156" spans="12:17" x14ac:dyDescent="0.3">
      <c r="L7156" s="25"/>
      <c r="Q7156" s="17"/>
    </row>
    <row r="7157" spans="12:17" x14ac:dyDescent="0.3">
      <c r="L7157" s="25"/>
      <c r="Q7157" s="17"/>
    </row>
    <row r="7158" spans="12:17" x14ac:dyDescent="0.3">
      <c r="L7158" s="25"/>
      <c r="Q7158" s="17"/>
    </row>
    <row r="7159" spans="12:17" x14ac:dyDescent="0.3">
      <c r="L7159" s="25"/>
      <c r="Q7159" s="17"/>
    </row>
    <row r="7160" spans="12:17" x14ac:dyDescent="0.3">
      <c r="L7160" s="25"/>
      <c r="Q7160" s="17"/>
    </row>
    <row r="7161" spans="12:17" x14ac:dyDescent="0.3">
      <c r="L7161" s="25"/>
      <c r="Q7161" s="17"/>
    </row>
    <row r="7162" spans="12:17" x14ac:dyDescent="0.3">
      <c r="L7162" s="25"/>
      <c r="Q7162" s="17"/>
    </row>
    <row r="7163" spans="12:17" x14ac:dyDescent="0.3">
      <c r="L7163" s="25"/>
      <c r="Q7163" s="17"/>
    </row>
    <row r="7164" spans="12:17" x14ac:dyDescent="0.3">
      <c r="L7164" s="25"/>
      <c r="Q7164" s="17"/>
    </row>
    <row r="7165" spans="12:17" x14ac:dyDescent="0.3">
      <c r="L7165" s="25"/>
      <c r="Q7165" s="17"/>
    </row>
    <row r="7166" spans="12:17" x14ac:dyDescent="0.3">
      <c r="L7166" s="25"/>
      <c r="Q7166" s="17"/>
    </row>
    <row r="7167" spans="12:17" x14ac:dyDescent="0.3">
      <c r="L7167" s="25"/>
      <c r="Q7167" s="17"/>
    </row>
    <row r="7168" spans="12:17" x14ac:dyDescent="0.3">
      <c r="L7168" s="25"/>
      <c r="Q7168" s="17"/>
    </row>
    <row r="7169" spans="12:17" x14ac:dyDescent="0.3">
      <c r="L7169" s="25"/>
      <c r="Q7169" s="17"/>
    </row>
    <row r="7170" spans="12:17" x14ac:dyDescent="0.3">
      <c r="L7170" s="25"/>
      <c r="Q7170" s="17"/>
    </row>
    <row r="7171" spans="12:17" x14ac:dyDescent="0.3">
      <c r="L7171" s="25"/>
      <c r="Q7171" s="17"/>
    </row>
    <row r="7172" spans="12:17" x14ac:dyDescent="0.3">
      <c r="L7172" s="25"/>
      <c r="Q7172" s="17"/>
    </row>
    <row r="7173" spans="12:17" x14ac:dyDescent="0.3">
      <c r="L7173" s="25"/>
      <c r="Q7173" s="17"/>
    </row>
    <row r="7174" spans="12:17" x14ac:dyDescent="0.3">
      <c r="L7174" s="25"/>
      <c r="Q7174" s="17"/>
    </row>
    <row r="7175" spans="12:17" x14ac:dyDescent="0.3">
      <c r="L7175" s="25"/>
      <c r="Q7175" s="17"/>
    </row>
    <row r="7176" spans="12:17" x14ac:dyDescent="0.3">
      <c r="L7176" s="25"/>
      <c r="Q7176" s="17"/>
    </row>
    <row r="7177" spans="12:17" x14ac:dyDescent="0.3">
      <c r="L7177" s="25"/>
      <c r="Q7177" s="17"/>
    </row>
    <row r="7178" spans="12:17" x14ac:dyDescent="0.3">
      <c r="L7178" s="25"/>
      <c r="Q7178" s="17"/>
    </row>
    <row r="7179" spans="12:17" x14ac:dyDescent="0.3">
      <c r="L7179" s="25"/>
      <c r="Q7179" s="17"/>
    </row>
    <row r="7180" spans="12:17" x14ac:dyDescent="0.3">
      <c r="L7180" s="25"/>
      <c r="Q7180" s="17"/>
    </row>
    <row r="7181" spans="12:17" x14ac:dyDescent="0.3">
      <c r="L7181" s="25"/>
      <c r="Q7181" s="17"/>
    </row>
    <row r="7182" spans="12:17" x14ac:dyDescent="0.3">
      <c r="L7182" s="25"/>
      <c r="Q7182" s="17"/>
    </row>
    <row r="7183" spans="12:17" x14ac:dyDescent="0.3">
      <c r="L7183" s="25"/>
      <c r="Q7183" s="17"/>
    </row>
    <row r="7184" spans="12:17" x14ac:dyDescent="0.3">
      <c r="L7184" s="25"/>
      <c r="Q7184" s="17"/>
    </row>
    <row r="7185" spans="12:17" x14ac:dyDescent="0.3">
      <c r="L7185" s="25"/>
      <c r="Q7185" s="17"/>
    </row>
    <row r="7186" spans="12:17" x14ac:dyDescent="0.3">
      <c r="L7186" s="25"/>
      <c r="Q7186" s="17"/>
    </row>
    <row r="7187" spans="12:17" x14ac:dyDescent="0.3">
      <c r="L7187" s="25"/>
      <c r="Q7187" s="17"/>
    </row>
    <row r="7188" spans="12:17" x14ac:dyDescent="0.3">
      <c r="L7188" s="25"/>
      <c r="Q7188" s="17"/>
    </row>
    <row r="7189" spans="12:17" x14ac:dyDescent="0.3">
      <c r="L7189" s="25"/>
      <c r="Q7189" s="17"/>
    </row>
    <row r="7190" spans="12:17" x14ac:dyDescent="0.3">
      <c r="L7190" s="25"/>
      <c r="Q7190" s="17"/>
    </row>
    <row r="7191" spans="12:17" x14ac:dyDescent="0.3">
      <c r="L7191" s="25"/>
      <c r="Q7191" s="17"/>
    </row>
    <row r="7192" spans="12:17" x14ac:dyDescent="0.3">
      <c r="L7192" s="25"/>
      <c r="Q7192" s="17"/>
    </row>
    <row r="7193" spans="12:17" x14ac:dyDescent="0.3">
      <c r="L7193" s="25"/>
      <c r="Q7193" s="17"/>
    </row>
    <row r="7194" spans="12:17" x14ac:dyDescent="0.3">
      <c r="L7194" s="25"/>
      <c r="Q7194" s="17"/>
    </row>
    <row r="7195" spans="12:17" x14ac:dyDescent="0.3">
      <c r="L7195" s="25"/>
      <c r="Q7195" s="17"/>
    </row>
    <row r="7196" spans="12:17" x14ac:dyDescent="0.3">
      <c r="L7196" s="25"/>
      <c r="Q7196" s="17"/>
    </row>
    <row r="7197" spans="12:17" x14ac:dyDescent="0.3">
      <c r="L7197" s="25"/>
      <c r="Q7197" s="17"/>
    </row>
    <row r="7198" spans="12:17" x14ac:dyDescent="0.3">
      <c r="L7198" s="25"/>
      <c r="Q7198" s="17"/>
    </row>
    <row r="7199" spans="12:17" x14ac:dyDescent="0.3">
      <c r="L7199" s="25"/>
      <c r="Q7199" s="17"/>
    </row>
    <row r="7200" spans="12:17" x14ac:dyDescent="0.3">
      <c r="L7200" s="25"/>
      <c r="Q7200" s="17"/>
    </row>
    <row r="7201" spans="12:17" x14ac:dyDescent="0.3">
      <c r="L7201" s="25"/>
      <c r="Q7201" s="17"/>
    </row>
    <row r="7202" spans="12:17" x14ac:dyDescent="0.3">
      <c r="L7202" s="25"/>
      <c r="Q7202" s="17"/>
    </row>
    <row r="7203" spans="12:17" x14ac:dyDescent="0.3">
      <c r="L7203" s="25"/>
      <c r="Q7203" s="17"/>
    </row>
    <row r="7204" spans="12:17" x14ac:dyDescent="0.3">
      <c r="L7204" s="25"/>
      <c r="Q7204" s="17"/>
    </row>
    <row r="7205" spans="12:17" x14ac:dyDescent="0.3">
      <c r="L7205" s="25"/>
      <c r="Q7205" s="17"/>
    </row>
    <row r="7206" spans="12:17" x14ac:dyDescent="0.3">
      <c r="L7206" s="25"/>
      <c r="Q7206" s="17"/>
    </row>
    <row r="7207" spans="12:17" x14ac:dyDescent="0.3">
      <c r="L7207" s="25"/>
      <c r="Q7207" s="17"/>
    </row>
    <row r="7208" spans="12:17" x14ac:dyDescent="0.3">
      <c r="L7208" s="25"/>
      <c r="Q7208" s="17"/>
    </row>
    <row r="7209" spans="12:17" x14ac:dyDescent="0.3">
      <c r="L7209" s="25"/>
      <c r="Q7209" s="17"/>
    </row>
    <row r="7210" spans="12:17" x14ac:dyDescent="0.3">
      <c r="L7210" s="25"/>
      <c r="Q7210" s="17"/>
    </row>
    <row r="7211" spans="12:17" x14ac:dyDescent="0.3">
      <c r="L7211" s="25"/>
      <c r="Q7211" s="17"/>
    </row>
    <row r="7212" spans="12:17" x14ac:dyDescent="0.3">
      <c r="L7212" s="25"/>
      <c r="Q7212" s="17"/>
    </row>
    <row r="7213" spans="12:17" x14ac:dyDescent="0.3">
      <c r="L7213" s="25"/>
      <c r="Q7213" s="17"/>
    </row>
    <row r="7214" spans="12:17" x14ac:dyDescent="0.3">
      <c r="L7214" s="25"/>
      <c r="Q7214" s="17"/>
    </row>
    <row r="7215" spans="12:17" x14ac:dyDescent="0.3">
      <c r="L7215" s="25"/>
      <c r="Q7215" s="17"/>
    </row>
    <row r="7216" spans="12:17" x14ac:dyDescent="0.3">
      <c r="L7216" s="25"/>
      <c r="Q7216" s="17"/>
    </row>
    <row r="7217" spans="12:17" x14ac:dyDescent="0.3">
      <c r="L7217" s="25"/>
      <c r="Q7217" s="17"/>
    </row>
    <row r="7218" spans="12:17" x14ac:dyDescent="0.3">
      <c r="L7218" s="25"/>
      <c r="Q7218" s="17"/>
    </row>
    <row r="7219" spans="12:17" x14ac:dyDescent="0.3">
      <c r="L7219" s="25"/>
      <c r="Q7219" s="17"/>
    </row>
    <row r="7220" spans="12:17" x14ac:dyDescent="0.3">
      <c r="L7220" s="25"/>
      <c r="Q7220" s="17"/>
    </row>
    <row r="7221" spans="12:17" x14ac:dyDescent="0.3">
      <c r="L7221" s="25"/>
      <c r="Q7221" s="17"/>
    </row>
    <row r="7222" spans="12:17" x14ac:dyDescent="0.3">
      <c r="L7222" s="25"/>
      <c r="Q7222" s="17"/>
    </row>
    <row r="7223" spans="12:17" x14ac:dyDescent="0.3">
      <c r="L7223" s="25"/>
      <c r="Q7223" s="17"/>
    </row>
    <row r="7224" spans="12:17" x14ac:dyDescent="0.3">
      <c r="L7224" s="25"/>
      <c r="Q7224" s="17"/>
    </row>
    <row r="7225" spans="12:17" x14ac:dyDescent="0.3">
      <c r="L7225" s="25"/>
      <c r="Q7225" s="17"/>
    </row>
    <row r="7226" spans="12:17" x14ac:dyDescent="0.3">
      <c r="L7226" s="25"/>
      <c r="Q7226" s="17"/>
    </row>
    <row r="7227" spans="12:17" x14ac:dyDescent="0.3">
      <c r="L7227" s="25"/>
      <c r="Q7227" s="17"/>
    </row>
    <row r="7228" spans="12:17" x14ac:dyDescent="0.3">
      <c r="L7228" s="25"/>
      <c r="Q7228" s="17"/>
    </row>
    <row r="7229" spans="12:17" x14ac:dyDescent="0.3">
      <c r="L7229" s="25"/>
      <c r="Q7229" s="17"/>
    </row>
    <row r="7230" spans="12:17" x14ac:dyDescent="0.3">
      <c r="L7230" s="25"/>
      <c r="Q7230" s="17"/>
    </row>
    <row r="7231" spans="12:17" x14ac:dyDescent="0.3">
      <c r="L7231" s="25"/>
      <c r="Q7231" s="17"/>
    </row>
    <row r="7232" spans="12:17" x14ac:dyDescent="0.3">
      <c r="L7232" s="25"/>
      <c r="Q7232" s="17"/>
    </row>
    <row r="7233" spans="12:17" x14ac:dyDescent="0.3">
      <c r="L7233" s="25"/>
      <c r="Q7233" s="17"/>
    </row>
    <row r="7234" spans="12:17" x14ac:dyDescent="0.3">
      <c r="L7234" s="25"/>
      <c r="Q7234" s="17"/>
    </row>
    <row r="7235" spans="12:17" x14ac:dyDescent="0.3">
      <c r="L7235" s="25"/>
      <c r="Q7235" s="17"/>
    </row>
    <row r="7236" spans="12:17" x14ac:dyDescent="0.3">
      <c r="L7236" s="25"/>
      <c r="Q7236" s="17"/>
    </row>
    <row r="7237" spans="12:17" x14ac:dyDescent="0.3">
      <c r="L7237" s="25"/>
      <c r="Q7237" s="17"/>
    </row>
    <row r="7238" spans="12:17" x14ac:dyDescent="0.3">
      <c r="L7238" s="25"/>
      <c r="Q7238" s="17"/>
    </row>
    <row r="7239" spans="12:17" x14ac:dyDescent="0.3">
      <c r="L7239" s="25"/>
      <c r="Q7239" s="17"/>
    </row>
    <row r="7240" spans="12:17" x14ac:dyDescent="0.3">
      <c r="L7240" s="25"/>
      <c r="Q7240" s="17"/>
    </row>
    <row r="7241" spans="12:17" x14ac:dyDescent="0.3">
      <c r="L7241" s="25"/>
      <c r="Q7241" s="17"/>
    </row>
    <row r="7242" spans="12:17" x14ac:dyDescent="0.3">
      <c r="L7242" s="25"/>
      <c r="Q7242" s="17"/>
    </row>
    <row r="7243" spans="12:17" x14ac:dyDescent="0.3">
      <c r="L7243" s="25"/>
      <c r="Q7243" s="17"/>
    </row>
    <row r="7244" spans="12:17" x14ac:dyDescent="0.3">
      <c r="L7244" s="25"/>
      <c r="Q7244" s="17"/>
    </row>
    <row r="7245" spans="12:17" x14ac:dyDescent="0.3">
      <c r="L7245" s="25"/>
      <c r="Q7245" s="17"/>
    </row>
    <row r="7246" spans="12:17" x14ac:dyDescent="0.3">
      <c r="L7246" s="25"/>
      <c r="Q7246" s="17"/>
    </row>
    <row r="7247" spans="12:17" x14ac:dyDescent="0.3">
      <c r="L7247" s="25"/>
      <c r="Q7247" s="17"/>
    </row>
    <row r="7248" spans="12:17" x14ac:dyDescent="0.3">
      <c r="L7248" s="25"/>
      <c r="Q7248" s="17"/>
    </row>
    <row r="7249" spans="12:17" x14ac:dyDescent="0.3">
      <c r="L7249" s="25"/>
      <c r="Q7249" s="17"/>
    </row>
    <row r="7250" spans="12:17" x14ac:dyDescent="0.3">
      <c r="L7250" s="25"/>
      <c r="Q7250" s="17"/>
    </row>
    <row r="7251" spans="12:17" x14ac:dyDescent="0.3">
      <c r="L7251" s="25"/>
      <c r="Q7251" s="17"/>
    </row>
    <row r="7252" spans="12:17" x14ac:dyDescent="0.3">
      <c r="L7252" s="25"/>
      <c r="Q7252" s="17"/>
    </row>
    <row r="7253" spans="12:17" x14ac:dyDescent="0.3">
      <c r="L7253" s="25"/>
      <c r="Q7253" s="17"/>
    </row>
    <row r="7254" spans="12:17" x14ac:dyDescent="0.3">
      <c r="L7254" s="25"/>
      <c r="Q7254" s="17"/>
    </row>
    <row r="7255" spans="12:17" x14ac:dyDescent="0.3">
      <c r="L7255" s="25"/>
      <c r="Q7255" s="17"/>
    </row>
    <row r="7256" spans="12:17" x14ac:dyDescent="0.3">
      <c r="L7256" s="25"/>
      <c r="Q7256" s="17"/>
    </row>
    <row r="7257" spans="12:17" x14ac:dyDescent="0.3">
      <c r="L7257" s="25"/>
      <c r="Q7257" s="17"/>
    </row>
    <row r="7258" spans="12:17" x14ac:dyDescent="0.3">
      <c r="L7258" s="25"/>
      <c r="Q7258" s="17"/>
    </row>
    <row r="7259" spans="12:17" x14ac:dyDescent="0.3">
      <c r="L7259" s="25"/>
      <c r="Q7259" s="17"/>
    </row>
    <row r="7260" spans="12:17" x14ac:dyDescent="0.3">
      <c r="L7260" s="25"/>
      <c r="Q7260" s="17"/>
    </row>
    <row r="7261" spans="12:17" x14ac:dyDescent="0.3">
      <c r="L7261" s="25"/>
      <c r="Q7261" s="17"/>
    </row>
    <row r="7262" spans="12:17" x14ac:dyDescent="0.3">
      <c r="L7262" s="25"/>
      <c r="Q7262" s="17"/>
    </row>
    <row r="7263" spans="12:17" x14ac:dyDescent="0.3">
      <c r="L7263" s="25"/>
      <c r="Q7263" s="17"/>
    </row>
    <row r="7264" spans="12:17" x14ac:dyDescent="0.3">
      <c r="L7264" s="25"/>
      <c r="Q7264" s="17"/>
    </row>
    <row r="7265" spans="12:17" x14ac:dyDescent="0.3">
      <c r="L7265" s="25"/>
      <c r="Q7265" s="17"/>
    </row>
    <row r="7266" spans="12:17" x14ac:dyDescent="0.3">
      <c r="L7266" s="25"/>
      <c r="Q7266" s="17"/>
    </row>
    <row r="7267" spans="12:17" x14ac:dyDescent="0.3">
      <c r="L7267" s="25"/>
      <c r="Q7267" s="17"/>
    </row>
    <row r="7268" spans="12:17" x14ac:dyDescent="0.3">
      <c r="L7268" s="25"/>
      <c r="Q7268" s="17"/>
    </row>
    <row r="7269" spans="12:17" x14ac:dyDescent="0.3">
      <c r="L7269" s="25"/>
      <c r="Q7269" s="17"/>
    </row>
    <row r="7270" spans="12:17" x14ac:dyDescent="0.3">
      <c r="L7270" s="25"/>
      <c r="Q7270" s="17"/>
    </row>
    <row r="7271" spans="12:17" x14ac:dyDescent="0.3">
      <c r="L7271" s="25"/>
      <c r="Q7271" s="17"/>
    </row>
    <row r="7272" spans="12:17" x14ac:dyDescent="0.3">
      <c r="L7272" s="25"/>
      <c r="Q7272" s="17"/>
    </row>
    <row r="7273" spans="12:17" x14ac:dyDescent="0.3">
      <c r="L7273" s="25"/>
      <c r="Q7273" s="17"/>
    </row>
    <row r="7274" spans="12:17" x14ac:dyDescent="0.3">
      <c r="L7274" s="25"/>
      <c r="Q7274" s="17"/>
    </row>
    <row r="7275" spans="12:17" x14ac:dyDescent="0.3">
      <c r="L7275" s="25"/>
      <c r="Q7275" s="17"/>
    </row>
    <row r="7276" spans="12:17" x14ac:dyDescent="0.3">
      <c r="L7276" s="25"/>
      <c r="Q7276" s="17"/>
    </row>
    <row r="7277" spans="12:17" x14ac:dyDescent="0.3">
      <c r="L7277" s="25"/>
      <c r="Q7277" s="17"/>
    </row>
    <row r="7278" spans="12:17" x14ac:dyDescent="0.3">
      <c r="L7278" s="25"/>
      <c r="Q7278" s="17"/>
    </row>
    <row r="7279" spans="12:17" x14ac:dyDescent="0.3">
      <c r="L7279" s="25"/>
      <c r="Q7279" s="17"/>
    </row>
    <row r="7280" spans="12:17" x14ac:dyDescent="0.3">
      <c r="L7280" s="25"/>
      <c r="Q7280" s="17"/>
    </row>
    <row r="7281" spans="12:17" x14ac:dyDescent="0.3">
      <c r="L7281" s="25"/>
      <c r="Q7281" s="17"/>
    </row>
    <row r="7282" spans="12:17" x14ac:dyDescent="0.3">
      <c r="L7282" s="25"/>
      <c r="Q7282" s="17"/>
    </row>
    <row r="7283" spans="12:17" x14ac:dyDescent="0.3">
      <c r="L7283" s="25"/>
      <c r="Q7283" s="17"/>
    </row>
    <row r="7284" spans="12:17" x14ac:dyDescent="0.3">
      <c r="L7284" s="25"/>
      <c r="Q7284" s="17"/>
    </row>
    <row r="7285" spans="12:17" x14ac:dyDescent="0.3">
      <c r="L7285" s="25"/>
      <c r="Q7285" s="17"/>
    </row>
    <row r="7286" spans="12:17" x14ac:dyDescent="0.3">
      <c r="L7286" s="25"/>
      <c r="Q7286" s="17"/>
    </row>
    <row r="7287" spans="12:17" x14ac:dyDescent="0.3">
      <c r="L7287" s="25"/>
      <c r="Q7287" s="17"/>
    </row>
    <row r="7288" spans="12:17" x14ac:dyDescent="0.3">
      <c r="L7288" s="25"/>
      <c r="Q7288" s="17"/>
    </row>
    <row r="7289" spans="12:17" x14ac:dyDescent="0.3">
      <c r="L7289" s="25"/>
      <c r="Q7289" s="17"/>
    </row>
    <row r="7290" spans="12:17" x14ac:dyDescent="0.3">
      <c r="L7290" s="25"/>
      <c r="Q7290" s="17"/>
    </row>
    <row r="7291" spans="12:17" x14ac:dyDescent="0.3">
      <c r="L7291" s="25"/>
      <c r="Q7291" s="17"/>
    </row>
    <row r="7292" spans="12:17" x14ac:dyDescent="0.3">
      <c r="L7292" s="25"/>
      <c r="Q7292" s="17"/>
    </row>
    <row r="7293" spans="12:17" x14ac:dyDescent="0.3">
      <c r="L7293" s="25"/>
      <c r="Q7293" s="17"/>
    </row>
    <row r="7294" spans="12:17" x14ac:dyDescent="0.3">
      <c r="L7294" s="25"/>
      <c r="Q7294" s="17"/>
    </row>
    <row r="7295" spans="12:17" x14ac:dyDescent="0.3">
      <c r="L7295" s="25"/>
      <c r="Q7295" s="17"/>
    </row>
    <row r="7296" spans="12:17" x14ac:dyDescent="0.3">
      <c r="L7296" s="25"/>
      <c r="Q7296" s="17"/>
    </row>
    <row r="7297" spans="12:17" x14ac:dyDescent="0.3">
      <c r="L7297" s="25"/>
      <c r="Q7297" s="17"/>
    </row>
    <row r="7298" spans="12:17" x14ac:dyDescent="0.3">
      <c r="L7298" s="25"/>
      <c r="Q7298" s="17"/>
    </row>
    <row r="7299" spans="12:17" x14ac:dyDescent="0.3">
      <c r="L7299" s="25"/>
      <c r="Q7299" s="17"/>
    </row>
    <row r="7300" spans="12:17" x14ac:dyDescent="0.3">
      <c r="L7300" s="25"/>
      <c r="Q7300" s="17"/>
    </row>
    <row r="7301" spans="12:17" x14ac:dyDescent="0.3">
      <c r="L7301" s="25"/>
      <c r="Q7301" s="17"/>
    </row>
    <row r="7302" spans="12:17" x14ac:dyDescent="0.3">
      <c r="L7302" s="25"/>
      <c r="Q7302" s="17"/>
    </row>
    <row r="7303" spans="12:17" x14ac:dyDescent="0.3">
      <c r="L7303" s="25"/>
      <c r="Q7303" s="17"/>
    </row>
    <row r="7304" spans="12:17" x14ac:dyDescent="0.3">
      <c r="L7304" s="25"/>
      <c r="Q7304" s="17"/>
    </row>
    <row r="7305" spans="12:17" x14ac:dyDescent="0.3">
      <c r="L7305" s="25"/>
      <c r="Q7305" s="17"/>
    </row>
    <row r="7306" spans="12:17" x14ac:dyDescent="0.3">
      <c r="L7306" s="25"/>
      <c r="Q7306" s="17"/>
    </row>
    <row r="7307" spans="12:17" x14ac:dyDescent="0.3">
      <c r="L7307" s="25"/>
      <c r="Q7307" s="17"/>
    </row>
    <row r="7308" spans="12:17" x14ac:dyDescent="0.3">
      <c r="L7308" s="25"/>
      <c r="Q7308" s="17"/>
    </row>
    <row r="7309" spans="12:17" x14ac:dyDescent="0.3">
      <c r="L7309" s="25"/>
      <c r="Q7309" s="17"/>
    </row>
    <row r="7310" spans="12:17" x14ac:dyDescent="0.3">
      <c r="L7310" s="25"/>
      <c r="Q7310" s="17"/>
    </row>
    <row r="7311" spans="12:17" x14ac:dyDescent="0.3">
      <c r="L7311" s="25"/>
      <c r="Q7311" s="17"/>
    </row>
    <row r="7312" spans="12:17" x14ac:dyDescent="0.3">
      <c r="L7312" s="25"/>
      <c r="Q7312" s="17"/>
    </row>
    <row r="7313" spans="12:17" x14ac:dyDescent="0.3">
      <c r="L7313" s="25"/>
      <c r="Q7313" s="17"/>
    </row>
    <row r="7314" spans="12:17" x14ac:dyDescent="0.3">
      <c r="L7314" s="25"/>
      <c r="Q7314" s="17"/>
    </row>
    <row r="7315" spans="12:17" x14ac:dyDescent="0.3">
      <c r="L7315" s="25"/>
      <c r="Q7315" s="17"/>
    </row>
    <row r="7316" spans="12:17" x14ac:dyDescent="0.3">
      <c r="L7316" s="25"/>
      <c r="Q7316" s="17"/>
    </row>
    <row r="7317" spans="12:17" x14ac:dyDescent="0.3">
      <c r="L7317" s="25"/>
      <c r="Q7317" s="17"/>
    </row>
    <row r="7318" spans="12:17" x14ac:dyDescent="0.3">
      <c r="L7318" s="25"/>
      <c r="Q7318" s="17"/>
    </row>
    <row r="7319" spans="12:17" x14ac:dyDescent="0.3">
      <c r="L7319" s="25"/>
      <c r="Q7319" s="17"/>
    </row>
    <row r="7320" spans="12:17" x14ac:dyDescent="0.3">
      <c r="L7320" s="25"/>
      <c r="Q7320" s="17"/>
    </row>
    <row r="7321" spans="12:17" x14ac:dyDescent="0.3">
      <c r="L7321" s="25"/>
      <c r="Q7321" s="17"/>
    </row>
    <row r="7322" spans="12:17" x14ac:dyDescent="0.3">
      <c r="L7322" s="25"/>
      <c r="Q7322" s="17"/>
    </row>
    <row r="7323" spans="12:17" x14ac:dyDescent="0.3">
      <c r="L7323" s="25"/>
      <c r="Q7323" s="17"/>
    </row>
    <row r="7324" spans="12:17" x14ac:dyDescent="0.3">
      <c r="L7324" s="25"/>
      <c r="Q7324" s="17"/>
    </row>
    <row r="7325" spans="12:17" x14ac:dyDescent="0.3">
      <c r="L7325" s="25"/>
      <c r="Q7325" s="17"/>
    </row>
    <row r="7326" spans="12:17" x14ac:dyDescent="0.3">
      <c r="L7326" s="25"/>
      <c r="Q7326" s="17"/>
    </row>
    <row r="7327" spans="12:17" x14ac:dyDescent="0.3">
      <c r="L7327" s="25"/>
      <c r="Q7327" s="17"/>
    </row>
    <row r="7328" spans="12:17" x14ac:dyDescent="0.3">
      <c r="L7328" s="25"/>
      <c r="Q7328" s="17"/>
    </row>
    <row r="7329" spans="12:17" x14ac:dyDescent="0.3">
      <c r="L7329" s="25"/>
      <c r="Q7329" s="17"/>
    </row>
    <row r="7330" spans="12:17" x14ac:dyDescent="0.3">
      <c r="L7330" s="25"/>
      <c r="Q7330" s="17"/>
    </row>
    <row r="7331" spans="12:17" x14ac:dyDescent="0.3">
      <c r="L7331" s="25"/>
      <c r="Q7331" s="17"/>
    </row>
    <row r="7332" spans="12:17" x14ac:dyDescent="0.3">
      <c r="L7332" s="25"/>
      <c r="Q7332" s="17"/>
    </row>
    <row r="7333" spans="12:17" x14ac:dyDescent="0.3">
      <c r="L7333" s="25"/>
      <c r="Q7333" s="17"/>
    </row>
    <row r="7334" spans="12:17" x14ac:dyDescent="0.3">
      <c r="L7334" s="25"/>
      <c r="Q7334" s="17"/>
    </row>
    <row r="7335" spans="12:17" x14ac:dyDescent="0.3">
      <c r="L7335" s="25"/>
      <c r="Q7335" s="17"/>
    </row>
    <row r="7336" spans="12:17" x14ac:dyDescent="0.3">
      <c r="L7336" s="25"/>
      <c r="Q7336" s="17"/>
    </row>
    <row r="7337" spans="12:17" x14ac:dyDescent="0.3">
      <c r="L7337" s="25"/>
      <c r="Q7337" s="17"/>
    </row>
    <row r="7338" spans="12:17" x14ac:dyDescent="0.3">
      <c r="L7338" s="25"/>
      <c r="Q7338" s="17"/>
    </row>
    <row r="7339" spans="12:17" x14ac:dyDescent="0.3">
      <c r="L7339" s="25"/>
      <c r="Q7339" s="17"/>
    </row>
    <row r="7340" spans="12:17" x14ac:dyDescent="0.3">
      <c r="L7340" s="25"/>
      <c r="Q7340" s="17"/>
    </row>
    <row r="7341" spans="12:17" x14ac:dyDescent="0.3">
      <c r="L7341" s="25"/>
      <c r="Q7341" s="17"/>
    </row>
    <row r="7342" spans="12:17" x14ac:dyDescent="0.3">
      <c r="L7342" s="25"/>
      <c r="Q7342" s="17"/>
    </row>
    <row r="7343" spans="12:17" x14ac:dyDescent="0.3">
      <c r="L7343" s="25"/>
      <c r="Q7343" s="17"/>
    </row>
    <row r="7344" spans="12:17" x14ac:dyDescent="0.3">
      <c r="L7344" s="25"/>
      <c r="Q7344" s="17"/>
    </row>
    <row r="7345" spans="12:17" x14ac:dyDescent="0.3">
      <c r="L7345" s="25"/>
      <c r="Q7345" s="17"/>
    </row>
    <row r="7346" spans="12:17" x14ac:dyDescent="0.3">
      <c r="L7346" s="25"/>
      <c r="Q7346" s="17"/>
    </row>
    <row r="7347" spans="12:17" x14ac:dyDescent="0.3">
      <c r="L7347" s="25"/>
      <c r="Q7347" s="17"/>
    </row>
    <row r="7348" spans="12:17" x14ac:dyDescent="0.3">
      <c r="L7348" s="25"/>
      <c r="Q7348" s="17"/>
    </row>
    <row r="7349" spans="12:17" x14ac:dyDescent="0.3">
      <c r="L7349" s="25"/>
      <c r="Q7349" s="17"/>
    </row>
    <row r="7350" spans="12:17" x14ac:dyDescent="0.3">
      <c r="L7350" s="25"/>
      <c r="Q7350" s="17"/>
    </row>
    <row r="7351" spans="12:17" x14ac:dyDescent="0.3">
      <c r="L7351" s="25"/>
      <c r="Q7351" s="17"/>
    </row>
    <row r="7352" spans="12:17" x14ac:dyDescent="0.3">
      <c r="L7352" s="25"/>
      <c r="Q7352" s="17"/>
    </row>
    <row r="7353" spans="12:17" x14ac:dyDescent="0.3">
      <c r="L7353" s="25"/>
      <c r="Q7353" s="17"/>
    </row>
    <row r="7354" spans="12:17" x14ac:dyDescent="0.3">
      <c r="L7354" s="25"/>
      <c r="Q7354" s="17"/>
    </row>
    <row r="7355" spans="12:17" x14ac:dyDescent="0.3">
      <c r="L7355" s="25"/>
      <c r="Q7355" s="17"/>
    </row>
    <row r="7356" spans="12:17" x14ac:dyDescent="0.3">
      <c r="L7356" s="25"/>
      <c r="Q7356" s="17"/>
    </row>
    <row r="7357" spans="12:17" x14ac:dyDescent="0.3">
      <c r="L7357" s="25"/>
      <c r="Q7357" s="17"/>
    </row>
    <row r="7358" spans="12:17" x14ac:dyDescent="0.3">
      <c r="L7358" s="25"/>
      <c r="Q7358" s="17"/>
    </row>
    <row r="7359" spans="12:17" x14ac:dyDescent="0.3">
      <c r="L7359" s="25"/>
      <c r="Q7359" s="17"/>
    </row>
    <row r="7360" spans="12:17" x14ac:dyDescent="0.3">
      <c r="L7360" s="25"/>
      <c r="Q7360" s="17"/>
    </row>
    <row r="7361" spans="12:17" x14ac:dyDescent="0.3">
      <c r="L7361" s="25"/>
      <c r="Q7361" s="17"/>
    </row>
    <row r="7362" spans="12:17" x14ac:dyDescent="0.3">
      <c r="L7362" s="25"/>
      <c r="Q7362" s="17"/>
    </row>
    <row r="7363" spans="12:17" x14ac:dyDescent="0.3">
      <c r="L7363" s="25"/>
      <c r="Q7363" s="17"/>
    </row>
    <row r="7364" spans="12:17" x14ac:dyDescent="0.3">
      <c r="L7364" s="25"/>
      <c r="Q7364" s="17"/>
    </row>
    <row r="7365" spans="12:17" x14ac:dyDescent="0.3">
      <c r="L7365" s="25"/>
      <c r="Q7365" s="17"/>
    </row>
    <row r="7366" spans="12:17" x14ac:dyDescent="0.3">
      <c r="L7366" s="25"/>
      <c r="Q7366" s="17"/>
    </row>
    <row r="7367" spans="12:17" x14ac:dyDescent="0.3">
      <c r="L7367" s="25"/>
      <c r="Q7367" s="17"/>
    </row>
    <row r="7368" spans="12:17" x14ac:dyDescent="0.3">
      <c r="L7368" s="25"/>
      <c r="Q7368" s="17"/>
    </row>
    <row r="7369" spans="12:17" x14ac:dyDescent="0.3">
      <c r="L7369" s="25"/>
      <c r="Q7369" s="17"/>
    </row>
    <row r="7370" spans="12:17" x14ac:dyDescent="0.3">
      <c r="L7370" s="25"/>
      <c r="Q7370" s="17"/>
    </row>
    <row r="7371" spans="12:17" x14ac:dyDescent="0.3">
      <c r="L7371" s="25"/>
      <c r="Q7371" s="17"/>
    </row>
    <row r="7372" spans="12:17" x14ac:dyDescent="0.3">
      <c r="L7372" s="25"/>
      <c r="Q7372" s="17"/>
    </row>
    <row r="7373" spans="12:17" x14ac:dyDescent="0.3">
      <c r="L7373" s="25"/>
      <c r="Q7373" s="17"/>
    </row>
    <row r="7374" spans="12:17" x14ac:dyDescent="0.3">
      <c r="L7374" s="25"/>
      <c r="Q7374" s="17"/>
    </row>
    <row r="7375" spans="12:17" x14ac:dyDescent="0.3">
      <c r="L7375" s="25"/>
      <c r="Q7375" s="17"/>
    </row>
    <row r="7376" spans="12:17" x14ac:dyDescent="0.3">
      <c r="L7376" s="25"/>
      <c r="Q7376" s="17"/>
    </row>
    <row r="7377" spans="12:17" x14ac:dyDescent="0.3">
      <c r="L7377" s="25"/>
      <c r="Q7377" s="17"/>
    </row>
    <row r="7378" spans="12:17" x14ac:dyDescent="0.3">
      <c r="L7378" s="25"/>
      <c r="Q7378" s="17"/>
    </row>
    <row r="7379" spans="12:17" x14ac:dyDescent="0.3">
      <c r="L7379" s="25"/>
      <c r="Q7379" s="17"/>
    </row>
    <row r="7380" spans="12:17" x14ac:dyDescent="0.3">
      <c r="L7380" s="25"/>
      <c r="Q7380" s="17"/>
    </row>
    <row r="7381" spans="12:17" x14ac:dyDescent="0.3">
      <c r="L7381" s="25"/>
      <c r="Q7381" s="17"/>
    </row>
    <row r="7382" spans="12:17" x14ac:dyDescent="0.3">
      <c r="L7382" s="25"/>
      <c r="Q7382" s="17"/>
    </row>
    <row r="7383" spans="12:17" x14ac:dyDescent="0.3">
      <c r="L7383" s="25"/>
      <c r="Q7383" s="17"/>
    </row>
    <row r="7384" spans="12:17" x14ac:dyDescent="0.3">
      <c r="L7384" s="25"/>
      <c r="Q7384" s="17"/>
    </row>
    <row r="7385" spans="12:17" x14ac:dyDescent="0.3">
      <c r="L7385" s="25"/>
      <c r="Q7385" s="17"/>
    </row>
    <row r="7386" spans="12:17" x14ac:dyDescent="0.3">
      <c r="L7386" s="25"/>
      <c r="Q7386" s="17"/>
    </row>
    <row r="7387" spans="12:17" x14ac:dyDescent="0.3">
      <c r="L7387" s="25"/>
      <c r="Q7387" s="17"/>
    </row>
    <row r="7388" spans="12:17" x14ac:dyDescent="0.3">
      <c r="L7388" s="25"/>
      <c r="Q7388" s="17"/>
    </row>
    <row r="7389" spans="12:17" x14ac:dyDescent="0.3">
      <c r="L7389" s="25"/>
      <c r="Q7389" s="17"/>
    </row>
    <row r="7390" spans="12:17" x14ac:dyDescent="0.3">
      <c r="L7390" s="25"/>
      <c r="Q7390" s="17"/>
    </row>
    <row r="7391" spans="12:17" x14ac:dyDescent="0.3">
      <c r="L7391" s="25"/>
      <c r="Q7391" s="17"/>
    </row>
    <row r="7392" spans="12:17" x14ac:dyDescent="0.3">
      <c r="L7392" s="25"/>
      <c r="Q7392" s="17"/>
    </row>
    <row r="7393" spans="12:17" x14ac:dyDescent="0.3">
      <c r="L7393" s="25"/>
      <c r="Q7393" s="17"/>
    </row>
    <row r="7394" spans="12:17" x14ac:dyDescent="0.3">
      <c r="L7394" s="25"/>
      <c r="Q7394" s="17"/>
    </row>
    <row r="7395" spans="12:17" x14ac:dyDescent="0.3">
      <c r="L7395" s="25"/>
      <c r="Q7395" s="17"/>
    </row>
    <row r="7396" spans="12:17" x14ac:dyDescent="0.3">
      <c r="L7396" s="25"/>
      <c r="Q7396" s="17"/>
    </row>
    <row r="7397" spans="12:17" x14ac:dyDescent="0.3">
      <c r="L7397" s="25"/>
      <c r="Q7397" s="17"/>
    </row>
    <row r="7398" spans="12:17" x14ac:dyDescent="0.3">
      <c r="L7398" s="25"/>
      <c r="Q7398" s="17"/>
    </row>
    <row r="7399" spans="12:17" x14ac:dyDescent="0.3">
      <c r="L7399" s="25"/>
      <c r="Q7399" s="17"/>
    </row>
    <row r="7400" spans="12:17" x14ac:dyDescent="0.3">
      <c r="L7400" s="25"/>
      <c r="Q7400" s="17"/>
    </row>
    <row r="7401" spans="12:17" x14ac:dyDescent="0.3">
      <c r="L7401" s="25"/>
      <c r="Q7401" s="17"/>
    </row>
    <row r="7402" spans="12:17" x14ac:dyDescent="0.3">
      <c r="L7402" s="25"/>
      <c r="Q7402" s="17"/>
    </row>
    <row r="7403" spans="12:17" x14ac:dyDescent="0.3">
      <c r="L7403" s="25"/>
      <c r="Q7403" s="17"/>
    </row>
    <row r="7404" spans="12:17" x14ac:dyDescent="0.3">
      <c r="L7404" s="25"/>
      <c r="Q7404" s="17"/>
    </row>
    <row r="7405" spans="12:17" x14ac:dyDescent="0.3">
      <c r="L7405" s="25"/>
      <c r="Q7405" s="17"/>
    </row>
    <row r="7406" spans="12:17" x14ac:dyDescent="0.3">
      <c r="L7406" s="25"/>
      <c r="Q7406" s="17"/>
    </row>
    <row r="7407" spans="12:17" x14ac:dyDescent="0.3">
      <c r="L7407" s="25"/>
      <c r="Q7407" s="17"/>
    </row>
    <row r="7408" spans="12:17" x14ac:dyDescent="0.3">
      <c r="L7408" s="25"/>
      <c r="Q7408" s="17"/>
    </row>
    <row r="7409" spans="12:17" x14ac:dyDescent="0.3">
      <c r="L7409" s="25"/>
      <c r="Q7409" s="17"/>
    </row>
    <row r="7410" spans="12:17" x14ac:dyDescent="0.3">
      <c r="L7410" s="25"/>
      <c r="Q7410" s="17"/>
    </row>
    <row r="7411" spans="12:17" x14ac:dyDescent="0.3">
      <c r="L7411" s="25"/>
      <c r="Q7411" s="17"/>
    </row>
    <row r="7412" spans="12:17" x14ac:dyDescent="0.3">
      <c r="L7412" s="25"/>
      <c r="Q7412" s="17"/>
    </row>
    <row r="7413" spans="12:17" x14ac:dyDescent="0.3">
      <c r="L7413" s="25"/>
      <c r="Q7413" s="17"/>
    </row>
    <row r="7414" spans="12:17" x14ac:dyDescent="0.3">
      <c r="L7414" s="25"/>
      <c r="Q7414" s="17"/>
    </row>
    <row r="7415" spans="12:17" x14ac:dyDescent="0.3">
      <c r="L7415" s="25"/>
      <c r="Q7415" s="17"/>
    </row>
    <row r="7416" spans="12:17" x14ac:dyDescent="0.3">
      <c r="L7416" s="25"/>
      <c r="Q7416" s="17"/>
    </row>
    <row r="7417" spans="12:17" x14ac:dyDescent="0.3">
      <c r="L7417" s="25"/>
      <c r="Q7417" s="17"/>
    </row>
    <row r="7418" spans="12:17" x14ac:dyDescent="0.3">
      <c r="L7418" s="25"/>
      <c r="Q7418" s="17"/>
    </row>
    <row r="7419" spans="12:17" x14ac:dyDescent="0.3">
      <c r="L7419" s="25"/>
      <c r="Q7419" s="17"/>
    </row>
    <row r="7420" spans="12:17" x14ac:dyDescent="0.3">
      <c r="L7420" s="25"/>
      <c r="Q7420" s="17"/>
    </row>
    <row r="7421" spans="12:17" x14ac:dyDescent="0.3">
      <c r="L7421" s="25"/>
      <c r="Q7421" s="17"/>
    </row>
    <row r="7422" spans="12:17" x14ac:dyDescent="0.3">
      <c r="L7422" s="25"/>
      <c r="Q7422" s="17"/>
    </row>
    <row r="7423" spans="12:17" x14ac:dyDescent="0.3">
      <c r="L7423" s="25"/>
      <c r="Q7423" s="17"/>
    </row>
    <row r="7424" spans="12:17" x14ac:dyDescent="0.3">
      <c r="L7424" s="25"/>
      <c r="Q7424" s="17"/>
    </row>
    <row r="7425" spans="12:17" x14ac:dyDescent="0.3">
      <c r="L7425" s="25"/>
      <c r="Q7425" s="17"/>
    </row>
    <row r="7426" spans="12:17" x14ac:dyDescent="0.3">
      <c r="L7426" s="25"/>
      <c r="Q7426" s="17"/>
    </row>
    <row r="7427" spans="12:17" x14ac:dyDescent="0.3">
      <c r="L7427" s="25"/>
      <c r="Q7427" s="17"/>
    </row>
    <row r="7428" spans="12:17" x14ac:dyDescent="0.3">
      <c r="L7428" s="25"/>
      <c r="Q7428" s="17"/>
    </row>
    <row r="7429" spans="12:17" x14ac:dyDescent="0.3">
      <c r="L7429" s="25"/>
      <c r="Q7429" s="17"/>
    </row>
    <row r="7430" spans="12:17" x14ac:dyDescent="0.3">
      <c r="L7430" s="25"/>
      <c r="Q7430" s="17"/>
    </row>
    <row r="7431" spans="12:17" x14ac:dyDescent="0.3">
      <c r="L7431" s="25"/>
      <c r="Q7431" s="17"/>
    </row>
    <row r="7432" spans="12:17" x14ac:dyDescent="0.3">
      <c r="L7432" s="25"/>
      <c r="Q7432" s="17"/>
    </row>
    <row r="7433" spans="12:17" x14ac:dyDescent="0.3">
      <c r="L7433" s="25"/>
      <c r="Q7433" s="17"/>
    </row>
    <row r="7434" spans="12:17" x14ac:dyDescent="0.3">
      <c r="L7434" s="25"/>
      <c r="Q7434" s="17"/>
    </row>
    <row r="7435" spans="12:17" x14ac:dyDescent="0.3">
      <c r="L7435" s="25"/>
      <c r="Q7435" s="17"/>
    </row>
    <row r="7436" spans="12:17" x14ac:dyDescent="0.3">
      <c r="L7436" s="25"/>
      <c r="Q7436" s="17"/>
    </row>
    <row r="7437" spans="12:17" x14ac:dyDescent="0.3">
      <c r="L7437" s="25"/>
      <c r="Q7437" s="17"/>
    </row>
    <row r="7438" spans="12:17" x14ac:dyDescent="0.3">
      <c r="L7438" s="25"/>
      <c r="Q7438" s="17"/>
    </row>
    <row r="7439" spans="12:17" x14ac:dyDescent="0.3">
      <c r="L7439" s="25"/>
      <c r="Q7439" s="17"/>
    </row>
    <row r="7440" spans="12:17" x14ac:dyDescent="0.3">
      <c r="L7440" s="25"/>
      <c r="Q7440" s="17"/>
    </row>
    <row r="7441" spans="12:17" x14ac:dyDescent="0.3">
      <c r="L7441" s="25"/>
      <c r="Q7441" s="17"/>
    </row>
    <row r="7442" spans="12:17" x14ac:dyDescent="0.3">
      <c r="L7442" s="25"/>
      <c r="Q7442" s="17"/>
    </row>
    <row r="7443" spans="12:17" x14ac:dyDescent="0.3">
      <c r="L7443" s="25"/>
      <c r="Q7443" s="17"/>
    </row>
    <row r="7444" spans="12:17" x14ac:dyDescent="0.3">
      <c r="L7444" s="25"/>
      <c r="Q7444" s="17"/>
    </row>
    <row r="7445" spans="12:17" x14ac:dyDescent="0.3">
      <c r="L7445" s="25"/>
      <c r="Q7445" s="17"/>
    </row>
    <row r="7446" spans="12:17" x14ac:dyDescent="0.3">
      <c r="L7446" s="25"/>
      <c r="Q7446" s="17"/>
    </row>
    <row r="7447" spans="12:17" x14ac:dyDescent="0.3">
      <c r="L7447" s="25"/>
      <c r="Q7447" s="17"/>
    </row>
    <row r="7448" spans="12:17" x14ac:dyDescent="0.3">
      <c r="L7448" s="25"/>
      <c r="Q7448" s="17"/>
    </row>
    <row r="7449" spans="12:17" x14ac:dyDescent="0.3">
      <c r="L7449" s="25"/>
      <c r="Q7449" s="17"/>
    </row>
    <row r="7450" spans="12:17" x14ac:dyDescent="0.3">
      <c r="L7450" s="25"/>
      <c r="Q7450" s="17"/>
    </row>
    <row r="7451" spans="12:17" x14ac:dyDescent="0.3">
      <c r="L7451" s="25"/>
      <c r="Q7451" s="17"/>
    </row>
    <row r="7452" spans="12:17" x14ac:dyDescent="0.3">
      <c r="L7452" s="25"/>
      <c r="Q7452" s="17"/>
    </row>
    <row r="7453" spans="12:17" x14ac:dyDescent="0.3">
      <c r="L7453" s="25"/>
      <c r="Q7453" s="17"/>
    </row>
    <row r="7454" spans="12:17" x14ac:dyDescent="0.3">
      <c r="L7454" s="25"/>
      <c r="Q7454" s="17"/>
    </row>
    <row r="7455" spans="12:17" x14ac:dyDescent="0.3">
      <c r="L7455" s="25"/>
      <c r="Q7455" s="17"/>
    </row>
    <row r="7456" spans="12:17" x14ac:dyDescent="0.3">
      <c r="L7456" s="25"/>
      <c r="Q7456" s="17"/>
    </row>
    <row r="7457" spans="12:17" x14ac:dyDescent="0.3">
      <c r="L7457" s="25"/>
      <c r="Q7457" s="17"/>
    </row>
    <row r="7458" spans="12:17" x14ac:dyDescent="0.3">
      <c r="L7458" s="25"/>
      <c r="Q7458" s="17"/>
    </row>
    <row r="7459" spans="12:17" x14ac:dyDescent="0.3">
      <c r="L7459" s="25"/>
      <c r="Q7459" s="17"/>
    </row>
    <row r="7460" spans="12:17" x14ac:dyDescent="0.3">
      <c r="L7460" s="25"/>
      <c r="Q7460" s="17"/>
    </row>
    <row r="7461" spans="12:17" x14ac:dyDescent="0.3">
      <c r="L7461" s="25"/>
      <c r="Q7461" s="17"/>
    </row>
    <row r="7462" spans="12:17" x14ac:dyDescent="0.3">
      <c r="L7462" s="25"/>
      <c r="Q7462" s="17"/>
    </row>
    <row r="7463" spans="12:17" x14ac:dyDescent="0.3">
      <c r="L7463" s="25"/>
      <c r="Q7463" s="17"/>
    </row>
    <row r="7464" spans="12:17" x14ac:dyDescent="0.3">
      <c r="L7464" s="25"/>
      <c r="Q7464" s="17"/>
    </row>
    <row r="7465" spans="12:17" x14ac:dyDescent="0.3">
      <c r="L7465" s="25"/>
      <c r="Q7465" s="17"/>
    </row>
    <row r="7466" spans="12:17" x14ac:dyDescent="0.3">
      <c r="L7466" s="25"/>
      <c r="Q7466" s="17"/>
    </row>
    <row r="7467" spans="12:17" x14ac:dyDescent="0.3">
      <c r="L7467" s="25"/>
      <c r="Q7467" s="17"/>
    </row>
    <row r="7468" spans="12:17" x14ac:dyDescent="0.3">
      <c r="L7468" s="25"/>
      <c r="Q7468" s="17"/>
    </row>
    <row r="7469" spans="12:17" x14ac:dyDescent="0.3">
      <c r="L7469" s="25"/>
      <c r="Q7469" s="17"/>
    </row>
    <row r="7470" spans="12:17" x14ac:dyDescent="0.3">
      <c r="L7470" s="25"/>
      <c r="Q7470" s="17"/>
    </row>
    <row r="7471" spans="12:17" x14ac:dyDescent="0.3">
      <c r="L7471" s="25"/>
      <c r="Q7471" s="17"/>
    </row>
    <row r="7472" spans="12:17" x14ac:dyDescent="0.3">
      <c r="L7472" s="25"/>
      <c r="Q7472" s="17"/>
    </row>
    <row r="7473" spans="12:17" x14ac:dyDescent="0.3">
      <c r="L7473" s="25"/>
      <c r="Q7473" s="17"/>
    </row>
    <row r="7474" spans="12:17" x14ac:dyDescent="0.3">
      <c r="L7474" s="25"/>
      <c r="Q7474" s="17"/>
    </row>
    <row r="7475" spans="12:17" x14ac:dyDescent="0.3">
      <c r="L7475" s="25"/>
      <c r="Q7475" s="17"/>
    </row>
    <row r="7476" spans="12:17" x14ac:dyDescent="0.3">
      <c r="L7476" s="25"/>
      <c r="Q7476" s="17"/>
    </row>
    <row r="7477" spans="12:17" x14ac:dyDescent="0.3">
      <c r="L7477" s="25"/>
      <c r="Q7477" s="17"/>
    </row>
    <row r="7478" spans="12:17" x14ac:dyDescent="0.3">
      <c r="L7478" s="25"/>
      <c r="Q7478" s="17"/>
    </row>
    <row r="7479" spans="12:17" x14ac:dyDescent="0.3">
      <c r="L7479" s="25"/>
      <c r="Q7479" s="17"/>
    </row>
    <row r="7480" spans="12:17" x14ac:dyDescent="0.3">
      <c r="L7480" s="25"/>
      <c r="Q7480" s="17"/>
    </row>
    <row r="7481" spans="12:17" x14ac:dyDescent="0.3">
      <c r="L7481" s="25"/>
      <c r="Q7481" s="17"/>
    </row>
    <row r="7482" spans="12:17" x14ac:dyDescent="0.3">
      <c r="L7482" s="25"/>
      <c r="Q7482" s="17"/>
    </row>
    <row r="7483" spans="12:17" x14ac:dyDescent="0.3">
      <c r="L7483" s="25"/>
      <c r="Q7483" s="17"/>
    </row>
    <row r="7484" spans="12:17" x14ac:dyDescent="0.3">
      <c r="L7484" s="25"/>
      <c r="Q7484" s="17"/>
    </row>
    <row r="7485" spans="12:17" x14ac:dyDescent="0.3">
      <c r="L7485" s="25"/>
      <c r="Q7485" s="17"/>
    </row>
    <row r="7486" spans="12:17" x14ac:dyDescent="0.3">
      <c r="L7486" s="25"/>
      <c r="Q7486" s="17"/>
    </row>
    <row r="7487" spans="12:17" x14ac:dyDescent="0.3">
      <c r="L7487" s="25"/>
      <c r="Q7487" s="17"/>
    </row>
    <row r="7488" spans="12:17" x14ac:dyDescent="0.3">
      <c r="L7488" s="25"/>
      <c r="Q7488" s="17"/>
    </row>
    <row r="7489" spans="12:17" x14ac:dyDescent="0.3">
      <c r="L7489" s="25"/>
      <c r="Q7489" s="17"/>
    </row>
    <row r="7490" spans="12:17" x14ac:dyDescent="0.3">
      <c r="L7490" s="25"/>
      <c r="Q7490" s="17"/>
    </row>
    <row r="7491" spans="12:17" x14ac:dyDescent="0.3">
      <c r="L7491" s="25"/>
      <c r="Q7491" s="17"/>
    </row>
    <row r="7492" spans="12:17" x14ac:dyDescent="0.3">
      <c r="L7492" s="25"/>
      <c r="Q7492" s="17"/>
    </row>
    <row r="7493" spans="12:17" x14ac:dyDescent="0.3">
      <c r="L7493" s="25"/>
      <c r="Q7493" s="17"/>
    </row>
    <row r="7494" spans="12:17" x14ac:dyDescent="0.3">
      <c r="L7494" s="25"/>
      <c r="Q7494" s="17"/>
    </row>
    <row r="7495" spans="12:17" x14ac:dyDescent="0.3">
      <c r="L7495" s="25"/>
      <c r="Q7495" s="17"/>
    </row>
    <row r="7496" spans="12:17" x14ac:dyDescent="0.3">
      <c r="L7496" s="25"/>
      <c r="Q7496" s="17"/>
    </row>
    <row r="7497" spans="12:17" x14ac:dyDescent="0.3">
      <c r="L7497" s="25"/>
      <c r="Q7497" s="17"/>
    </row>
    <row r="7498" spans="12:17" x14ac:dyDescent="0.3">
      <c r="L7498" s="25"/>
      <c r="Q7498" s="17"/>
    </row>
    <row r="7499" spans="12:17" x14ac:dyDescent="0.3">
      <c r="L7499" s="25"/>
      <c r="Q7499" s="17"/>
    </row>
    <row r="7500" spans="12:17" x14ac:dyDescent="0.3">
      <c r="L7500" s="25"/>
      <c r="Q7500" s="17"/>
    </row>
    <row r="7501" spans="12:17" x14ac:dyDescent="0.3">
      <c r="L7501" s="25"/>
      <c r="Q7501" s="17"/>
    </row>
    <row r="7502" spans="12:17" x14ac:dyDescent="0.3">
      <c r="L7502" s="25"/>
      <c r="Q7502" s="17"/>
    </row>
    <row r="7503" spans="12:17" x14ac:dyDescent="0.3">
      <c r="L7503" s="25"/>
      <c r="Q7503" s="17"/>
    </row>
    <row r="7504" spans="12:17" x14ac:dyDescent="0.3">
      <c r="L7504" s="25"/>
      <c r="Q7504" s="17"/>
    </row>
    <row r="7505" spans="12:17" x14ac:dyDescent="0.3">
      <c r="L7505" s="25"/>
      <c r="Q7505" s="17"/>
    </row>
    <row r="7506" spans="12:17" x14ac:dyDescent="0.3">
      <c r="L7506" s="25"/>
      <c r="Q7506" s="17"/>
    </row>
    <row r="7507" spans="12:17" x14ac:dyDescent="0.3">
      <c r="L7507" s="25"/>
      <c r="Q7507" s="17"/>
    </row>
    <row r="7508" spans="12:17" x14ac:dyDescent="0.3">
      <c r="L7508" s="25"/>
      <c r="Q7508" s="17"/>
    </row>
    <row r="7509" spans="12:17" x14ac:dyDescent="0.3">
      <c r="L7509" s="25"/>
      <c r="Q7509" s="17"/>
    </row>
    <row r="7510" spans="12:17" x14ac:dyDescent="0.3">
      <c r="L7510" s="25"/>
      <c r="Q7510" s="17"/>
    </row>
    <row r="7511" spans="12:17" x14ac:dyDescent="0.3">
      <c r="L7511" s="25"/>
      <c r="Q7511" s="17"/>
    </row>
    <row r="7512" spans="12:17" x14ac:dyDescent="0.3">
      <c r="L7512" s="25"/>
      <c r="Q7512" s="17"/>
    </row>
    <row r="7513" spans="12:17" x14ac:dyDescent="0.3">
      <c r="L7513" s="25"/>
      <c r="Q7513" s="17"/>
    </row>
    <row r="7514" spans="12:17" x14ac:dyDescent="0.3">
      <c r="L7514" s="25"/>
      <c r="Q7514" s="17"/>
    </row>
    <row r="7515" spans="12:17" x14ac:dyDescent="0.3">
      <c r="L7515" s="25"/>
      <c r="Q7515" s="17"/>
    </row>
    <row r="7516" spans="12:17" x14ac:dyDescent="0.3">
      <c r="L7516" s="25"/>
      <c r="Q7516" s="17"/>
    </row>
    <row r="7517" spans="12:17" x14ac:dyDescent="0.3">
      <c r="L7517" s="25"/>
      <c r="Q7517" s="17"/>
    </row>
    <row r="7518" spans="12:17" x14ac:dyDescent="0.3">
      <c r="L7518" s="25"/>
      <c r="Q7518" s="17"/>
    </row>
    <row r="7519" spans="12:17" x14ac:dyDescent="0.3">
      <c r="L7519" s="25"/>
      <c r="Q7519" s="17"/>
    </row>
    <row r="7520" spans="12:17" x14ac:dyDescent="0.3">
      <c r="L7520" s="25"/>
      <c r="Q7520" s="17"/>
    </row>
    <row r="7521" spans="12:17" x14ac:dyDescent="0.3">
      <c r="L7521" s="25"/>
      <c r="Q7521" s="17"/>
    </row>
    <row r="7522" spans="12:17" x14ac:dyDescent="0.3">
      <c r="L7522" s="25"/>
      <c r="Q7522" s="17"/>
    </row>
    <row r="7523" spans="12:17" x14ac:dyDescent="0.3">
      <c r="L7523" s="25"/>
      <c r="Q7523" s="17"/>
    </row>
    <row r="7524" spans="12:17" x14ac:dyDescent="0.3">
      <c r="L7524" s="25"/>
      <c r="Q7524" s="17"/>
    </row>
    <row r="7525" spans="12:17" x14ac:dyDescent="0.3">
      <c r="L7525" s="25"/>
      <c r="Q7525" s="17"/>
    </row>
    <row r="7526" spans="12:17" x14ac:dyDescent="0.3">
      <c r="L7526" s="25"/>
      <c r="Q7526" s="17"/>
    </row>
    <row r="7527" spans="12:17" x14ac:dyDescent="0.3">
      <c r="L7527" s="25"/>
      <c r="Q7527" s="17"/>
    </row>
    <row r="7528" spans="12:17" x14ac:dyDescent="0.3">
      <c r="L7528" s="25"/>
      <c r="Q7528" s="17"/>
    </row>
    <row r="7529" spans="12:17" x14ac:dyDescent="0.3">
      <c r="L7529" s="25"/>
      <c r="Q7529" s="17"/>
    </row>
    <row r="7530" spans="12:17" x14ac:dyDescent="0.3">
      <c r="L7530" s="25"/>
      <c r="Q7530" s="17"/>
    </row>
    <row r="7531" spans="12:17" x14ac:dyDescent="0.3">
      <c r="L7531" s="25"/>
      <c r="Q7531" s="17"/>
    </row>
    <row r="7532" spans="12:17" x14ac:dyDescent="0.3">
      <c r="L7532" s="25"/>
      <c r="Q7532" s="17"/>
    </row>
    <row r="7533" spans="12:17" x14ac:dyDescent="0.3">
      <c r="L7533" s="25"/>
      <c r="Q7533" s="17"/>
    </row>
    <row r="7534" spans="12:17" x14ac:dyDescent="0.3">
      <c r="L7534" s="25"/>
      <c r="Q7534" s="17"/>
    </row>
    <row r="7535" spans="12:17" x14ac:dyDescent="0.3">
      <c r="L7535" s="25"/>
      <c r="Q7535" s="17"/>
    </row>
    <row r="7536" spans="12:17" x14ac:dyDescent="0.3">
      <c r="L7536" s="25"/>
      <c r="Q7536" s="17"/>
    </row>
    <row r="7537" spans="12:17" x14ac:dyDescent="0.3">
      <c r="L7537" s="25"/>
      <c r="Q7537" s="17"/>
    </row>
    <row r="7538" spans="12:17" x14ac:dyDescent="0.3">
      <c r="L7538" s="25"/>
      <c r="Q7538" s="17"/>
    </row>
    <row r="7539" spans="12:17" x14ac:dyDescent="0.3">
      <c r="L7539" s="25"/>
      <c r="Q7539" s="17"/>
    </row>
    <row r="7540" spans="12:17" x14ac:dyDescent="0.3">
      <c r="L7540" s="25"/>
      <c r="Q7540" s="17"/>
    </row>
    <row r="7541" spans="12:17" x14ac:dyDescent="0.3">
      <c r="L7541" s="25"/>
      <c r="Q7541" s="17"/>
    </row>
    <row r="7542" spans="12:17" x14ac:dyDescent="0.3">
      <c r="L7542" s="25"/>
      <c r="Q7542" s="17"/>
    </row>
    <row r="7543" spans="12:17" x14ac:dyDescent="0.3">
      <c r="L7543" s="25"/>
      <c r="Q7543" s="17"/>
    </row>
    <row r="7544" spans="12:17" x14ac:dyDescent="0.3">
      <c r="L7544" s="25"/>
      <c r="Q7544" s="17"/>
    </row>
    <row r="7545" spans="12:17" x14ac:dyDescent="0.3">
      <c r="L7545" s="25"/>
      <c r="Q7545" s="17"/>
    </row>
    <row r="7546" spans="12:17" x14ac:dyDescent="0.3">
      <c r="L7546" s="25"/>
      <c r="Q7546" s="17"/>
    </row>
    <row r="7547" spans="12:17" x14ac:dyDescent="0.3">
      <c r="L7547" s="25"/>
      <c r="Q7547" s="17"/>
    </row>
    <row r="7548" spans="12:17" x14ac:dyDescent="0.3">
      <c r="L7548" s="25"/>
      <c r="Q7548" s="17"/>
    </row>
    <row r="7549" spans="12:17" x14ac:dyDescent="0.3">
      <c r="L7549" s="25"/>
      <c r="Q7549" s="17"/>
    </row>
    <row r="7550" spans="12:17" x14ac:dyDescent="0.3">
      <c r="L7550" s="25"/>
      <c r="Q7550" s="17"/>
    </row>
    <row r="7551" spans="12:17" x14ac:dyDescent="0.3">
      <c r="L7551" s="25"/>
      <c r="Q7551" s="17"/>
    </row>
    <row r="7552" spans="12:17" x14ac:dyDescent="0.3">
      <c r="L7552" s="25"/>
      <c r="Q7552" s="17"/>
    </row>
    <row r="7553" spans="12:17" x14ac:dyDescent="0.3">
      <c r="L7553" s="25"/>
      <c r="Q7553" s="17"/>
    </row>
    <row r="7554" spans="12:17" x14ac:dyDescent="0.3">
      <c r="L7554" s="25"/>
      <c r="Q7554" s="17"/>
    </row>
    <row r="7555" spans="12:17" x14ac:dyDescent="0.3">
      <c r="L7555" s="25"/>
      <c r="Q7555" s="17"/>
    </row>
    <row r="7556" spans="12:17" x14ac:dyDescent="0.3">
      <c r="L7556" s="25"/>
      <c r="Q7556" s="17"/>
    </row>
    <row r="7557" spans="12:17" x14ac:dyDescent="0.3">
      <c r="L7557" s="25"/>
      <c r="Q7557" s="17"/>
    </row>
    <row r="7558" spans="12:17" x14ac:dyDescent="0.3">
      <c r="L7558" s="25"/>
      <c r="Q7558" s="17"/>
    </row>
    <row r="7559" spans="12:17" x14ac:dyDescent="0.3">
      <c r="L7559" s="25"/>
      <c r="Q7559" s="17"/>
    </row>
    <row r="7560" spans="12:17" x14ac:dyDescent="0.3">
      <c r="L7560" s="25"/>
      <c r="Q7560" s="17"/>
    </row>
    <row r="7561" spans="12:17" x14ac:dyDescent="0.3">
      <c r="L7561" s="25"/>
      <c r="Q7561" s="17"/>
    </row>
    <row r="7562" spans="12:17" x14ac:dyDescent="0.3">
      <c r="L7562" s="25"/>
      <c r="Q7562" s="17"/>
    </row>
    <row r="7563" spans="12:17" x14ac:dyDescent="0.3">
      <c r="L7563" s="25"/>
      <c r="Q7563" s="17"/>
    </row>
    <row r="7564" spans="12:17" x14ac:dyDescent="0.3">
      <c r="L7564" s="25"/>
      <c r="Q7564" s="17"/>
    </row>
    <row r="7565" spans="12:17" x14ac:dyDescent="0.3">
      <c r="L7565" s="25"/>
      <c r="Q7565" s="17"/>
    </row>
    <row r="7566" spans="12:17" x14ac:dyDescent="0.3">
      <c r="L7566" s="25"/>
      <c r="Q7566" s="17"/>
    </row>
    <row r="7567" spans="12:17" x14ac:dyDescent="0.3">
      <c r="L7567" s="25"/>
      <c r="Q7567" s="17"/>
    </row>
    <row r="7568" spans="12:17" x14ac:dyDescent="0.3">
      <c r="L7568" s="25"/>
      <c r="Q7568" s="17"/>
    </row>
    <row r="7569" spans="12:17" x14ac:dyDescent="0.3">
      <c r="L7569" s="25"/>
      <c r="Q7569" s="17"/>
    </row>
    <row r="7570" spans="12:17" x14ac:dyDescent="0.3">
      <c r="L7570" s="25"/>
      <c r="Q7570" s="17"/>
    </row>
    <row r="7571" spans="12:17" x14ac:dyDescent="0.3">
      <c r="L7571" s="25"/>
      <c r="Q7571" s="17"/>
    </row>
    <row r="7572" spans="12:17" x14ac:dyDescent="0.3">
      <c r="L7572" s="25"/>
      <c r="Q7572" s="17"/>
    </row>
    <row r="7573" spans="12:17" x14ac:dyDescent="0.3">
      <c r="L7573" s="25"/>
      <c r="Q7573" s="17"/>
    </row>
    <row r="7574" spans="12:17" x14ac:dyDescent="0.3">
      <c r="L7574" s="25"/>
      <c r="Q7574" s="17"/>
    </row>
    <row r="7575" spans="12:17" x14ac:dyDescent="0.3">
      <c r="L7575" s="25"/>
      <c r="Q7575" s="17"/>
    </row>
    <row r="7576" spans="12:17" x14ac:dyDescent="0.3">
      <c r="L7576" s="25"/>
      <c r="Q7576" s="17"/>
    </row>
    <row r="7577" spans="12:17" x14ac:dyDescent="0.3">
      <c r="L7577" s="25"/>
      <c r="Q7577" s="17"/>
    </row>
    <row r="7578" spans="12:17" x14ac:dyDescent="0.3">
      <c r="L7578" s="25"/>
      <c r="Q7578" s="17"/>
    </row>
    <row r="7579" spans="12:17" x14ac:dyDescent="0.3">
      <c r="L7579" s="25"/>
      <c r="Q7579" s="17"/>
    </row>
    <row r="7580" spans="12:17" x14ac:dyDescent="0.3">
      <c r="L7580" s="25"/>
      <c r="Q7580" s="17"/>
    </row>
    <row r="7581" spans="12:17" x14ac:dyDescent="0.3">
      <c r="L7581" s="25"/>
      <c r="Q7581" s="17"/>
    </row>
    <row r="7582" spans="12:17" x14ac:dyDescent="0.3">
      <c r="L7582" s="25"/>
      <c r="Q7582" s="17"/>
    </row>
    <row r="7583" spans="12:17" x14ac:dyDescent="0.3">
      <c r="L7583" s="25"/>
      <c r="Q7583" s="17"/>
    </row>
    <row r="7584" spans="12:17" x14ac:dyDescent="0.3">
      <c r="L7584" s="25"/>
      <c r="Q7584" s="17"/>
    </row>
    <row r="7585" spans="12:17" x14ac:dyDescent="0.3">
      <c r="L7585" s="25"/>
      <c r="Q7585" s="17"/>
    </row>
    <row r="7586" spans="12:17" x14ac:dyDescent="0.3">
      <c r="L7586" s="25"/>
      <c r="Q7586" s="17"/>
    </row>
    <row r="7587" spans="12:17" x14ac:dyDescent="0.3">
      <c r="L7587" s="25"/>
      <c r="Q7587" s="17"/>
    </row>
    <row r="7588" spans="12:17" x14ac:dyDescent="0.3">
      <c r="L7588" s="25"/>
      <c r="Q7588" s="17"/>
    </row>
    <row r="7589" spans="12:17" x14ac:dyDescent="0.3">
      <c r="L7589" s="25"/>
      <c r="Q7589" s="17"/>
    </row>
    <row r="7590" spans="12:17" x14ac:dyDescent="0.3">
      <c r="L7590" s="25"/>
      <c r="Q7590" s="17"/>
    </row>
    <row r="7591" spans="12:17" x14ac:dyDescent="0.3">
      <c r="L7591" s="25"/>
      <c r="Q7591" s="17"/>
    </row>
    <row r="7592" spans="12:17" x14ac:dyDescent="0.3">
      <c r="L7592" s="25"/>
      <c r="Q7592" s="17"/>
    </row>
    <row r="7593" spans="12:17" x14ac:dyDescent="0.3">
      <c r="L7593" s="25"/>
      <c r="Q7593" s="17"/>
    </row>
    <row r="7594" spans="12:17" x14ac:dyDescent="0.3">
      <c r="L7594" s="25"/>
      <c r="Q7594" s="17"/>
    </row>
    <row r="7595" spans="12:17" x14ac:dyDescent="0.3">
      <c r="L7595" s="25"/>
      <c r="Q7595" s="17"/>
    </row>
    <row r="7596" spans="12:17" x14ac:dyDescent="0.3">
      <c r="L7596" s="25"/>
      <c r="Q7596" s="17"/>
    </row>
    <row r="7597" spans="12:17" x14ac:dyDescent="0.3">
      <c r="L7597" s="25"/>
      <c r="Q7597" s="17"/>
    </row>
    <row r="7598" spans="12:17" x14ac:dyDescent="0.3">
      <c r="L7598" s="25"/>
      <c r="Q7598" s="17"/>
    </row>
    <row r="7599" spans="12:17" x14ac:dyDescent="0.3">
      <c r="L7599" s="25"/>
      <c r="Q7599" s="17"/>
    </row>
    <row r="7600" spans="12:17" x14ac:dyDescent="0.3">
      <c r="L7600" s="25"/>
      <c r="Q7600" s="17"/>
    </row>
    <row r="7601" spans="12:17" x14ac:dyDescent="0.3">
      <c r="L7601" s="25"/>
      <c r="Q7601" s="17"/>
    </row>
    <row r="7602" spans="12:17" x14ac:dyDescent="0.3">
      <c r="L7602" s="25"/>
      <c r="Q7602" s="17"/>
    </row>
    <row r="7603" spans="12:17" x14ac:dyDescent="0.3">
      <c r="L7603" s="25"/>
      <c r="Q7603" s="17"/>
    </row>
    <row r="7604" spans="12:17" x14ac:dyDescent="0.3">
      <c r="L7604" s="25"/>
      <c r="Q7604" s="17"/>
    </row>
    <row r="7605" spans="12:17" x14ac:dyDescent="0.3">
      <c r="L7605" s="25"/>
      <c r="Q7605" s="17"/>
    </row>
    <row r="7606" spans="12:17" x14ac:dyDescent="0.3">
      <c r="L7606" s="25"/>
      <c r="Q7606" s="17"/>
    </row>
    <row r="7607" spans="12:17" x14ac:dyDescent="0.3">
      <c r="L7607" s="25"/>
      <c r="Q7607" s="17"/>
    </row>
    <row r="7608" spans="12:17" x14ac:dyDescent="0.3">
      <c r="L7608" s="25"/>
      <c r="Q7608" s="17"/>
    </row>
    <row r="7609" spans="12:17" x14ac:dyDescent="0.3">
      <c r="L7609" s="25"/>
      <c r="Q7609" s="17"/>
    </row>
    <row r="7610" spans="12:17" x14ac:dyDescent="0.3">
      <c r="L7610" s="25"/>
      <c r="Q7610" s="17"/>
    </row>
    <row r="7611" spans="12:17" x14ac:dyDescent="0.3">
      <c r="L7611" s="25"/>
      <c r="Q7611" s="17"/>
    </row>
    <row r="7612" spans="12:17" x14ac:dyDescent="0.3">
      <c r="L7612" s="25"/>
      <c r="Q7612" s="17"/>
    </row>
    <row r="7613" spans="12:17" x14ac:dyDescent="0.3">
      <c r="L7613" s="25"/>
      <c r="Q7613" s="17"/>
    </row>
    <row r="7614" spans="12:17" x14ac:dyDescent="0.3">
      <c r="L7614" s="25"/>
      <c r="Q7614" s="17"/>
    </row>
    <row r="7615" spans="12:17" x14ac:dyDescent="0.3">
      <c r="L7615" s="25"/>
      <c r="Q7615" s="17"/>
    </row>
    <row r="7616" spans="12:17" x14ac:dyDescent="0.3">
      <c r="L7616" s="25"/>
      <c r="Q7616" s="17"/>
    </row>
    <row r="7617" spans="12:17" x14ac:dyDescent="0.3">
      <c r="L7617" s="25"/>
      <c r="Q7617" s="17"/>
    </row>
    <row r="7618" spans="12:17" x14ac:dyDescent="0.3">
      <c r="L7618" s="25"/>
      <c r="Q7618" s="17"/>
    </row>
    <row r="7619" spans="12:17" x14ac:dyDescent="0.3">
      <c r="L7619" s="25"/>
      <c r="Q7619" s="17"/>
    </row>
    <row r="7620" spans="12:17" x14ac:dyDescent="0.3">
      <c r="L7620" s="25"/>
      <c r="Q7620" s="17"/>
    </row>
    <row r="7621" spans="12:17" x14ac:dyDescent="0.3">
      <c r="L7621" s="25"/>
      <c r="Q7621" s="17"/>
    </row>
    <row r="7622" spans="12:17" x14ac:dyDescent="0.3">
      <c r="L7622" s="25"/>
      <c r="Q7622" s="17"/>
    </row>
    <row r="7623" spans="12:17" x14ac:dyDescent="0.3">
      <c r="L7623" s="25"/>
      <c r="Q7623" s="17"/>
    </row>
    <row r="7624" spans="12:17" x14ac:dyDescent="0.3">
      <c r="L7624" s="25"/>
      <c r="Q7624" s="17"/>
    </row>
    <row r="7625" spans="12:17" x14ac:dyDescent="0.3">
      <c r="L7625" s="25"/>
      <c r="Q7625" s="17"/>
    </row>
    <row r="7626" spans="12:17" x14ac:dyDescent="0.3">
      <c r="L7626" s="25"/>
      <c r="Q7626" s="17"/>
    </row>
    <row r="7627" spans="12:17" x14ac:dyDescent="0.3">
      <c r="L7627" s="25"/>
      <c r="Q7627" s="17"/>
    </row>
    <row r="7628" spans="12:17" x14ac:dyDescent="0.3">
      <c r="L7628" s="25"/>
      <c r="Q7628" s="17"/>
    </row>
    <row r="7629" spans="12:17" x14ac:dyDescent="0.3">
      <c r="L7629" s="25"/>
      <c r="Q7629" s="17"/>
    </row>
    <row r="7630" spans="12:17" x14ac:dyDescent="0.3">
      <c r="L7630" s="25"/>
      <c r="Q7630" s="17"/>
    </row>
    <row r="7631" spans="12:17" x14ac:dyDescent="0.3">
      <c r="L7631" s="25"/>
      <c r="Q7631" s="17"/>
    </row>
    <row r="7632" spans="12:17" x14ac:dyDescent="0.3">
      <c r="L7632" s="25"/>
      <c r="Q7632" s="17"/>
    </row>
    <row r="7633" spans="12:17" x14ac:dyDescent="0.3">
      <c r="L7633" s="25"/>
      <c r="Q7633" s="17"/>
    </row>
    <row r="7634" spans="12:17" x14ac:dyDescent="0.3">
      <c r="L7634" s="25"/>
      <c r="Q7634" s="17"/>
    </row>
    <row r="7635" spans="12:17" x14ac:dyDescent="0.3">
      <c r="L7635" s="25"/>
      <c r="Q7635" s="17"/>
    </row>
    <row r="7636" spans="12:17" x14ac:dyDescent="0.3">
      <c r="L7636" s="25"/>
      <c r="Q7636" s="17"/>
    </row>
    <row r="7637" spans="12:17" x14ac:dyDescent="0.3">
      <c r="L7637" s="25"/>
      <c r="Q7637" s="17"/>
    </row>
    <row r="7638" spans="12:17" x14ac:dyDescent="0.3">
      <c r="L7638" s="25"/>
      <c r="Q7638" s="17"/>
    </row>
    <row r="7639" spans="12:17" x14ac:dyDescent="0.3">
      <c r="L7639" s="25"/>
      <c r="Q7639" s="17"/>
    </row>
    <row r="7640" spans="12:17" x14ac:dyDescent="0.3">
      <c r="L7640" s="25"/>
      <c r="Q7640" s="17"/>
    </row>
    <row r="7641" spans="12:17" x14ac:dyDescent="0.3">
      <c r="L7641" s="25"/>
      <c r="Q7641" s="17"/>
    </row>
    <row r="7642" spans="12:17" x14ac:dyDescent="0.3">
      <c r="L7642" s="25"/>
      <c r="Q7642" s="17"/>
    </row>
    <row r="7643" spans="12:17" x14ac:dyDescent="0.3">
      <c r="L7643" s="25"/>
      <c r="Q7643" s="17"/>
    </row>
    <row r="7644" spans="12:17" x14ac:dyDescent="0.3">
      <c r="L7644" s="25"/>
      <c r="Q7644" s="17"/>
    </row>
    <row r="7645" spans="12:17" x14ac:dyDescent="0.3">
      <c r="L7645" s="25"/>
      <c r="Q7645" s="17"/>
    </row>
    <row r="7646" spans="12:17" x14ac:dyDescent="0.3">
      <c r="L7646" s="25"/>
      <c r="Q7646" s="17"/>
    </row>
    <row r="7647" spans="12:17" x14ac:dyDescent="0.3">
      <c r="L7647" s="25"/>
      <c r="Q7647" s="17"/>
    </row>
    <row r="7648" spans="12:17" x14ac:dyDescent="0.3">
      <c r="L7648" s="25"/>
      <c r="Q7648" s="17"/>
    </row>
    <row r="7649" spans="12:17" x14ac:dyDescent="0.3">
      <c r="L7649" s="25"/>
      <c r="Q7649" s="17"/>
    </row>
    <row r="7650" spans="12:17" x14ac:dyDescent="0.3">
      <c r="L7650" s="25"/>
      <c r="Q7650" s="17"/>
    </row>
    <row r="7651" spans="12:17" x14ac:dyDescent="0.3">
      <c r="L7651" s="25"/>
      <c r="Q7651" s="17"/>
    </row>
    <row r="7652" spans="12:17" x14ac:dyDescent="0.3">
      <c r="L7652" s="25"/>
      <c r="Q7652" s="17"/>
    </row>
    <row r="7653" spans="12:17" x14ac:dyDescent="0.3">
      <c r="L7653" s="25"/>
      <c r="Q7653" s="17"/>
    </row>
    <row r="7654" spans="12:17" x14ac:dyDescent="0.3">
      <c r="L7654" s="25"/>
      <c r="Q7654" s="17"/>
    </row>
    <row r="7655" spans="12:17" x14ac:dyDescent="0.3">
      <c r="L7655" s="25"/>
      <c r="Q7655" s="17"/>
    </row>
    <row r="7656" spans="12:17" x14ac:dyDescent="0.3">
      <c r="L7656" s="25"/>
      <c r="Q7656" s="17"/>
    </row>
    <row r="7657" spans="12:17" x14ac:dyDescent="0.3">
      <c r="L7657" s="25"/>
      <c r="Q7657" s="17"/>
    </row>
    <row r="7658" spans="12:17" x14ac:dyDescent="0.3">
      <c r="L7658" s="25"/>
      <c r="Q7658" s="17"/>
    </row>
    <row r="7659" spans="12:17" x14ac:dyDescent="0.3">
      <c r="L7659" s="25"/>
      <c r="Q7659" s="17"/>
    </row>
    <row r="7660" spans="12:17" x14ac:dyDescent="0.3">
      <c r="L7660" s="25"/>
      <c r="Q7660" s="17"/>
    </row>
    <row r="7661" spans="12:17" x14ac:dyDescent="0.3">
      <c r="L7661" s="25"/>
      <c r="Q7661" s="17"/>
    </row>
    <row r="7662" spans="12:17" x14ac:dyDescent="0.3">
      <c r="L7662" s="25"/>
      <c r="Q7662" s="17"/>
    </row>
    <row r="7663" spans="12:17" x14ac:dyDescent="0.3">
      <c r="L7663" s="25"/>
      <c r="Q7663" s="17"/>
    </row>
    <row r="7664" spans="12:17" x14ac:dyDescent="0.3">
      <c r="L7664" s="25"/>
      <c r="Q7664" s="17"/>
    </row>
    <row r="7665" spans="12:17" x14ac:dyDescent="0.3">
      <c r="L7665" s="25"/>
      <c r="Q7665" s="17"/>
    </row>
    <row r="7666" spans="12:17" x14ac:dyDescent="0.3">
      <c r="L7666" s="25"/>
      <c r="Q7666" s="17"/>
    </row>
    <row r="7667" spans="12:17" x14ac:dyDescent="0.3">
      <c r="L7667" s="25"/>
      <c r="Q7667" s="17"/>
    </row>
    <row r="7668" spans="12:17" x14ac:dyDescent="0.3">
      <c r="L7668" s="25"/>
      <c r="Q7668" s="17"/>
    </row>
    <row r="7669" spans="12:17" x14ac:dyDescent="0.3">
      <c r="L7669" s="25"/>
      <c r="Q7669" s="17"/>
    </row>
    <row r="7670" spans="12:17" x14ac:dyDescent="0.3">
      <c r="L7670" s="25"/>
      <c r="Q7670" s="17"/>
    </row>
    <row r="7671" spans="12:17" x14ac:dyDescent="0.3">
      <c r="L7671" s="25"/>
      <c r="Q7671" s="17"/>
    </row>
    <row r="7672" spans="12:17" x14ac:dyDescent="0.3">
      <c r="L7672" s="25"/>
      <c r="Q7672" s="17"/>
    </row>
    <row r="7673" spans="12:17" x14ac:dyDescent="0.3">
      <c r="L7673" s="25"/>
      <c r="Q7673" s="17"/>
    </row>
    <row r="7674" spans="12:17" x14ac:dyDescent="0.3">
      <c r="L7674" s="25"/>
      <c r="Q7674" s="17"/>
    </row>
    <row r="7675" spans="12:17" x14ac:dyDescent="0.3">
      <c r="L7675" s="25"/>
      <c r="Q7675" s="17"/>
    </row>
    <row r="7676" spans="12:17" x14ac:dyDescent="0.3">
      <c r="L7676" s="25"/>
      <c r="Q7676" s="17"/>
    </row>
    <row r="7677" spans="12:17" x14ac:dyDescent="0.3">
      <c r="L7677" s="25"/>
      <c r="Q7677" s="17"/>
    </row>
    <row r="7678" spans="12:17" x14ac:dyDescent="0.3">
      <c r="L7678" s="25"/>
      <c r="Q7678" s="17"/>
    </row>
    <row r="7679" spans="12:17" x14ac:dyDescent="0.3">
      <c r="L7679" s="25"/>
      <c r="Q7679" s="17"/>
    </row>
    <row r="7680" spans="12:17" x14ac:dyDescent="0.3">
      <c r="L7680" s="25"/>
      <c r="Q7680" s="17"/>
    </row>
    <row r="7681" spans="12:17" x14ac:dyDescent="0.3">
      <c r="L7681" s="25"/>
      <c r="Q7681" s="17"/>
    </row>
    <row r="7682" spans="12:17" x14ac:dyDescent="0.3">
      <c r="L7682" s="25"/>
      <c r="Q7682" s="17"/>
    </row>
    <row r="7683" spans="12:17" x14ac:dyDescent="0.3">
      <c r="L7683" s="25"/>
      <c r="Q7683" s="17"/>
    </row>
    <row r="7684" spans="12:17" x14ac:dyDescent="0.3">
      <c r="L7684" s="25"/>
      <c r="Q7684" s="17"/>
    </row>
    <row r="7685" spans="12:17" x14ac:dyDescent="0.3">
      <c r="L7685" s="25"/>
      <c r="Q7685" s="17"/>
    </row>
    <row r="7686" spans="12:17" x14ac:dyDescent="0.3">
      <c r="L7686" s="25"/>
      <c r="Q7686" s="17"/>
    </row>
    <row r="7687" spans="12:17" x14ac:dyDescent="0.3">
      <c r="L7687" s="25"/>
      <c r="Q7687" s="17"/>
    </row>
    <row r="7688" spans="12:17" x14ac:dyDescent="0.3">
      <c r="L7688" s="25"/>
      <c r="Q7688" s="17"/>
    </row>
    <row r="7689" spans="12:17" x14ac:dyDescent="0.3">
      <c r="L7689" s="25"/>
      <c r="Q7689" s="17"/>
    </row>
    <row r="7690" spans="12:17" x14ac:dyDescent="0.3">
      <c r="L7690" s="25"/>
      <c r="Q7690" s="17"/>
    </row>
    <row r="7691" spans="12:17" x14ac:dyDescent="0.3">
      <c r="L7691" s="25"/>
      <c r="Q7691" s="17"/>
    </row>
    <row r="7692" spans="12:17" x14ac:dyDescent="0.3">
      <c r="L7692" s="25"/>
      <c r="Q7692" s="17"/>
    </row>
    <row r="7693" spans="12:17" x14ac:dyDescent="0.3">
      <c r="L7693" s="25"/>
      <c r="Q7693" s="17"/>
    </row>
    <row r="7694" spans="12:17" x14ac:dyDescent="0.3">
      <c r="L7694" s="25"/>
      <c r="Q7694" s="17"/>
    </row>
    <row r="7695" spans="12:17" x14ac:dyDescent="0.3">
      <c r="L7695" s="25"/>
      <c r="Q7695" s="17"/>
    </row>
    <row r="7696" spans="12:17" x14ac:dyDescent="0.3">
      <c r="L7696" s="25"/>
      <c r="Q7696" s="17"/>
    </row>
    <row r="7697" spans="12:17" x14ac:dyDescent="0.3">
      <c r="L7697" s="25"/>
      <c r="Q7697" s="17"/>
    </row>
    <row r="7698" spans="12:17" x14ac:dyDescent="0.3">
      <c r="L7698" s="25"/>
      <c r="Q7698" s="17"/>
    </row>
    <row r="7699" spans="12:17" x14ac:dyDescent="0.3">
      <c r="L7699" s="25"/>
      <c r="Q7699" s="17"/>
    </row>
    <row r="7700" spans="12:17" x14ac:dyDescent="0.3">
      <c r="L7700" s="25"/>
      <c r="Q7700" s="17"/>
    </row>
    <row r="7701" spans="12:17" x14ac:dyDescent="0.3">
      <c r="L7701" s="25"/>
      <c r="Q7701" s="17"/>
    </row>
    <row r="7702" spans="12:17" x14ac:dyDescent="0.3">
      <c r="L7702" s="25"/>
      <c r="Q7702" s="17"/>
    </row>
    <row r="7703" spans="12:17" x14ac:dyDescent="0.3">
      <c r="L7703" s="25"/>
      <c r="Q7703" s="17"/>
    </row>
    <row r="7704" spans="12:17" x14ac:dyDescent="0.3">
      <c r="L7704" s="25"/>
      <c r="Q7704" s="17"/>
    </row>
    <row r="7705" spans="12:17" x14ac:dyDescent="0.3">
      <c r="L7705" s="25"/>
      <c r="Q7705" s="17"/>
    </row>
    <row r="7706" spans="12:17" x14ac:dyDescent="0.3">
      <c r="L7706" s="25"/>
      <c r="Q7706" s="17"/>
    </row>
    <row r="7707" spans="12:17" x14ac:dyDescent="0.3">
      <c r="L7707" s="25"/>
      <c r="Q7707" s="17"/>
    </row>
    <row r="7708" spans="12:17" x14ac:dyDescent="0.3">
      <c r="L7708" s="25"/>
      <c r="Q7708" s="17"/>
    </row>
    <row r="7709" spans="12:17" x14ac:dyDescent="0.3">
      <c r="L7709" s="25"/>
      <c r="Q7709" s="17"/>
    </row>
    <row r="7710" spans="12:17" x14ac:dyDescent="0.3">
      <c r="L7710" s="25"/>
      <c r="Q7710" s="17"/>
    </row>
    <row r="7711" spans="12:17" x14ac:dyDescent="0.3">
      <c r="L7711" s="25"/>
      <c r="Q7711" s="17"/>
    </row>
    <row r="7712" spans="12:17" x14ac:dyDescent="0.3">
      <c r="L7712" s="25"/>
      <c r="Q7712" s="17"/>
    </row>
    <row r="7713" spans="12:17" x14ac:dyDescent="0.3">
      <c r="L7713" s="25"/>
      <c r="Q7713" s="17"/>
    </row>
    <row r="7714" spans="12:17" x14ac:dyDescent="0.3">
      <c r="L7714" s="25"/>
      <c r="Q7714" s="17"/>
    </row>
    <row r="7715" spans="12:17" x14ac:dyDescent="0.3">
      <c r="L7715" s="25"/>
      <c r="Q7715" s="17"/>
    </row>
    <row r="7716" spans="12:17" x14ac:dyDescent="0.3">
      <c r="L7716" s="25"/>
      <c r="Q7716" s="17"/>
    </row>
    <row r="7717" spans="12:17" x14ac:dyDescent="0.3">
      <c r="L7717" s="25"/>
      <c r="Q7717" s="17"/>
    </row>
    <row r="7718" spans="12:17" x14ac:dyDescent="0.3">
      <c r="L7718" s="25"/>
      <c r="Q7718" s="17"/>
    </row>
    <row r="7719" spans="12:17" x14ac:dyDescent="0.3">
      <c r="L7719" s="25"/>
      <c r="Q7719" s="17"/>
    </row>
    <row r="7720" spans="12:17" x14ac:dyDescent="0.3">
      <c r="L7720" s="25"/>
      <c r="Q7720" s="17"/>
    </row>
    <row r="7721" spans="12:17" x14ac:dyDescent="0.3">
      <c r="L7721" s="25"/>
      <c r="Q7721" s="17"/>
    </row>
    <row r="7722" spans="12:17" x14ac:dyDescent="0.3">
      <c r="L7722" s="25"/>
      <c r="Q7722" s="17"/>
    </row>
    <row r="7723" spans="12:17" x14ac:dyDescent="0.3">
      <c r="L7723" s="25"/>
      <c r="Q7723" s="17"/>
    </row>
    <row r="7724" spans="12:17" x14ac:dyDescent="0.3">
      <c r="L7724" s="25"/>
      <c r="Q7724" s="17"/>
    </row>
    <row r="7725" spans="12:17" x14ac:dyDescent="0.3">
      <c r="L7725" s="25"/>
      <c r="Q7725" s="17"/>
    </row>
    <row r="7726" spans="12:17" x14ac:dyDescent="0.3">
      <c r="L7726" s="25"/>
      <c r="Q7726" s="17"/>
    </row>
    <row r="7727" spans="12:17" x14ac:dyDescent="0.3">
      <c r="L7727" s="25"/>
      <c r="Q7727" s="17"/>
    </row>
    <row r="7728" spans="12:17" x14ac:dyDescent="0.3">
      <c r="L7728" s="25"/>
      <c r="Q7728" s="17"/>
    </row>
    <row r="7729" spans="12:17" x14ac:dyDescent="0.3">
      <c r="L7729" s="25"/>
      <c r="Q7729" s="17"/>
    </row>
    <row r="7730" spans="12:17" x14ac:dyDescent="0.3">
      <c r="L7730" s="25"/>
      <c r="Q7730" s="17"/>
    </row>
    <row r="7731" spans="12:17" x14ac:dyDescent="0.3">
      <c r="L7731" s="25"/>
      <c r="Q7731" s="17"/>
    </row>
    <row r="7732" spans="12:17" x14ac:dyDescent="0.3">
      <c r="L7732" s="25"/>
      <c r="Q7732" s="17"/>
    </row>
    <row r="7733" spans="12:17" x14ac:dyDescent="0.3">
      <c r="L7733" s="25"/>
      <c r="Q7733" s="17"/>
    </row>
    <row r="7734" spans="12:17" x14ac:dyDescent="0.3">
      <c r="L7734" s="25"/>
      <c r="Q7734" s="17"/>
    </row>
    <row r="7735" spans="12:17" x14ac:dyDescent="0.3">
      <c r="L7735" s="25"/>
      <c r="Q7735" s="17"/>
    </row>
    <row r="7736" spans="12:17" x14ac:dyDescent="0.3">
      <c r="L7736" s="25"/>
      <c r="Q7736" s="17"/>
    </row>
    <row r="7737" spans="12:17" x14ac:dyDescent="0.3">
      <c r="L7737" s="25"/>
      <c r="Q7737" s="17"/>
    </row>
    <row r="7738" spans="12:17" x14ac:dyDescent="0.3">
      <c r="L7738" s="25"/>
      <c r="Q7738" s="17"/>
    </row>
    <row r="7739" spans="12:17" x14ac:dyDescent="0.3">
      <c r="L7739" s="25"/>
      <c r="Q7739" s="17"/>
    </row>
    <row r="7740" spans="12:17" x14ac:dyDescent="0.3">
      <c r="L7740" s="25"/>
      <c r="Q7740" s="17"/>
    </row>
    <row r="7741" spans="12:17" x14ac:dyDescent="0.3">
      <c r="L7741" s="25"/>
      <c r="Q7741" s="17"/>
    </row>
    <row r="7742" spans="12:17" x14ac:dyDescent="0.3">
      <c r="L7742" s="25"/>
      <c r="Q7742" s="17"/>
    </row>
    <row r="7743" spans="12:17" x14ac:dyDescent="0.3">
      <c r="L7743" s="25"/>
      <c r="Q7743" s="17"/>
    </row>
    <row r="7744" spans="12:17" x14ac:dyDescent="0.3">
      <c r="L7744" s="25"/>
      <c r="Q7744" s="17"/>
    </row>
    <row r="7745" spans="12:17" x14ac:dyDescent="0.3">
      <c r="L7745" s="25"/>
      <c r="Q7745" s="17"/>
    </row>
    <row r="7746" spans="12:17" x14ac:dyDescent="0.3">
      <c r="L7746" s="25"/>
      <c r="Q7746" s="17"/>
    </row>
    <row r="7747" spans="12:17" x14ac:dyDescent="0.3">
      <c r="L7747" s="25"/>
      <c r="Q7747" s="17"/>
    </row>
    <row r="7748" spans="12:17" x14ac:dyDescent="0.3">
      <c r="L7748" s="25"/>
      <c r="Q7748" s="17"/>
    </row>
    <row r="7749" spans="12:17" x14ac:dyDescent="0.3">
      <c r="L7749" s="25"/>
      <c r="Q7749" s="17"/>
    </row>
    <row r="7750" spans="12:17" x14ac:dyDescent="0.3">
      <c r="L7750" s="25"/>
      <c r="Q7750" s="17"/>
    </row>
    <row r="7751" spans="12:17" x14ac:dyDescent="0.3">
      <c r="L7751" s="25"/>
      <c r="Q7751" s="17"/>
    </row>
    <row r="7752" spans="12:17" x14ac:dyDescent="0.3">
      <c r="L7752" s="25"/>
      <c r="Q7752" s="17"/>
    </row>
    <row r="7753" spans="12:17" x14ac:dyDescent="0.3">
      <c r="L7753" s="25"/>
      <c r="Q7753" s="17"/>
    </row>
    <row r="7754" spans="12:17" x14ac:dyDescent="0.3">
      <c r="L7754" s="25"/>
      <c r="Q7754" s="17"/>
    </row>
    <row r="7755" spans="12:17" x14ac:dyDescent="0.3">
      <c r="L7755" s="25"/>
      <c r="Q7755" s="17"/>
    </row>
    <row r="7756" spans="12:17" x14ac:dyDescent="0.3">
      <c r="L7756" s="25"/>
      <c r="Q7756" s="17"/>
    </row>
    <row r="7757" spans="12:17" x14ac:dyDescent="0.3">
      <c r="L7757" s="25"/>
      <c r="Q7757" s="17"/>
    </row>
    <row r="7758" spans="12:17" x14ac:dyDescent="0.3">
      <c r="L7758" s="25"/>
      <c r="Q7758" s="17"/>
    </row>
    <row r="7759" spans="12:17" x14ac:dyDescent="0.3">
      <c r="L7759" s="25"/>
      <c r="Q7759" s="17"/>
    </row>
    <row r="7760" spans="12:17" x14ac:dyDescent="0.3">
      <c r="L7760" s="25"/>
      <c r="Q7760" s="17"/>
    </row>
    <row r="7761" spans="12:17" x14ac:dyDescent="0.3">
      <c r="L7761" s="25"/>
      <c r="Q7761" s="17"/>
    </row>
    <row r="7762" spans="12:17" x14ac:dyDescent="0.3">
      <c r="L7762" s="25"/>
      <c r="Q7762" s="17"/>
    </row>
    <row r="7763" spans="12:17" x14ac:dyDescent="0.3">
      <c r="L7763" s="25"/>
      <c r="Q7763" s="17"/>
    </row>
    <row r="7764" spans="12:17" x14ac:dyDescent="0.3">
      <c r="L7764" s="25"/>
      <c r="Q7764" s="17"/>
    </row>
    <row r="7765" spans="12:17" x14ac:dyDescent="0.3">
      <c r="L7765" s="25"/>
      <c r="Q7765" s="17"/>
    </row>
    <row r="7766" spans="12:17" x14ac:dyDescent="0.3">
      <c r="L7766" s="25"/>
      <c r="Q7766" s="17"/>
    </row>
    <row r="7767" spans="12:17" x14ac:dyDescent="0.3">
      <c r="L7767" s="25"/>
      <c r="Q7767" s="17"/>
    </row>
    <row r="7768" spans="12:17" x14ac:dyDescent="0.3">
      <c r="L7768" s="25"/>
      <c r="Q7768" s="17"/>
    </row>
    <row r="7769" spans="12:17" x14ac:dyDescent="0.3">
      <c r="L7769" s="25"/>
      <c r="Q7769" s="17"/>
    </row>
    <row r="7770" spans="12:17" x14ac:dyDescent="0.3">
      <c r="L7770" s="25"/>
      <c r="Q7770" s="17"/>
    </row>
    <row r="7771" spans="12:17" x14ac:dyDescent="0.3">
      <c r="L7771" s="25"/>
      <c r="Q7771" s="17"/>
    </row>
    <row r="7772" spans="12:17" x14ac:dyDescent="0.3">
      <c r="L7772" s="25"/>
      <c r="Q7772" s="17"/>
    </row>
    <row r="7773" spans="12:17" x14ac:dyDescent="0.3">
      <c r="L7773" s="25"/>
      <c r="Q7773" s="17"/>
    </row>
    <row r="7774" spans="12:17" x14ac:dyDescent="0.3">
      <c r="L7774" s="25"/>
      <c r="Q7774" s="17"/>
    </row>
    <row r="7775" spans="12:17" x14ac:dyDescent="0.3">
      <c r="L7775" s="25"/>
      <c r="Q7775" s="17"/>
    </row>
    <row r="7776" spans="12:17" x14ac:dyDescent="0.3">
      <c r="L7776" s="25"/>
      <c r="Q7776" s="17"/>
    </row>
    <row r="7777" spans="12:17" x14ac:dyDescent="0.3">
      <c r="L7777" s="25"/>
      <c r="Q7777" s="17"/>
    </row>
    <row r="7778" spans="12:17" x14ac:dyDescent="0.3">
      <c r="L7778" s="25"/>
      <c r="Q7778" s="17"/>
    </row>
    <row r="7779" spans="12:17" x14ac:dyDescent="0.3">
      <c r="L7779" s="25"/>
      <c r="Q7779" s="17"/>
    </row>
    <row r="7780" spans="12:17" x14ac:dyDescent="0.3">
      <c r="L7780" s="25"/>
      <c r="Q7780" s="17"/>
    </row>
    <row r="7781" spans="12:17" x14ac:dyDescent="0.3">
      <c r="L7781" s="25"/>
      <c r="Q7781" s="17"/>
    </row>
    <row r="7782" spans="12:17" x14ac:dyDescent="0.3">
      <c r="L7782" s="25"/>
      <c r="Q7782" s="17"/>
    </row>
    <row r="7783" spans="12:17" x14ac:dyDescent="0.3">
      <c r="L7783" s="25"/>
      <c r="Q7783" s="17"/>
    </row>
    <row r="7784" spans="12:17" x14ac:dyDescent="0.3">
      <c r="L7784" s="25"/>
      <c r="Q7784" s="17"/>
    </row>
    <row r="7785" spans="12:17" x14ac:dyDescent="0.3">
      <c r="L7785" s="25"/>
      <c r="Q7785" s="17"/>
    </row>
    <row r="7786" spans="12:17" x14ac:dyDescent="0.3">
      <c r="L7786" s="25"/>
      <c r="Q7786" s="17"/>
    </row>
    <row r="7787" spans="12:17" x14ac:dyDescent="0.3">
      <c r="L7787" s="25"/>
      <c r="Q7787" s="17"/>
    </row>
    <row r="7788" spans="12:17" x14ac:dyDescent="0.3">
      <c r="L7788" s="25"/>
      <c r="Q7788" s="17"/>
    </row>
    <row r="7789" spans="12:17" x14ac:dyDescent="0.3">
      <c r="L7789" s="25"/>
      <c r="Q7789" s="17"/>
    </row>
    <row r="7790" spans="12:17" x14ac:dyDescent="0.3">
      <c r="L7790" s="25"/>
      <c r="Q7790" s="17"/>
    </row>
    <row r="7791" spans="12:17" x14ac:dyDescent="0.3">
      <c r="L7791" s="25"/>
      <c r="Q7791" s="17"/>
    </row>
    <row r="7792" spans="12:17" x14ac:dyDescent="0.3">
      <c r="L7792" s="25"/>
      <c r="Q7792" s="17"/>
    </row>
    <row r="7793" spans="12:17" x14ac:dyDescent="0.3">
      <c r="L7793" s="25"/>
      <c r="Q7793" s="17"/>
    </row>
    <row r="7794" spans="12:17" x14ac:dyDescent="0.3">
      <c r="L7794" s="25"/>
      <c r="Q7794" s="17"/>
    </row>
    <row r="7795" spans="12:17" x14ac:dyDescent="0.3">
      <c r="L7795" s="25"/>
      <c r="Q7795" s="17"/>
    </row>
    <row r="7796" spans="12:17" x14ac:dyDescent="0.3">
      <c r="L7796" s="25"/>
      <c r="Q7796" s="17"/>
    </row>
    <row r="7797" spans="12:17" x14ac:dyDescent="0.3">
      <c r="L7797" s="25"/>
      <c r="Q7797" s="17"/>
    </row>
    <row r="7798" spans="12:17" x14ac:dyDescent="0.3">
      <c r="L7798" s="25"/>
      <c r="Q7798" s="17"/>
    </row>
    <row r="7799" spans="12:17" x14ac:dyDescent="0.3">
      <c r="L7799" s="25"/>
      <c r="Q7799" s="17"/>
    </row>
    <row r="7800" spans="12:17" x14ac:dyDescent="0.3">
      <c r="L7800" s="25"/>
      <c r="Q7800" s="17"/>
    </row>
    <row r="7801" spans="12:17" x14ac:dyDescent="0.3">
      <c r="L7801" s="25"/>
      <c r="Q7801" s="17"/>
    </row>
    <row r="7802" spans="12:17" x14ac:dyDescent="0.3">
      <c r="L7802" s="25"/>
      <c r="Q7802" s="17"/>
    </row>
    <row r="7803" spans="12:17" x14ac:dyDescent="0.3">
      <c r="L7803" s="25"/>
      <c r="Q7803" s="17"/>
    </row>
    <row r="7804" spans="12:17" x14ac:dyDescent="0.3">
      <c r="L7804" s="25"/>
      <c r="Q7804" s="17"/>
    </row>
    <row r="7805" spans="12:17" x14ac:dyDescent="0.3">
      <c r="L7805" s="25"/>
      <c r="Q7805" s="17"/>
    </row>
    <row r="7806" spans="12:17" x14ac:dyDescent="0.3">
      <c r="L7806" s="25"/>
      <c r="Q7806" s="17"/>
    </row>
    <row r="7807" spans="12:17" x14ac:dyDescent="0.3">
      <c r="L7807" s="25"/>
      <c r="Q7807" s="17"/>
    </row>
    <row r="7808" spans="12:17" x14ac:dyDescent="0.3">
      <c r="L7808" s="25"/>
      <c r="Q7808" s="17"/>
    </row>
    <row r="7809" spans="12:17" x14ac:dyDescent="0.3">
      <c r="L7809" s="25"/>
      <c r="Q7809" s="17"/>
    </row>
    <row r="7810" spans="12:17" x14ac:dyDescent="0.3">
      <c r="L7810" s="25"/>
      <c r="Q7810" s="17"/>
    </row>
    <row r="7811" spans="12:17" x14ac:dyDescent="0.3">
      <c r="L7811" s="25"/>
      <c r="Q7811" s="17"/>
    </row>
    <row r="7812" spans="12:17" x14ac:dyDescent="0.3">
      <c r="L7812" s="25"/>
      <c r="Q7812" s="17"/>
    </row>
    <row r="7813" spans="12:17" x14ac:dyDescent="0.3">
      <c r="L7813" s="25"/>
      <c r="Q7813" s="17"/>
    </row>
    <row r="7814" spans="12:17" x14ac:dyDescent="0.3">
      <c r="L7814" s="25"/>
      <c r="Q7814" s="17"/>
    </row>
    <row r="7815" spans="12:17" x14ac:dyDescent="0.3">
      <c r="L7815" s="25"/>
      <c r="Q7815" s="17"/>
    </row>
    <row r="7816" spans="12:17" x14ac:dyDescent="0.3">
      <c r="L7816" s="25"/>
      <c r="Q7816" s="17"/>
    </row>
    <row r="7817" spans="12:17" x14ac:dyDescent="0.3">
      <c r="L7817" s="25"/>
      <c r="Q7817" s="17"/>
    </row>
    <row r="7818" spans="12:17" x14ac:dyDescent="0.3">
      <c r="L7818" s="25"/>
      <c r="Q7818" s="17"/>
    </row>
    <row r="7819" spans="12:17" x14ac:dyDescent="0.3">
      <c r="L7819" s="25"/>
      <c r="Q7819" s="17"/>
    </row>
    <row r="7820" spans="12:17" x14ac:dyDescent="0.3">
      <c r="L7820" s="25"/>
      <c r="Q7820" s="17"/>
    </row>
    <row r="7821" spans="12:17" x14ac:dyDescent="0.3">
      <c r="L7821" s="25"/>
      <c r="Q7821" s="17"/>
    </row>
    <row r="7822" spans="12:17" x14ac:dyDescent="0.3">
      <c r="L7822" s="25"/>
      <c r="Q7822" s="17"/>
    </row>
    <row r="7823" spans="12:17" x14ac:dyDescent="0.3">
      <c r="L7823" s="25"/>
      <c r="Q7823" s="17"/>
    </row>
    <row r="7824" spans="12:17" x14ac:dyDescent="0.3">
      <c r="L7824" s="25"/>
      <c r="Q7824" s="17"/>
    </row>
    <row r="7825" spans="12:17" x14ac:dyDescent="0.3">
      <c r="L7825" s="25"/>
      <c r="Q7825" s="17"/>
    </row>
    <row r="7826" spans="12:17" x14ac:dyDescent="0.3">
      <c r="L7826" s="25"/>
      <c r="Q7826" s="17"/>
    </row>
    <row r="7827" spans="12:17" x14ac:dyDescent="0.3">
      <c r="L7827" s="25"/>
      <c r="Q7827" s="17"/>
    </row>
    <row r="7828" spans="12:17" x14ac:dyDescent="0.3">
      <c r="L7828" s="25"/>
      <c r="Q7828" s="17"/>
    </row>
    <row r="7829" spans="12:17" x14ac:dyDescent="0.3">
      <c r="L7829" s="25"/>
      <c r="Q7829" s="17"/>
    </row>
    <row r="7830" spans="12:17" x14ac:dyDescent="0.3">
      <c r="L7830" s="25"/>
      <c r="Q7830" s="17"/>
    </row>
    <row r="7831" spans="12:17" x14ac:dyDescent="0.3">
      <c r="L7831" s="25"/>
      <c r="Q7831" s="17"/>
    </row>
    <row r="7832" spans="12:17" x14ac:dyDescent="0.3">
      <c r="L7832" s="25"/>
      <c r="Q7832" s="17"/>
    </row>
    <row r="7833" spans="12:17" x14ac:dyDescent="0.3">
      <c r="L7833" s="25"/>
      <c r="Q7833" s="17"/>
    </row>
    <row r="7834" spans="12:17" x14ac:dyDescent="0.3">
      <c r="L7834" s="25"/>
      <c r="Q7834" s="17"/>
    </row>
    <row r="7835" spans="12:17" x14ac:dyDescent="0.3">
      <c r="L7835" s="25"/>
      <c r="Q7835" s="17"/>
    </row>
    <row r="7836" spans="12:17" x14ac:dyDescent="0.3">
      <c r="L7836" s="25"/>
      <c r="Q7836" s="17"/>
    </row>
    <row r="7837" spans="12:17" x14ac:dyDescent="0.3">
      <c r="L7837" s="25"/>
      <c r="Q7837" s="17"/>
    </row>
    <row r="7838" spans="12:17" x14ac:dyDescent="0.3">
      <c r="L7838" s="25"/>
      <c r="Q7838" s="17"/>
    </row>
    <row r="7839" spans="12:17" x14ac:dyDescent="0.3">
      <c r="L7839" s="25"/>
      <c r="Q7839" s="17"/>
    </row>
    <row r="7840" spans="12:17" x14ac:dyDescent="0.3">
      <c r="L7840" s="25"/>
      <c r="Q7840" s="17"/>
    </row>
    <row r="7841" spans="12:17" x14ac:dyDescent="0.3">
      <c r="L7841" s="25"/>
      <c r="Q7841" s="17"/>
    </row>
    <row r="7842" spans="12:17" x14ac:dyDescent="0.3">
      <c r="L7842" s="25"/>
      <c r="Q7842" s="17"/>
    </row>
    <row r="7843" spans="12:17" x14ac:dyDescent="0.3">
      <c r="L7843" s="25"/>
      <c r="Q7843" s="17"/>
    </row>
    <row r="7844" spans="12:17" x14ac:dyDescent="0.3">
      <c r="L7844" s="25"/>
      <c r="Q7844" s="17"/>
    </row>
    <row r="7845" spans="12:17" x14ac:dyDescent="0.3">
      <c r="L7845" s="25"/>
      <c r="Q7845" s="17"/>
    </row>
    <row r="7846" spans="12:17" x14ac:dyDescent="0.3">
      <c r="L7846" s="25"/>
      <c r="Q7846" s="17"/>
    </row>
    <row r="7847" spans="12:17" x14ac:dyDescent="0.3">
      <c r="L7847" s="25"/>
      <c r="Q7847" s="17"/>
    </row>
    <row r="7848" spans="12:17" x14ac:dyDescent="0.3">
      <c r="L7848" s="25"/>
      <c r="Q7848" s="17"/>
    </row>
    <row r="7849" spans="12:17" x14ac:dyDescent="0.3">
      <c r="L7849" s="25"/>
      <c r="Q7849" s="17"/>
    </row>
    <row r="7850" spans="12:17" x14ac:dyDescent="0.3">
      <c r="L7850" s="25"/>
      <c r="Q7850" s="17"/>
    </row>
    <row r="7851" spans="12:17" x14ac:dyDescent="0.3">
      <c r="L7851" s="25"/>
      <c r="Q7851" s="17"/>
    </row>
    <row r="7852" spans="12:17" x14ac:dyDescent="0.3">
      <c r="L7852" s="25"/>
      <c r="Q7852" s="17"/>
    </row>
    <row r="7853" spans="12:17" x14ac:dyDescent="0.3">
      <c r="L7853" s="25"/>
      <c r="Q7853" s="17"/>
    </row>
    <row r="7854" spans="12:17" x14ac:dyDescent="0.3">
      <c r="L7854" s="25"/>
      <c r="Q7854" s="17"/>
    </row>
    <row r="7855" spans="12:17" x14ac:dyDescent="0.3">
      <c r="L7855" s="25"/>
      <c r="Q7855" s="17"/>
    </row>
    <row r="7856" spans="12:17" x14ac:dyDescent="0.3">
      <c r="L7856" s="25"/>
      <c r="Q7856" s="17"/>
    </row>
    <row r="7857" spans="12:17" x14ac:dyDescent="0.3">
      <c r="L7857" s="25"/>
      <c r="Q7857" s="17"/>
    </row>
    <row r="7858" spans="12:17" x14ac:dyDescent="0.3">
      <c r="L7858" s="25"/>
      <c r="Q7858" s="17"/>
    </row>
    <row r="7859" spans="12:17" x14ac:dyDescent="0.3">
      <c r="L7859" s="25"/>
      <c r="Q7859" s="17"/>
    </row>
    <row r="7860" spans="12:17" x14ac:dyDescent="0.3">
      <c r="L7860" s="25"/>
      <c r="Q7860" s="17"/>
    </row>
    <row r="7861" spans="12:17" x14ac:dyDescent="0.3">
      <c r="L7861" s="25"/>
      <c r="Q7861" s="17"/>
    </row>
    <row r="7862" spans="12:17" x14ac:dyDescent="0.3">
      <c r="L7862" s="25"/>
      <c r="Q7862" s="17"/>
    </row>
    <row r="7863" spans="12:17" x14ac:dyDescent="0.3">
      <c r="L7863" s="25"/>
      <c r="Q7863" s="17"/>
    </row>
    <row r="7864" spans="12:17" x14ac:dyDescent="0.3">
      <c r="L7864" s="25"/>
      <c r="Q7864" s="17"/>
    </row>
    <row r="7865" spans="12:17" x14ac:dyDescent="0.3">
      <c r="L7865" s="25"/>
      <c r="Q7865" s="17"/>
    </row>
    <row r="7866" spans="12:17" x14ac:dyDescent="0.3">
      <c r="L7866" s="25"/>
      <c r="Q7866" s="17"/>
    </row>
    <row r="7867" spans="12:17" x14ac:dyDescent="0.3">
      <c r="L7867" s="25"/>
      <c r="Q7867" s="17"/>
    </row>
    <row r="7868" spans="12:17" x14ac:dyDescent="0.3">
      <c r="L7868" s="25"/>
      <c r="Q7868" s="17"/>
    </row>
    <row r="7869" spans="12:17" x14ac:dyDescent="0.3">
      <c r="L7869" s="25"/>
      <c r="Q7869" s="17"/>
    </row>
    <row r="7870" spans="12:17" x14ac:dyDescent="0.3">
      <c r="L7870" s="25"/>
      <c r="Q7870" s="17"/>
    </row>
    <row r="7871" spans="12:17" x14ac:dyDescent="0.3">
      <c r="L7871" s="25"/>
      <c r="Q7871" s="17"/>
    </row>
    <row r="7872" spans="12:17" x14ac:dyDescent="0.3">
      <c r="L7872" s="25"/>
      <c r="Q7872" s="17"/>
    </row>
    <row r="7873" spans="12:17" x14ac:dyDescent="0.3">
      <c r="L7873" s="25"/>
      <c r="Q7873" s="17"/>
    </row>
    <row r="7874" spans="12:17" x14ac:dyDescent="0.3">
      <c r="L7874" s="25"/>
      <c r="Q7874" s="17"/>
    </row>
    <row r="7875" spans="12:17" x14ac:dyDescent="0.3">
      <c r="L7875" s="25"/>
      <c r="Q7875" s="17"/>
    </row>
    <row r="7876" spans="12:17" x14ac:dyDescent="0.3">
      <c r="L7876" s="25"/>
      <c r="Q7876" s="17"/>
    </row>
    <row r="7877" spans="12:17" x14ac:dyDescent="0.3">
      <c r="L7877" s="25"/>
      <c r="Q7877" s="17"/>
    </row>
    <row r="7878" spans="12:17" x14ac:dyDescent="0.3">
      <c r="L7878" s="25"/>
      <c r="Q7878" s="17"/>
    </row>
    <row r="7879" spans="12:17" x14ac:dyDescent="0.3">
      <c r="L7879" s="25"/>
      <c r="Q7879" s="17"/>
    </row>
    <row r="7880" spans="12:17" x14ac:dyDescent="0.3">
      <c r="L7880" s="25"/>
      <c r="Q7880" s="17"/>
    </row>
    <row r="7881" spans="12:17" x14ac:dyDescent="0.3">
      <c r="L7881" s="25"/>
      <c r="Q7881" s="17"/>
    </row>
    <row r="7882" spans="12:17" x14ac:dyDescent="0.3">
      <c r="L7882" s="25"/>
      <c r="Q7882" s="17"/>
    </row>
    <row r="7883" spans="12:17" x14ac:dyDescent="0.3">
      <c r="L7883" s="25"/>
      <c r="Q7883" s="17"/>
    </row>
    <row r="7884" spans="12:17" x14ac:dyDescent="0.3">
      <c r="L7884" s="25"/>
      <c r="Q7884" s="17"/>
    </row>
    <row r="7885" spans="12:17" x14ac:dyDescent="0.3">
      <c r="L7885" s="25"/>
      <c r="Q7885" s="17"/>
    </row>
    <row r="7886" spans="12:17" x14ac:dyDescent="0.3">
      <c r="L7886" s="25"/>
      <c r="Q7886" s="17"/>
    </row>
    <row r="7887" spans="12:17" x14ac:dyDescent="0.3">
      <c r="L7887" s="25"/>
      <c r="Q7887" s="17"/>
    </row>
    <row r="7888" spans="12:17" x14ac:dyDescent="0.3">
      <c r="L7888" s="25"/>
      <c r="Q7888" s="17"/>
    </row>
    <row r="7889" spans="12:17" x14ac:dyDescent="0.3">
      <c r="L7889" s="25"/>
      <c r="Q7889" s="17"/>
    </row>
    <row r="7890" spans="12:17" x14ac:dyDescent="0.3">
      <c r="L7890" s="25"/>
      <c r="Q7890" s="17"/>
    </row>
    <row r="7891" spans="12:17" x14ac:dyDescent="0.3">
      <c r="L7891" s="25"/>
      <c r="Q7891" s="17"/>
    </row>
    <row r="7892" spans="12:17" x14ac:dyDescent="0.3">
      <c r="L7892" s="25"/>
      <c r="Q7892" s="17"/>
    </row>
    <row r="7893" spans="12:17" x14ac:dyDescent="0.3">
      <c r="L7893" s="25"/>
      <c r="Q7893" s="17"/>
    </row>
    <row r="7894" spans="12:17" x14ac:dyDescent="0.3">
      <c r="L7894" s="25"/>
      <c r="Q7894" s="17"/>
    </row>
    <row r="7895" spans="12:17" x14ac:dyDescent="0.3">
      <c r="L7895" s="25"/>
      <c r="Q7895" s="17"/>
    </row>
    <row r="7896" spans="12:17" x14ac:dyDescent="0.3">
      <c r="L7896" s="25"/>
      <c r="Q7896" s="17"/>
    </row>
    <row r="7897" spans="12:17" x14ac:dyDescent="0.3">
      <c r="L7897" s="25"/>
      <c r="Q7897" s="17"/>
    </row>
    <row r="7898" spans="12:17" x14ac:dyDescent="0.3">
      <c r="L7898" s="25"/>
      <c r="Q7898" s="17"/>
    </row>
    <row r="7899" spans="12:17" x14ac:dyDescent="0.3">
      <c r="L7899" s="25"/>
      <c r="Q7899" s="17"/>
    </row>
    <row r="7900" spans="12:17" x14ac:dyDescent="0.3">
      <c r="L7900" s="25"/>
      <c r="Q7900" s="17"/>
    </row>
    <row r="7901" spans="12:17" x14ac:dyDescent="0.3">
      <c r="L7901" s="25"/>
      <c r="Q7901" s="17"/>
    </row>
    <row r="7902" spans="12:17" x14ac:dyDescent="0.3">
      <c r="L7902" s="25"/>
      <c r="Q7902" s="17"/>
    </row>
    <row r="7903" spans="12:17" x14ac:dyDescent="0.3">
      <c r="L7903" s="25"/>
      <c r="Q7903" s="17"/>
    </row>
    <row r="7904" spans="12:17" x14ac:dyDescent="0.3">
      <c r="L7904" s="25"/>
      <c r="Q7904" s="17"/>
    </row>
    <row r="7905" spans="12:17" x14ac:dyDescent="0.3">
      <c r="L7905" s="25"/>
      <c r="Q7905" s="17"/>
    </row>
    <row r="7906" spans="12:17" x14ac:dyDescent="0.3">
      <c r="L7906" s="25"/>
      <c r="Q7906" s="17"/>
    </row>
    <row r="7907" spans="12:17" x14ac:dyDescent="0.3">
      <c r="L7907" s="25"/>
      <c r="Q7907" s="17"/>
    </row>
    <row r="7908" spans="12:17" x14ac:dyDescent="0.3">
      <c r="L7908" s="25"/>
      <c r="Q7908" s="17"/>
    </row>
    <row r="7909" spans="12:17" x14ac:dyDescent="0.3">
      <c r="L7909" s="25"/>
      <c r="Q7909" s="17"/>
    </row>
    <row r="7910" spans="12:17" x14ac:dyDescent="0.3">
      <c r="L7910" s="25"/>
      <c r="Q7910" s="17"/>
    </row>
    <row r="7911" spans="12:17" x14ac:dyDescent="0.3">
      <c r="L7911" s="25"/>
      <c r="Q7911" s="17"/>
    </row>
    <row r="7912" spans="12:17" x14ac:dyDescent="0.3">
      <c r="L7912" s="25"/>
      <c r="Q7912" s="17"/>
    </row>
    <row r="7913" spans="12:17" x14ac:dyDescent="0.3">
      <c r="L7913" s="25"/>
      <c r="Q7913" s="17"/>
    </row>
    <row r="7914" spans="12:17" x14ac:dyDescent="0.3">
      <c r="L7914" s="25"/>
      <c r="Q7914" s="17"/>
    </row>
    <row r="7915" spans="12:17" x14ac:dyDescent="0.3">
      <c r="L7915" s="25"/>
      <c r="Q7915" s="17"/>
    </row>
    <row r="7916" spans="12:17" x14ac:dyDescent="0.3">
      <c r="L7916" s="25"/>
      <c r="Q7916" s="17"/>
    </row>
    <row r="7917" spans="12:17" x14ac:dyDescent="0.3">
      <c r="L7917" s="25"/>
      <c r="Q7917" s="17"/>
    </row>
    <row r="7918" spans="12:17" x14ac:dyDescent="0.3">
      <c r="L7918" s="25"/>
      <c r="Q7918" s="17"/>
    </row>
    <row r="7919" spans="12:17" x14ac:dyDescent="0.3">
      <c r="L7919" s="25"/>
      <c r="Q7919" s="17"/>
    </row>
    <row r="7920" spans="12:17" x14ac:dyDescent="0.3">
      <c r="L7920" s="25"/>
      <c r="Q7920" s="17"/>
    </row>
    <row r="7921" spans="12:17" x14ac:dyDescent="0.3">
      <c r="L7921" s="25"/>
      <c r="Q7921" s="17"/>
    </row>
    <row r="7922" spans="12:17" x14ac:dyDescent="0.3">
      <c r="L7922" s="25"/>
      <c r="Q7922" s="17"/>
    </row>
    <row r="7923" spans="12:17" x14ac:dyDescent="0.3">
      <c r="L7923" s="25"/>
      <c r="Q7923" s="17"/>
    </row>
    <row r="7924" spans="12:17" x14ac:dyDescent="0.3">
      <c r="L7924" s="25"/>
      <c r="Q7924" s="17"/>
    </row>
    <row r="7925" spans="12:17" x14ac:dyDescent="0.3">
      <c r="L7925" s="25"/>
      <c r="Q7925" s="17"/>
    </row>
    <row r="7926" spans="12:17" x14ac:dyDescent="0.3">
      <c r="L7926" s="25"/>
      <c r="Q7926" s="17"/>
    </row>
    <row r="7927" spans="12:17" x14ac:dyDescent="0.3">
      <c r="L7927" s="25"/>
      <c r="Q7927" s="17"/>
    </row>
    <row r="7928" spans="12:17" x14ac:dyDescent="0.3">
      <c r="L7928" s="25"/>
      <c r="Q7928" s="17"/>
    </row>
    <row r="7929" spans="12:17" x14ac:dyDescent="0.3">
      <c r="L7929" s="25"/>
      <c r="Q7929" s="17"/>
    </row>
    <row r="7930" spans="12:17" x14ac:dyDescent="0.3">
      <c r="L7930" s="25"/>
      <c r="Q7930" s="17"/>
    </row>
    <row r="7931" spans="12:17" x14ac:dyDescent="0.3">
      <c r="L7931" s="25"/>
      <c r="Q7931" s="17"/>
    </row>
    <row r="7932" spans="12:17" x14ac:dyDescent="0.3">
      <c r="L7932" s="25"/>
      <c r="Q7932" s="17"/>
    </row>
    <row r="7933" spans="12:17" x14ac:dyDescent="0.3">
      <c r="L7933" s="25"/>
      <c r="Q7933" s="17"/>
    </row>
    <row r="7934" spans="12:17" x14ac:dyDescent="0.3">
      <c r="L7934" s="25"/>
      <c r="Q7934" s="17"/>
    </row>
    <row r="7935" spans="12:17" x14ac:dyDescent="0.3">
      <c r="L7935" s="25"/>
      <c r="Q7935" s="17"/>
    </row>
    <row r="7936" spans="12:17" x14ac:dyDescent="0.3">
      <c r="L7936" s="25"/>
      <c r="Q7936" s="17"/>
    </row>
    <row r="7937" spans="12:17" x14ac:dyDescent="0.3">
      <c r="L7937" s="25"/>
      <c r="Q7937" s="17"/>
    </row>
    <row r="7938" spans="12:17" x14ac:dyDescent="0.3">
      <c r="L7938" s="25"/>
      <c r="Q7938" s="17"/>
    </row>
    <row r="7939" spans="12:17" x14ac:dyDescent="0.3">
      <c r="L7939" s="25"/>
      <c r="Q7939" s="17"/>
    </row>
    <row r="7940" spans="12:17" x14ac:dyDescent="0.3">
      <c r="L7940" s="25"/>
      <c r="Q7940" s="17"/>
    </row>
    <row r="7941" spans="12:17" x14ac:dyDescent="0.3">
      <c r="L7941" s="25"/>
      <c r="Q7941" s="17"/>
    </row>
    <row r="7942" spans="12:17" x14ac:dyDescent="0.3">
      <c r="L7942" s="25"/>
      <c r="Q7942" s="17"/>
    </row>
    <row r="7943" spans="12:17" x14ac:dyDescent="0.3">
      <c r="L7943" s="25"/>
      <c r="Q7943" s="17"/>
    </row>
    <row r="7944" spans="12:17" x14ac:dyDescent="0.3">
      <c r="L7944" s="25"/>
      <c r="Q7944" s="17"/>
    </row>
    <row r="7945" spans="12:17" x14ac:dyDescent="0.3">
      <c r="L7945" s="25"/>
      <c r="Q7945" s="17"/>
    </row>
    <row r="7946" spans="12:17" x14ac:dyDescent="0.3">
      <c r="L7946" s="25"/>
      <c r="Q7946" s="17"/>
    </row>
    <row r="7947" spans="12:17" x14ac:dyDescent="0.3">
      <c r="L7947" s="25"/>
      <c r="Q7947" s="17"/>
    </row>
    <row r="7948" spans="12:17" x14ac:dyDescent="0.3">
      <c r="L7948" s="25"/>
      <c r="Q7948" s="17"/>
    </row>
    <row r="7949" spans="12:17" x14ac:dyDescent="0.3">
      <c r="L7949" s="25"/>
      <c r="Q7949" s="17"/>
    </row>
    <row r="7950" spans="12:17" x14ac:dyDescent="0.3">
      <c r="L7950" s="25"/>
      <c r="Q7950" s="17"/>
    </row>
    <row r="7951" spans="12:17" x14ac:dyDescent="0.3">
      <c r="L7951" s="25"/>
      <c r="Q7951" s="17"/>
    </row>
    <row r="7952" spans="12:17" x14ac:dyDescent="0.3">
      <c r="L7952" s="25"/>
      <c r="Q7952" s="17"/>
    </row>
    <row r="7953" spans="12:17" x14ac:dyDescent="0.3">
      <c r="L7953" s="25"/>
      <c r="Q7953" s="17"/>
    </row>
    <row r="7954" spans="12:17" x14ac:dyDescent="0.3">
      <c r="L7954" s="25"/>
      <c r="Q7954" s="17"/>
    </row>
    <row r="7955" spans="12:17" x14ac:dyDescent="0.3">
      <c r="L7955" s="25"/>
      <c r="Q7955" s="17"/>
    </row>
    <row r="7956" spans="12:17" x14ac:dyDescent="0.3">
      <c r="L7956" s="25"/>
      <c r="Q7956" s="17"/>
    </row>
    <row r="7957" spans="12:17" x14ac:dyDescent="0.3">
      <c r="L7957" s="25"/>
      <c r="Q7957" s="17"/>
    </row>
    <row r="7958" spans="12:17" x14ac:dyDescent="0.3">
      <c r="L7958" s="25"/>
      <c r="Q7958" s="17"/>
    </row>
    <row r="7959" spans="12:17" x14ac:dyDescent="0.3">
      <c r="L7959" s="25"/>
      <c r="Q7959" s="17"/>
    </row>
    <row r="7960" spans="12:17" x14ac:dyDescent="0.3">
      <c r="L7960" s="25"/>
      <c r="Q7960" s="17"/>
    </row>
    <row r="7961" spans="12:17" x14ac:dyDescent="0.3">
      <c r="L7961" s="25"/>
      <c r="Q7961" s="17"/>
    </row>
    <row r="7962" spans="12:17" x14ac:dyDescent="0.3">
      <c r="L7962" s="25"/>
      <c r="Q7962" s="17"/>
    </row>
    <row r="7963" spans="12:17" x14ac:dyDescent="0.3">
      <c r="L7963" s="25"/>
      <c r="Q7963" s="17"/>
    </row>
    <row r="7964" spans="12:17" x14ac:dyDescent="0.3">
      <c r="L7964" s="25"/>
      <c r="Q7964" s="17"/>
    </row>
    <row r="7965" spans="12:17" x14ac:dyDescent="0.3">
      <c r="L7965" s="25"/>
      <c r="Q7965" s="17"/>
    </row>
    <row r="7966" spans="12:17" x14ac:dyDescent="0.3">
      <c r="L7966" s="25"/>
      <c r="Q7966" s="17"/>
    </row>
    <row r="7967" spans="12:17" x14ac:dyDescent="0.3">
      <c r="L7967" s="25"/>
      <c r="Q7967" s="17"/>
    </row>
    <row r="7968" spans="12:17" x14ac:dyDescent="0.3">
      <c r="L7968" s="25"/>
      <c r="Q7968" s="17"/>
    </row>
    <row r="7969" spans="12:17" x14ac:dyDescent="0.3">
      <c r="L7969" s="25"/>
      <c r="Q7969" s="17"/>
    </row>
    <row r="7970" spans="12:17" x14ac:dyDescent="0.3">
      <c r="L7970" s="25"/>
      <c r="Q7970" s="17"/>
    </row>
    <row r="7971" spans="12:17" x14ac:dyDescent="0.3">
      <c r="L7971" s="25"/>
      <c r="Q7971" s="17"/>
    </row>
    <row r="7972" spans="12:17" x14ac:dyDescent="0.3">
      <c r="L7972" s="25"/>
      <c r="Q7972" s="17"/>
    </row>
    <row r="7973" spans="12:17" x14ac:dyDescent="0.3">
      <c r="L7973" s="25"/>
      <c r="Q7973" s="17"/>
    </row>
    <row r="7974" spans="12:17" x14ac:dyDescent="0.3">
      <c r="L7974" s="25"/>
      <c r="Q7974" s="17"/>
    </row>
    <row r="7975" spans="12:17" x14ac:dyDescent="0.3">
      <c r="L7975" s="25"/>
      <c r="Q7975" s="17"/>
    </row>
    <row r="7976" spans="12:17" x14ac:dyDescent="0.3">
      <c r="L7976" s="25"/>
      <c r="Q7976" s="17"/>
    </row>
    <row r="7977" spans="12:17" x14ac:dyDescent="0.3">
      <c r="L7977" s="25"/>
      <c r="Q7977" s="17"/>
    </row>
    <row r="7978" spans="12:17" x14ac:dyDescent="0.3">
      <c r="L7978" s="25"/>
      <c r="Q7978" s="17"/>
    </row>
    <row r="7979" spans="12:17" x14ac:dyDescent="0.3">
      <c r="L7979" s="25"/>
      <c r="Q7979" s="17"/>
    </row>
    <row r="7980" spans="12:17" x14ac:dyDescent="0.3">
      <c r="L7980" s="25"/>
      <c r="Q7980" s="17"/>
    </row>
    <row r="7981" spans="12:17" x14ac:dyDescent="0.3">
      <c r="L7981" s="25"/>
      <c r="Q7981" s="17"/>
    </row>
    <row r="7982" spans="12:17" x14ac:dyDescent="0.3">
      <c r="L7982" s="25"/>
      <c r="Q7982" s="17"/>
    </row>
    <row r="7983" spans="12:17" x14ac:dyDescent="0.3">
      <c r="L7983" s="25"/>
      <c r="Q7983" s="17"/>
    </row>
    <row r="7984" spans="12:17" x14ac:dyDescent="0.3">
      <c r="L7984" s="25"/>
      <c r="Q7984" s="17"/>
    </row>
    <row r="7985" spans="12:17" x14ac:dyDescent="0.3">
      <c r="L7985" s="25"/>
      <c r="Q7985" s="17"/>
    </row>
    <row r="7986" spans="12:17" x14ac:dyDescent="0.3">
      <c r="L7986" s="25"/>
      <c r="Q7986" s="17"/>
    </row>
    <row r="7987" spans="12:17" x14ac:dyDescent="0.3">
      <c r="L7987" s="25"/>
      <c r="Q7987" s="17"/>
    </row>
    <row r="7988" spans="12:17" x14ac:dyDescent="0.3">
      <c r="L7988" s="25"/>
      <c r="Q7988" s="17"/>
    </row>
    <row r="7989" spans="12:17" x14ac:dyDescent="0.3">
      <c r="L7989" s="25"/>
      <c r="Q7989" s="17"/>
    </row>
    <row r="7990" spans="12:17" x14ac:dyDescent="0.3">
      <c r="L7990" s="25"/>
      <c r="Q7990" s="17"/>
    </row>
    <row r="7991" spans="12:17" x14ac:dyDescent="0.3">
      <c r="L7991" s="25"/>
      <c r="Q7991" s="17"/>
    </row>
    <row r="7992" spans="12:17" x14ac:dyDescent="0.3">
      <c r="L7992" s="25"/>
      <c r="Q7992" s="17"/>
    </row>
    <row r="7993" spans="12:17" x14ac:dyDescent="0.3">
      <c r="L7993" s="25"/>
      <c r="Q7993" s="17"/>
    </row>
    <row r="7994" spans="12:17" x14ac:dyDescent="0.3">
      <c r="L7994" s="25"/>
      <c r="Q7994" s="17"/>
    </row>
    <row r="7995" spans="12:17" x14ac:dyDescent="0.3">
      <c r="L7995" s="25"/>
      <c r="Q7995" s="17"/>
    </row>
    <row r="7996" spans="12:17" x14ac:dyDescent="0.3">
      <c r="L7996" s="25"/>
      <c r="Q7996" s="17"/>
    </row>
    <row r="7997" spans="12:17" x14ac:dyDescent="0.3">
      <c r="L7997" s="25"/>
      <c r="Q7997" s="17"/>
    </row>
    <row r="7998" spans="12:17" x14ac:dyDescent="0.3">
      <c r="L7998" s="25"/>
      <c r="Q7998" s="17"/>
    </row>
    <row r="7999" spans="12:17" x14ac:dyDescent="0.3">
      <c r="L7999" s="25"/>
      <c r="Q7999" s="17"/>
    </row>
    <row r="8000" spans="12:17" x14ac:dyDescent="0.3">
      <c r="L8000" s="25"/>
      <c r="Q8000" s="17"/>
    </row>
    <row r="8001" spans="12:17" x14ac:dyDescent="0.3">
      <c r="L8001" s="25"/>
      <c r="Q8001" s="17"/>
    </row>
    <row r="8002" spans="12:17" x14ac:dyDescent="0.3">
      <c r="L8002" s="25"/>
      <c r="Q8002" s="17"/>
    </row>
    <row r="8003" spans="12:17" x14ac:dyDescent="0.3">
      <c r="L8003" s="25"/>
      <c r="Q8003" s="17"/>
    </row>
    <row r="8004" spans="12:17" x14ac:dyDescent="0.3">
      <c r="L8004" s="25"/>
      <c r="Q8004" s="17"/>
    </row>
    <row r="8005" spans="12:17" x14ac:dyDescent="0.3">
      <c r="L8005" s="25"/>
      <c r="Q8005" s="17"/>
    </row>
    <row r="8006" spans="12:17" x14ac:dyDescent="0.3">
      <c r="L8006" s="25"/>
      <c r="Q8006" s="17"/>
    </row>
    <row r="8007" spans="12:17" x14ac:dyDescent="0.3">
      <c r="L8007" s="25"/>
      <c r="Q8007" s="17"/>
    </row>
    <row r="8008" spans="12:17" x14ac:dyDescent="0.3">
      <c r="L8008" s="25"/>
      <c r="Q8008" s="17"/>
    </row>
    <row r="8009" spans="12:17" x14ac:dyDescent="0.3">
      <c r="L8009" s="25"/>
      <c r="Q8009" s="17"/>
    </row>
    <row r="8010" spans="12:17" x14ac:dyDescent="0.3">
      <c r="L8010" s="25"/>
      <c r="Q8010" s="17"/>
    </row>
    <row r="8011" spans="12:17" x14ac:dyDescent="0.3">
      <c r="L8011" s="25"/>
      <c r="Q8011" s="17"/>
    </row>
    <row r="8012" spans="12:17" x14ac:dyDescent="0.3">
      <c r="L8012" s="25"/>
      <c r="Q8012" s="17"/>
    </row>
    <row r="8013" spans="12:17" x14ac:dyDescent="0.3">
      <c r="L8013" s="25"/>
      <c r="Q8013" s="17"/>
    </row>
    <row r="8014" spans="12:17" x14ac:dyDescent="0.3">
      <c r="L8014" s="25"/>
      <c r="Q8014" s="17"/>
    </row>
    <row r="8015" spans="12:17" x14ac:dyDescent="0.3">
      <c r="L8015" s="25"/>
      <c r="Q8015" s="17"/>
    </row>
    <row r="8016" spans="12:17" x14ac:dyDescent="0.3">
      <c r="L8016" s="25"/>
      <c r="Q8016" s="17"/>
    </row>
    <row r="8017" spans="12:17" x14ac:dyDescent="0.3">
      <c r="L8017" s="25"/>
      <c r="Q8017" s="17"/>
    </row>
    <row r="8018" spans="12:17" x14ac:dyDescent="0.3">
      <c r="L8018" s="25"/>
      <c r="Q8018" s="17"/>
    </row>
    <row r="8019" spans="12:17" x14ac:dyDescent="0.3">
      <c r="L8019" s="25"/>
      <c r="Q8019" s="17"/>
    </row>
    <row r="8020" spans="12:17" x14ac:dyDescent="0.3">
      <c r="L8020" s="25"/>
      <c r="Q8020" s="17"/>
    </row>
    <row r="8021" spans="12:17" x14ac:dyDescent="0.3">
      <c r="L8021" s="25"/>
      <c r="Q8021" s="17"/>
    </row>
    <row r="8022" spans="12:17" x14ac:dyDescent="0.3">
      <c r="L8022" s="25"/>
      <c r="Q8022" s="17"/>
    </row>
    <row r="8023" spans="12:17" x14ac:dyDescent="0.3">
      <c r="L8023" s="25"/>
      <c r="Q8023" s="17"/>
    </row>
    <row r="8024" spans="12:17" x14ac:dyDescent="0.3">
      <c r="L8024" s="25"/>
      <c r="Q8024" s="17"/>
    </row>
    <row r="8025" spans="12:17" x14ac:dyDescent="0.3">
      <c r="L8025" s="25"/>
      <c r="Q8025" s="17"/>
    </row>
    <row r="8026" spans="12:17" x14ac:dyDescent="0.3">
      <c r="L8026" s="25"/>
      <c r="Q8026" s="17"/>
    </row>
    <row r="8027" spans="12:17" x14ac:dyDescent="0.3">
      <c r="L8027" s="25"/>
      <c r="Q8027" s="17"/>
    </row>
    <row r="8028" spans="12:17" x14ac:dyDescent="0.3">
      <c r="L8028" s="25"/>
      <c r="Q8028" s="17"/>
    </row>
    <row r="8029" spans="12:17" x14ac:dyDescent="0.3">
      <c r="L8029" s="25"/>
      <c r="Q8029" s="17"/>
    </row>
    <row r="8030" spans="12:17" x14ac:dyDescent="0.3">
      <c r="L8030" s="25"/>
      <c r="Q8030" s="17"/>
    </row>
    <row r="8031" spans="12:17" x14ac:dyDescent="0.3">
      <c r="L8031" s="25"/>
      <c r="Q8031" s="17"/>
    </row>
    <row r="8032" spans="12:17" x14ac:dyDescent="0.3">
      <c r="L8032" s="25"/>
      <c r="Q8032" s="17"/>
    </row>
    <row r="8033" spans="12:17" x14ac:dyDescent="0.3">
      <c r="L8033" s="25"/>
      <c r="Q8033" s="17"/>
    </row>
    <row r="8034" spans="12:17" x14ac:dyDescent="0.3">
      <c r="L8034" s="25"/>
      <c r="Q8034" s="17"/>
    </row>
    <row r="8035" spans="12:17" x14ac:dyDescent="0.3">
      <c r="L8035" s="25"/>
      <c r="Q8035" s="17"/>
    </row>
    <row r="8036" spans="12:17" x14ac:dyDescent="0.3">
      <c r="L8036" s="25"/>
      <c r="Q8036" s="17"/>
    </row>
    <row r="8037" spans="12:17" x14ac:dyDescent="0.3">
      <c r="L8037" s="25"/>
      <c r="Q8037" s="17"/>
    </row>
    <row r="8038" spans="12:17" x14ac:dyDescent="0.3">
      <c r="L8038" s="25"/>
      <c r="Q8038" s="17"/>
    </row>
    <row r="8039" spans="12:17" x14ac:dyDescent="0.3">
      <c r="L8039" s="25"/>
      <c r="Q8039" s="17"/>
    </row>
    <row r="8040" spans="12:17" x14ac:dyDescent="0.3">
      <c r="L8040" s="25"/>
      <c r="Q8040" s="17"/>
    </row>
    <row r="8041" spans="12:17" x14ac:dyDescent="0.3">
      <c r="L8041" s="25"/>
      <c r="Q8041" s="17"/>
    </row>
    <row r="8042" spans="12:17" x14ac:dyDescent="0.3">
      <c r="L8042" s="25"/>
      <c r="Q8042" s="17"/>
    </row>
    <row r="8043" spans="12:17" x14ac:dyDescent="0.3">
      <c r="L8043" s="25"/>
      <c r="Q8043" s="17"/>
    </row>
    <row r="8044" spans="12:17" x14ac:dyDescent="0.3">
      <c r="L8044" s="25"/>
      <c r="Q8044" s="17"/>
    </row>
    <row r="8045" spans="12:17" x14ac:dyDescent="0.3">
      <c r="L8045" s="25"/>
      <c r="Q8045" s="17"/>
    </row>
    <row r="8046" spans="12:17" x14ac:dyDescent="0.3">
      <c r="L8046" s="25"/>
      <c r="Q8046" s="17"/>
    </row>
    <row r="8047" spans="12:17" x14ac:dyDescent="0.3">
      <c r="L8047" s="25"/>
      <c r="Q8047" s="17"/>
    </row>
    <row r="8048" spans="12:17" x14ac:dyDescent="0.3">
      <c r="L8048" s="25"/>
      <c r="Q8048" s="17"/>
    </row>
    <row r="8049" spans="12:17" x14ac:dyDescent="0.3">
      <c r="L8049" s="25"/>
      <c r="Q8049" s="17"/>
    </row>
    <row r="8050" spans="12:17" x14ac:dyDescent="0.3">
      <c r="L8050" s="25"/>
      <c r="Q8050" s="17"/>
    </row>
    <row r="8051" spans="12:17" x14ac:dyDescent="0.3">
      <c r="L8051" s="25"/>
      <c r="Q8051" s="17"/>
    </row>
    <row r="8052" spans="12:17" x14ac:dyDescent="0.3">
      <c r="L8052" s="25"/>
      <c r="Q8052" s="17"/>
    </row>
    <row r="8053" spans="12:17" x14ac:dyDescent="0.3">
      <c r="L8053" s="25"/>
      <c r="Q8053" s="17"/>
    </row>
    <row r="8054" spans="12:17" x14ac:dyDescent="0.3">
      <c r="L8054" s="25"/>
      <c r="Q8054" s="17"/>
    </row>
    <row r="8055" spans="12:17" x14ac:dyDescent="0.3">
      <c r="L8055" s="25"/>
      <c r="Q8055" s="17"/>
    </row>
    <row r="8056" spans="12:17" x14ac:dyDescent="0.3">
      <c r="L8056" s="25"/>
      <c r="Q8056" s="17"/>
    </row>
    <row r="8057" spans="12:17" x14ac:dyDescent="0.3">
      <c r="L8057" s="25"/>
      <c r="Q8057" s="17"/>
    </row>
    <row r="8058" spans="12:17" x14ac:dyDescent="0.3">
      <c r="L8058" s="25"/>
      <c r="Q8058" s="17"/>
    </row>
    <row r="8059" spans="12:17" x14ac:dyDescent="0.3">
      <c r="L8059" s="25"/>
      <c r="Q8059" s="17"/>
    </row>
    <row r="8060" spans="12:17" x14ac:dyDescent="0.3">
      <c r="L8060" s="25"/>
      <c r="Q8060" s="17"/>
    </row>
    <row r="8061" spans="12:17" x14ac:dyDescent="0.3">
      <c r="L8061" s="25"/>
      <c r="Q8061" s="17"/>
    </row>
    <row r="8062" spans="12:17" x14ac:dyDescent="0.3">
      <c r="L8062" s="25"/>
      <c r="Q8062" s="17"/>
    </row>
    <row r="8063" spans="12:17" x14ac:dyDescent="0.3">
      <c r="L8063" s="25"/>
      <c r="Q8063" s="17"/>
    </row>
    <row r="8064" spans="12:17" x14ac:dyDescent="0.3">
      <c r="L8064" s="25"/>
      <c r="Q8064" s="17"/>
    </row>
    <row r="8065" spans="12:17" x14ac:dyDescent="0.3">
      <c r="L8065" s="25"/>
      <c r="Q8065" s="17"/>
    </row>
    <row r="8066" spans="12:17" x14ac:dyDescent="0.3">
      <c r="L8066" s="25"/>
      <c r="Q8066" s="17"/>
    </row>
    <row r="8067" spans="12:17" x14ac:dyDescent="0.3">
      <c r="L8067" s="25"/>
      <c r="Q8067" s="17"/>
    </row>
    <row r="8068" spans="12:17" x14ac:dyDescent="0.3">
      <c r="L8068" s="25"/>
      <c r="Q8068" s="17"/>
    </row>
    <row r="8069" spans="12:17" x14ac:dyDescent="0.3">
      <c r="L8069" s="25"/>
      <c r="Q8069" s="17"/>
    </row>
    <row r="8070" spans="12:17" x14ac:dyDescent="0.3">
      <c r="L8070" s="25"/>
      <c r="Q8070" s="17"/>
    </row>
    <row r="8071" spans="12:17" x14ac:dyDescent="0.3">
      <c r="L8071" s="25"/>
      <c r="Q8071" s="17"/>
    </row>
    <row r="8072" spans="12:17" x14ac:dyDescent="0.3">
      <c r="L8072" s="25"/>
      <c r="Q8072" s="17"/>
    </row>
    <row r="8073" spans="12:17" x14ac:dyDescent="0.3">
      <c r="L8073" s="25"/>
      <c r="Q8073" s="17"/>
    </row>
    <row r="8074" spans="12:17" x14ac:dyDescent="0.3">
      <c r="L8074" s="25"/>
      <c r="Q8074" s="17"/>
    </row>
    <row r="8075" spans="12:17" x14ac:dyDescent="0.3">
      <c r="L8075" s="25"/>
      <c r="Q8075" s="17"/>
    </row>
    <row r="8076" spans="12:17" x14ac:dyDescent="0.3">
      <c r="L8076" s="25"/>
      <c r="Q8076" s="17"/>
    </row>
    <row r="8077" spans="12:17" x14ac:dyDescent="0.3">
      <c r="L8077" s="25"/>
      <c r="Q8077" s="17"/>
    </row>
    <row r="8078" spans="12:17" x14ac:dyDescent="0.3">
      <c r="L8078" s="25"/>
      <c r="Q8078" s="17"/>
    </row>
    <row r="8079" spans="12:17" x14ac:dyDescent="0.3">
      <c r="L8079" s="25"/>
      <c r="Q8079" s="17"/>
    </row>
    <row r="8080" spans="12:17" x14ac:dyDescent="0.3">
      <c r="L8080" s="25"/>
      <c r="Q8080" s="17"/>
    </row>
    <row r="8081" spans="12:17" x14ac:dyDescent="0.3">
      <c r="L8081" s="25"/>
      <c r="Q8081" s="17"/>
    </row>
    <row r="8082" spans="12:17" x14ac:dyDescent="0.3">
      <c r="L8082" s="25"/>
      <c r="Q8082" s="17"/>
    </row>
    <row r="8083" spans="12:17" x14ac:dyDescent="0.3">
      <c r="L8083" s="25"/>
      <c r="Q8083" s="17"/>
    </row>
    <row r="8084" spans="12:17" x14ac:dyDescent="0.3">
      <c r="L8084" s="25"/>
      <c r="Q8084" s="17"/>
    </row>
    <row r="8085" spans="12:17" x14ac:dyDescent="0.3">
      <c r="L8085" s="25"/>
      <c r="Q8085" s="17"/>
    </row>
    <row r="8086" spans="12:17" x14ac:dyDescent="0.3">
      <c r="L8086" s="25"/>
      <c r="Q8086" s="17"/>
    </row>
    <row r="8087" spans="12:17" x14ac:dyDescent="0.3">
      <c r="L8087" s="25"/>
      <c r="Q8087" s="17"/>
    </row>
    <row r="8088" spans="12:17" x14ac:dyDescent="0.3">
      <c r="L8088" s="25"/>
      <c r="Q8088" s="17"/>
    </row>
    <row r="8089" spans="12:17" x14ac:dyDescent="0.3">
      <c r="L8089" s="25"/>
      <c r="Q8089" s="17"/>
    </row>
    <row r="8090" spans="12:17" x14ac:dyDescent="0.3">
      <c r="L8090" s="25"/>
      <c r="Q8090" s="17"/>
    </row>
    <row r="8091" spans="12:17" x14ac:dyDescent="0.3">
      <c r="L8091" s="25"/>
      <c r="Q8091" s="17"/>
    </row>
    <row r="8092" spans="12:17" x14ac:dyDescent="0.3">
      <c r="L8092" s="25"/>
      <c r="Q8092" s="17"/>
    </row>
    <row r="8093" spans="12:17" x14ac:dyDescent="0.3">
      <c r="L8093" s="25"/>
      <c r="Q8093" s="17"/>
    </row>
    <row r="8094" spans="12:17" x14ac:dyDescent="0.3">
      <c r="L8094" s="25"/>
      <c r="Q8094" s="17"/>
    </row>
    <row r="8095" spans="12:17" x14ac:dyDescent="0.3">
      <c r="L8095" s="25"/>
      <c r="Q8095" s="17"/>
    </row>
    <row r="8096" spans="12:17" x14ac:dyDescent="0.3">
      <c r="L8096" s="25"/>
      <c r="Q8096" s="17"/>
    </row>
    <row r="8097" spans="12:17" x14ac:dyDescent="0.3">
      <c r="L8097" s="25"/>
      <c r="Q8097" s="17"/>
    </row>
    <row r="8098" spans="12:17" x14ac:dyDescent="0.3">
      <c r="L8098" s="25"/>
      <c r="Q8098" s="17"/>
    </row>
    <row r="8099" spans="12:17" x14ac:dyDescent="0.3">
      <c r="L8099" s="25"/>
      <c r="Q8099" s="17"/>
    </row>
    <row r="8100" spans="12:17" x14ac:dyDescent="0.3">
      <c r="L8100" s="25"/>
      <c r="Q8100" s="17"/>
    </row>
    <row r="8101" spans="12:17" x14ac:dyDescent="0.3">
      <c r="L8101" s="25"/>
      <c r="Q8101" s="17"/>
    </row>
    <row r="8102" spans="12:17" x14ac:dyDescent="0.3">
      <c r="L8102" s="25"/>
      <c r="Q8102" s="17"/>
    </row>
    <row r="8103" spans="12:17" x14ac:dyDescent="0.3">
      <c r="L8103" s="25"/>
      <c r="Q8103" s="17"/>
    </row>
    <row r="8104" spans="12:17" x14ac:dyDescent="0.3">
      <c r="L8104" s="25"/>
      <c r="Q8104" s="17"/>
    </row>
    <row r="8105" spans="12:17" x14ac:dyDescent="0.3">
      <c r="L8105" s="25"/>
      <c r="Q8105" s="17"/>
    </row>
    <row r="8106" spans="12:17" x14ac:dyDescent="0.3">
      <c r="L8106" s="25"/>
      <c r="Q8106" s="17"/>
    </row>
    <row r="8107" spans="12:17" x14ac:dyDescent="0.3">
      <c r="L8107" s="25"/>
      <c r="Q8107" s="17"/>
    </row>
    <row r="8108" spans="12:17" x14ac:dyDescent="0.3">
      <c r="L8108" s="25"/>
      <c r="Q8108" s="17"/>
    </row>
    <row r="8109" spans="12:17" x14ac:dyDescent="0.3">
      <c r="L8109" s="25"/>
      <c r="Q8109" s="17"/>
    </row>
    <row r="8110" spans="12:17" x14ac:dyDescent="0.3">
      <c r="L8110" s="25"/>
      <c r="Q8110" s="17"/>
    </row>
    <row r="8111" spans="12:17" x14ac:dyDescent="0.3">
      <c r="L8111" s="25"/>
      <c r="Q8111" s="17"/>
    </row>
    <row r="8112" spans="12:17" x14ac:dyDescent="0.3">
      <c r="L8112" s="25"/>
      <c r="Q8112" s="17"/>
    </row>
    <row r="8113" spans="12:17" x14ac:dyDescent="0.3">
      <c r="L8113" s="25"/>
      <c r="Q8113" s="17"/>
    </row>
    <row r="8114" spans="12:17" x14ac:dyDescent="0.3">
      <c r="L8114" s="25"/>
      <c r="Q8114" s="17"/>
    </row>
    <row r="8115" spans="12:17" x14ac:dyDescent="0.3">
      <c r="L8115" s="25"/>
      <c r="Q8115" s="17"/>
    </row>
    <row r="8116" spans="12:17" x14ac:dyDescent="0.3">
      <c r="L8116" s="25"/>
      <c r="Q8116" s="17"/>
    </row>
    <row r="8117" spans="12:17" x14ac:dyDescent="0.3">
      <c r="L8117" s="25"/>
      <c r="Q8117" s="17"/>
    </row>
    <row r="8118" spans="12:17" x14ac:dyDescent="0.3">
      <c r="L8118" s="25"/>
      <c r="Q8118" s="17"/>
    </row>
    <row r="8119" spans="12:17" x14ac:dyDescent="0.3">
      <c r="L8119" s="25"/>
      <c r="Q8119" s="17"/>
    </row>
    <row r="8120" spans="12:17" x14ac:dyDescent="0.3">
      <c r="L8120" s="25"/>
      <c r="Q8120" s="17"/>
    </row>
    <row r="8121" spans="12:17" x14ac:dyDescent="0.3">
      <c r="L8121" s="25"/>
      <c r="Q8121" s="17"/>
    </row>
    <row r="8122" spans="12:17" x14ac:dyDescent="0.3">
      <c r="L8122" s="25"/>
      <c r="Q8122" s="17"/>
    </row>
    <row r="8123" spans="12:17" x14ac:dyDescent="0.3">
      <c r="L8123" s="25"/>
      <c r="Q8123" s="17"/>
    </row>
    <row r="8124" spans="12:17" x14ac:dyDescent="0.3">
      <c r="L8124" s="25"/>
      <c r="Q8124" s="17"/>
    </row>
    <row r="8125" spans="12:17" x14ac:dyDescent="0.3">
      <c r="L8125" s="25"/>
      <c r="Q8125" s="17"/>
    </row>
    <row r="8126" spans="12:17" x14ac:dyDescent="0.3">
      <c r="L8126" s="25"/>
      <c r="Q8126" s="17"/>
    </row>
    <row r="8127" spans="12:17" x14ac:dyDescent="0.3">
      <c r="L8127" s="25"/>
      <c r="Q8127" s="17"/>
    </row>
    <row r="8128" spans="12:17" x14ac:dyDescent="0.3">
      <c r="L8128" s="25"/>
      <c r="Q8128" s="17"/>
    </row>
    <row r="8129" spans="12:17" x14ac:dyDescent="0.3">
      <c r="L8129" s="25"/>
      <c r="Q8129" s="17"/>
    </row>
    <row r="8130" spans="12:17" x14ac:dyDescent="0.3">
      <c r="L8130" s="25"/>
      <c r="Q8130" s="17"/>
    </row>
    <row r="8131" spans="12:17" x14ac:dyDescent="0.3">
      <c r="L8131" s="25"/>
      <c r="Q8131" s="17"/>
    </row>
    <row r="8132" spans="12:17" x14ac:dyDescent="0.3">
      <c r="L8132" s="25"/>
      <c r="Q8132" s="17"/>
    </row>
    <row r="8133" spans="12:17" x14ac:dyDescent="0.3">
      <c r="L8133" s="25"/>
      <c r="Q8133" s="17"/>
    </row>
    <row r="8134" spans="12:17" x14ac:dyDescent="0.3">
      <c r="L8134" s="25"/>
      <c r="Q8134" s="17"/>
    </row>
    <row r="8135" spans="12:17" x14ac:dyDescent="0.3">
      <c r="L8135" s="25"/>
      <c r="Q8135" s="17"/>
    </row>
    <row r="8136" spans="12:17" x14ac:dyDescent="0.3">
      <c r="L8136" s="25"/>
      <c r="Q8136" s="17"/>
    </row>
    <row r="8137" spans="12:17" x14ac:dyDescent="0.3">
      <c r="L8137" s="25"/>
      <c r="Q8137" s="17"/>
    </row>
    <row r="8138" spans="12:17" x14ac:dyDescent="0.3">
      <c r="L8138" s="25"/>
      <c r="Q8138" s="17"/>
    </row>
    <row r="8139" spans="12:17" x14ac:dyDescent="0.3">
      <c r="L8139" s="25"/>
      <c r="Q8139" s="17"/>
    </row>
    <row r="8140" spans="12:17" x14ac:dyDescent="0.3">
      <c r="L8140" s="25"/>
      <c r="Q8140" s="17"/>
    </row>
    <row r="8141" spans="12:17" x14ac:dyDescent="0.3">
      <c r="L8141" s="25"/>
      <c r="Q8141" s="17"/>
    </row>
    <row r="8142" spans="12:17" x14ac:dyDescent="0.3">
      <c r="L8142" s="25"/>
      <c r="Q8142" s="17"/>
    </row>
    <row r="8143" spans="12:17" x14ac:dyDescent="0.3">
      <c r="L8143" s="25"/>
      <c r="Q8143" s="17"/>
    </row>
    <row r="8144" spans="12:17" x14ac:dyDescent="0.3">
      <c r="L8144" s="25"/>
      <c r="Q8144" s="17"/>
    </row>
    <row r="8145" spans="12:17" x14ac:dyDescent="0.3">
      <c r="L8145" s="25"/>
      <c r="Q8145" s="17"/>
    </row>
    <row r="8146" spans="12:17" x14ac:dyDescent="0.3">
      <c r="L8146" s="25"/>
      <c r="Q8146" s="17"/>
    </row>
    <row r="8147" spans="12:17" x14ac:dyDescent="0.3">
      <c r="L8147" s="25"/>
      <c r="Q8147" s="17"/>
    </row>
    <row r="8148" spans="12:17" x14ac:dyDescent="0.3">
      <c r="L8148" s="25"/>
      <c r="Q8148" s="17"/>
    </row>
    <row r="8149" spans="12:17" x14ac:dyDescent="0.3">
      <c r="L8149" s="25"/>
      <c r="Q8149" s="17"/>
    </row>
    <row r="8150" spans="12:17" x14ac:dyDescent="0.3">
      <c r="L8150" s="25"/>
      <c r="Q8150" s="17"/>
    </row>
    <row r="8151" spans="12:17" x14ac:dyDescent="0.3">
      <c r="L8151" s="25"/>
      <c r="Q8151" s="17"/>
    </row>
    <row r="8152" spans="12:17" x14ac:dyDescent="0.3">
      <c r="L8152" s="25"/>
      <c r="Q8152" s="17"/>
    </row>
    <row r="8153" spans="12:17" x14ac:dyDescent="0.3">
      <c r="L8153" s="25"/>
      <c r="Q8153" s="17"/>
    </row>
    <row r="8154" spans="12:17" x14ac:dyDescent="0.3">
      <c r="L8154" s="25"/>
      <c r="Q8154" s="17"/>
    </row>
    <row r="8155" spans="12:17" x14ac:dyDescent="0.3">
      <c r="L8155" s="25"/>
      <c r="Q8155" s="17"/>
    </row>
    <row r="8156" spans="12:17" x14ac:dyDescent="0.3">
      <c r="L8156" s="25"/>
      <c r="Q8156" s="17"/>
    </row>
    <row r="8157" spans="12:17" x14ac:dyDescent="0.3">
      <c r="L8157" s="25"/>
      <c r="Q8157" s="17"/>
    </row>
    <row r="8158" spans="12:17" x14ac:dyDescent="0.3">
      <c r="L8158" s="25"/>
      <c r="Q8158" s="17"/>
    </row>
    <row r="8159" spans="12:17" x14ac:dyDescent="0.3">
      <c r="L8159" s="25"/>
      <c r="Q8159" s="17"/>
    </row>
    <row r="8160" spans="12:17" x14ac:dyDescent="0.3">
      <c r="L8160" s="25"/>
      <c r="Q8160" s="17"/>
    </row>
    <row r="8161" spans="12:17" x14ac:dyDescent="0.3">
      <c r="L8161" s="25"/>
      <c r="Q8161" s="17"/>
    </row>
    <row r="8162" spans="12:17" x14ac:dyDescent="0.3">
      <c r="L8162" s="25"/>
      <c r="Q8162" s="17"/>
    </row>
    <row r="8163" spans="12:17" x14ac:dyDescent="0.3">
      <c r="L8163" s="25"/>
      <c r="Q8163" s="17"/>
    </row>
    <row r="8164" spans="12:17" x14ac:dyDescent="0.3">
      <c r="L8164" s="25"/>
      <c r="Q8164" s="17"/>
    </row>
    <row r="8165" spans="12:17" x14ac:dyDescent="0.3">
      <c r="L8165" s="25"/>
      <c r="Q8165" s="17"/>
    </row>
    <row r="8166" spans="12:17" x14ac:dyDescent="0.3">
      <c r="L8166" s="25"/>
      <c r="Q8166" s="17"/>
    </row>
    <row r="8167" spans="12:17" x14ac:dyDescent="0.3">
      <c r="L8167" s="25"/>
      <c r="Q8167" s="17"/>
    </row>
    <row r="8168" spans="12:17" x14ac:dyDescent="0.3">
      <c r="L8168" s="25"/>
      <c r="Q8168" s="17"/>
    </row>
    <row r="8169" spans="12:17" x14ac:dyDescent="0.3">
      <c r="L8169" s="25"/>
      <c r="Q8169" s="17"/>
    </row>
    <row r="8170" spans="12:17" x14ac:dyDescent="0.3">
      <c r="L8170" s="25"/>
      <c r="Q8170" s="17"/>
    </row>
    <row r="8171" spans="12:17" x14ac:dyDescent="0.3">
      <c r="L8171" s="25"/>
      <c r="Q8171" s="17"/>
    </row>
    <row r="8172" spans="12:17" x14ac:dyDescent="0.3">
      <c r="L8172" s="25"/>
      <c r="Q8172" s="17"/>
    </row>
    <row r="8173" spans="12:17" x14ac:dyDescent="0.3">
      <c r="L8173" s="25"/>
      <c r="Q8173" s="17"/>
    </row>
    <row r="8174" spans="12:17" x14ac:dyDescent="0.3">
      <c r="L8174" s="25"/>
      <c r="Q8174" s="17"/>
    </row>
    <row r="8175" spans="12:17" x14ac:dyDescent="0.3">
      <c r="L8175" s="25"/>
      <c r="Q8175" s="17"/>
    </row>
    <row r="8176" spans="12:17" x14ac:dyDescent="0.3">
      <c r="L8176" s="25"/>
      <c r="Q8176" s="17"/>
    </row>
    <row r="8177" spans="12:17" x14ac:dyDescent="0.3">
      <c r="L8177" s="25"/>
      <c r="Q8177" s="17"/>
    </row>
    <row r="8178" spans="12:17" x14ac:dyDescent="0.3">
      <c r="L8178" s="25"/>
      <c r="Q8178" s="17"/>
    </row>
    <row r="8179" spans="12:17" x14ac:dyDescent="0.3">
      <c r="L8179" s="25"/>
      <c r="Q8179" s="17"/>
    </row>
    <row r="8180" spans="12:17" x14ac:dyDescent="0.3">
      <c r="L8180" s="25"/>
      <c r="Q8180" s="17"/>
    </row>
    <row r="8181" spans="12:17" x14ac:dyDescent="0.3">
      <c r="L8181" s="25"/>
      <c r="Q8181" s="17"/>
    </row>
    <row r="8182" spans="12:17" x14ac:dyDescent="0.3">
      <c r="L8182" s="25"/>
      <c r="Q8182" s="17"/>
    </row>
    <row r="8183" spans="12:17" x14ac:dyDescent="0.3">
      <c r="L8183" s="25"/>
      <c r="Q8183" s="17"/>
    </row>
    <row r="8184" spans="12:17" x14ac:dyDescent="0.3">
      <c r="L8184" s="25"/>
      <c r="Q8184" s="17"/>
    </row>
    <row r="8185" spans="12:17" x14ac:dyDescent="0.3">
      <c r="L8185" s="25"/>
      <c r="Q8185" s="17"/>
    </row>
    <row r="8186" spans="12:17" x14ac:dyDescent="0.3">
      <c r="L8186" s="25"/>
      <c r="Q8186" s="17"/>
    </row>
    <row r="8187" spans="12:17" x14ac:dyDescent="0.3">
      <c r="L8187" s="25"/>
      <c r="Q8187" s="17"/>
    </row>
    <row r="8188" spans="12:17" x14ac:dyDescent="0.3">
      <c r="L8188" s="25"/>
      <c r="Q8188" s="17"/>
    </row>
    <row r="8189" spans="12:17" x14ac:dyDescent="0.3">
      <c r="L8189" s="25"/>
      <c r="Q8189" s="17"/>
    </row>
    <row r="8190" spans="12:17" x14ac:dyDescent="0.3">
      <c r="L8190" s="25"/>
      <c r="Q8190" s="17"/>
    </row>
    <row r="8191" spans="12:17" x14ac:dyDescent="0.3">
      <c r="L8191" s="25"/>
      <c r="Q8191" s="17"/>
    </row>
    <row r="8192" spans="12:17" x14ac:dyDescent="0.3">
      <c r="L8192" s="25"/>
      <c r="Q8192" s="17"/>
    </row>
    <row r="8193" spans="12:17" x14ac:dyDescent="0.3">
      <c r="L8193" s="25"/>
      <c r="Q8193" s="17"/>
    </row>
    <row r="8194" spans="12:17" x14ac:dyDescent="0.3">
      <c r="L8194" s="25"/>
      <c r="Q8194" s="17"/>
    </row>
    <row r="8195" spans="12:17" x14ac:dyDescent="0.3">
      <c r="L8195" s="25"/>
      <c r="Q8195" s="17"/>
    </row>
    <row r="8196" spans="12:17" x14ac:dyDescent="0.3">
      <c r="L8196" s="25"/>
      <c r="Q8196" s="17"/>
    </row>
    <row r="8197" spans="12:17" x14ac:dyDescent="0.3">
      <c r="L8197" s="25"/>
      <c r="Q8197" s="17"/>
    </row>
    <row r="8198" spans="12:17" x14ac:dyDescent="0.3">
      <c r="L8198" s="25"/>
      <c r="Q8198" s="17"/>
    </row>
    <row r="8199" spans="12:17" x14ac:dyDescent="0.3">
      <c r="L8199" s="25"/>
      <c r="Q8199" s="17"/>
    </row>
    <row r="8200" spans="12:17" x14ac:dyDescent="0.3">
      <c r="L8200" s="25"/>
      <c r="Q8200" s="17"/>
    </row>
    <row r="8201" spans="12:17" x14ac:dyDescent="0.3">
      <c r="L8201" s="25"/>
      <c r="Q8201" s="17"/>
    </row>
    <row r="8202" spans="12:17" x14ac:dyDescent="0.3">
      <c r="L8202" s="25"/>
      <c r="Q8202" s="17"/>
    </row>
    <row r="8203" spans="12:17" x14ac:dyDescent="0.3">
      <c r="L8203" s="25"/>
      <c r="Q8203" s="17"/>
    </row>
    <row r="8204" spans="12:17" x14ac:dyDescent="0.3">
      <c r="L8204" s="25"/>
      <c r="Q8204" s="17"/>
    </row>
    <row r="8205" spans="12:17" x14ac:dyDescent="0.3">
      <c r="L8205" s="25"/>
      <c r="Q8205" s="17"/>
    </row>
    <row r="8206" spans="12:17" x14ac:dyDescent="0.3">
      <c r="L8206" s="25"/>
      <c r="Q8206" s="17"/>
    </row>
    <row r="8207" spans="12:17" x14ac:dyDescent="0.3">
      <c r="L8207" s="25"/>
      <c r="Q8207" s="17"/>
    </row>
    <row r="8208" spans="12:17" x14ac:dyDescent="0.3">
      <c r="L8208" s="25"/>
      <c r="Q8208" s="17"/>
    </row>
    <row r="8209" spans="12:17" x14ac:dyDescent="0.3">
      <c r="L8209" s="25"/>
      <c r="Q8209" s="17"/>
    </row>
    <row r="8210" spans="12:17" x14ac:dyDescent="0.3">
      <c r="L8210" s="25"/>
      <c r="Q8210" s="17"/>
    </row>
    <row r="8211" spans="12:17" x14ac:dyDescent="0.3">
      <c r="L8211" s="25"/>
      <c r="Q8211" s="17"/>
    </row>
    <row r="8212" spans="12:17" x14ac:dyDescent="0.3">
      <c r="L8212" s="25"/>
      <c r="Q8212" s="17"/>
    </row>
    <row r="8213" spans="12:17" x14ac:dyDescent="0.3">
      <c r="L8213" s="25"/>
      <c r="Q8213" s="17"/>
    </row>
    <row r="8214" spans="12:17" x14ac:dyDescent="0.3">
      <c r="L8214" s="25"/>
      <c r="Q8214" s="17"/>
    </row>
    <row r="8215" spans="12:17" x14ac:dyDescent="0.3">
      <c r="L8215" s="25"/>
      <c r="Q8215" s="17"/>
    </row>
    <row r="8216" spans="12:17" x14ac:dyDescent="0.3">
      <c r="L8216" s="25"/>
      <c r="Q8216" s="17"/>
    </row>
    <row r="8217" spans="12:17" x14ac:dyDescent="0.3">
      <c r="L8217" s="25"/>
      <c r="Q8217" s="17"/>
    </row>
    <row r="8218" spans="12:17" x14ac:dyDescent="0.3">
      <c r="L8218" s="25"/>
      <c r="Q8218" s="17"/>
    </row>
    <row r="8219" spans="12:17" x14ac:dyDescent="0.3">
      <c r="L8219" s="25"/>
      <c r="Q8219" s="17"/>
    </row>
    <row r="8220" spans="12:17" x14ac:dyDescent="0.3">
      <c r="L8220" s="25"/>
      <c r="Q8220" s="17"/>
    </row>
    <row r="8221" spans="12:17" x14ac:dyDescent="0.3">
      <c r="L8221" s="25"/>
      <c r="Q8221" s="17"/>
    </row>
    <row r="8222" spans="12:17" x14ac:dyDescent="0.3">
      <c r="L8222" s="25"/>
      <c r="Q8222" s="17"/>
    </row>
    <row r="8223" spans="12:17" x14ac:dyDescent="0.3">
      <c r="L8223" s="25"/>
      <c r="Q8223" s="17"/>
    </row>
    <row r="8224" spans="12:17" x14ac:dyDescent="0.3">
      <c r="L8224" s="25"/>
      <c r="Q8224" s="17"/>
    </row>
    <row r="8225" spans="12:17" x14ac:dyDescent="0.3">
      <c r="L8225" s="25"/>
      <c r="Q8225" s="17"/>
    </row>
    <row r="8226" spans="12:17" x14ac:dyDescent="0.3">
      <c r="L8226" s="25"/>
      <c r="Q8226" s="17"/>
    </row>
    <row r="8227" spans="12:17" x14ac:dyDescent="0.3">
      <c r="L8227" s="25"/>
      <c r="Q8227" s="17"/>
    </row>
    <row r="8228" spans="12:17" x14ac:dyDescent="0.3">
      <c r="L8228" s="25"/>
      <c r="Q8228" s="17"/>
    </row>
    <row r="8229" spans="12:17" x14ac:dyDescent="0.3">
      <c r="L8229" s="25"/>
      <c r="Q8229" s="17"/>
    </row>
    <row r="8230" spans="12:17" x14ac:dyDescent="0.3">
      <c r="L8230" s="25"/>
      <c r="Q8230" s="17"/>
    </row>
    <row r="8231" spans="12:17" x14ac:dyDescent="0.3">
      <c r="L8231" s="25"/>
      <c r="Q8231" s="17"/>
    </row>
    <row r="8232" spans="12:17" x14ac:dyDescent="0.3">
      <c r="L8232" s="25"/>
      <c r="Q8232" s="17"/>
    </row>
    <row r="8233" spans="12:17" x14ac:dyDescent="0.3">
      <c r="L8233" s="25"/>
      <c r="Q8233" s="17"/>
    </row>
    <row r="8234" spans="12:17" x14ac:dyDescent="0.3">
      <c r="L8234" s="25"/>
      <c r="Q8234" s="17"/>
    </row>
    <row r="8235" spans="12:17" x14ac:dyDescent="0.3">
      <c r="L8235" s="25"/>
      <c r="Q8235" s="17"/>
    </row>
    <row r="8236" spans="12:17" x14ac:dyDescent="0.3">
      <c r="L8236" s="25"/>
      <c r="Q8236" s="17"/>
    </row>
    <row r="8237" spans="12:17" x14ac:dyDescent="0.3">
      <c r="L8237" s="25"/>
      <c r="Q8237" s="17"/>
    </row>
    <row r="8238" spans="12:17" x14ac:dyDescent="0.3">
      <c r="L8238" s="25"/>
      <c r="Q8238" s="17"/>
    </row>
    <row r="8239" spans="12:17" x14ac:dyDescent="0.3">
      <c r="L8239" s="25"/>
      <c r="Q8239" s="17"/>
    </row>
    <row r="8240" spans="12:17" x14ac:dyDescent="0.3">
      <c r="L8240" s="25"/>
      <c r="Q8240" s="17"/>
    </row>
    <row r="8241" spans="12:17" x14ac:dyDescent="0.3">
      <c r="L8241" s="25"/>
      <c r="Q8241" s="17"/>
    </row>
    <row r="8242" spans="12:17" x14ac:dyDescent="0.3">
      <c r="L8242" s="25"/>
      <c r="Q8242" s="17"/>
    </row>
    <row r="8243" spans="12:17" x14ac:dyDescent="0.3">
      <c r="L8243" s="25"/>
      <c r="Q8243" s="17"/>
    </row>
    <row r="8244" spans="12:17" x14ac:dyDescent="0.3">
      <c r="L8244" s="25"/>
      <c r="Q8244" s="17"/>
    </row>
    <row r="8245" spans="12:17" x14ac:dyDescent="0.3">
      <c r="L8245" s="25"/>
      <c r="Q8245" s="17"/>
    </row>
    <row r="8246" spans="12:17" x14ac:dyDescent="0.3">
      <c r="L8246" s="25"/>
      <c r="Q8246" s="17"/>
    </row>
    <row r="8247" spans="12:17" x14ac:dyDescent="0.3">
      <c r="L8247" s="25"/>
      <c r="Q8247" s="17"/>
    </row>
    <row r="8248" spans="12:17" x14ac:dyDescent="0.3">
      <c r="L8248" s="25"/>
      <c r="Q8248" s="17"/>
    </row>
    <row r="8249" spans="12:17" x14ac:dyDescent="0.3">
      <c r="L8249" s="25"/>
      <c r="Q8249" s="17"/>
    </row>
    <row r="8250" spans="12:17" x14ac:dyDescent="0.3">
      <c r="L8250" s="25"/>
      <c r="Q8250" s="17"/>
    </row>
    <row r="8251" spans="12:17" x14ac:dyDescent="0.3">
      <c r="L8251" s="25"/>
      <c r="Q8251" s="17"/>
    </row>
    <row r="8252" spans="12:17" x14ac:dyDescent="0.3">
      <c r="L8252" s="25"/>
      <c r="Q8252" s="17"/>
    </row>
    <row r="8253" spans="12:17" x14ac:dyDescent="0.3">
      <c r="L8253" s="25"/>
      <c r="Q8253" s="17"/>
    </row>
    <row r="8254" spans="12:17" x14ac:dyDescent="0.3">
      <c r="L8254" s="25"/>
      <c r="Q8254" s="17"/>
    </row>
    <row r="8255" spans="12:17" x14ac:dyDescent="0.3">
      <c r="L8255" s="25"/>
      <c r="Q8255" s="17"/>
    </row>
    <row r="8256" spans="12:17" x14ac:dyDescent="0.3">
      <c r="L8256" s="25"/>
      <c r="Q8256" s="17"/>
    </row>
    <row r="8257" spans="12:17" x14ac:dyDescent="0.3">
      <c r="L8257" s="25"/>
      <c r="Q8257" s="17"/>
    </row>
    <row r="8258" spans="12:17" x14ac:dyDescent="0.3">
      <c r="L8258" s="25"/>
      <c r="Q8258" s="17"/>
    </row>
    <row r="8259" spans="12:17" x14ac:dyDescent="0.3">
      <c r="L8259" s="25"/>
      <c r="Q8259" s="17"/>
    </row>
    <row r="8260" spans="12:17" x14ac:dyDescent="0.3">
      <c r="L8260" s="25"/>
      <c r="Q8260" s="17"/>
    </row>
    <row r="8261" spans="12:17" x14ac:dyDescent="0.3">
      <c r="L8261" s="25"/>
      <c r="Q8261" s="17"/>
    </row>
    <row r="8262" spans="12:17" x14ac:dyDescent="0.3">
      <c r="L8262" s="25"/>
      <c r="Q8262" s="17"/>
    </row>
    <row r="8263" spans="12:17" x14ac:dyDescent="0.3">
      <c r="L8263" s="25"/>
      <c r="Q8263" s="17"/>
    </row>
    <row r="8264" spans="12:17" x14ac:dyDescent="0.3">
      <c r="L8264" s="25"/>
      <c r="Q8264" s="17"/>
    </row>
    <row r="8265" spans="12:17" x14ac:dyDescent="0.3">
      <c r="L8265" s="25"/>
      <c r="Q8265" s="17"/>
    </row>
    <row r="8266" spans="12:17" x14ac:dyDescent="0.3">
      <c r="L8266" s="25"/>
      <c r="Q8266" s="17"/>
    </row>
    <row r="8267" spans="12:17" x14ac:dyDescent="0.3">
      <c r="L8267" s="25"/>
      <c r="Q8267" s="17"/>
    </row>
    <row r="8268" spans="12:17" x14ac:dyDescent="0.3">
      <c r="L8268" s="25"/>
      <c r="Q8268" s="17"/>
    </row>
    <row r="8269" spans="12:17" x14ac:dyDescent="0.3">
      <c r="L8269" s="25"/>
      <c r="Q8269" s="17"/>
    </row>
    <row r="8270" spans="12:17" x14ac:dyDescent="0.3">
      <c r="L8270" s="25"/>
      <c r="Q8270" s="17"/>
    </row>
    <row r="8271" spans="12:17" x14ac:dyDescent="0.3">
      <c r="L8271" s="25"/>
      <c r="Q8271" s="17"/>
    </row>
    <row r="8272" spans="12:17" x14ac:dyDescent="0.3">
      <c r="L8272" s="25"/>
      <c r="Q8272" s="17"/>
    </row>
    <row r="8273" spans="12:17" x14ac:dyDescent="0.3">
      <c r="L8273" s="25"/>
      <c r="Q8273" s="17"/>
    </row>
    <row r="8274" spans="12:17" x14ac:dyDescent="0.3">
      <c r="L8274" s="25"/>
      <c r="Q8274" s="17"/>
    </row>
    <row r="8275" spans="12:17" x14ac:dyDescent="0.3">
      <c r="L8275" s="25"/>
      <c r="Q8275" s="17"/>
    </row>
    <row r="8276" spans="12:17" x14ac:dyDescent="0.3">
      <c r="L8276" s="25"/>
      <c r="Q8276" s="17"/>
    </row>
    <row r="8277" spans="12:17" x14ac:dyDescent="0.3">
      <c r="L8277" s="25"/>
      <c r="Q8277" s="17"/>
    </row>
    <row r="8278" spans="12:17" x14ac:dyDescent="0.3">
      <c r="L8278" s="25"/>
      <c r="Q8278" s="17"/>
    </row>
    <row r="8279" spans="12:17" x14ac:dyDescent="0.3">
      <c r="L8279" s="25"/>
      <c r="Q8279" s="17"/>
    </row>
    <row r="8280" spans="12:17" x14ac:dyDescent="0.3">
      <c r="L8280" s="25"/>
      <c r="Q8280" s="17"/>
    </row>
    <row r="8281" spans="12:17" x14ac:dyDescent="0.3">
      <c r="L8281" s="25"/>
      <c r="Q8281" s="17"/>
    </row>
    <row r="8282" spans="12:17" x14ac:dyDescent="0.3">
      <c r="L8282" s="25"/>
      <c r="Q8282" s="17"/>
    </row>
    <row r="8283" spans="12:17" x14ac:dyDescent="0.3">
      <c r="L8283" s="25"/>
      <c r="Q8283" s="17"/>
    </row>
    <row r="8284" spans="12:17" x14ac:dyDescent="0.3">
      <c r="L8284" s="25"/>
      <c r="Q8284" s="17"/>
    </row>
    <row r="8285" spans="12:17" x14ac:dyDescent="0.3">
      <c r="L8285" s="25"/>
      <c r="Q8285" s="17"/>
    </row>
    <row r="8286" spans="12:17" x14ac:dyDescent="0.3">
      <c r="L8286" s="25"/>
      <c r="Q8286" s="17"/>
    </row>
    <row r="8287" spans="12:17" x14ac:dyDescent="0.3">
      <c r="L8287" s="25"/>
      <c r="Q8287" s="17"/>
    </row>
    <row r="8288" spans="12:17" x14ac:dyDescent="0.3">
      <c r="L8288" s="25"/>
      <c r="Q8288" s="17"/>
    </row>
    <row r="8289" spans="12:17" x14ac:dyDescent="0.3">
      <c r="L8289" s="25"/>
      <c r="Q8289" s="17"/>
    </row>
    <row r="8290" spans="12:17" x14ac:dyDescent="0.3">
      <c r="L8290" s="25"/>
      <c r="Q8290" s="17"/>
    </row>
    <row r="8291" spans="12:17" x14ac:dyDescent="0.3">
      <c r="L8291" s="25"/>
      <c r="Q8291" s="17"/>
    </row>
    <row r="8292" spans="12:17" x14ac:dyDescent="0.3">
      <c r="L8292" s="25"/>
      <c r="Q8292" s="17"/>
    </row>
    <row r="8293" spans="12:17" x14ac:dyDescent="0.3">
      <c r="L8293" s="25"/>
      <c r="Q8293" s="17"/>
    </row>
    <row r="8294" spans="12:17" x14ac:dyDescent="0.3">
      <c r="L8294" s="25"/>
      <c r="Q8294" s="17"/>
    </row>
    <row r="8295" spans="12:17" x14ac:dyDescent="0.3">
      <c r="L8295" s="25"/>
      <c r="Q8295" s="17"/>
    </row>
    <row r="8296" spans="12:17" x14ac:dyDescent="0.3">
      <c r="L8296" s="25"/>
      <c r="Q8296" s="17"/>
    </row>
    <row r="8297" spans="12:17" x14ac:dyDescent="0.3">
      <c r="L8297" s="25"/>
      <c r="Q8297" s="17"/>
    </row>
    <row r="8298" spans="12:17" x14ac:dyDescent="0.3">
      <c r="L8298" s="25"/>
      <c r="Q8298" s="17"/>
    </row>
    <row r="8299" spans="12:17" x14ac:dyDescent="0.3">
      <c r="L8299" s="25"/>
      <c r="Q8299" s="17"/>
    </row>
    <row r="8300" spans="12:17" x14ac:dyDescent="0.3">
      <c r="L8300" s="25"/>
      <c r="Q8300" s="17"/>
    </row>
    <row r="8301" spans="12:17" x14ac:dyDescent="0.3">
      <c r="L8301" s="25"/>
      <c r="Q8301" s="17"/>
    </row>
    <row r="8302" spans="12:17" x14ac:dyDescent="0.3">
      <c r="L8302" s="25"/>
      <c r="Q8302" s="17"/>
    </row>
    <row r="8303" spans="12:17" x14ac:dyDescent="0.3">
      <c r="L8303" s="25"/>
      <c r="Q8303" s="17"/>
    </row>
    <row r="8304" spans="12:17" x14ac:dyDescent="0.3">
      <c r="L8304" s="25"/>
      <c r="Q8304" s="17"/>
    </row>
    <row r="8305" spans="12:17" x14ac:dyDescent="0.3">
      <c r="L8305" s="25"/>
      <c r="Q8305" s="17"/>
    </row>
    <row r="8306" spans="12:17" x14ac:dyDescent="0.3">
      <c r="L8306" s="25"/>
      <c r="Q8306" s="17"/>
    </row>
    <row r="8307" spans="12:17" x14ac:dyDescent="0.3">
      <c r="L8307" s="25"/>
      <c r="Q8307" s="17"/>
    </row>
    <row r="8308" spans="12:17" x14ac:dyDescent="0.3">
      <c r="L8308" s="25"/>
      <c r="Q8308" s="17"/>
    </row>
    <row r="8309" spans="12:17" x14ac:dyDescent="0.3">
      <c r="L8309" s="25"/>
      <c r="Q8309" s="17"/>
    </row>
    <row r="8310" spans="12:17" x14ac:dyDescent="0.3">
      <c r="L8310" s="25"/>
      <c r="Q8310" s="17"/>
    </row>
    <row r="8311" spans="12:17" x14ac:dyDescent="0.3">
      <c r="L8311" s="25"/>
      <c r="Q8311" s="17"/>
    </row>
    <row r="8312" spans="12:17" x14ac:dyDescent="0.3">
      <c r="L8312" s="25"/>
      <c r="Q8312" s="17"/>
    </row>
    <row r="8313" spans="12:17" x14ac:dyDescent="0.3">
      <c r="L8313" s="25"/>
      <c r="Q8313" s="17"/>
    </row>
    <row r="8314" spans="12:17" x14ac:dyDescent="0.3">
      <c r="L8314" s="25"/>
      <c r="Q8314" s="17"/>
    </row>
    <row r="8315" spans="12:17" x14ac:dyDescent="0.3">
      <c r="L8315" s="25"/>
      <c r="Q8315" s="17"/>
    </row>
    <row r="8316" spans="12:17" x14ac:dyDescent="0.3">
      <c r="L8316" s="25"/>
      <c r="Q8316" s="17"/>
    </row>
    <row r="8317" spans="12:17" x14ac:dyDescent="0.3">
      <c r="L8317" s="25"/>
      <c r="Q8317" s="17"/>
    </row>
    <row r="8318" spans="12:17" x14ac:dyDescent="0.3">
      <c r="L8318" s="25"/>
      <c r="Q8318" s="17"/>
    </row>
    <row r="8319" spans="12:17" x14ac:dyDescent="0.3">
      <c r="L8319" s="25"/>
      <c r="Q8319" s="17"/>
    </row>
    <row r="8320" spans="12:17" x14ac:dyDescent="0.3">
      <c r="L8320" s="25"/>
      <c r="Q8320" s="17"/>
    </row>
    <row r="8321" spans="12:17" x14ac:dyDescent="0.3">
      <c r="L8321" s="25"/>
      <c r="Q8321" s="17"/>
    </row>
    <row r="8322" spans="12:17" x14ac:dyDescent="0.3">
      <c r="L8322" s="25"/>
      <c r="Q8322" s="17"/>
    </row>
    <row r="8323" spans="12:17" x14ac:dyDescent="0.3">
      <c r="L8323" s="25"/>
      <c r="Q8323" s="17"/>
    </row>
    <row r="8324" spans="12:17" x14ac:dyDescent="0.3">
      <c r="L8324" s="25"/>
      <c r="Q8324" s="17"/>
    </row>
    <row r="8325" spans="12:17" x14ac:dyDescent="0.3">
      <c r="L8325" s="25"/>
      <c r="Q8325" s="17"/>
    </row>
    <row r="8326" spans="12:17" x14ac:dyDescent="0.3">
      <c r="L8326" s="25"/>
      <c r="Q8326" s="17"/>
    </row>
    <row r="8327" spans="12:17" x14ac:dyDescent="0.3">
      <c r="L8327" s="25"/>
      <c r="Q8327" s="17"/>
    </row>
    <row r="8328" spans="12:17" x14ac:dyDescent="0.3">
      <c r="L8328" s="25"/>
      <c r="Q8328" s="17"/>
    </row>
    <row r="8329" spans="12:17" x14ac:dyDescent="0.3">
      <c r="L8329" s="25"/>
      <c r="Q8329" s="17"/>
    </row>
    <row r="8330" spans="12:17" x14ac:dyDescent="0.3">
      <c r="L8330" s="25"/>
      <c r="Q8330" s="17"/>
    </row>
    <row r="8331" spans="12:17" x14ac:dyDescent="0.3">
      <c r="L8331" s="25"/>
      <c r="Q8331" s="17"/>
    </row>
    <row r="8332" spans="12:17" x14ac:dyDescent="0.3">
      <c r="L8332" s="25"/>
      <c r="Q8332" s="17"/>
    </row>
    <row r="8333" spans="12:17" x14ac:dyDescent="0.3">
      <c r="L8333" s="25"/>
      <c r="Q8333" s="17"/>
    </row>
    <row r="8334" spans="12:17" x14ac:dyDescent="0.3">
      <c r="L8334" s="25"/>
      <c r="Q8334" s="17"/>
    </row>
    <row r="8335" spans="12:17" x14ac:dyDescent="0.3">
      <c r="L8335" s="25"/>
      <c r="Q8335" s="17"/>
    </row>
    <row r="8336" spans="12:17" x14ac:dyDescent="0.3">
      <c r="L8336" s="25"/>
      <c r="Q8336" s="17"/>
    </row>
    <row r="8337" spans="12:17" x14ac:dyDescent="0.3">
      <c r="L8337" s="25"/>
      <c r="Q8337" s="17"/>
    </row>
    <row r="8338" spans="12:17" x14ac:dyDescent="0.3">
      <c r="L8338" s="25"/>
      <c r="Q8338" s="17"/>
    </row>
    <row r="8339" spans="12:17" x14ac:dyDescent="0.3">
      <c r="L8339" s="25"/>
      <c r="Q8339" s="17"/>
    </row>
    <row r="8340" spans="12:17" x14ac:dyDescent="0.3">
      <c r="L8340" s="25"/>
      <c r="Q8340" s="17"/>
    </row>
    <row r="8341" spans="12:17" x14ac:dyDescent="0.3">
      <c r="L8341" s="25"/>
      <c r="Q8341" s="17"/>
    </row>
    <row r="8342" spans="12:17" x14ac:dyDescent="0.3">
      <c r="L8342" s="25"/>
      <c r="Q8342" s="17"/>
    </row>
    <row r="8343" spans="12:17" x14ac:dyDescent="0.3">
      <c r="L8343" s="25"/>
      <c r="Q8343" s="17"/>
    </row>
    <row r="8344" spans="12:17" x14ac:dyDescent="0.3">
      <c r="L8344" s="25"/>
      <c r="Q8344" s="17"/>
    </row>
    <row r="8345" spans="12:17" x14ac:dyDescent="0.3">
      <c r="L8345" s="25"/>
      <c r="Q8345" s="17"/>
    </row>
    <row r="8346" spans="12:17" x14ac:dyDescent="0.3">
      <c r="L8346" s="25"/>
      <c r="Q8346" s="17"/>
    </row>
    <row r="8347" spans="12:17" x14ac:dyDescent="0.3">
      <c r="L8347" s="25"/>
      <c r="Q8347" s="17"/>
    </row>
    <row r="8348" spans="12:17" x14ac:dyDescent="0.3">
      <c r="L8348" s="25"/>
      <c r="Q8348" s="17"/>
    </row>
    <row r="8349" spans="12:17" x14ac:dyDescent="0.3">
      <c r="L8349" s="25"/>
      <c r="Q8349" s="17"/>
    </row>
    <row r="8350" spans="12:17" x14ac:dyDescent="0.3">
      <c r="L8350" s="25"/>
      <c r="Q8350" s="17"/>
    </row>
    <row r="8351" spans="12:17" x14ac:dyDescent="0.3">
      <c r="L8351" s="25"/>
      <c r="Q8351" s="17"/>
    </row>
    <row r="8352" spans="12:17" x14ac:dyDescent="0.3">
      <c r="L8352" s="25"/>
      <c r="Q8352" s="17"/>
    </row>
    <row r="8353" spans="12:17" x14ac:dyDescent="0.3">
      <c r="L8353" s="25"/>
      <c r="Q8353" s="17"/>
    </row>
    <row r="8354" spans="12:17" x14ac:dyDescent="0.3">
      <c r="L8354" s="25"/>
      <c r="Q8354" s="17"/>
    </row>
    <row r="8355" spans="12:17" x14ac:dyDescent="0.3">
      <c r="L8355" s="25"/>
      <c r="Q8355" s="17"/>
    </row>
    <row r="8356" spans="12:17" x14ac:dyDescent="0.3">
      <c r="L8356" s="25"/>
      <c r="Q8356" s="17"/>
    </row>
    <row r="8357" spans="12:17" x14ac:dyDescent="0.3">
      <c r="L8357" s="25"/>
      <c r="Q8357" s="17"/>
    </row>
    <row r="8358" spans="12:17" x14ac:dyDescent="0.3">
      <c r="L8358" s="25"/>
      <c r="Q8358" s="17"/>
    </row>
    <row r="8359" spans="12:17" x14ac:dyDescent="0.3">
      <c r="L8359" s="25"/>
      <c r="Q8359" s="17"/>
    </row>
    <row r="8360" spans="12:17" x14ac:dyDescent="0.3">
      <c r="L8360" s="25"/>
      <c r="Q8360" s="17"/>
    </row>
    <row r="8361" spans="12:17" x14ac:dyDescent="0.3">
      <c r="L8361" s="25"/>
      <c r="Q8361" s="17"/>
    </row>
    <row r="8362" spans="12:17" x14ac:dyDescent="0.3">
      <c r="L8362" s="25"/>
      <c r="Q8362" s="17"/>
    </row>
    <row r="8363" spans="12:17" x14ac:dyDescent="0.3">
      <c r="L8363" s="25"/>
      <c r="Q8363" s="17"/>
    </row>
    <row r="8364" spans="12:17" x14ac:dyDescent="0.3">
      <c r="L8364" s="25"/>
      <c r="Q8364" s="17"/>
    </row>
    <row r="8365" spans="12:17" x14ac:dyDescent="0.3">
      <c r="L8365" s="25"/>
      <c r="Q8365" s="17"/>
    </row>
    <row r="8366" spans="12:17" x14ac:dyDescent="0.3">
      <c r="L8366" s="25"/>
      <c r="Q8366" s="17"/>
    </row>
    <row r="8367" spans="12:17" x14ac:dyDescent="0.3">
      <c r="L8367" s="25"/>
      <c r="Q8367" s="17"/>
    </row>
    <row r="8368" spans="12:17" x14ac:dyDescent="0.3">
      <c r="L8368" s="25"/>
      <c r="Q8368" s="17"/>
    </row>
    <row r="8369" spans="12:17" x14ac:dyDescent="0.3">
      <c r="L8369" s="25"/>
      <c r="Q8369" s="17"/>
    </row>
    <row r="8370" spans="12:17" x14ac:dyDescent="0.3">
      <c r="L8370" s="25"/>
      <c r="Q8370" s="17"/>
    </row>
    <row r="8371" spans="12:17" x14ac:dyDescent="0.3">
      <c r="L8371" s="25"/>
      <c r="Q8371" s="17"/>
    </row>
    <row r="8372" spans="12:17" x14ac:dyDescent="0.3">
      <c r="L8372" s="25"/>
      <c r="Q8372" s="17"/>
    </row>
    <row r="8373" spans="12:17" x14ac:dyDescent="0.3">
      <c r="L8373" s="25"/>
      <c r="Q8373" s="17"/>
    </row>
    <row r="8374" spans="12:17" x14ac:dyDescent="0.3">
      <c r="L8374" s="25"/>
      <c r="Q8374" s="17"/>
    </row>
    <row r="8375" spans="12:17" x14ac:dyDescent="0.3">
      <c r="L8375" s="25"/>
      <c r="Q8375" s="17"/>
    </row>
    <row r="8376" spans="12:17" x14ac:dyDescent="0.3">
      <c r="L8376" s="25"/>
      <c r="Q8376" s="17"/>
    </row>
    <row r="8377" spans="12:17" x14ac:dyDescent="0.3">
      <c r="L8377" s="25"/>
      <c r="Q8377" s="17"/>
    </row>
    <row r="8378" spans="12:17" x14ac:dyDescent="0.3">
      <c r="L8378" s="25"/>
      <c r="Q8378" s="17"/>
    </row>
    <row r="8379" spans="12:17" x14ac:dyDescent="0.3">
      <c r="L8379" s="25"/>
      <c r="Q8379" s="17"/>
    </row>
    <row r="8380" spans="12:17" x14ac:dyDescent="0.3">
      <c r="L8380" s="25"/>
      <c r="Q8380" s="17"/>
    </row>
    <row r="8381" spans="12:17" x14ac:dyDescent="0.3">
      <c r="L8381" s="25"/>
      <c r="Q8381" s="17"/>
    </row>
    <row r="8382" spans="12:17" x14ac:dyDescent="0.3">
      <c r="L8382" s="25"/>
      <c r="Q8382" s="17"/>
    </row>
    <row r="8383" spans="12:17" x14ac:dyDescent="0.3">
      <c r="L8383" s="25"/>
      <c r="Q8383" s="17"/>
    </row>
    <row r="8384" spans="12:17" x14ac:dyDescent="0.3">
      <c r="L8384" s="25"/>
      <c r="Q8384" s="17"/>
    </row>
    <row r="8385" spans="12:17" x14ac:dyDescent="0.3">
      <c r="L8385" s="25"/>
      <c r="Q8385" s="17"/>
    </row>
    <row r="8386" spans="12:17" x14ac:dyDescent="0.3">
      <c r="L8386" s="25"/>
      <c r="Q8386" s="17"/>
    </row>
    <row r="8387" spans="12:17" x14ac:dyDescent="0.3">
      <c r="L8387" s="25"/>
      <c r="Q8387" s="17"/>
    </row>
    <row r="8388" spans="12:17" x14ac:dyDescent="0.3">
      <c r="L8388" s="25"/>
      <c r="Q8388" s="17"/>
    </row>
    <row r="8389" spans="12:17" x14ac:dyDescent="0.3">
      <c r="L8389" s="25"/>
      <c r="Q8389" s="17"/>
    </row>
    <row r="8390" spans="12:17" x14ac:dyDescent="0.3">
      <c r="L8390" s="25"/>
      <c r="Q8390" s="17"/>
    </row>
    <row r="8391" spans="12:17" x14ac:dyDescent="0.3">
      <c r="L8391" s="25"/>
      <c r="Q8391" s="17"/>
    </row>
    <row r="8392" spans="12:17" x14ac:dyDescent="0.3">
      <c r="L8392" s="25"/>
      <c r="Q8392" s="17"/>
    </row>
    <row r="8393" spans="12:17" x14ac:dyDescent="0.3">
      <c r="L8393" s="25"/>
      <c r="Q8393" s="17"/>
    </row>
    <row r="8394" spans="12:17" x14ac:dyDescent="0.3">
      <c r="L8394" s="25"/>
      <c r="Q8394" s="17"/>
    </row>
    <row r="8395" spans="12:17" x14ac:dyDescent="0.3">
      <c r="L8395" s="25"/>
      <c r="Q8395" s="17"/>
    </row>
    <row r="8396" spans="12:17" x14ac:dyDescent="0.3">
      <c r="L8396" s="25"/>
      <c r="Q8396" s="17"/>
    </row>
    <row r="8397" spans="12:17" x14ac:dyDescent="0.3">
      <c r="L8397" s="25"/>
      <c r="Q8397" s="17"/>
    </row>
    <row r="8398" spans="12:17" x14ac:dyDescent="0.3">
      <c r="L8398" s="25"/>
      <c r="Q8398" s="17"/>
    </row>
    <row r="8399" spans="12:17" x14ac:dyDescent="0.3">
      <c r="L8399" s="25"/>
      <c r="Q8399" s="17"/>
    </row>
    <row r="8400" spans="12:17" x14ac:dyDescent="0.3">
      <c r="L8400" s="25"/>
      <c r="Q8400" s="17"/>
    </row>
    <row r="8401" spans="12:17" x14ac:dyDescent="0.3">
      <c r="L8401" s="25"/>
      <c r="Q8401" s="17"/>
    </row>
    <row r="8402" spans="12:17" x14ac:dyDescent="0.3">
      <c r="L8402" s="25"/>
      <c r="Q8402" s="17"/>
    </row>
    <row r="8403" spans="12:17" x14ac:dyDescent="0.3">
      <c r="L8403" s="25"/>
      <c r="Q8403" s="17"/>
    </row>
    <row r="8404" spans="12:17" x14ac:dyDescent="0.3">
      <c r="L8404" s="25"/>
      <c r="Q8404" s="17"/>
    </row>
    <row r="8405" spans="12:17" x14ac:dyDescent="0.3">
      <c r="L8405" s="25"/>
      <c r="Q8405" s="17"/>
    </row>
    <row r="8406" spans="12:17" x14ac:dyDescent="0.3">
      <c r="L8406" s="25"/>
      <c r="Q8406" s="17"/>
    </row>
    <row r="8407" spans="12:17" x14ac:dyDescent="0.3">
      <c r="L8407" s="25"/>
      <c r="Q8407" s="17"/>
    </row>
    <row r="8408" spans="12:17" x14ac:dyDescent="0.3">
      <c r="L8408" s="25"/>
      <c r="Q8408" s="17"/>
    </row>
    <row r="8409" spans="12:17" x14ac:dyDescent="0.3">
      <c r="L8409" s="25"/>
      <c r="Q8409" s="17"/>
    </row>
    <row r="8410" spans="12:17" x14ac:dyDescent="0.3">
      <c r="L8410" s="25"/>
      <c r="Q8410" s="17"/>
    </row>
    <row r="8411" spans="12:17" x14ac:dyDescent="0.3">
      <c r="L8411" s="25"/>
      <c r="Q8411" s="17"/>
    </row>
    <row r="8412" spans="12:17" x14ac:dyDescent="0.3">
      <c r="L8412" s="25"/>
      <c r="Q8412" s="17"/>
    </row>
    <row r="8413" spans="12:17" x14ac:dyDescent="0.3">
      <c r="L8413" s="25"/>
      <c r="Q8413" s="17"/>
    </row>
    <row r="8414" spans="12:17" x14ac:dyDescent="0.3">
      <c r="L8414" s="25"/>
      <c r="Q8414" s="17"/>
    </row>
    <row r="8415" spans="12:17" x14ac:dyDescent="0.3">
      <c r="L8415" s="25"/>
      <c r="Q8415" s="17"/>
    </row>
    <row r="8416" spans="12:17" x14ac:dyDescent="0.3">
      <c r="L8416" s="25"/>
      <c r="Q8416" s="17"/>
    </row>
    <row r="8417" spans="12:17" x14ac:dyDescent="0.3">
      <c r="L8417" s="25"/>
      <c r="Q8417" s="17"/>
    </row>
    <row r="8418" spans="12:17" x14ac:dyDescent="0.3">
      <c r="L8418" s="25"/>
      <c r="Q8418" s="17"/>
    </row>
    <row r="8419" spans="12:17" x14ac:dyDescent="0.3">
      <c r="L8419" s="25"/>
      <c r="Q8419" s="17"/>
    </row>
    <row r="8420" spans="12:17" x14ac:dyDescent="0.3">
      <c r="L8420" s="25"/>
      <c r="Q8420" s="17"/>
    </row>
    <row r="8421" spans="12:17" x14ac:dyDescent="0.3">
      <c r="L8421" s="25"/>
      <c r="Q8421" s="17"/>
    </row>
    <row r="8422" spans="12:17" x14ac:dyDescent="0.3">
      <c r="L8422" s="25"/>
      <c r="Q8422" s="17"/>
    </row>
    <row r="8423" spans="12:17" x14ac:dyDescent="0.3">
      <c r="L8423" s="25"/>
      <c r="Q8423" s="17"/>
    </row>
    <row r="8424" spans="12:17" x14ac:dyDescent="0.3">
      <c r="L8424" s="25"/>
      <c r="Q8424" s="17"/>
    </row>
    <row r="8425" spans="12:17" x14ac:dyDescent="0.3">
      <c r="L8425" s="25"/>
      <c r="Q8425" s="17"/>
    </row>
    <row r="8426" spans="12:17" x14ac:dyDescent="0.3">
      <c r="L8426" s="25"/>
      <c r="Q8426" s="17"/>
    </row>
    <row r="8427" spans="12:17" x14ac:dyDescent="0.3">
      <c r="L8427" s="25"/>
      <c r="Q8427" s="17"/>
    </row>
    <row r="8428" spans="12:17" x14ac:dyDescent="0.3">
      <c r="L8428" s="25"/>
      <c r="Q8428" s="17"/>
    </row>
    <row r="8429" spans="12:17" x14ac:dyDescent="0.3">
      <c r="L8429" s="25"/>
      <c r="Q8429" s="17"/>
    </row>
    <row r="8430" spans="12:17" x14ac:dyDescent="0.3">
      <c r="L8430" s="25"/>
      <c r="Q8430" s="17"/>
    </row>
    <row r="8431" spans="12:17" x14ac:dyDescent="0.3">
      <c r="L8431" s="25"/>
      <c r="Q8431" s="17"/>
    </row>
    <row r="8432" spans="12:17" x14ac:dyDescent="0.3">
      <c r="L8432" s="25"/>
      <c r="Q8432" s="17"/>
    </row>
    <row r="8433" spans="12:17" x14ac:dyDescent="0.3">
      <c r="L8433" s="25"/>
      <c r="Q8433" s="17"/>
    </row>
    <row r="8434" spans="12:17" x14ac:dyDescent="0.3">
      <c r="L8434" s="25"/>
      <c r="Q8434" s="17"/>
    </row>
    <row r="8435" spans="12:17" x14ac:dyDescent="0.3">
      <c r="L8435" s="25"/>
      <c r="Q8435" s="17"/>
    </row>
    <row r="8436" spans="12:17" x14ac:dyDescent="0.3">
      <c r="L8436" s="25"/>
      <c r="Q8436" s="17"/>
    </row>
    <row r="8437" spans="12:17" x14ac:dyDescent="0.3">
      <c r="L8437" s="25"/>
      <c r="Q8437" s="17"/>
    </row>
    <row r="8438" spans="12:17" x14ac:dyDescent="0.3">
      <c r="L8438" s="25"/>
      <c r="Q8438" s="17"/>
    </row>
    <row r="8439" spans="12:17" x14ac:dyDescent="0.3">
      <c r="L8439" s="25"/>
      <c r="Q8439" s="17"/>
    </row>
    <row r="8440" spans="12:17" x14ac:dyDescent="0.3">
      <c r="L8440" s="25"/>
      <c r="Q8440" s="17"/>
    </row>
    <row r="8441" spans="12:17" x14ac:dyDescent="0.3">
      <c r="L8441" s="25"/>
      <c r="Q8441" s="17"/>
    </row>
    <row r="8442" spans="12:17" x14ac:dyDescent="0.3">
      <c r="L8442" s="25"/>
      <c r="Q8442" s="17"/>
    </row>
    <row r="8443" spans="12:17" x14ac:dyDescent="0.3">
      <c r="L8443" s="25"/>
      <c r="Q8443" s="17"/>
    </row>
    <row r="8444" spans="12:17" x14ac:dyDescent="0.3">
      <c r="L8444" s="25"/>
      <c r="Q8444" s="17"/>
    </row>
    <row r="8445" spans="12:17" x14ac:dyDescent="0.3">
      <c r="L8445" s="25"/>
      <c r="Q8445" s="17"/>
    </row>
    <row r="8446" spans="12:17" x14ac:dyDescent="0.3">
      <c r="L8446" s="25"/>
      <c r="Q8446" s="17"/>
    </row>
    <row r="8447" spans="12:17" x14ac:dyDescent="0.3">
      <c r="L8447" s="25"/>
      <c r="Q8447" s="17"/>
    </row>
    <row r="8448" spans="12:17" x14ac:dyDescent="0.3">
      <c r="L8448" s="25"/>
      <c r="Q8448" s="17"/>
    </row>
    <row r="8449" spans="12:17" x14ac:dyDescent="0.3">
      <c r="L8449" s="25"/>
      <c r="Q8449" s="17"/>
    </row>
    <row r="8450" spans="12:17" x14ac:dyDescent="0.3">
      <c r="L8450" s="25"/>
      <c r="Q8450" s="17"/>
    </row>
    <row r="8451" spans="12:17" x14ac:dyDescent="0.3">
      <c r="L8451" s="25"/>
      <c r="Q8451" s="17"/>
    </row>
    <row r="8452" spans="12:17" x14ac:dyDescent="0.3">
      <c r="L8452" s="25"/>
      <c r="Q8452" s="17"/>
    </row>
    <row r="8453" spans="12:17" x14ac:dyDescent="0.3">
      <c r="L8453" s="25"/>
      <c r="Q8453" s="17"/>
    </row>
    <row r="8454" spans="12:17" x14ac:dyDescent="0.3">
      <c r="L8454" s="25"/>
      <c r="Q8454" s="17"/>
    </row>
    <row r="8455" spans="12:17" x14ac:dyDescent="0.3">
      <c r="L8455" s="25"/>
      <c r="Q8455" s="17"/>
    </row>
    <row r="8456" spans="12:17" x14ac:dyDescent="0.3">
      <c r="L8456" s="25"/>
      <c r="Q8456" s="17"/>
    </row>
    <row r="8457" spans="12:17" x14ac:dyDescent="0.3">
      <c r="L8457" s="25"/>
      <c r="Q8457" s="17"/>
    </row>
    <row r="8458" spans="12:17" x14ac:dyDescent="0.3">
      <c r="L8458" s="25"/>
      <c r="Q8458" s="17"/>
    </row>
    <row r="8459" spans="12:17" x14ac:dyDescent="0.3">
      <c r="L8459" s="25"/>
      <c r="Q8459" s="17"/>
    </row>
    <row r="8460" spans="12:17" x14ac:dyDescent="0.3">
      <c r="L8460" s="25"/>
      <c r="Q8460" s="17"/>
    </row>
    <row r="8461" spans="12:17" x14ac:dyDescent="0.3">
      <c r="L8461" s="25"/>
      <c r="Q8461" s="17"/>
    </row>
    <row r="8462" spans="12:17" x14ac:dyDescent="0.3">
      <c r="L8462" s="25"/>
      <c r="Q8462" s="17"/>
    </row>
    <row r="8463" spans="12:17" x14ac:dyDescent="0.3">
      <c r="L8463" s="25"/>
      <c r="Q8463" s="17"/>
    </row>
    <row r="8464" spans="12:17" x14ac:dyDescent="0.3">
      <c r="L8464" s="25"/>
      <c r="Q8464" s="17"/>
    </row>
    <row r="8465" spans="12:17" x14ac:dyDescent="0.3">
      <c r="L8465" s="25"/>
      <c r="Q8465" s="17"/>
    </row>
    <row r="8466" spans="12:17" x14ac:dyDescent="0.3">
      <c r="L8466" s="25"/>
      <c r="Q8466" s="17"/>
    </row>
    <row r="8467" spans="12:17" x14ac:dyDescent="0.3">
      <c r="L8467" s="25"/>
      <c r="Q8467" s="17"/>
    </row>
    <row r="8468" spans="12:17" x14ac:dyDescent="0.3">
      <c r="L8468" s="25"/>
      <c r="Q8468" s="17"/>
    </row>
    <row r="8469" spans="12:17" x14ac:dyDescent="0.3">
      <c r="L8469" s="25"/>
      <c r="Q8469" s="17"/>
    </row>
    <row r="8470" spans="12:17" x14ac:dyDescent="0.3">
      <c r="L8470" s="25"/>
      <c r="Q8470" s="17"/>
    </row>
    <row r="8471" spans="12:17" x14ac:dyDescent="0.3">
      <c r="L8471" s="25"/>
      <c r="Q8471" s="17"/>
    </row>
    <row r="8472" spans="12:17" x14ac:dyDescent="0.3">
      <c r="L8472" s="25"/>
      <c r="Q8472" s="17"/>
    </row>
    <row r="8473" spans="12:17" x14ac:dyDescent="0.3">
      <c r="L8473" s="25"/>
      <c r="Q8473" s="17"/>
    </row>
    <row r="8474" spans="12:17" x14ac:dyDescent="0.3">
      <c r="L8474" s="25"/>
      <c r="Q8474" s="17"/>
    </row>
    <row r="8475" spans="12:17" x14ac:dyDescent="0.3">
      <c r="L8475" s="25"/>
      <c r="Q8475" s="17"/>
    </row>
    <row r="8476" spans="12:17" x14ac:dyDescent="0.3">
      <c r="L8476" s="25"/>
      <c r="Q8476" s="17"/>
    </row>
    <row r="8477" spans="12:17" x14ac:dyDescent="0.3">
      <c r="L8477" s="25"/>
      <c r="Q8477" s="17"/>
    </row>
    <row r="8478" spans="12:17" x14ac:dyDescent="0.3">
      <c r="L8478" s="25"/>
      <c r="Q8478" s="17"/>
    </row>
    <row r="8479" spans="12:17" x14ac:dyDescent="0.3">
      <c r="L8479" s="25"/>
      <c r="Q8479" s="17"/>
    </row>
    <row r="8480" spans="12:17" x14ac:dyDescent="0.3">
      <c r="L8480" s="25"/>
      <c r="Q8480" s="17"/>
    </row>
    <row r="8481" spans="12:17" x14ac:dyDescent="0.3">
      <c r="L8481" s="25"/>
      <c r="Q8481" s="17"/>
    </row>
    <row r="8482" spans="12:17" x14ac:dyDescent="0.3">
      <c r="L8482" s="25"/>
      <c r="Q8482" s="17"/>
    </row>
    <row r="8483" spans="12:17" x14ac:dyDescent="0.3">
      <c r="L8483" s="25"/>
      <c r="Q8483" s="17"/>
    </row>
    <row r="8484" spans="12:17" x14ac:dyDescent="0.3">
      <c r="L8484" s="25"/>
      <c r="Q8484" s="17"/>
    </row>
    <row r="8485" spans="12:17" x14ac:dyDescent="0.3">
      <c r="L8485" s="25"/>
      <c r="Q8485" s="17"/>
    </row>
    <row r="8486" spans="12:17" x14ac:dyDescent="0.3">
      <c r="L8486" s="25"/>
      <c r="Q8486" s="17"/>
    </row>
    <row r="8487" spans="12:17" x14ac:dyDescent="0.3">
      <c r="L8487" s="25"/>
      <c r="Q8487" s="17"/>
    </row>
    <row r="8488" spans="12:17" x14ac:dyDescent="0.3">
      <c r="L8488" s="25"/>
      <c r="Q8488" s="17"/>
    </row>
    <row r="8489" spans="12:17" x14ac:dyDescent="0.3">
      <c r="L8489" s="25"/>
      <c r="Q8489" s="17"/>
    </row>
    <row r="8490" spans="12:17" x14ac:dyDescent="0.3">
      <c r="L8490" s="25"/>
      <c r="Q8490" s="17"/>
    </row>
    <row r="8491" spans="12:17" x14ac:dyDescent="0.3">
      <c r="L8491" s="25"/>
      <c r="Q8491" s="17"/>
    </row>
    <row r="8492" spans="12:17" x14ac:dyDescent="0.3">
      <c r="L8492" s="25"/>
      <c r="Q8492" s="17"/>
    </row>
    <row r="8493" spans="12:17" x14ac:dyDescent="0.3">
      <c r="L8493" s="25"/>
      <c r="Q8493" s="17"/>
    </row>
    <row r="8494" spans="12:17" x14ac:dyDescent="0.3">
      <c r="L8494" s="25"/>
      <c r="Q8494" s="17"/>
    </row>
    <row r="8495" spans="12:17" x14ac:dyDescent="0.3">
      <c r="L8495" s="25"/>
      <c r="Q8495" s="17"/>
    </row>
    <row r="8496" spans="12:17" x14ac:dyDescent="0.3">
      <c r="L8496" s="25"/>
      <c r="Q8496" s="17"/>
    </row>
    <row r="8497" spans="12:17" x14ac:dyDescent="0.3">
      <c r="L8497" s="25"/>
      <c r="Q8497" s="17"/>
    </row>
    <row r="8498" spans="12:17" x14ac:dyDescent="0.3">
      <c r="L8498" s="25"/>
      <c r="Q8498" s="17"/>
    </row>
    <row r="8499" spans="12:17" x14ac:dyDescent="0.3">
      <c r="L8499" s="25"/>
      <c r="Q8499" s="17"/>
    </row>
    <row r="8500" spans="12:17" x14ac:dyDescent="0.3">
      <c r="L8500" s="25"/>
      <c r="Q8500" s="17"/>
    </row>
    <row r="8501" spans="12:17" x14ac:dyDescent="0.3">
      <c r="L8501" s="25"/>
      <c r="Q8501" s="17"/>
    </row>
    <row r="8502" spans="12:17" x14ac:dyDescent="0.3">
      <c r="L8502" s="25"/>
      <c r="Q8502" s="17"/>
    </row>
    <row r="8503" spans="12:17" x14ac:dyDescent="0.3">
      <c r="L8503" s="25"/>
      <c r="Q8503" s="17"/>
    </row>
    <row r="8504" spans="12:17" x14ac:dyDescent="0.3">
      <c r="L8504" s="25"/>
      <c r="Q8504" s="17"/>
    </row>
    <row r="8505" spans="12:17" x14ac:dyDescent="0.3">
      <c r="L8505" s="25"/>
      <c r="Q8505" s="17"/>
    </row>
    <row r="8506" spans="12:17" x14ac:dyDescent="0.3">
      <c r="L8506" s="25"/>
      <c r="Q8506" s="17"/>
    </row>
    <row r="8507" spans="12:17" x14ac:dyDescent="0.3">
      <c r="L8507" s="25"/>
      <c r="Q8507" s="17"/>
    </row>
    <row r="8508" spans="12:17" x14ac:dyDescent="0.3">
      <c r="L8508" s="25"/>
      <c r="Q8508" s="17"/>
    </row>
    <row r="8509" spans="12:17" x14ac:dyDescent="0.3">
      <c r="L8509" s="25"/>
      <c r="Q8509" s="17"/>
    </row>
    <row r="8510" spans="12:17" x14ac:dyDescent="0.3">
      <c r="L8510" s="25"/>
      <c r="Q8510" s="17"/>
    </row>
    <row r="8511" spans="12:17" x14ac:dyDescent="0.3">
      <c r="L8511" s="25"/>
      <c r="Q8511" s="17"/>
    </row>
    <row r="8512" spans="12:17" x14ac:dyDescent="0.3">
      <c r="L8512" s="25"/>
      <c r="Q8512" s="17"/>
    </row>
    <row r="8513" spans="12:17" x14ac:dyDescent="0.3">
      <c r="L8513" s="25"/>
      <c r="Q8513" s="17"/>
    </row>
    <row r="8514" spans="12:17" x14ac:dyDescent="0.3">
      <c r="L8514" s="25"/>
      <c r="Q8514" s="17"/>
    </row>
    <row r="8515" spans="12:17" x14ac:dyDescent="0.3">
      <c r="L8515" s="25"/>
      <c r="Q8515" s="17"/>
    </row>
    <row r="8516" spans="12:17" x14ac:dyDescent="0.3">
      <c r="L8516" s="25"/>
      <c r="Q8516" s="17"/>
    </row>
    <row r="8517" spans="12:17" x14ac:dyDescent="0.3">
      <c r="L8517" s="25"/>
      <c r="Q8517" s="17"/>
    </row>
    <row r="8518" spans="12:17" x14ac:dyDescent="0.3">
      <c r="L8518" s="25"/>
      <c r="Q8518" s="17"/>
    </row>
    <row r="8519" spans="12:17" x14ac:dyDescent="0.3">
      <c r="L8519" s="25"/>
      <c r="Q8519" s="17"/>
    </row>
    <row r="8520" spans="12:17" x14ac:dyDescent="0.3">
      <c r="L8520" s="25"/>
      <c r="Q8520" s="17"/>
    </row>
    <row r="8521" spans="12:17" x14ac:dyDescent="0.3">
      <c r="L8521" s="25"/>
      <c r="Q8521" s="17"/>
    </row>
    <row r="8522" spans="12:17" x14ac:dyDescent="0.3">
      <c r="L8522" s="25"/>
      <c r="Q8522" s="17"/>
    </row>
    <row r="8523" spans="12:17" x14ac:dyDescent="0.3">
      <c r="L8523" s="25"/>
      <c r="Q8523" s="17"/>
    </row>
    <row r="8524" spans="12:17" x14ac:dyDescent="0.3">
      <c r="L8524" s="25"/>
      <c r="Q8524" s="17"/>
    </row>
    <row r="8525" spans="12:17" x14ac:dyDescent="0.3">
      <c r="L8525" s="25"/>
      <c r="Q8525" s="17"/>
    </row>
    <row r="8526" spans="12:17" x14ac:dyDescent="0.3">
      <c r="L8526" s="25"/>
      <c r="Q8526" s="17"/>
    </row>
    <row r="8527" spans="12:17" x14ac:dyDescent="0.3">
      <c r="L8527" s="25"/>
      <c r="Q8527" s="17"/>
    </row>
    <row r="8528" spans="12:17" x14ac:dyDescent="0.3">
      <c r="L8528" s="25"/>
      <c r="Q8528" s="17"/>
    </row>
    <row r="8529" spans="12:17" x14ac:dyDescent="0.3">
      <c r="L8529" s="25"/>
      <c r="Q8529" s="17"/>
    </row>
    <row r="8530" spans="12:17" x14ac:dyDescent="0.3">
      <c r="L8530" s="25"/>
      <c r="Q8530" s="17"/>
    </row>
    <row r="8531" spans="12:17" x14ac:dyDescent="0.3">
      <c r="L8531" s="25"/>
      <c r="Q8531" s="17"/>
    </row>
    <row r="8532" spans="12:17" x14ac:dyDescent="0.3">
      <c r="L8532" s="25"/>
      <c r="Q8532" s="17"/>
    </row>
    <row r="8533" spans="12:17" x14ac:dyDescent="0.3">
      <c r="L8533" s="25"/>
      <c r="Q8533" s="17"/>
    </row>
    <row r="8534" spans="12:17" x14ac:dyDescent="0.3">
      <c r="L8534" s="25"/>
      <c r="Q8534" s="17"/>
    </row>
    <row r="8535" spans="12:17" x14ac:dyDescent="0.3">
      <c r="L8535" s="25"/>
      <c r="Q8535" s="17"/>
    </row>
    <row r="8536" spans="12:17" x14ac:dyDescent="0.3">
      <c r="L8536" s="25"/>
      <c r="Q8536" s="17"/>
    </row>
    <row r="8537" spans="12:17" x14ac:dyDescent="0.3">
      <c r="L8537" s="25"/>
      <c r="Q8537" s="17"/>
    </row>
    <row r="8538" spans="12:17" x14ac:dyDescent="0.3">
      <c r="L8538" s="25"/>
      <c r="Q8538" s="17"/>
    </row>
    <row r="8539" spans="12:17" x14ac:dyDescent="0.3">
      <c r="L8539" s="25"/>
      <c r="Q8539" s="17"/>
    </row>
    <row r="8540" spans="12:17" x14ac:dyDescent="0.3">
      <c r="L8540" s="25"/>
      <c r="Q8540" s="17"/>
    </row>
    <row r="8541" spans="12:17" x14ac:dyDescent="0.3">
      <c r="L8541" s="25"/>
      <c r="Q8541" s="17"/>
    </row>
    <row r="8542" spans="12:17" x14ac:dyDescent="0.3">
      <c r="L8542" s="25"/>
      <c r="Q8542" s="17"/>
    </row>
    <row r="8543" spans="12:17" x14ac:dyDescent="0.3">
      <c r="L8543" s="25"/>
      <c r="Q8543" s="17"/>
    </row>
    <row r="8544" spans="12:17" x14ac:dyDescent="0.3">
      <c r="L8544" s="25"/>
      <c r="Q8544" s="17"/>
    </row>
    <row r="8545" spans="12:17" x14ac:dyDescent="0.3">
      <c r="L8545" s="25"/>
      <c r="Q8545" s="17"/>
    </row>
    <row r="8546" spans="12:17" x14ac:dyDescent="0.3">
      <c r="L8546" s="25"/>
      <c r="Q8546" s="17"/>
    </row>
    <row r="8547" spans="12:17" x14ac:dyDescent="0.3">
      <c r="L8547" s="25"/>
      <c r="Q8547" s="17"/>
    </row>
    <row r="8548" spans="12:17" x14ac:dyDescent="0.3">
      <c r="L8548" s="25"/>
      <c r="Q8548" s="17"/>
    </row>
    <row r="8549" spans="12:17" x14ac:dyDescent="0.3">
      <c r="L8549" s="25"/>
      <c r="Q8549" s="17"/>
    </row>
    <row r="8550" spans="12:17" x14ac:dyDescent="0.3">
      <c r="L8550" s="25"/>
      <c r="Q8550" s="17"/>
    </row>
    <row r="8551" spans="12:17" x14ac:dyDescent="0.3">
      <c r="L8551" s="25"/>
      <c r="Q8551" s="17"/>
    </row>
    <row r="8552" spans="12:17" x14ac:dyDescent="0.3">
      <c r="L8552" s="25"/>
      <c r="Q8552" s="17"/>
    </row>
    <row r="8553" spans="12:17" x14ac:dyDescent="0.3">
      <c r="L8553" s="25"/>
      <c r="Q8553" s="17"/>
    </row>
    <row r="8554" spans="12:17" x14ac:dyDescent="0.3">
      <c r="L8554" s="25"/>
      <c r="Q8554" s="17"/>
    </row>
    <row r="8555" spans="12:17" x14ac:dyDescent="0.3">
      <c r="L8555" s="25"/>
      <c r="Q8555" s="17"/>
    </row>
    <row r="8556" spans="12:17" x14ac:dyDescent="0.3">
      <c r="L8556" s="25"/>
      <c r="Q8556" s="17"/>
    </row>
    <row r="8557" spans="12:17" x14ac:dyDescent="0.3">
      <c r="L8557" s="25"/>
      <c r="Q8557" s="17"/>
    </row>
    <row r="8558" spans="12:17" x14ac:dyDescent="0.3">
      <c r="L8558" s="25"/>
      <c r="Q8558" s="17"/>
    </row>
    <row r="8559" spans="12:17" x14ac:dyDescent="0.3">
      <c r="L8559" s="25"/>
      <c r="Q8559" s="17"/>
    </row>
    <row r="8560" spans="12:17" x14ac:dyDescent="0.3">
      <c r="L8560" s="25"/>
      <c r="Q8560" s="17"/>
    </row>
    <row r="8561" spans="12:17" x14ac:dyDescent="0.3">
      <c r="L8561" s="25"/>
      <c r="Q8561" s="17"/>
    </row>
    <row r="8562" spans="12:17" x14ac:dyDescent="0.3">
      <c r="L8562" s="25"/>
      <c r="Q8562" s="17"/>
    </row>
    <row r="8563" spans="12:17" x14ac:dyDescent="0.3">
      <c r="L8563" s="25"/>
      <c r="Q8563" s="17"/>
    </row>
    <row r="8564" spans="12:17" x14ac:dyDescent="0.3">
      <c r="L8564" s="25"/>
      <c r="Q8564" s="17"/>
    </row>
    <row r="8565" spans="12:17" x14ac:dyDescent="0.3">
      <c r="L8565" s="25"/>
      <c r="Q8565" s="17"/>
    </row>
    <row r="8566" spans="12:17" x14ac:dyDescent="0.3">
      <c r="L8566" s="25"/>
      <c r="Q8566" s="17"/>
    </row>
    <row r="8567" spans="12:17" x14ac:dyDescent="0.3">
      <c r="L8567" s="25"/>
      <c r="Q8567" s="17"/>
    </row>
    <row r="8568" spans="12:17" x14ac:dyDescent="0.3">
      <c r="L8568" s="25"/>
      <c r="Q8568" s="17"/>
    </row>
    <row r="8569" spans="12:17" x14ac:dyDescent="0.3">
      <c r="L8569" s="25"/>
      <c r="Q8569" s="17"/>
    </row>
    <row r="8570" spans="12:17" x14ac:dyDescent="0.3">
      <c r="L8570" s="25"/>
      <c r="Q8570" s="17"/>
    </row>
    <row r="8571" spans="12:17" x14ac:dyDescent="0.3">
      <c r="L8571" s="25"/>
      <c r="Q8571" s="17"/>
    </row>
    <row r="8572" spans="12:17" x14ac:dyDescent="0.3">
      <c r="L8572" s="25"/>
      <c r="Q8572" s="17"/>
    </row>
    <row r="8573" spans="12:17" x14ac:dyDescent="0.3">
      <c r="L8573" s="25"/>
      <c r="Q8573" s="17"/>
    </row>
    <row r="8574" spans="12:17" x14ac:dyDescent="0.3">
      <c r="L8574" s="25"/>
      <c r="Q8574" s="17"/>
    </row>
    <row r="8575" spans="12:17" x14ac:dyDescent="0.3">
      <c r="L8575" s="25"/>
      <c r="Q8575" s="17"/>
    </row>
    <row r="8576" spans="12:17" x14ac:dyDescent="0.3">
      <c r="L8576" s="25"/>
      <c r="Q8576" s="17"/>
    </row>
    <row r="8577" spans="12:17" x14ac:dyDescent="0.3">
      <c r="L8577" s="25"/>
      <c r="Q8577" s="17"/>
    </row>
    <row r="8578" spans="12:17" x14ac:dyDescent="0.3">
      <c r="L8578" s="25"/>
      <c r="Q8578" s="17"/>
    </row>
    <row r="8579" spans="12:17" x14ac:dyDescent="0.3">
      <c r="L8579" s="25"/>
      <c r="Q8579" s="17"/>
    </row>
    <row r="8580" spans="12:17" x14ac:dyDescent="0.3">
      <c r="L8580" s="25"/>
      <c r="Q8580" s="17"/>
    </row>
    <row r="8581" spans="12:17" x14ac:dyDescent="0.3">
      <c r="L8581" s="25"/>
      <c r="Q8581" s="17"/>
    </row>
    <row r="8582" spans="12:17" x14ac:dyDescent="0.3">
      <c r="L8582" s="25"/>
      <c r="Q8582" s="17"/>
    </row>
    <row r="8583" spans="12:17" x14ac:dyDescent="0.3">
      <c r="L8583" s="25"/>
      <c r="Q8583" s="17"/>
    </row>
    <row r="8584" spans="12:17" x14ac:dyDescent="0.3">
      <c r="L8584" s="25"/>
      <c r="Q8584" s="17"/>
    </row>
    <row r="8585" spans="12:17" x14ac:dyDescent="0.3">
      <c r="L8585" s="25"/>
      <c r="Q8585" s="17"/>
    </row>
    <row r="8586" spans="12:17" x14ac:dyDescent="0.3">
      <c r="L8586" s="25"/>
      <c r="Q8586" s="17"/>
    </row>
    <row r="8587" spans="12:17" x14ac:dyDescent="0.3">
      <c r="L8587" s="25"/>
      <c r="Q8587" s="17"/>
    </row>
    <row r="8588" spans="12:17" x14ac:dyDescent="0.3">
      <c r="L8588" s="25"/>
      <c r="Q8588" s="17"/>
    </row>
    <row r="8589" spans="12:17" x14ac:dyDescent="0.3">
      <c r="L8589" s="25"/>
      <c r="Q8589" s="17"/>
    </row>
    <row r="8590" spans="12:17" x14ac:dyDescent="0.3">
      <c r="L8590" s="25"/>
      <c r="Q8590" s="17"/>
    </row>
    <row r="8591" spans="12:17" x14ac:dyDescent="0.3">
      <c r="L8591" s="25"/>
      <c r="Q8591" s="17"/>
    </row>
    <row r="8592" spans="12:17" x14ac:dyDescent="0.3">
      <c r="L8592" s="25"/>
      <c r="Q8592" s="17"/>
    </row>
    <row r="8593" spans="12:17" x14ac:dyDescent="0.3">
      <c r="L8593" s="25"/>
      <c r="Q8593" s="17"/>
    </row>
    <row r="8594" spans="12:17" x14ac:dyDescent="0.3">
      <c r="L8594" s="25"/>
      <c r="Q8594" s="17"/>
    </row>
    <row r="8595" spans="12:17" x14ac:dyDescent="0.3">
      <c r="L8595" s="25"/>
      <c r="Q8595" s="17"/>
    </row>
    <row r="8596" spans="12:17" x14ac:dyDescent="0.3">
      <c r="L8596" s="25"/>
      <c r="Q8596" s="17"/>
    </row>
    <row r="8597" spans="12:17" x14ac:dyDescent="0.3">
      <c r="L8597" s="25"/>
      <c r="Q8597" s="17"/>
    </row>
    <row r="8598" spans="12:17" x14ac:dyDescent="0.3">
      <c r="L8598" s="25"/>
      <c r="Q8598" s="17"/>
    </row>
    <row r="8599" spans="12:17" x14ac:dyDescent="0.3">
      <c r="L8599" s="25"/>
      <c r="Q8599" s="17"/>
    </row>
    <row r="8600" spans="12:17" x14ac:dyDescent="0.3">
      <c r="L8600" s="25"/>
      <c r="Q8600" s="17"/>
    </row>
    <row r="8601" spans="12:17" x14ac:dyDescent="0.3">
      <c r="L8601" s="25"/>
      <c r="Q8601" s="17"/>
    </row>
    <row r="8602" spans="12:17" x14ac:dyDescent="0.3">
      <c r="L8602" s="25"/>
      <c r="Q8602" s="17"/>
    </row>
    <row r="8603" spans="12:17" x14ac:dyDescent="0.3">
      <c r="L8603" s="25"/>
      <c r="Q8603" s="17"/>
    </row>
    <row r="8604" spans="12:17" x14ac:dyDescent="0.3">
      <c r="L8604" s="25"/>
      <c r="Q8604" s="17"/>
    </row>
    <row r="8605" spans="12:17" x14ac:dyDescent="0.3">
      <c r="L8605" s="25"/>
      <c r="Q8605" s="17"/>
    </row>
    <row r="8606" spans="12:17" x14ac:dyDescent="0.3">
      <c r="L8606" s="25"/>
      <c r="Q8606" s="17"/>
    </row>
    <row r="8607" spans="12:17" x14ac:dyDescent="0.3">
      <c r="L8607" s="25"/>
      <c r="Q8607" s="17"/>
    </row>
    <row r="8608" spans="12:17" x14ac:dyDescent="0.3">
      <c r="L8608" s="25"/>
      <c r="Q8608" s="17"/>
    </row>
    <row r="8609" spans="12:17" x14ac:dyDescent="0.3">
      <c r="L8609" s="25"/>
      <c r="Q8609" s="17"/>
    </row>
    <row r="8610" spans="12:17" x14ac:dyDescent="0.3">
      <c r="L8610" s="25"/>
      <c r="Q8610" s="17"/>
    </row>
    <row r="8611" spans="12:17" x14ac:dyDescent="0.3">
      <c r="L8611" s="25"/>
      <c r="Q8611" s="17"/>
    </row>
    <row r="8612" spans="12:17" x14ac:dyDescent="0.3">
      <c r="L8612" s="25"/>
      <c r="Q8612" s="17"/>
    </row>
    <row r="8613" spans="12:17" x14ac:dyDescent="0.3">
      <c r="L8613" s="25"/>
      <c r="Q8613" s="17"/>
    </row>
    <row r="8614" spans="12:17" x14ac:dyDescent="0.3">
      <c r="L8614" s="25"/>
      <c r="Q8614" s="17"/>
    </row>
    <row r="8615" spans="12:17" x14ac:dyDescent="0.3">
      <c r="L8615" s="25"/>
      <c r="Q8615" s="17"/>
    </row>
    <row r="8616" spans="12:17" x14ac:dyDescent="0.3">
      <c r="L8616" s="25"/>
      <c r="Q8616" s="17"/>
    </row>
    <row r="8617" spans="12:17" x14ac:dyDescent="0.3">
      <c r="L8617" s="25"/>
      <c r="Q8617" s="17"/>
    </row>
    <row r="8618" spans="12:17" x14ac:dyDescent="0.3">
      <c r="L8618" s="25"/>
      <c r="Q8618" s="17"/>
    </row>
    <row r="8619" spans="12:17" x14ac:dyDescent="0.3">
      <c r="L8619" s="25"/>
      <c r="Q8619" s="17"/>
    </row>
    <row r="8620" spans="12:17" x14ac:dyDescent="0.3">
      <c r="L8620" s="25"/>
      <c r="Q8620" s="17"/>
    </row>
    <row r="8621" spans="12:17" x14ac:dyDescent="0.3">
      <c r="L8621" s="25"/>
      <c r="Q8621" s="17"/>
    </row>
    <row r="8622" spans="12:17" x14ac:dyDescent="0.3">
      <c r="L8622" s="25"/>
      <c r="Q8622" s="17"/>
    </row>
    <row r="8623" spans="12:17" x14ac:dyDescent="0.3">
      <c r="L8623" s="25"/>
      <c r="Q8623" s="17"/>
    </row>
    <row r="8624" spans="12:17" x14ac:dyDescent="0.3">
      <c r="L8624" s="25"/>
      <c r="Q8624" s="17"/>
    </row>
    <row r="8625" spans="12:17" x14ac:dyDescent="0.3">
      <c r="L8625" s="25"/>
      <c r="Q8625" s="17"/>
    </row>
    <row r="8626" spans="12:17" x14ac:dyDescent="0.3">
      <c r="L8626" s="25"/>
      <c r="Q8626" s="17"/>
    </row>
    <row r="8627" spans="12:17" x14ac:dyDescent="0.3">
      <c r="L8627" s="25"/>
      <c r="Q8627" s="17"/>
    </row>
    <row r="8628" spans="12:17" x14ac:dyDescent="0.3">
      <c r="L8628" s="25"/>
      <c r="Q8628" s="17"/>
    </row>
    <row r="8629" spans="12:17" x14ac:dyDescent="0.3">
      <c r="L8629" s="25"/>
      <c r="Q8629" s="17"/>
    </row>
    <row r="8630" spans="12:17" x14ac:dyDescent="0.3">
      <c r="L8630" s="25"/>
      <c r="Q8630" s="17"/>
    </row>
    <row r="8631" spans="12:17" x14ac:dyDescent="0.3">
      <c r="L8631" s="25"/>
      <c r="Q8631" s="17"/>
    </row>
    <row r="8632" spans="12:17" x14ac:dyDescent="0.3">
      <c r="L8632" s="25"/>
      <c r="Q8632" s="17"/>
    </row>
    <row r="8633" spans="12:17" x14ac:dyDescent="0.3">
      <c r="L8633" s="25"/>
      <c r="Q8633" s="17"/>
    </row>
    <row r="8634" spans="12:17" x14ac:dyDescent="0.3">
      <c r="L8634" s="25"/>
      <c r="Q8634" s="17"/>
    </row>
    <row r="8635" spans="12:17" x14ac:dyDescent="0.3">
      <c r="L8635" s="25"/>
      <c r="Q8635" s="17"/>
    </row>
    <row r="8636" spans="12:17" x14ac:dyDescent="0.3">
      <c r="L8636" s="25"/>
      <c r="Q8636" s="17"/>
    </row>
    <row r="8637" spans="12:17" x14ac:dyDescent="0.3">
      <c r="L8637" s="25"/>
      <c r="Q8637" s="17"/>
    </row>
    <row r="8638" spans="12:17" x14ac:dyDescent="0.3">
      <c r="L8638" s="25"/>
      <c r="Q8638" s="17"/>
    </row>
    <row r="8639" spans="12:17" x14ac:dyDescent="0.3">
      <c r="L8639" s="25"/>
      <c r="Q8639" s="17"/>
    </row>
    <row r="8640" spans="12:17" x14ac:dyDescent="0.3">
      <c r="L8640" s="25"/>
      <c r="Q8640" s="17"/>
    </row>
    <row r="8641" spans="12:17" x14ac:dyDescent="0.3">
      <c r="L8641" s="25"/>
      <c r="Q8641" s="17"/>
    </row>
    <row r="8642" spans="12:17" x14ac:dyDescent="0.3">
      <c r="L8642" s="25"/>
      <c r="Q8642" s="17"/>
    </row>
    <row r="8643" spans="12:17" x14ac:dyDescent="0.3">
      <c r="L8643" s="25"/>
      <c r="Q8643" s="17"/>
    </row>
    <row r="8644" spans="12:17" x14ac:dyDescent="0.3">
      <c r="L8644" s="25"/>
      <c r="Q8644" s="17"/>
    </row>
    <row r="8645" spans="12:17" x14ac:dyDescent="0.3">
      <c r="L8645" s="25"/>
      <c r="Q8645" s="17"/>
    </row>
    <row r="8646" spans="12:17" x14ac:dyDescent="0.3">
      <c r="L8646" s="25"/>
      <c r="Q8646" s="17"/>
    </row>
    <row r="8647" spans="12:17" x14ac:dyDescent="0.3">
      <c r="L8647" s="25"/>
      <c r="Q8647" s="17"/>
    </row>
    <row r="8648" spans="12:17" x14ac:dyDescent="0.3">
      <c r="L8648" s="25"/>
      <c r="Q8648" s="17"/>
    </row>
    <row r="8649" spans="12:17" x14ac:dyDescent="0.3">
      <c r="L8649" s="25"/>
      <c r="Q8649" s="17"/>
    </row>
    <row r="8650" spans="12:17" x14ac:dyDescent="0.3">
      <c r="L8650" s="25"/>
      <c r="Q8650" s="17"/>
    </row>
    <row r="8651" spans="12:17" x14ac:dyDescent="0.3">
      <c r="L8651" s="25"/>
      <c r="Q8651" s="17"/>
    </row>
    <row r="8652" spans="12:17" x14ac:dyDescent="0.3">
      <c r="L8652" s="25"/>
      <c r="Q8652" s="17"/>
    </row>
    <row r="8653" spans="12:17" x14ac:dyDescent="0.3">
      <c r="L8653" s="25"/>
      <c r="Q8653" s="17"/>
    </row>
    <row r="8654" spans="12:17" x14ac:dyDescent="0.3">
      <c r="L8654" s="25"/>
      <c r="Q8654" s="17"/>
    </row>
    <row r="8655" spans="12:17" x14ac:dyDescent="0.3">
      <c r="L8655" s="25"/>
      <c r="Q8655" s="17"/>
    </row>
    <row r="8656" spans="12:17" x14ac:dyDescent="0.3">
      <c r="L8656" s="25"/>
      <c r="Q8656" s="17"/>
    </row>
    <row r="8657" spans="12:17" x14ac:dyDescent="0.3">
      <c r="L8657" s="25"/>
      <c r="Q8657" s="17"/>
    </row>
    <row r="8658" spans="12:17" x14ac:dyDescent="0.3">
      <c r="L8658" s="25"/>
      <c r="Q8658" s="17"/>
    </row>
    <row r="8659" spans="12:17" x14ac:dyDescent="0.3">
      <c r="L8659" s="25"/>
      <c r="Q8659" s="17"/>
    </row>
    <row r="8660" spans="12:17" x14ac:dyDescent="0.3">
      <c r="L8660" s="25"/>
      <c r="Q8660" s="17"/>
    </row>
    <row r="8661" spans="12:17" x14ac:dyDescent="0.3">
      <c r="L8661" s="25"/>
      <c r="Q8661" s="17"/>
    </row>
    <row r="8662" spans="12:17" x14ac:dyDescent="0.3">
      <c r="L8662" s="25"/>
      <c r="Q8662" s="17"/>
    </row>
    <row r="8663" spans="12:17" x14ac:dyDescent="0.3">
      <c r="L8663" s="25"/>
      <c r="Q8663" s="17"/>
    </row>
    <row r="8664" spans="12:17" x14ac:dyDescent="0.3">
      <c r="L8664" s="25"/>
      <c r="Q8664" s="17"/>
    </row>
    <row r="8665" spans="12:17" x14ac:dyDescent="0.3">
      <c r="L8665" s="25"/>
      <c r="Q8665" s="17"/>
    </row>
    <row r="8666" spans="12:17" x14ac:dyDescent="0.3">
      <c r="L8666" s="25"/>
      <c r="Q8666" s="17"/>
    </row>
    <row r="8667" spans="12:17" x14ac:dyDescent="0.3">
      <c r="L8667" s="25"/>
      <c r="Q8667" s="17"/>
    </row>
    <row r="8668" spans="12:17" x14ac:dyDescent="0.3">
      <c r="L8668" s="25"/>
      <c r="Q8668" s="17"/>
    </row>
    <row r="8669" spans="12:17" x14ac:dyDescent="0.3">
      <c r="L8669" s="25"/>
      <c r="Q8669" s="17"/>
    </row>
    <row r="8670" spans="12:17" x14ac:dyDescent="0.3">
      <c r="L8670" s="25"/>
      <c r="Q8670" s="17"/>
    </row>
    <row r="8671" spans="12:17" x14ac:dyDescent="0.3">
      <c r="L8671" s="25"/>
      <c r="Q8671" s="17"/>
    </row>
    <row r="8672" spans="12:17" x14ac:dyDescent="0.3">
      <c r="L8672" s="25"/>
      <c r="Q8672" s="17"/>
    </row>
    <row r="8673" spans="12:17" x14ac:dyDescent="0.3">
      <c r="L8673" s="25"/>
      <c r="Q8673" s="17"/>
    </row>
    <row r="8674" spans="12:17" x14ac:dyDescent="0.3">
      <c r="L8674" s="25"/>
      <c r="Q8674" s="17"/>
    </row>
    <row r="8675" spans="12:17" x14ac:dyDescent="0.3">
      <c r="L8675" s="25"/>
      <c r="Q8675" s="17"/>
    </row>
    <row r="8676" spans="12:17" x14ac:dyDescent="0.3">
      <c r="L8676" s="25"/>
      <c r="Q8676" s="17"/>
    </row>
    <row r="8677" spans="12:17" x14ac:dyDescent="0.3">
      <c r="L8677" s="25"/>
      <c r="Q8677" s="17"/>
    </row>
    <row r="8678" spans="12:17" x14ac:dyDescent="0.3">
      <c r="L8678" s="25"/>
      <c r="Q8678" s="17"/>
    </row>
    <row r="8679" spans="12:17" x14ac:dyDescent="0.3">
      <c r="L8679" s="25"/>
      <c r="Q8679" s="17"/>
    </row>
    <row r="8680" spans="12:17" x14ac:dyDescent="0.3">
      <c r="L8680" s="25"/>
      <c r="Q8680" s="17"/>
    </row>
    <row r="8681" spans="12:17" x14ac:dyDescent="0.3">
      <c r="L8681" s="25"/>
      <c r="Q8681" s="17"/>
    </row>
    <row r="8682" spans="12:17" x14ac:dyDescent="0.3">
      <c r="L8682" s="25"/>
      <c r="Q8682" s="17"/>
    </row>
    <row r="8683" spans="12:17" x14ac:dyDescent="0.3">
      <c r="L8683" s="25"/>
      <c r="Q8683" s="17"/>
    </row>
    <row r="8684" spans="12:17" x14ac:dyDescent="0.3">
      <c r="L8684" s="25"/>
      <c r="Q8684" s="17"/>
    </row>
    <row r="8685" spans="12:17" x14ac:dyDescent="0.3">
      <c r="L8685" s="25"/>
      <c r="Q8685" s="17"/>
    </row>
    <row r="8686" spans="12:17" x14ac:dyDescent="0.3">
      <c r="L8686" s="25"/>
      <c r="Q8686" s="17"/>
    </row>
    <row r="8687" spans="12:17" x14ac:dyDescent="0.3">
      <c r="L8687" s="25"/>
      <c r="Q8687" s="17"/>
    </row>
    <row r="8688" spans="12:17" x14ac:dyDescent="0.3">
      <c r="L8688" s="25"/>
      <c r="Q8688" s="17"/>
    </row>
    <row r="8689" spans="12:17" x14ac:dyDescent="0.3">
      <c r="L8689" s="25"/>
      <c r="Q8689" s="17"/>
    </row>
    <row r="8690" spans="12:17" x14ac:dyDescent="0.3">
      <c r="L8690" s="25"/>
      <c r="Q8690" s="17"/>
    </row>
    <row r="8691" spans="12:17" x14ac:dyDescent="0.3">
      <c r="L8691" s="25"/>
      <c r="Q8691" s="17"/>
    </row>
    <row r="8692" spans="12:17" x14ac:dyDescent="0.3">
      <c r="L8692" s="25"/>
      <c r="Q8692" s="17"/>
    </row>
    <row r="8693" spans="12:17" x14ac:dyDescent="0.3">
      <c r="L8693" s="25"/>
      <c r="Q8693" s="17"/>
    </row>
    <row r="8694" spans="12:17" x14ac:dyDescent="0.3">
      <c r="L8694" s="25"/>
      <c r="Q8694" s="17"/>
    </row>
    <row r="8695" spans="12:17" x14ac:dyDescent="0.3">
      <c r="L8695" s="25"/>
      <c r="Q8695" s="17"/>
    </row>
    <row r="8696" spans="12:17" x14ac:dyDescent="0.3">
      <c r="L8696" s="25"/>
      <c r="Q8696" s="17"/>
    </row>
    <row r="8697" spans="12:17" x14ac:dyDescent="0.3">
      <c r="L8697" s="25"/>
      <c r="Q8697" s="17"/>
    </row>
    <row r="8698" spans="12:17" x14ac:dyDescent="0.3">
      <c r="L8698" s="25"/>
      <c r="Q8698" s="17"/>
    </row>
    <row r="8699" spans="12:17" x14ac:dyDescent="0.3">
      <c r="L8699" s="25"/>
      <c r="Q8699" s="17"/>
    </row>
    <row r="8700" spans="12:17" x14ac:dyDescent="0.3">
      <c r="L8700" s="25"/>
      <c r="Q8700" s="17"/>
    </row>
    <row r="8701" spans="12:17" x14ac:dyDescent="0.3">
      <c r="L8701" s="25"/>
      <c r="Q8701" s="17"/>
    </row>
    <row r="8702" spans="12:17" x14ac:dyDescent="0.3">
      <c r="L8702" s="25"/>
      <c r="Q8702" s="17"/>
    </row>
    <row r="8703" spans="12:17" x14ac:dyDescent="0.3">
      <c r="L8703" s="25"/>
      <c r="Q8703" s="17"/>
    </row>
    <row r="8704" spans="12:17" x14ac:dyDescent="0.3">
      <c r="L8704" s="25"/>
      <c r="Q8704" s="17"/>
    </row>
    <row r="8705" spans="12:17" x14ac:dyDescent="0.3">
      <c r="L8705" s="25"/>
      <c r="Q8705" s="17"/>
    </row>
    <row r="8706" spans="12:17" x14ac:dyDescent="0.3">
      <c r="L8706" s="25"/>
      <c r="Q8706" s="17"/>
    </row>
    <row r="8707" spans="12:17" x14ac:dyDescent="0.3">
      <c r="L8707" s="25"/>
      <c r="Q8707" s="17"/>
    </row>
    <row r="8708" spans="12:17" x14ac:dyDescent="0.3">
      <c r="L8708" s="25"/>
      <c r="Q8708" s="17"/>
    </row>
    <row r="8709" spans="12:17" x14ac:dyDescent="0.3">
      <c r="L8709" s="25"/>
      <c r="Q8709" s="17"/>
    </row>
    <row r="8710" spans="12:17" x14ac:dyDescent="0.3">
      <c r="L8710" s="25"/>
      <c r="Q8710" s="17"/>
    </row>
    <row r="8711" spans="12:17" x14ac:dyDescent="0.3">
      <c r="L8711" s="25"/>
      <c r="Q8711" s="17"/>
    </row>
    <row r="8712" spans="12:17" x14ac:dyDescent="0.3">
      <c r="L8712" s="25"/>
      <c r="Q8712" s="17"/>
    </row>
    <row r="8713" spans="12:17" x14ac:dyDescent="0.3">
      <c r="L8713" s="25"/>
      <c r="Q8713" s="17"/>
    </row>
    <row r="8714" spans="12:17" x14ac:dyDescent="0.3">
      <c r="L8714" s="25"/>
      <c r="Q8714" s="17"/>
    </row>
    <row r="8715" spans="12:17" x14ac:dyDescent="0.3">
      <c r="L8715" s="25"/>
      <c r="Q8715" s="17"/>
    </row>
    <row r="8716" spans="12:17" x14ac:dyDescent="0.3">
      <c r="L8716" s="25"/>
      <c r="Q8716" s="17"/>
    </row>
    <row r="8717" spans="12:17" x14ac:dyDescent="0.3">
      <c r="L8717" s="25"/>
      <c r="Q8717" s="17"/>
    </row>
    <row r="8718" spans="12:17" x14ac:dyDescent="0.3">
      <c r="L8718" s="25"/>
      <c r="Q8718" s="17"/>
    </row>
    <row r="8719" spans="12:17" x14ac:dyDescent="0.3">
      <c r="L8719" s="25"/>
      <c r="Q8719" s="17"/>
    </row>
    <row r="8720" spans="12:17" x14ac:dyDescent="0.3">
      <c r="L8720" s="25"/>
      <c r="Q8720" s="17"/>
    </row>
    <row r="8721" spans="12:17" x14ac:dyDescent="0.3">
      <c r="L8721" s="25"/>
      <c r="Q8721" s="17"/>
    </row>
    <row r="8722" spans="12:17" x14ac:dyDescent="0.3">
      <c r="L8722" s="25"/>
      <c r="Q8722" s="17"/>
    </row>
    <row r="8723" spans="12:17" x14ac:dyDescent="0.3">
      <c r="L8723" s="25"/>
      <c r="Q8723" s="17"/>
    </row>
    <row r="8724" spans="12:17" x14ac:dyDescent="0.3">
      <c r="L8724" s="25"/>
      <c r="Q8724" s="17"/>
    </row>
    <row r="8725" spans="12:17" x14ac:dyDescent="0.3">
      <c r="L8725" s="25"/>
      <c r="Q8725" s="17"/>
    </row>
    <row r="8726" spans="12:17" x14ac:dyDescent="0.3">
      <c r="L8726" s="25"/>
      <c r="Q8726" s="17"/>
    </row>
    <row r="8727" spans="12:17" x14ac:dyDescent="0.3">
      <c r="L8727" s="25"/>
      <c r="Q8727" s="17"/>
    </row>
    <row r="8728" spans="12:17" x14ac:dyDescent="0.3">
      <c r="L8728" s="25"/>
      <c r="Q8728" s="17"/>
    </row>
    <row r="8729" spans="12:17" x14ac:dyDescent="0.3">
      <c r="L8729" s="25"/>
      <c r="Q8729" s="17"/>
    </row>
    <row r="8730" spans="12:17" x14ac:dyDescent="0.3">
      <c r="L8730" s="25"/>
      <c r="Q8730" s="17"/>
    </row>
    <row r="8731" spans="12:17" x14ac:dyDescent="0.3">
      <c r="L8731" s="25"/>
      <c r="Q8731" s="17"/>
    </row>
    <row r="8732" spans="12:17" x14ac:dyDescent="0.3">
      <c r="L8732" s="25"/>
      <c r="Q8732" s="17"/>
    </row>
    <row r="8733" spans="12:17" x14ac:dyDescent="0.3">
      <c r="L8733" s="25"/>
      <c r="Q8733" s="17"/>
    </row>
    <row r="8734" spans="12:17" x14ac:dyDescent="0.3">
      <c r="L8734" s="25"/>
      <c r="Q8734" s="17"/>
    </row>
    <row r="8735" spans="12:17" x14ac:dyDescent="0.3">
      <c r="L8735" s="25"/>
      <c r="Q8735" s="17"/>
    </row>
    <row r="8736" spans="12:17" x14ac:dyDescent="0.3">
      <c r="L8736" s="25"/>
      <c r="Q8736" s="17"/>
    </row>
    <row r="8737" spans="12:17" x14ac:dyDescent="0.3">
      <c r="L8737" s="25"/>
      <c r="Q8737" s="17"/>
    </row>
    <row r="8738" spans="12:17" x14ac:dyDescent="0.3">
      <c r="L8738" s="25"/>
      <c r="Q8738" s="17"/>
    </row>
    <row r="8739" spans="12:17" x14ac:dyDescent="0.3">
      <c r="L8739" s="25"/>
      <c r="Q8739" s="17"/>
    </row>
    <row r="8740" spans="12:17" x14ac:dyDescent="0.3">
      <c r="L8740" s="25"/>
      <c r="Q8740" s="17"/>
    </row>
    <row r="8741" spans="12:17" x14ac:dyDescent="0.3">
      <c r="L8741" s="25"/>
      <c r="Q8741" s="17"/>
    </row>
    <row r="8742" spans="12:17" x14ac:dyDescent="0.3">
      <c r="L8742" s="25"/>
      <c r="Q8742" s="17"/>
    </row>
    <row r="8743" spans="12:17" x14ac:dyDescent="0.3">
      <c r="L8743" s="25"/>
      <c r="Q8743" s="17"/>
    </row>
    <row r="8744" spans="12:17" x14ac:dyDescent="0.3">
      <c r="L8744" s="25"/>
      <c r="Q8744" s="17"/>
    </row>
    <row r="8745" spans="12:17" x14ac:dyDescent="0.3">
      <c r="L8745" s="25"/>
      <c r="Q8745" s="17"/>
    </row>
    <row r="8746" spans="12:17" x14ac:dyDescent="0.3">
      <c r="L8746" s="25"/>
      <c r="Q8746" s="17"/>
    </row>
    <row r="8747" spans="12:17" x14ac:dyDescent="0.3">
      <c r="L8747" s="25"/>
      <c r="Q8747" s="17"/>
    </row>
    <row r="8748" spans="12:17" x14ac:dyDescent="0.3">
      <c r="L8748" s="25"/>
      <c r="Q8748" s="17"/>
    </row>
    <row r="8749" spans="12:17" x14ac:dyDescent="0.3">
      <c r="L8749" s="25"/>
      <c r="Q8749" s="17"/>
    </row>
    <row r="8750" spans="12:17" x14ac:dyDescent="0.3">
      <c r="L8750" s="25"/>
      <c r="Q8750" s="17"/>
    </row>
    <row r="8751" spans="12:17" x14ac:dyDescent="0.3">
      <c r="L8751" s="25"/>
      <c r="Q8751" s="17"/>
    </row>
    <row r="8752" spans="12:17" x14ac:dyDescent="0.3">
      <c r="L8752" s="25"/>
      <c r="Q8752" s="17"/>
    </row>
    <row r="8753" spans="12:17" x14ac:dyDescent="0.3">
      <c r="L8753" s="25"/>
      <c r="Q8753" s="17"/>
    </row>
    <row r="8754" spans="12:17" x14ac:dyDescent="0.3">
      <c r="L8754" s="25"/>
      <c r="Q8754" s="17"/>
    </row>
    <row r="8755" spans="12:17" x14ac:dyDescent="0.3">
      <c r="L8755" s="25"/>
      <c r="Q8755" s="17"/>
    </row>
    <row r="8756" spans="12:17" x14ac:dyDescent="0.3">
      <c r="L8756" s="25"/>
      <c r="Q8756" s="17"/>
    </row>
    <row r="8757" spans="12:17" x14ac:dyDescent="0.3">
      <c r="L8757" s="25"/>
      <c r="Q8757" s="17"/>
    </row>
    <row r="8758" spans="12:17" x14ac:dyDescent="0.3">
      <c r="L8758" s="25"/>
      <c r="Q8758" s="17"/>
    </row>
    <row r="8759" spans="12:17" x14ac:dyDescent="0.3">
      <c r="L8759" s="25"/>
      <c r="Q8759" s="17"/>
    </row>
    <row r="8760" spans="12:17" x14ac:dyDescent="0.3">
      <c r="L8760" s="25"/>
      <c r="Q8760" s="17"/>
    </row>
    <row r="8761" spans="12:17" x14ac:dyDescent="0.3">
      <c r="L8761" s="25"/>
      <c r="Q8761" s="17"/>
    </row>
    <row r="8762" spans="12:17" x14ac:dyDescent="0.3">
      <c r="L8762" s="25"/>
      <c r="Q8762" s="17"/>
    </row>
    <row r="8763" spans="12:17" x14ac:dyDescent="0.3">
      <c r="L8763" s="25"/>
      <c r="Q8763" s="17"/>
    </row>
    <row r="8764" spans="12:17" x14ac:dyDescent="0.3">
      <c r="L8764" s="25"/>
      <c r="Q8764" s="17"/>
    </row>
    <row r="8765" spans="12:17" x14ac:dyDescent="0.3">
      <c r="L8765" s="25"/>
      <c r="Q8765" s="17"/>
    </row>
    <row r="8766" spans="12:17" x14ac:dyDescent="0.3">
      <c r="L8766" s="25"/>
      <c r="Q8766" s="17"/>
    </row>
    <row r="8767" spans="12:17" x14ac:dyDescent="0.3">
      <c r="L8767" s="25"/>
      <c r="Q8767" s="17"/>
    </row>
    <row r="8768" spans="12:17" x14ac:dyDescent="0.3">
      <c r="L8768" s="25"/>
      <c r="Q8768" s="17"/>
    </row>
    <row r="8769" spans="12:17" x14ac:dyDescent="0.3">
      <c r="L8769" s="25"/>
      <c r="Q8769" s="17"/>
    </row>
    <row r="8770" spans="12:17" x14ac:dyDescent="0.3">
      <c r="L8770" s="25"/>
      <c r="Q8770" s="17"/>
    </row>
    <row r="8771" spans="12:17" x14ac:dyDescent="0.3">
      <c r="L8771" s="25"/>
      <c r="Q8771" s="17"/>
    </row>
    <row r="8772" spans="12:17" x14ac:dyDescent="0.3">
      <c r="L8772" s="25"/>
      <c r="Q8772" s="17"/>
    </row>
    <row r="8773" spans="12:17" x14ac:dyDescent="0.3">
      <c r="L8773" s="25"/>
      <c r="Q8773" s="17"/>
    </row>
    <row r="8774" spans="12:17" x14ac:dyDescent="0.3">
      <c r="L8774" s="25"/>
      <c r="Q8774" s="17"/>
    </row>
    <row r="8775" spans="12:17" x14ac:dyDescent="0.3">
      <c r="L8775" s="25"/>
      <c r="Q8775" s="17"/>
    </row>
    <row r="8776" spans="12:17" x14ac:dyDescent="0.3">
      <c r="L8776" s="25"/>
      <c r="Q8776" s="17"/>
    </row>
    <row r="8777" spans="12:17" x14ac:dyDescent="0.3">
      <c r="L8777" s="25"/>
      <c r="Q8777" s="17"/>
    </row>
    <row r="8778" spans="12:17" x14ac:dyDescent="0.3">
      <c r="L8778" s="25"/>
      <c r="Q8778" s="17"/>
    </row>
    <row r="8779" spans="12:17" x14ac:dyDescent="0.3">
      <c r="L8779" s="25"/>
      <c r="Q8779" s="17"/>
    </row>
    <row r="8780" spans="12:17" x14ac:dyDescent="0.3">
      <c r="L8780" s="25"/>
      <c r="Q8780" s="17"/>
    </row>
    <row r="8781" spans="12:17" x14ac:dyDescent="0.3">
      <c r="L8781" s="25"/>
      <c r="Q8781" s="17"/>
    </row>
    <row r="8782" spans="12:17" x14ac:dyDescent="0.3">
      <c r="L8782" s="25"/>
      <c r="Q8782" s="17"/>
    </row>
    <row r="8783" spans="12:17" x14ac:dyDescent="0.3">
      <c r="L8783" s="25"/>
      <c r="Q8783" s="17"/>
    </row>
    <row r="8784" spans="12:17" x14ac:dyDescent="0.3">
      <c r="L8784" s="25"/>
      <c r="Q8784" s="17"/>
    </row>
    <row r="8785" spans="12:17" x14ac:dyDescent="0.3">
      <c r="L8785" s="25"/>
      <c r="Q8785" s="17"/>
    </row>
    <row r="8786" spans="12:17" x14ac:dyDescent="0.3">
      <c r="L8786" s="25"/>
      <c r="Q8786" s="17"/>
    </row>
    <row r="8787" spans="12:17" x14ac:dyDescent="0.3">
      <c r="L8787" s="25"/>
      <c r="Q8787" s="17"/>
    </row>
    <row r="8788" spans="12:17" x14ac:dyDescent="0.3">
      <c r="L8788" s="25"/>
      <c r="Q8788" s="17"/>
    </row>
    <row r="8789" spans="12:17" x14ac:dyDescent="0.3">
      <c r="L8789" s="25"/>
      <c r="Q8789" s="17"/>
    </row>
    <row r="8790" spans="12:17" x14ac:dyDescent="0.3">
      <c r="L8790" s="25"/>
      <c r="Q8790" s="17"/>
    </row>
    <row r="8791" spans="12:17" x14ac:dyDescent="0.3">
      <c r="L8791" s="25"/>
      <c r="Q8791" s="17"/>
    </row>
    <row r="8792" spans="12:17" x14ac:dyDescent="0.3">
      <c r="L8792" s="25"/>
      <c r="Q8792" s="17"/>
    </row>
    <row r="8793" spans="12:17" x14ac:dyDescent="0.3">
      <c r="L8793" s="25"/>
      <c r="Q8793" s="17"/>
    </row>
    <row r="8794" spans="12:17" x14ac:dyDescent="0.3">
      <c r="L8794" s="25"/>
      <c r="Q8794" s="17"/>
    </row>
    <row r="8795" spans="12:17" x14ac:dyDescent="0.3">
      <c r="L8795" s="25"/>
      <c r="Q8795" s="17"/>
    </row>
    <row r="8796" spans="12:17" x14ac:dyDescent="0.3">
      <c r="L8796" s="25"/>
      <c r="Q8796" s="17"/>
    </row>
    <row r="8797" spans="12:17" x14ac:dyDescent="0.3">
      <c r="L8797" s="25"/>
      <c r="Q8797" s="17"/>
    </row>
    <row r="8798" spans="12:17" x14ac:dyDescent="0.3">
      <c r="L8798" s="25"/>
      <c r="Q8798" s="17"/>
    </row>
    <row r="8799" spans="12:17" x14ac:dyDescent="0.3">
      <c r="L8799" s="25"/>
      <c r="Q8799" s="17"/>
    </row>
    <row r="8800" spans="12:17" x14ac:dyDescent="0.3">
      <c r="L8800" s="25"/>
      <c r="Q8800" s="17"/>
    </row>
    <row r="8801" spans="12:17" x14ac:dyDescent="0.3">
      <c r="L8801" s="25"/>
      <c r="Q8801" s="17"/>
    </row>
    <row r="8802" spans="12:17" x14ac:dyDescent="0.3">
      <c r="L8802" s="25"/>
      <c r="Q8802" s="17"/>
    </row>
    <row r="8803" spans="12:17" x14ac:dyDescent="0.3">
      <c r="L8803" s="25"/>
      <c r="Q8803" s="17"/>
    </row>
    <row r="8804" spans="12:17" x14ac:dyDescent="0.3">
      <c r="L8804" s="25"/>
      <c r="Q8804" s="17"/>
    </row>
    <row r="8805" spans="12:17" x14ac:dyDescent="0.3">
      <c r="L8805" s="25"/>
      <c r="Q8805" s="17"/>
    </row>
    <row r="8806" spans="12:17" x14ac:dyDescent="0.3">
      <c r="L8806" s="25"/>
      <c r="Q8806" s="17"/>
    </row>
    <row r="8807" spans="12:17" x14ac:dyDescent="0.3">
      <c r="L8807" s="25"/>
      <c r="Q8807" s="17"/>
    </row>
    <row r="8808" spans="12:17" x14ac:dyDescent="0.3">
      <c r="L8808" s="25"/>
      <c r="Q8808" s="17"/>
    </row>
    <row r="8809" spans="12:17" x14ac:dyDescent="0.3">
      <c r="L8809" s="25"/>
      <c r="Q8809" s="17"/>
    </row>
    <row r="8810" spans="12:17" x14ac:dyDescent="0.3">
      <c r="L8810" s="25"/>
      <c r="Q8810" s="17"/>
    </row>
    <row r="8811" spans="12:17" x14ac:dyDescent="0.3">
      <c r="L8811" s="25"/>
      <c r="Q8811" s="17"/>
    </row>
    <row r="8812" spans="12:17" x14ac:dyDescent="0.3">
      <c r="L8812" s="25"/>
      <c r="Q8812" s="17"/>
    </row>
    <row r="8813" spans="12:17" x14ac:dyDescent="0.3">
      <c r="L8813" s="25"/>
      <c r="Q8813" s="17"/>
    </row>
    <row r="8814" spans="12:17" x14ac:dyDescent="0.3">
      <c r="L8814" s="25"/>
      <c r="Q8814" s="17"/>
    </row>
    <row r="8815" spans="12:17" x14ac:dyDescent="0.3">
      <c r="L8815" s="25"/>
      <c r="Q8815" s="17"/>
    </row>
    <row r="8816" spans="12:17" x14ac:dyDescent="0.3">
      <c r="L8816" s="25"/>
      <c r="Q8816" s="17"/>
    </row>
    <row r="8817" spans="12:17" x14ac:dyDescent="0.3">
      <c r="L8817" s="25"/>
      <c r="Q8817" s="17"/>
    </row>
    <row r="8818" spans="12:17" x14ac:dyDescent="0.3">
      <c r="L8818" s="25"/>
      <c r="Q8818" s="17"/>
    </row>
    <row r="8819" spans="12:17" x14ac:dyDescent="0.3">
      <c r="L8819" s="25"/>
      <c r="Q8819" s="17"/>
    </row>
    <row r="8820" spans="12:17" x14ac:dyDescent="0.3">
      <c r="L8820" s="25"/>
      <c r="Q8820" s="17"/>
    </row>
    <row r="8821" spans="12:17" x14ac:dyDescent="0.3">
      <c r="L8821" s="25"/>
      <c r="Q8821" s="17"/>
    </row>
    <row r="8822" spans="12:17" x14ac:dyDescent="0.3">
      <c r="L8822" s="25"/>
      <c r="Q8822" s="17"/>
    </row>
    <row r="8823" spans="12:17" x14ac:dyDescent="0.3">
      <c r="L8823" s="25"/>
      <c r="Q8823" s="17"/>
    </row>
    <row r="8824" spans="12:17" x14ac:dyDescent="0.3">
      <c r="L8824" s="25"/>
      <c r="Q8824" s="17"/>
    </row>
    <row r="8825" spans="12:17" x14ac:dyDescent="0.3">
      <c r="L8825" s="25"/>
      <c r="Q8825" s="17"/>
    </row>
    <row r="8826" spans="12:17" x14ac:dyDescent="0.3">
      <c r="L8826" s="25"/>
      <c r="Q8826" s="17"/>
    </row>
    <row r="8827" spans="12:17" x14ac:dyDescent="0.3">
      <c r="L8827" s="25"/>
      <c r="Q8827" s="17"/>
    </row>
    <row r="8828" spans="12:17" x14ac:dyDescent="0.3">
      <c r="L8828" s="25"/>
      <c r="Q8828" s="17"/>
    </row>
    <row r="8829" spans="12:17" x14ac:dyDescent="0.3">
      <c r="L8829" s="25"/>
      <c r="Q8829" s="17"/>
    </row>
    <row r="8830" spans="12:17" x14ac:dyDescent="0.3">
      <c r="L8830" s="25"/>
      <c r="Q8830" s="17"/>
    </row>
    <row r="8831" spans="12:17" x14ac:dyDescent="0.3">
      <c r="L8831" s="25"/>
      <c r="Q8831" s="17"/>
    </row>
    <row r="8832" spans="12:17" x14ac:dyDescent="0.3">
      <c r="L8832" s="25"/>
      <c r="Q8832" s="17"/>
    </row>
    <row r="8833" spans="12:17" x14ac:dyDescent="0.3">
      <c r="L8833" s="25"/>
      <c r="Q8833" s="17"/>
    </row>
    <row r="8834" spans="12:17" x14ac:dyDescent="0.3">
      <c r="L8834" s="25"/>
      <c r="Q8834" s="17"/>
    </row>
    <row r="8835" spans="12:17" x14ac:dyDescent="0.3">
      <c r="L8835" s="25"/>
      <c r="Q8835" s="17"/>
    </row>
    <row r="8836" spans="12:17" x14ac:dyDescent="0.3">
      <c r="L8836" s="25"/>
      <c r="Q8836" s="17"/>
    </row>
    <row r="8837" spans="12:17" x14ac:dyDescent="0.3">
      <c r="L8837" s="25"/>
      <c r="Q8837" s="17"/>
    </row>
    <row r="8838" spans="12:17" x14ac:dyDescent="0.3">
      <c r="L8838" s="25"/>
      <c r="Q8838" s="17"/>
    </row>
    <row r="8839" spans="12:17" x14ac:dyDescent="0.3">
      <c r="L8839" s="25"/>
      <c r="Q8839" s="17"/>
    </row>
    <row r="8840" spans="12:17" x14ac:dyDescent="0.3">
      <c r="L8840" s="25"/>
      <c r="Q8840" s="17"/>
    </row>
    <row r="8841" spans="12:17" x14ac:dyDescent="0.3">
      <c r="L8841" s="25"/>
      <c r="Q8841" s="17"/>
    </row>
    <row r="8842" spans="12:17" x14ac:dyDescent="0.3">
      <c r="L8842" s="25"/>
      <c r="Q8842" s="17"/>
    </row>
    <row r="8843" spans="12:17" x14ac:dyDescent="0.3">
      <c r="L8843" s="25"/>
      <c r="Q8843" s="17"/>
    </row>
    <row r="8844" spans="12:17" x14ac:dyDescent="0.3">
      <c r="L8844" s="25"/>
      <c r="Q8844" s="17"/>
    </row>
    <row r="8845" spans="12:17" x14ac:dyDescent="0.3">
      <c r="L8845" s="25"/>
      <c r="Q8845" s="17"/>
    </row>
    <row r="8846" spans="12:17" x14ac:dyDescent="0.3">
      <c r="L8846" s="25"/>
      <c r="Q8846" s="17"/>
    </row>
    <row r="8847" spans="12:17" x14ac:dyDescent="0.3">
      <c r="L8847" s="25"/>
      <c r="Q8847" s="17"/>
    </row>
    <row r="8848" spans="12:17" x14ac:dyDescent="0.3">
      <c r="L8848" s="25"/>
      <c r="Q8848" s="17"/>
    </row>
    <row r="8849" spans="12:17" x14ac:dyDescent="0.3">
      <c r="L8849" s="25"/>
      <c r="Q8849" s="17"/>
    </row>
    <row r="8850" spans="12:17" x14ac:dyDescent="0.3">
      <c r="L8850" s="25"/>
      <c r="Q8850" s="17"/>
    </row>
    <row r="8851" spans="12:17" x14ac:dyDescent="0.3">
      <c r="L8851" s="25"/>
      <c r="Q8851" s="17"/>
    </row>
    <row r="8852" spans="12:17" x14ac:dyDescent="0.3">
      <c r="L8852" s="25"/>
      <c r="Q8852" s="17"/>
    </row>
    <row r="8853" spans="12:17" x14ac:dyDescent="0.3">
      <c r="L8853" s="25"/>
      <c r="Q8853" s="17"/>
    </row>
    <row r="8854" spans="12:17" x14ac:dyDescent="0.3">
      <c r="L8854" s="25"/>
      <c r="Q8854" s="17"/>
    </row>
    <row r="8855" spans="12:17" x14ac:dyDescent="0.3">
      <c r="L8855" s="25"/>
      <c r="Q8855" s="17"/>
    </row>
    <row r="8856" spans="12:17" x14ac:dyDescent="0.3">
      <c r="L8856" s="25"/>
      <c r="Q8856" s="17"/>
    </row>
    <row r="8857" spans="12:17" x14ac:dyDescent="0.3">
      <c r="L8857" s="25"/>
      <c r="Q8857" s="17"/>
    </row>
    <row r="8858" spans="12:17" x14ac:dyDescent="0.3">
      <c r="L8858" s="25"/>
      <c r="Q8858" s="17"/>
    </row>
    <row r="8859" spans="12:17" x14ac:dyDescent="0.3">
      <c r="L8859" s="25"/>
      <c r="Q8859" s="17"/>
    </row>
    <row r="8860" spans="12:17" x14ac:dyDescent="0.3">
      <c r="L8860" s="25"/>
      <c r="Q8860" s="17"/>
    </row>
    <row r="8861" spans="12:17" x14ac:dyDescent="0.3">
      <c r="L8861" s="25"/>
      <c r="Q8861" s="17"/>
    </row>
    <row r="8862" spans="12:17" x14ac:dyDescent="0.3">
      <c r="L8862" s="25"/>
      <c r="Q8862" s="17"/>
    </row>
    <row r="8863" spans="12:17" x14ac:dyDescent="0.3">
      <c r="L8863" s="25"/>
      <c r="Q8863" s="17"/>
    </row>
    <row r="8864" spans="12:17" x14ac:dyDescent="0.3">
      <c r="L8864" s="25"/>
      <c r="Q8864" s="17"/>
    </row>
    <row r="8865" spans="12:17" x14ac:dyDescent="0.3">
      <c r="L8865" s="25"/>
      <c r="Q8865" s="17"/>
    </row>
    <row r="8866" spans="12:17" x14ac:dyDescent="0.3">
      <c r="L8866" s="25"/>
      <c r="Q8866" s="17"/>
    </row>
    <row r="8867" spans="12:17" x14ac:dyDescent="0.3">
      <c r="L8867" s="25"/>
      <c r="Q8867" s="17"/>
    </row>
    <row r="8868" spans="12:17" x14ac:dyDescent="0.3">
      <c r="L8868" s="25"/>
      <c r="Q8868" s="17"/>
    </row>
    <row r="8869" spans="12:17" x14ac:dyDescent="0.3">
      <c r="L8869" s="25"/>
      <c r="Q8869" s="17"/>
    </row>
    <row r="8870" spans="12:17" x14ac:dyDescent="0.3">
      <c r="L8870" s="25"/>
      <c r="Q8870" s="17"/>
    </row>
    <row r="8871" spans="12:17" x14ac:dyDescent="0.3">
      <c r="L8871" s="25"/>
      <c r="Q8871" s="17"/>
    </row>
    <row r="8872" spans="12:17" x14ac:dyDescent="0.3">
      <c r="L8872" s="25"/>
      <c r="Q8872" s="17"/>
    </row>
    <row r="8873" spans="12:17" x14ac:dyDescent="0.3">
      <c r="L8873" s="25"/>
      <c r="Q8873" s="17"/>
    </row>
    <row r="8874" spans="12:17" x14ac:dyDescent="0.3">
      <c r="L8874" s="25"/>
      <c r="Q8874" s="17"/>
    </row>
    <row r="8875" spans="12:17" x14ac:dyDescent="0.3">
      <c r="L8875" s="25"/>
      <c r="Q8875" s="17"/>
    </row>
    <row r="8876" spans="12:17" x14ac:dyDescent="0.3">
      <c r="L8876" s="25"/>
      <c r="Q8876" s="17"/>
    </row>
    <row r="8877" spans="12:17" x14ac:dyDescent="0.3">
      <c r="L8877" s="25"/>
      <c r="Q8877" s="17"/>
    </row>
    <row r="8878" spans="12:17" x14ac:dyDescent="0.3">
      <c r="L8878" s="25"/>
      <c r="Q8878" s="17"/>
    </row>
    <row r="8879" spans="12:17" x14ac:dyDescent="0.3">
      <c r="L8879" s="25"/>
      <c r="Q8879" s="17"/>
    </row>
    <row r="8880" spans="12:17" x14ac:dyDescent="0.3">
      <c r="L8880" s="25"/>
      <c r="Q8880" s="17"/>
    </row>
    <row r="8881" spans="12:17" x14ac:dyDescent="0.3">
      <c r="L8881" s="25"/>
      <c r="Q8881" s="17"/>
    </row>
    <row r="8882" spans="12:17" x14ac:dyDescent="0.3">
      <c r="L8882" s="25"/>
      <c r="Q8882" s="17"/>
    </row>
    <row r="8883" spans="12:17" x14ac:dyDescent="0.3">
      <c r="L8883" s="25"/>
      <c r="Q8883" s="17"/>
    </row>
    <row r="8884" spans="12:17" x14ac:dyDescent="0.3">
      <c r="L8884" s="25"/>
      <c r="Q8884" s="17"/>
    </row>
    <row r="8885" spans="12:17" x14ac:dyDescent="0.3">
      <c r="L8885" s="25"/>
      <c r="Q8885" s="17"/>
    </row>
    <row r="8886" spans="12:17" x14ac:dyDescent="0.3">
      <c r="L8886" s="25"/>
      <c r="Q8886" s="17"/>
    </row>
    <row r="8887" spans="12:17" x14ac:dyDescent="0.3">
      <c r="L8887" s="25"/>
      <c r="Q8887" s="17"/>
    </row>
    <row r="8888" spans="12:17" x14ac:dyDescent="0.3">
      <c r="L8888" s="25"/>
      <c r="Q8888" s="17"/>
    </row>
    <row r="8889" spans="12:17" x14ac:dyDescent="0.3">
      <c r="L8889" s="25"/>
      <c r="Q8889" s="17"/>
    </row>
    <row r="8890" spans="12:17" x14ac:dyDescent="0.3">
      <c r="L8890" s="25"/>
      <c r="Q8890" s="17"/>
    </row>
    <row r="8891" spans="12:17" x14ac:dyDescent="0.3">
      <c r="L8891" s="25"/>
      <c r="Q8891" s="17"/>
    </row>
    <row r="8892" spans="12:17" x14ac:dyDescent="0.3">
      <c r="L8892" s="25"/>
      <c r="Q8892" s="17"/>
    </row>
    <row r="8893" spans="12:17" x14ac:dyDescent="0.3">
      <c r="L8893" s="25"/>
      <c r="Q8893" s="17"/>
    </row>
    <row r="8894" spans="12:17" x14ac:dyDescent="0.3">
      <c r="L8894" s="25"/>
      <c r="Q8894" s="17"/>
    </row>
    <row r="8895" spans="12:17" x14ac:dyDescent="0.3">
      <c r="L8895" s="25"/>
      <c r="Q8895" s="17"/>
    </row>
    <row r="8896" spans="12:17" x14ac:dyDescent="0.3">
      <c r="L8896" s="25"/>
      <c r="Q8896" s="17"/>
    </row>
    <row r="8897" spans="12:17" x14ac:dyDescent="0.3">
      <c r="L8897" s="25"/>
      <c r="Q8897" s="17"/>
    </row>
    <row r="8898" spans="12:17" x14ac:dyDescent="0.3">
      <c r="L8898" s="25"/>
      <c r="Q8898" s="17"/>
    </row>
    <row r="8899" spans="12:17" x14ac:dyDescent="0.3">
      <c r="L8899" s="25"/>
      <c r="Q8899" s="17"/>
    </row>
    <row r="8900" spans="12:17" x14ac:dyDescent="0.3">
      <c r="L8900" s="25"/>
      <c r="Q8900" s="17"/>
    </row>
    <row r="8901" spans="12:17" x14ac:dyDescent="0.3">
      <c r="L8901" s="25"/>
      <c r="Q8901" s="17"/>
    </row>
    <row r="8902" spans="12:17" x14ac:dyDescent="0.3">
      <c r="L8902" s="25"/>
      <c r="Q8902" s="17"/>
    </row>
    <row r="8903" spans="12:17" x14ac:dyDescent="0.3">
      <c r="L8903" s="25"/>
      <c r="Q8903" s="17"/>
    </row>
    <row r="8904" spans="12:17" x14ac:dyDescent="0.3">
      <c r="L8904" s="25"/>
      <c r="Q8904" s="17"/>
    </row>
    <row r="8905" spans="12:17" x14ac:dyDescent="0.3">
      <c r="L8905" s="25"/>
      <c r="Q8905" s="17"/>
    </row>
    <row r="8906" spans="12:17" x14ac:dyDescent="0.3">
      <c r="L8906" s="25"/>
      <c r="Q8906" s="17"/>
    </row>
    <row r="8907" spans="12:17" x14ac:dyDescent="0.3">
      <c r="L8907" s="25"/>
      <c r="Q8907" s="17"/>
    </row>
    <row r="8908" spans="12:17" x14ac:dyDescent="0.3">
      <c r="L8908" s="25"/>
      <c r="Q8908" s="17"/>
    </row>
    <row r="8909" spans="12:17" x14ac:dyDescent="0.3">
      <c r="L8909" s="25"/>
      <c r="Q8909" s="17"/>
    </row>
    <row r="8910" spans="12:17" x14ac:dyDescent="0.3">
      <c r="L8910" s="25"/>
      <c r="Q8910" s="17"/>
    </row>
    <row r="8911" spans="12:17" x14ac:dyDescent="0.3">
      <c r="L8911" s="25"/>
      <c r="Q8911" s="17"/>
    </row>
    <row r="8912" spans="12:17" x14ac:dyDescent="0.3">
      <c r="L8912" s="25"/>
      <c r="Q8912" s="17"/>
    </row>
    <row r="8913" spans="12:17" x14ac:dyDescent="0.3">
      <c r="L8913" s="25"/>
      <c r="Q8913" s="17"/>
    </row>
    <row r="8914" spans="12:17" x14ac:dyDescent="0.3">
      <c r="L8914" s="25"/>
      <c r="Q8914" s="17"/>
    </row>
    <row r="8915" spans="12:17" x14ac:dyDescent="0.3">
      <c r="L8915" s="25"/>
      <c r="Q8915" s="17"/>
    </row>
    <row r="8916" spans="12:17" x14ac:dyDescent="0.3">
      <c r="L8916" s="25"/>
      <c r="Q8916" s="17"/>
    </row>
    <row r="8917" spans="12:17" x14ac:dyDescent="0.3">
      <c r="L8917" s="25"/>
      <c r="Q8917" s="17"/>
    </row>
    <row r="8918" spans="12:17" x14ac:dyDescent="0.3">
      <c r="L8918" s="25"/>
      <c r="Q8918" s="17"/>
    </row>
    <row r="8919" spans="12:17" x14ac:dyDescent="0.3">
      <c r="L8919" s="25"/>
      <c r="Q8919" s="17"/>
    </row>
    <row r="8920" spans="12:17" x14ac:dyDescent="0.3">
      <c r="L8920" s="25"/>
      <c r="Q8920" s="17"/>
    </row>
    <row r="8921" spans="12:17" x14ac:dyDescent="0.3">
      <c r="L8921" s="25"/>
      <c r="Q8921" s="17"/>
    </row>
    <row r="8922" spans="12:17" x14ac:dyDescent="0.3">
      <c r="L8922" s="25"/>
      <c r="Q8922" s="17"/>
    </row>
    <row r="8923" spans="12:17" x14ac:dyDescent="0.3">
      <c r="L8923" s="25"/>
      <c r="Q8923" s="17"/>
    </row>
    <row r="8924" spans="12:17" x14ac:dyDescent="0.3">
      <c r="L8924" s="25"/>
      <c r="Q8924" s="17"/>
    </row>
    <row r="8925" spans="12:17" x14ac:dyDescent="0.3">
      <c r="L8925" s="25"/>
      <c r="Q8925" s="17"/>
    </row>
    <row r="8926" spans="12:17" x14ac:dyDescent="0.3">
      <c r="L8926" s="25"/>
      <c r="Q8926" s="17"/>
    </row>
    <row r="8927" spans="12:17" x14ac:dyDescent="0.3">
      <c r="L8927" s="25"/>
      <c r="Q8927" s="17"/>
    </row>
    <row r="8928" spans="12:17" x14ac:dyDescent="0.3">
      <c r="L8928" s="25"/>
      <c r="Q8928" s="17"/>
    </row>
    <row r="8929" spans="12:17" x14ac:dyDescent="0.3">
      <c r="L8929" s="25"/>
      <c r="Q8929" s="17"/>
    </row>
    <row r="8930" spans="12:17" x14ac:dyDescent="0.3">
      <c r="L8930" s="25"/>
      <c r="Q8930" s="17"/>
    </row>
    <row r="8931" spans="12:17" x14ac:dyDescent="0.3">
      <c r="L8931" s="25"/>
      <c r="Q8931" s="17"/>
    </row>
    <row r="8932" spans="12:17" x14ac:dyDescent="0.3">
      <c r="L8932" s="25"/>
      <c r="Q8932" s="17"/>
    </row>
    <row r="8933" spans="12:17" x14ac:dyDescent="0.3">
      <c r="L8933" s="25"/>
      <c r="Q8933" s="17"/>
    </row>
    <row r="8934" spans="12:17" x14ac:dyDescent="0.3">
      <c r="L8934" s="25"/>
      <c r="Q8934" s="17"/>
    </row>
    <row r="8935" spans="12:17" x14ac:dyDescent="0.3">
      <c r="L8935" s="25"/>
      <c r="Q8935" s="17"/>
    </row>
    <row r="8936" spans="12:17" x14ac:dyDescent="0.3">
      <c r="L8936" s="25"/>
      <c r="Q8936" s="17"/>
    </row>
    <row r="8937" spans="12:17" x14ac:dyDescent="0.3">
      <c r="L8937" s="25"/>
      <c r="Q8937" s="17"/>
    </row>
    <row r="8938" spans="12:17" x14ac:dyDescent="0.3">
      <c r="L8938" s="25"/>
      <c r="Q8938" s="17"/>
    </row>
    <row r="8939" spans="12:17" x14ac:dyDescent="0.3">
      <c r="L8939" s="25"/>
      <c r="Q8939" s="17"/>
    </row>
    <row r="8940" spans="12:17" x14ac:dyDescent="0.3">
      <c r="L8940" s="25"/>
      <c r="Q8940" s="17"/>
    </row>
    <row r="8941" spans="12:17" x14ac:dyDescent="0.3">
      <c r="L8941" s="25"/>
      <c r="Q8941" s="17"/>
    </row>
    <row r="8942" spans="12:17" x14ac:dyDescent="0.3">
      <c r="L8942" s="25"/>
      <c r="Q8942" s="17"/>
    </row>
    <row r="8943" spans="12:17" x14ac:dyDescent="0.3">
      <c r="L8943" s="25"/>
      <c r="Q8943" s="17"/>
    </row>
    <row r="8944" spans="12:17" x14ac:dyDescent="0.3">
      <c r="L8944" s="25"/>
      <c r="Q8944" s="17"/>
    </row>
    <row r="8945" spans="12:17" x14ac:dyDescent="0.3">
      <c r="L8945" s="25"/>
      <c r="Q8945" s="17"/>
    </row>
    <row r="8946" spans="12:17" x14ac:dyDescent="0.3">
      <c r="L8946" s="25"/>
      <c r="Q8946" s="17"/>
    </row>
    <row r="8947" spans="12:17" x14ac:dyDescent="0.3">
      <c r="L8947" s="25"/>
      <c r="Q8947" s="17"/>
    </row>
    <row r="8948" spans="12:17" x14ac:dyDescent="0.3">
      <c r="L8948" s="25"/>
      <c r="Q8948" s="17"/>
    </row>
    <row r="8949" spans="12:17" x14ac:dyDescent="0.3">
      <c r="L8949" s="25"/>
      <c r="Q8949" s="17"/>
    </row>
    <row r="8950" spans="12:17" x14ac:dyDescent="0.3">
      <c r="L8950" s="25"/>
      <c r="Q8950" s="17"/>
    </row>
    <row r="8951" spans="12:17" x14ac:dyDescent="0.3">
      <c r="L8951" s="25"/>
      <c r="Q8951" s="17"/>
    </row>
    <row r="8952" spans="12:17" x14ac:dyDescent="0.3">
      <c r="L8952" s="25"/>
      <c r="Q8952" s="17"/>
    </row>
    <row r="8953" spans="12:17" x14ac:dyDescent="0.3">
      <c r="L8953" s="25"/>
      <c r="Q8953" s="17"/>
    </row>
    <row r="8954" spans="12:17" x14ac:dyDescent="0.3">
      <c r="L8954" s="25"/>
      <c r="Q8954" s="17"/>
    </row>
    <row r="8955" spans="12:17" x14ac:dyDescent="0.3">
      <c r="L8955" s="25"/>
      <c r="Q8955" s="17"/>
    </row>
    <row r="8956" spans="12:17" x14ac:dyDescent="0.3">
      <c r="L8956" s="25"/>
      <c r="Q8956" s="17"/>
    </row>
    <row r="8957" spans="12:17" x14ac:dyDescent="0.3">
      <c r="L8957" s="25"/>
      <c r="Q8957" s="17"/>
    </row>
    <row r="8958" spans="12:17" x14ac:dyDescent="0.3">
      <c r="L8958" s="25"/>
      <c r="Q8958" s="17"/>
    </row>
    <row r="8959" spans="12:17" x14ac:dyDescent="0.3">
      <c r="L8959" s="25"/>
      <c r="Q8959" s="17"/>
    </row>
    <row r="8960" spans="12:17" x14ac:dyDescent="0.3">
      <c r="L8960" s="25"/>
      <c r="Q8960" s="17"/>
    </row>
    <row r="8961" spans="12:17" x14ac:dyDescent="0.3">
      <c r="L8961" s="25"/>
      <c r="Q8961" s="17"/>
    </row>
    <row r="8962" spans="12:17" x14ac:dyDescent="0.3">
      <c r="L8962" s="25"/>
      <c r="Q8962" s="17"/>
    </row>
    <row r="8963" spans="12:17" x14ac:dyDescent="0.3">
      <c r="L8963" s="25"/>
      <c r="Q8963" s="17"/>
    </row>
    <row r="8964" spans="12:17" x14ac:dyDescent="0.3">
      <c r="L8964" s="25"/>
      <c r="Q8964" s="17"/>
    </row>
    <row r="8965" spans="12:17" x14ac:dyDescent="0.3">
      <c r="L8965" s="25"/>
      <c r="Q8965" s="17"/>
    </row>
    <row r="8966" spans="12:17" x14ac:dyDescent="0.3">
      <c r="L8966" s="25"/>
      <c r="Q8966" s="17"/>
    </row>
    <row r="8967" spans="12:17" x14ac:dyDescent="0.3">
      <c r="L8967" s="25"/>
      <c r="Q8967" s="17"/>
    </row>
    <row r="8968" spans="12:17" x14ac:dyDescent="0.3">
      <c r="L8968" s="25"/>
      <c r="Q8968" s="17"/>
    </row>
    <row r="8969" spans="12:17" x14ac:dyDescent="0.3">
      <c r="L8969" s="25"/>
      <c r="Q8969" s="17"/>
    </row>
    <row r="8970" spans="12:17" x14ac:dyDescent="0.3">
      <c r="L8970" s="25"/>
      <c r="Q8970" s="17"/>
    </row>
    <row r="8971" spans="12:17" x14ac:dyDescent="0.3">
      <c r="L8971" s="25"/>
      <c r="Q8971" s="17"/>
    </row>
    <row r="8972" spans="12:17" x14ac:dyDescent="0.3">
      <c r="L8972" s="25"/>
      <c r="Q8972" s="17"/>
    </row>
    <row r="8973" spans="12:17" x14ac:dyDescent="0.3">
      <c r="L8973" s="25"/>
      <c r="Q8973" s="17"/>
    </row>
    <row r="8974" spans="12:17" x14ac:dyDescent="0.3">
      <c r="L8974" s="25"/>
      <c r="Q8974" s="17"/>
    </row>
    <row r="8975" spans="12:17" x14ac:dyDescent="0.3">
      <c r="L8975" s="25"/>
      <c r="Q8975" s="17"/>
    </row>
    <row r="8976" spans="12:17" x14ac:dyDescent="0.3">
      <c r="L8976" s="25"/>
      <c r="Q8976" s="17"/>
    </row>
    <row r="8977" spans="12:17" x14ac:dyDescent="0.3">
      <c r="L8977" s="25"/>
      <c r="Q8977" s="17"/>
    </row>
    <row r="8978" spans="12:17" x14ac:dyDescent="0.3">
      <c r="L8978" s="25"/>
      <c r="Q8978" s="17"/>
    </row>
    <row r="8979" spans="12:17" x14ac:dyDescent="0.3">
      <c r="L8979" s="25"/>
      <c r="Q8979" s="17"/>
    </row>
    <row r="8980" spans="12:17" x14ac:dyDescent="0.3">
      <c r="L8980" s="25"/>
      <c r="Q8980" s="17"/>
    </row>
    <row r="8981" spans="12:17" x14ac:dyDescent="0.3">
      <c r="L8981" s="25"/>
      <c r="Q8981" s="17"/>
    </row>
    <row r="8982" spans="12:17" x14ac:dyDescent="0.3">
      <c r="L8982" s="25"/>
      <c r="Q8982" s="17"/>
    </row>
    <row r="8983" spans="12:17" x14ac:dyDescent="0.3">
      <c r="L8983" s="25"/>
      <c r="Q8983" s="17"/>
    </row>
    <row r="8984" spans="12:17" x14ac:dyDescent="0.3">
      <c r="L8984" s="25"/>
      <c r="Q8984" s="17"/>
    </row>
    <row r="8985" spans="12:17" x14ac:dyDescent="0.3">
      <c r="L8985" s="25"/>
      <c r="Q8985" s="17"/>
    </row>
    <row r="8986" spans="12:17" x14ac:dyDescent="0.3">
      <c r="L8986" s="25"/>
      <c r="Q8986" s="17"/>
    </row>
    <row r="8987" spans="12:17" x14ac:dyDescent="0.3">
      <c r="L8987" s="25"/>
      <c r="Q8987" s="17"/>
    </row>
    <row r="8988" spans="12:17" x14ac:dyDescent="0.3">
      <c r="L8988" s="25"/>
      <c r="Q8988" s="17"/>
    </row>
    <row r="8989" spans="12:17" x14ac:dyDescent="0.3">
      <c r="L8989" s="25"/>
      <c r="Q8989" s="17"/>
    </row>
    <row r="8990" spans="12:17" x14ac:dyDescent="0.3">
      <c r="L8990" s="25"/>
      <c r="Q8990" s="17"/>
    </row>
    <row r="8991" spans="12:17" x14ac:dyDescent="0.3">
      <c r="L8991" s="25"/>
      <c r="Q8991" s="17"/>
    </row>
    <row r="8992" spans="12:17" x14ac:dyDescent="0.3">
      <c r="L8992" s="25"/>
      <c r="Q8992" s="17"/>
    </row>
    <row r="8993" spans="12:17" x14ac:dyDescent="0.3">
      <c r="L8993" s="25"/>
      <c r="Q8993" s="17"/>
    </row>
    <row r="8994" spans="12:17" x14ac:dyDescent="0.3">
      <c r="L8994" s="25"/>
      <c r="Q8994" s="17"/>
    </row>
    <row r="8995" spans="12:17" x14ac:dyDescent="0.3">
      <c r="L8995" s="25"/>
      <c r="Q8995" s="17"/>
    </row>
    <row r="8996" spans="12:17" x14ac:dyDescent="0.3">
      <c r="L8996" s="25"/>
      <c r="Q8996" s="17"/>
    </row>
    <row r="8997" spans="12:17" x14ac:dyDescent="0.3">
      <c r="L8997" s="25"/>
      <c r="Q8997" s="17"/>
    </row>
    <row r="8998" spans="12:17" x14ac:dyDescent="0.3">
      <c r="L8998" s="25"/>
      <c r="Q8998" s="17"/>
    </row>
    <row r="8999" spans="12:17" x14ac:dyDescent="0.3">
      <c r="L8999" s="25"/>
      <c r="Q8999" s="17"/>
    </row>
    <row r="9000" spans="12:17" x14ac:dyDescent="0.3">
      <c r="L9000" s="25"/>
      <c r="Q9000" s="17"/>
    </row>
    <row r="9001" spans="12:17" x14ac:dyDescent="0.3">
      <c r="L9001" s="25"/>
      <c r="Q9001" s="17"/>
    </row>
    <row r="9002" spans="12:17" x14ac:dyDescent="0.3">
      <c r="L9002" s="25"/>
      <c r="Q9002" s="17"/>
    </row>
    <row r="9003" spans="12:17" x14ac:dyDescent="0.3">
      <c r="L9003" s="25"/>
      <c r="Q9003" s="17"/>
    </row>
    <row r="9004" spans="12:17" x14ac:dyDescent="0.3">
      <c r="L9004" s="25"/>
      <c r="Q9004" s="17"/>
    </row>
    <row r="9005" spans="12:17" x14ac:dyDescent="0.3">
      <c r="L9005" s="25"/>
      <c r="Q9005" s="17"/>
    </row>
    <row r="9006" spans="12:17" x14ac:dyDescent="0.3">
      <c r="L9006" s="25"/>
      <c r="Q9006" s="17"/>
    </row>
    <row r="9007" spans="12:17" x14ac:dyDescent="0.3">
      <c r="L9007" s="25"/>
      <c r="Q9007" s="17"/>
    </row>
    <row r="9008" spans="12:17" x14ac:dyDescent="0.3">
      <c r="L9008" s="25"/>
      <c r="Q9008" s="17"/>
    </row>
    <row r="9009" spans="12:17" x14ac:dyDescent="0.3">
      <c r="L9009" s="25"/>
      <c r="Q9009" s="17"/>
    </row>
    <row r="9010" spans="12:17" x14ac:dyDescent="0.3">
      <c r="L9010" s="25"/>
      <c r="Q9010" s="17"/>
    </row>
    <row r="9011" spans="12:17" x14ac:dyDescent="0.3">
      <c r="L9011" s="25"/>
      <c r="Q9011" s="17"/>
    </row>
    <row r="9012" spans="12:17" x14ac:dyDescent="0.3">
      <c r="L9012" s="25"/>
      <c r="Q9012" s="17"/>
    </row>
    <row r="9013" spans="12:17" x14ac:dyDescent="0.3">
      <c r="L9013" s="25"/>
      <c r="Q9013" s="17"/>
    </row>
    <row r="9014" spans="12:17" x14ac:dyDescent="0.3">
      <c r="L9014" s="25"/>
      <c r="Q9014" s="17"/>
    </row>
    <row r="9015" spans="12:17" x14ac:dyDescent="0.3">
      <c r="L9015" s="25"/>
      <c r="Q9015" s="17"/>
    </row>
    <row r="9016" spans="12:17" x14ac:dyDescent="0.3">
      <c r="L9016" s="25"/>
      <c r="Q9016" s="17"/>
    </row>
    <row r="9017" spans="12:17" x14ac:dyDescent="0.3">
      <c r="L9017" s="25"/>
      <c r="Q9017" s="17"/>
    </row>
    <row r="9018" spans="12:17" x14ac:dyDescent="0.3">
      <c r="L9018" s="25"/>
      <c r="Q9018" s="17"/>
    </row>
    <row r="9019" spans="12:17" x14ac:dyDescent="0.3">
      <c r="L9019" s="25"/>
      <c r="Q9019" s="17"/>
    </row>
    <row r="9020" spans="12:17" x14ac:dyDescent="0.3">
      <c r="L9020" s="25"/>
      <c r="Q9020" s="17"/>
    </row>
    <row r="9021" spans="12:17" x14ac:dyDescent="0.3">
      <c r="L9021" s="25"/>
      <c r="Q9021" s="17"/>
    </row>
    <row r="9022" spans="12:17" x14ac:dyDescent="0.3">
      <c r="L9022" s="25"/>
      <c r="Q9022" s="17"/>
    </row>
    <row r="9023" spans="12:17" x14ac:dyDescent="0.3">
      <c r="L9023" s="25"/>
      <c r="Q9023" s="17"/>
    </row>
    <row r="9024" spans="12:17" x14ac:dyDescent="0.3">
      <c r="L9024" s="25"/>
      <c r="Q9024" s="17"/>
    </row>
    <row r="9025" spans="12:17" x14ac:dyDescent="0.3">
      <c r="L9025" s="25"/>
      <c r="Q9025" s="17"/>
    </row>
    <row r="9026" spans="12:17" x14ac:dyDescent="0.3">
      <c r="L9026" s="25"/>
      <c r="Q9026" s="17"/>
    </row>
    <row r="9027" spans="12:17" x14ac:dyDescent="0.3">
      <c r="L9027" s="25"/>
      <c r="Q9027" s="17"/>
    </row>
    <row r="9028" spans="12:17" x14ac:dyDescent="0.3">
      <c r="L9028" s="25"/>
      <c r="Q9028" s="17"/>
    </row>
    <row r="9029" spans="12:17" x14ac:dyDescent="0.3">
      <c r="L9029" s="25"/>
      <c r="Q9029" s="17"/>
    </row>
    <row r="9030" spans="12:17" x14ac:dyDescent="0.3">
      <c r="L9030" s="25"/>
      <c r="Q9030" s="17"/>
    </row>
    <row r="9031" spans="12:17" x14ac:dyDescent="0.3">
      <c r="L9031" s="25"/>
      <c r="Q9031" s="17"/>
    </row>
    <row r="9032" spans="12:17" x14ac:dyDescent="0.3">
      <c r="L9032" s="25"/>
      <c r="Q9032" s="17"/>
    </row>
    <row r="9033" spans="12:17" x14ac:dyDescent="0.3">
      <c r="L9033" s="25"/>
      <c r="Q9033" s="17"/>
    </row>
    <row r="9034" spans="12:17" x14ac:dyDescent="0.3">
      <c r="L9034" s="25"/>
      <c r="Q9034" s="17"/>
    </row>
    <row r="9035" spans="12:17" x14ac:dyDescent="0.3">
      <c r="L9035" s="25"/>
      <c r="Q9035" s="17"/>
    </row>
    <row r="9036" spans="12:17" x14ac:dyDescent="0.3">
      <c r="L9036" s="25"/>
      <c r="Q9036" s="17"/>
    </row>
    <row r="9037" spans="12:17" x14ac:dyDescent="0.3">
      <c r="L9037" s="25"/>
      <c r="Q9037" s="17"/>
    </row>
    <row r="9038" spans="12:17" x14ac:dyDescent="0.3">
      <c r="L9038" s="25"/>
      <c r="Q9038" s="17"/>
    </row>
    <row r="9039" spans="12:17" x14ac:dyDescent="0.3">
      <c r="L9039" s="25"/>
      <c r="Q9039" s="17"/>
    </row>
    <row r="9040" spans="12:17" x14ac:dyDescent="0.3">
      <c r="L9040" s="25"/>
      <c r="Q9040" s="17"/>
    </row>
    <row r="9041" spans="12:17" x14ac:dyDescent="0.3">
      <c r="L9041" s="25"/>
      <c r="Q9041" s="17"/>
    </row>
    <row r="9042" spans="12:17" x14ac:dyDescent="0.3">
      <c r="L9042" s="25"/>
      <c r="Q9042" s="17"/>
    </row>
    <row r="9043" spans="12:17" x14ac:dyDescent="0.3">
      <c r="L9043" s="25"/>
      <c r="Q9043" s="17"/>
    </row>
    <row r="9044" spans="12:17" x14ac:dyDescent="0.3">
      <c r="L9044" s="25"/>
      <c r="Q9044" s="17"/>
    </row>
    <row r="9045" spans="12:17" x14ac:dyDescent="0.3">
      <c r="L9045" s="25"/>
      <c r="Q9045" s="17"/>
    </row>
    <row r="9046" spans="12:17" x14ac:dyDescent="0.3">
      <c r="L9046" s="25"/>
      <c r="Q9046" s="17"/>
    </row>
    <row r="9047" spans="12:17" x14ac:dyDescent="0.3">
      <c r="L9047" s="25"/>
      <c r="Q9047" s="17"/>
    </row>
    <row r="9048" spans="12:17" x14ac:dyDescent="0.3">
      <c r="L9048" s="25"/>
      <c r="Q9048" s="17"/>
    </row>
    <row r="9049" spans="12:17" x14ac:dyDescent="0.3">
      <c r="L9049" s="25"/>
      <c r="Q9049" s="17"/>
    </row>
    <row r="9050" spans="12:17" x14ac:dyDescent="0.3">
      <c r="L9050" s="25"/>
      <c r="Q9050" s="17"/>
    </row>
    <row r="9051" spans="12:17" x14ac:dyDescent="0.3">
      <c r="L9051" s="25"/>
      <c r="Q9051" s="17"/>
    </row>
    <row r="9052" spans="12:17" x14ac:dyDescent="0.3">
      <c r="L9052" s="25"/>
      <c r="Q9052" s="17"/>
    </row>
    <row r="9053" spans="12:17" x14ac:dyDescent="0.3">
      <c r="L9053" s="25"/>
      <c r="Q9053" s="17"/>
    </row>
    <row r="9054" spans="12:17" x14ac:dyDescent="0.3">
      <c r="L9054" s="25"/>
      <c r="Q9054" s="17"/>
    </row>
    <row r="9055" spans="12:17" x14ac:dyDescent="0.3">
      <c r="L9055" s="25"/>
      <c r="Q9055" s="17"/>
    </row>
    <row r="9056" spans="12:17" x14ac:dyDescent="0.3">
      <c r="L9056" s="25"/>
      <c r="Q9056" s="17"/>
    </row>
    <row r="9057" spans="12:17" x14ac:dyDescent="0.3">
      <c r="L9057" s="25"/>
      <c r="Q9057" s="17"/>
    </row>
    <row r="9058" spans="12:17" x14ac:dyDescent="0.3">
      <c r="L9058" s="25"/>
      <c r="Q9058" s="17"/>
    </row>
    <row r="9059" spans="12:17" x14ac:dyDescent="0.3">
      <c r="L9059" s="25"/>
      <c r="Q9059" s="17"/>
    </row>
    <row r="9060" spans="12:17" x14ac:dyDescent="0.3">
      <c r="L9060" s="25"/>
      <c r="Q9060" s="17"/>
    </row>
    <row r="9061" spans="12:17" x14ac:dyDescent="0.3">
      <c r="L9061" s="25"/>
      <c r="Q9061" s="17"/>
    </row>
    <row r="9062" spans="12:17" x14ac:dyDescent="0.3">
      <c r="L9062" s="25"/>
      <c r="Q9062" s="17"/>
    </row>
    <row r="9063" spans="12:17" x14ac:dyDescent="0.3">
      <c r="L9063" s="25"/>
      <c r="Q9063" s="17"/>
    </row>
    <row r="9064" spans="12:17" x14ac:dyDescent="0.3">
      <c r="L9064" s="25"/>
      <c r="Q9064" s="17"/>
    </row>
    <row r="9065" spans="12:17" x14ac:dyDescent="0.3">
      <c r="L9065" s="25"/>
      <c r="Q9065" s="17"/>
    </row>
    <row r="9066" spans="12:17" x14ac:dyDescent="0.3">
      <c r="L9066" s="25"/>
      <c r="Q9066" s="17"/>
    </row>
    <row r="9067" spans="12:17" x14ac:dyDescent="0.3">
      <c r="L9067" s="25"/>
      <c r="Q9067" s="17"/>
    </row>
    <row r="9068" spans="12:17" x14ac:dyDescent="0.3">
      <c r="L9068" s="25"/>
      <c r="Q9068" s="17"/>
    </row>
    <row r="9069" spans="12:17" x14ac:dyDescent="0.3">
      <c r="L9069" s="25"/>
      <c r="Q9069" s="17"/>
    </row>
    <row r="9070" spans="12:17" x14ac:dyDescent="0.3">
      <c r="L9070" s="25"/>
      <c r="Q9070" s="17"/>
    </row>
    <row r="9071" spans="12:17" x14ac:dyDescent="0.3">
      <c r="L9071" s="25"/>
      <c r="Q9071" s="17"/>
    </row>
    <row r="9072" spans="12:17" x14ac:dyDescent="0.3">
      <c r="L9072" s="25"/>
      <c r="Q9072" s="17"/>
    </row>
    <row r="9073" spans="12:17" x14ac:dyDescent="0.3">
      <c r="L9073" s="25"/>
      <c r="Q9073" s="17"/>
    </row>
    <row r="9074" spans="12:17" x14ac:dyDescent="0.3">
      <c r="L9074" s="25"/>
      <c r="Q9074" s="17"/>
    </row>
    <row r="9075" spans="12:17" x14ac:dyDescent="0.3">
      <c r="L9075" s="25"/>
      <c r="Q9075" s="17"/>
    </row>
    <row r="9076" spans="12:17" x14ac:dyDescent="0.3">
      <c r="L9076" s="25"/>
      <c r="Q9076" s="17"/>
    </row>
    <row r="9077" spans="12:17" x14ac:dyDescent="0.3">
      <c r="L9077" s="25"/>
      <c r="Q9077" s="17"/>
    </row>
    <row r="9078" spans="12:17" x14ac:dyDescent="0.3">
      <c r="L9078" s="25"/>
      <c r="Q9078" s="17"/>
    </row>
    <row r="9079" spans="12:17" x14ac:dyDescent="0.3">
      <c r="L9079" s="25"/>
      <c r="Q9079" s="17"/>
    </row>
    <row r="9080" spans="12:17" x14ac:dyDescent="0.3">
      <c r="L9080" s="25"/>
      <c r="Q9080" s="17"/>
    </row>
    <row r="9081" spans="12:17" x14ac:dyDescent="0.3">
      <c r="L9081" s="25"/>
      <c r="Q9081" s="17"/>
    </row>
    <row r="9082" spans="12:17" x14ac:dyDescent="0.3">
      <c r="L9082" s="25"/>
      <c r="Q9082" s="17"/>
    </row>
    <row r="9083" spans="12:17" x14ac:dyDescent="0.3">
      <c r="L9083" s="25"/>
      <c r="Q9083" s="17"/>
    </row>
    <row r="9084" spans="12:17" x14ac:dyDescent="0.3">
      <c r="L9084" s="25"/>
      <c r="Q9084" s="17"/>
    </row>
    <row r="9085" spans="12:17" x14ac:dyDescent="0.3">
      <c r="L9085" s="25"/>
      <c r="Q9085" s="17"/>
    </row>
    <row r="9086" spans="12:17" x14ac:dyDescent="0.3">
      <c r="L9086" s="25"/>
      <c r="Q9086" s="17"/>
    </row>
    <row r="9087" spans="12:17" x14ac:dyDescent="0.3">
      <c r="L9087" s="25"/>
      <c r="Q9087" s="17"/>
    </row>
    <row r="9088" spans="12:17" x14ac:dyDescent="0.3">
      <c r="L9088" s="25"/>
      <c r="Q9088" s="17"/>
    </row>
    <row r="9089" spans="12:17" x14ac:dyDescent="0.3">
      <c r="L9089" s="25"/>
      <c r="Q9089" s="17"/>
    </row>
    <row r="9090" spans="12:17" x14ac:dyDescent="0.3">
      <c r="L9090" s="25"/>
      <c r="Q9090" s="17"/>
    </row>
    <row r="9091" spans="12:17" x14ac:dyDescent="0.3">
      <c r="L9091" s="25"/>
      <c r="Q9091" s="17"/>
    </row>
    <row r="9092" spans="12:17" x14ac:dyDescent="0.3">
      <c r="L9092" s="25"/>
      <c r="Q9092" s="17"/>
    </row>
    <row r="9093" spans="12:17" x14ac:dyDescent="0.3">
      <c r="L9093" s="25"/>
      <c r="Q9093" s="17"/>
    </row>
    <row r="9094" spans="12:17" x14ac:dyDescent="0.3">
      <c r="L9094" s="25"/>
      <c r="Q9094" s="17"/>
    </row>
    <row r="9095" spans="12:17" x14ac:dyDescent="0.3">
      <c r="L9095" s="25"/>
      <c r="Q9095" s="17"/>
    </row>
    <row r="9096" spans="12:17" x14ac:dyDescent="0.3">
      <c r="L9096" s="25"/>
      <c r="Q9096" s="17"/>
    </row>
    <row r="9097" spans="12:17" x14ac:dyDescent="0.3">
      <c r="L9097" s="25"/>
      <c r="Q9097" s="17"/>
    </row>
    <row r="9098" spans="12:17" x14ac:dyDescent="0.3">
      <c r="L9098" s="25"/>
      <c r="Q9098" s="17"/>
    </row>
    <row r="9099" spans="12:17" x14ac:dyDescent="0.3">
      <c r="L9099" s="25"/>
      <c r="Q9099" s="17"/>
    </row>
    <row r="9100" spans="12:17" x14ac:dyDescent="0.3">
      <c r="L9100" s="25"/>
      <c r="Q9100" s="17"/>
    </row>
    <row r="9101" spans="12:17" x14ac:dyDescent="0.3">
      <c r="L9101" s="25"/>
      <c r="Q9101" s="17"/>
    </row>
    <row r="9102" spans="12:17" x14ac:dyDescent="0.3">
      <c r="L9102" s="25"/>
      <c r="Q9102" s="17"/>
    </row>
    <row r="9103" spans="12:17" x14ac:dyDescent="0.3">
      <c r="L9103" s="25"/>
      <c r="Q9103" s="17"/>
    </row>
    <row r="9104" spans="12:17" x14ac:dyDescent="0.3">
      <c r="L9104" s="25"/>
      <c r="Q9104" s="17"/>
    </row>
    <row r="9105" spans="12:17" x14ac:dyDescent="0.3">
      <c r="L9105" s="25"/>
      <c r="Q9105" s="17"/>
    </row>
    <row r="9106" spans="12:17" x14ac:dyDescent="0.3">
      <c r="L9106" s="25"/>
      <c r="Q9106" s="17"/>
    </row>
    <row r="9107" spans="12:17" x14ac:dyDescent="0.3">
      <c r="L9107" s="25"/>
      <c r="Q9107" s="17"/>
    </row>
    <row r="9108" spans="12:17" x14ac:dyDescent="0.3">
      <c r="L9108" s="25"/>
      <c r="Q9108" s="17"/>
    </row>
    <row r="9109" spans="12:17" x14ac:dyDescent="0.3">
      <c r="L9109" s="25"/>
      <c r="Q9109" s="17"/>
    </row>
    <row r="9110" spans="12:17" x14ac:dyDescent="0.3">
      <c r="L9110" s="25"/>
      <c r="Q9110" s="17"/>
    </row>
    <row r="9111" spans="12:17" x14ac:dyDescent="0.3">
      <c r="L9111" s="25"/>
      <c r="Q9111" s="17"/>
    </row>
    <row r="9112" spans="12:17" x14ac:dyDescent="0.3">
      <c r="L9112" s="25"/>
      <c r="Q9112" s="17"/>
    </row>
    <row r="9113" spans="12:17" x14ac:dyDescent="0.3">
      <c r="L9113" s="25"/>
      <c r="Q9113" s="17"/>
    </row>
    <row r="9114" spans="12:17" x14ac:dyDescent="0.3">
      <c r="L9114" s="25"/>
      <c r="Q9114" s="17"/>
    </row>
    <row r="9115" spans="12:17" x14ac:dyDescent="0.3">
      <c r="L9115" s="25"/>
      <c r="Q9115" s="17"/>
    </row>
    <row r="9116" spans="12:17" x14ac:dyDescent="0.3">
      <c r="L9116" s="25"/>
      <c r="Q9116" s="17"/>
    </row>
    <row r="9117" spans="12:17" x14ac:dyDescent="0.3">
      <c r="L9117" s="25"/>
      <c r="Q9117" s="17"/>
    </row>
    <row r="9118" spans="12:17" x14ac:dyDescent="0.3">
      <c r="L9118" s="25"/>
      <c r="Q9118" s="17"/>
    </row>
    <row r="9119" spans="12:17" x14ac:dyDescent="0.3">
      <c r="L9119" s="25"/>
      <c r="Q9119" s="17"/>
    </row>
    <row r="9120" spans="12:17" x14ac:dyDescent="0.3">
      <c r="L9120" s="25"/>
      <c r="Q9120" s="17"/>
    </row>
    <row r="9121" spans="12:17" x14ac:dyDescent="0.3">
      <c r="L9121" s="25"/>
      <c r="Q9121" s="17"/>
    </row>
    <row r="9122" spans="12:17" x14ac:dyDescent="0.3">
      <c r="L9122" s="25"/>
      <c r="Q9122" s="17"/>
    </row>
    <row r="9123" spans="12:17" x14ac:dyDescent="0.3">
      <c r="L9123" s="25"/>
      <c r="Q9123" s="17"/>
    </row>
    <row r="9124" spans="12:17" x14ac:dyDescent="0.3">
      <c r="L9124" s="25"/>
      <c r="Q9124" s="17"/>
    </row>
    <row r="9125" spans="12:17" x14ac:dyDescent="0.3">
      <c r="L9125" s="25"/>
      <c r="Q9125" s="17"/>
    </row>
    <row r="9126" spans="12:17" x14ac:dyDescent="0.3">
      <c r="L9126" s="25"/>
      <c r="Q9126" s="17"/>
    </row>
    <row r="9127" spans="12:17" x14ac:dyDescent="0.3">
      <c r="L9127" s="25"/>
      <c r="Q9127" s="17"/>
    </row>
    <row r="9128" spans="12:17" x14ac:dyDescent="0.3">
      <c r="L9128" s="25"/>
      <c r="Q9128" s="17"/>
    </row>
    <row r="9129" spans="12:17" x14ac:dyDescent="0.3">
      <c r="L9129" s="25"/>
      <c r="Q9129" s="17"/>
    </row>
    <row r="9130" spans="12:17" x14ac:dyDescent="0.3">
      <c r="L9130" s="25"/>
      <c r="Q9130" s="17"/>
    </row>
    <row r="9131" spans="12:17" x14ac:dyDescent="0.3">
      <c r="L9131" s="25"/>
      <c r="Q9131" s="17"/>
    </row>
    <row r="9132" spans="12:17" x14ac:dyDescent="0.3">
      <c r="L9132" s="25"/>
      <c r="Q9132" s="17"/>
    </row>
    <row r="9133" spans="12:17" x14ac:dyDescent="0.3">
      <c r="L9133" s="25"/>
      <c r="Q9133" s="17"/>
    </row>
    <row r="9134" spans="12:17" x14ac:dyDescent="0.3">
      <c r="L9134" s="25"/>
      <c r="Q9134" s="17"/>
    </row>
    <row r="9135" spans="12:17" x14ac:dyDescent="0.3">
      <c r="L9135" s="25"/>
      <c r="Q9135" s="17"/>
    </row>
    <row r="9136" spans="12:17" x14ac:dyDescent="0.3">
      <c r="L9136" s="25"/>
      <c r="Q9136" s="17"/>
    </row>
    <row r="9137" spans="12:17" x14ac:dyDescent="0.3">
      <c r="L9137" s="25"/>
      <c r="Q9137" s="17"/>
    </row>
    <row r="9138" spans="12:17" x14ac:dyDescent="0.3">
      <c r="L9138" s="25"/>
      <c r="Q9138" s="17"/>
    </row>
    <row r="9139" spans="12:17" x14ac:dyDescent="0.3">
      <c r="L9139" s="25"/>
      <c r="Q9139" s="17"/>
    </row>
    <row r="9140" spans="12:17" x14ac:dyDescent="0.3">
      <c r="L9140" s="25"/>
      <c r="Q9140" s="17"/>
    </row>
    <row r="9141" spans="12:17" x14ac:dyDescent="0.3">
      <c r="L9141" s="25"/>
      <c r="Q9141" s="17"/>
    </row>
    <row r="9142" spans="12:17" x14ac:dyDescent="0.3">
      <c r="L9142" s="25"/>
      <c r="Q9142" s="17"/>
    </row>
    <row r="9143" spans="12:17" x14ac:dyDescent="0.3">
      <c r="L9143" s="25"/>
      <c r="Q9143" s="17"/>
    </row>
    <row r="9144" spans="12:17" x14ac:dyDescent="0.3">
      <c r="L9144" s="25"/>
      <c r="Q9144" s="17"/>
    </row>
    <row r="9145" spans="12:17" x14ac:dyDescent="0.3">
      <c r="L9145" s="25"/>
      <c r="Q9145" s="17"/>
    </row>
    <row r="9146" spans="12:17" x14ac:dyDescent="0.3">
      <c r="L9146" s="25"/>
      <c r="Q9146" s="17"/>
    </row>
    <row r="9147" spans="12:17" x14ac:dyDescent="0.3">
      <c r="L9147" s="25"/>
      <c r="Q9147" s="17"/>
    </row>
    <row r="9148" spans="12:17" x14ac:dyDescent="0.3">
      <c r="L9148" s="25"/>
      <c r="Q9148" s="17"/>
    </row>
    <row r="9149" spans="12:17" x14ac:dyDescent="0.3">
      <c r="L9149" s="25"/>
      <c r="Q9149" s="17"/>
    </row>
    <row r="9150" spans="12:17" x14ac:dyDescent="0.3">
      <c r="L9150" s="25"/>
      <c r="Q9150" s="17"/>
    </row>
    <row r="9151" spans="12:17" x14ac:dyDescent="0.3">
      <c r="L9151" s="25"/>
      <c r="Q9151" s="17"/>
    </row>
    <row r="9152" spans="12:17" x14ac:dyDescent="0.3">
      <c r="L9152" s="25"/>
      <c r="Q9152" s="17"/>
    </row>
    <row r="9153" spans="12:17" x14ac:dyDescent="0.3">
      <c r="L9153" s="25"/>
      <c r="Q9153" s="17"/>
    </row>
    <row r="9154" spans="12:17" x14ac:dyDescent="0.3">
      <c r="L9154" s="25"/>
      <c r="Q9154" s="17"/>
    </row>
    <row r="9155" spans="12:17" x14ac:dyDescent="0.3">
      <c r="L9155" s="25"/>
      <c r="Q9155" s="17"/>
    </row>
    <row r="9156" spans="12:17" x14ac:dyDescent="0.3">
      <c r="L9156" s="25"/>
      <c r="Q9156" s="17"/>
    </row>
    <row r="9157" spans="12:17" x14ac:dyDescent="0.3">
      <c r="L9157" s="25"/>
      <c r="Q9157" s="17"/>
    </row>
    <row r="9158" spans="12:17" x14ac:dyDescent="0.3">
      <c r="L9158" s="25"/>
      <c r="Q9158" s="17"/>
    </row>
    <row r="9159" spans="12:17" x14ac:dyDescent="0.3">
      <c r="L9159" s="25"/>
      <c r="Q9159" s="17"/>
    </row>
    <row r="9160" spans="12:17" x14ac:dyDescent="0.3">
      <c r="L9160" s="25"/>
      <c r="Q9160" s="17"/>
    </row>
    <row r="9161" spans="12:17" x14ac:dyDescent="0.3">
      <c r="L9161" s="25"/>
      <c r="Q9161" s="17"/>
    </row>
    <row r="9162" spans="12:17" x14ac:dyDescent="0.3">
      <c r="L9162" s="25"/>
      <c r="Q9162" s="17"/>
    </row>
    <row r="9163" spans="12:17" x14ac:dyDescent="0.3">
      <c r="L9163" s="25"/>
      <c r="Q9163" s="17"/>
    </row>
    <row r="9164" spans="12:17" x14ac:dyDescent="0.3">
      <c r="L9164" s="25"/>
      <c r="Q9164" s="17"/>
    </row>
    <row r="9165" spans="12:17" x14ac:dyDescent="0.3">
      <c r="L9165" s="25"/>
      <c r="Q9165" s="17"/>
    </row>
    <row r="9166" spans="12:17" x14ac:dyDescent="0.3">
      <c r="L9166" s="25"/>
      <c r="Q9166" s="17"/>
    </row>
    <row r="9167" spans="12:17" x14ac:dyDescent="0.3">
      <c r="L9167" s="25"/>
      <c r="Q9167" s="17"/>
    </row>
    <row r="9168" spans="12:17" x14ac:dyDescent="0.3">
      <c r="L9168" s="25"/>
      <c r="Q9168" s="17"/>
    </row>
    <row r="9169" spans="12:17" x14ac:dyDescent="0.3">
      <c r="L9169" s="25"/>
      <c r="Q9169" s="17"/>
    </row>
    <row r="9170" spans="12:17" x14ac:dyDescent="0.3">
      <c r="L9170" s="25"/>
      <c r="Q9170" s="17"/>
    </row>
    <row r="9171" spans="12:17" x14ac:dyDescent="0.3">
      <c r="L9171" s="25"/>
      <c r="Q9171" s="17"/>
    </row>
    <row r="9172" spans="12:17" x14ac:dyDescent="0.3">
      <c r="L9172" s="25"/>
      <c r="Q9172" s="17"/>
    </row>
    <row r="9173" spans="12:17" x14ac:dyDescent="0.3">
      <c r="L9173" s="25"/>
      <c r="Q9173" s="17"/>
    </row>
    <row r="9174" spans="12:17" x14ac:dyDescent="0.3">
      <c r="L9174" s="25"/>
      <c r="Q9174" s="17"/>
    </row>
    <row r="9175" spans="12:17" x14ac:dyDescent="0.3">
      <c r="L9175" s="25"/>
      <c r="Q9175" s="17"/>
    </row>
    <row r="9176" spans="12:17" x14ac:dyDescent="0.3">
      <c r="L9176" s="25"/>
      <c r="Q9176" s="17"/>
    </row>
    <row r="9177" spans="12:17" x14ac:dyDescent="0.3">
      <c r="L9177" s="25"/>
      <c r="Q9177" s="17"/>
    </row>
    <row r="9178" spans="12:17" x14ac:dyDescent="0.3">
      <c r="L9178" s="25"/>
      <c r="Q9178" s="17"/>
    </row>
    <row r="9179" spans="12:17" x14ac:dyDescent="0.3">
      <c r="L9179" s="25"/>
      <c r="Q9179" s="17"/>
    </row>
    <row r="9180" spans="12:17" x14ac:dyDescent="0.3">
      <c r="L9180" s="25"/>
      <c r="Q9180" s="17"/>
    </row>
    <row r="9181" spans="12:17" x14ac:dyDescent="0.3">
      <c r="L9181" s="25"/>
      <c r="Q9181" s="17"/>
    </row>
    <row r="9182" spans="12:17" x14ac:dyDescent="0.3">
      <c r="L9182" s="25"/>
      <c r="Q9182" s="17"/>
    </row>
    <row r="9183" spans="12:17" x14ac:dyDescent="0.3">
      <c r="L9183" s="25"/>
      <c r="Q9183" s="17"/>
    </row>
    <row r="9184" spans="12:17" x14ac:dyDescent="0.3">
      <c r="L9184" s="25"/>
      <c r="Q9184" s="17"/>
    </row>
    <row r="9185" spans="12:17" x14ac:dyDescent="0.3">
      <c r="L9185" s="25"/>
      <c r="Q9185" s="17"/>
    </row>
    <row r="9186" spans="12:17" x14ac:dyDescent="0.3">
      <c r="L9186" s="25"/>
      <c r="Q9186" s="17"/>
    </row>
    <row r="9187" spans="12:17" x14ac:dyDescent="0.3">
      <c r="L9187" s="25"/>
      <c r="Q9187" s="17"/>
    </row>
    <row r="9188" spans="12:17" x14ac:dyDescent="0.3">
      <c r="L9188" s="25"/>
      <c r="Q9188" s="17"/>
    </row>
    <row r="9189" spans="12:17" x14ac:dyDescent="0.3">
      <c r="L9189" s="25"/>
      <c r="Q9189" s="17"/>
    </row>
    <row r="9190" spans="12:17" x14ac:dyDescent="0.3">
      <c r="L9190" s="25"/>
      <c r="Q9190" s="17"/>
    </row>
    <row r="9191" spans="12:17" x14ac:dyDescent="0.3">
      <c r="L9191" s="25"/>
      <c r="Q9191" s="17"/>
    </row>
    <row r="9192" spans="12:17" x14ac:dyDescent="0.3">
      <c r="L9192" s="25"/>
      <c r="Q9192" s="17"/>
    </row>
    <row r="9193" spans="12:17" x14ac:dyDescent="0.3">
      <c r="L9193" s="25"/>
      <c r="Q9193" s="17"/>
    </row>
    <row r="9194" spans="12:17" x14ac:dyDescent="0.3">
      <c r="L9194" s="25"/>
      <c r="Q9194" s="17"/>
    </row>
    <row r="9195" spans="12:17" x14ac:dyDescent="0.3">
      <c r="L9195" s="25"/>
      <c r="Q9195" s="17"/>
    </row>
    <row r="9196" spans="12:17" x14ac:dyDescent="0.3">
      <c r="L9196" s="25"/>
      <c r="Q9196" s="17"/>
    </row>
    <row r="9197" spans="12:17" x14ac:dyDescent="0.3">
      <c r="L9197" s="25"/>
      <c r="Q9197" s="17"/>
    </row>
    <row r="9198" spans="12:17" x14ac:dyDescent="0.3">
      <c r="L9198" s="25"/>
      <c r="Q9198" s="17"/>
    </row>
    <row r="9199" spans="12:17" x14ac:dyDescent="0.3">
      <c r="L9199" s="25"/>
      <c r="Q9199" s="17"/>
    </row>
    <row r="9200" spans="12:17" x14ac:dyDescent="0.3">
      <c r="L9200" s="25"/>
      <c r="Q9200" s="17"/>
    </row>
    <row r="9201" spans="12:17" x14ac:dyDescent="0.3">
      <c r="L9201" s="25"/>
      <c r="Q9201" s="17"/>
    </row>
    <row r="9202" spans="12:17" x14ac:dyDescent="0.3">
      <c r="L9202" s="25"/>
      <c r="Q9202" s="17"/>
    </row>
    <row r="9203" spans="12:17" x14ac:dyDescent="0.3">
      <c r="L9203" s="25"/>
      <c r="Q9203" s="17"/>
    </row>
    <row r="9204" spans="12:17" x14ac:dyDescent="0.3">
      <c r="L9204" s="25"/>
      <c r="Q9204" s="17"/>
    </row>
    <row r="9205" spans="12:17" x14ac:dyDescent="0.3">
      <c r="L9205" s="25"/>
      <c r="Q9205" s="17"/>
    </row>
    <row r="9206" spans="12:17" x14ac:dyDescent="0.3">
      <c r="L9206" s="25"/>
      <c r="Q9206" s="17"/>
    </row>
    <row r="9207" spans="12:17" x14ac:dyDescent="0.3">
      <c r="L9207" s="25"/>
      <c r="Q9207" s="17"/>
    </row>
    <row r="9208" spans="12:17" x14ac:dyDescent="0.3">
      <c r="L9208" s="25"/>
      <c r="Q9208" s="17"/>
    </row>
    <row r="9209" spans="12:17" x14ac:dyDescent="0.3">
      <c r="L9209" s="25"/>
      <c r="Q9209" s="17"/>
    </row>
    <row r="9210" spans="12:17" x14ac:dyDescent="0.3">
      <c r="L9210" s="25"/>
      <c r="Q9210" s="17"/>
    </row>
    <row r="9211" spans="12:17" x14ac:dyDescent="0.3">
      <c r="L9211" s="25"/>
      <c r="Q9211" s="17"/>
    </row>
    <row r="9212" spans="12:17" x14ac:dyDescent="0.3">
      <c r="L9212" s="25"/>
      <c r="Q9212" s="17"/>
    </row>
    <row r="9213" spans="12:17" x14ac:dyDescent="0.3">
      <c r="L9213" s="25"/>
      <c r="Q9213" s="17"/>
    </row>
    <row r="9214" spans="12:17" x14ac:dyDescent="0.3">
      <c r="L9214" s="25"/>
      <c r="Q9214" s="17"/>
    </row>
    <row r="9215" spans="12:17" x14ac:dyDescent="0.3">
      <c r="L9215" s="25"/>
      <c r="Q9215" s="17"/>
    </row>
    <row r="9216" spans="12:17" x14ac:dyDescent="0.3">
      <c r="L9216" s="25"/>
      <c r="Q9216" s="17"/>
    </row>
    <row r="9217" spans="12:17" x14ac:dyDescent="0.3">
      <c r="L9217" s="25"/>
      <c r="Q9217" s="17"/>
    </row>
    <row r="9218" spans="12:17" x14ac:dyDescent="0.3">
      <c r="L9218" s="25"/>
      <c r="Q9218" s="17"/>
    </row>
    <row r="9219" spans="12:17" x14ac:dyDescent="0.3">
      <c r="L9219" s="25"/>
      <c r="Q9219" s="17"/>
    </row>
    <row r="9220" spans="12:17" x14ac:dyDescent="0.3">
      <c r="L9220" s="25"/>
      <c r="Q9220" s="17"/>
    </row>
    <row r="9221" spans="12:17" x14ac:dyDescent="0.3">
      <c r="L9221" s="25"/>
      <c r="Q9221" s="17"/>
    </row>
    <row r="9222" spans="12:17" x14ac:dyDescent="0.3">
      <c r="L9222" s="25"/>
      <c r="Q9222" s="17"/>
    </row>
    <row r="9223" spans="12:17" x14ac:dyDescent="0.3">
      <c r="L9223" s="25"/>
      <c r="Q9223" s="17"/>
    </row>
    <row r="9224" spans="12:17" x14ac:dyDescent="0.3">
      <c r="L9224" s="25"/>
      <c r="Q9224" s="17"/>
    </row>
    <row r="9225" spans="12:17" x14ac:dyDescent="0.3">
      <c r="L9225" s="25"/>
      <c r="Q9225" s="17"/>
    </row>
    <row r="9226" spans="12:17" x14ac:dyDescent="0.3">
      <c r="L9226" s="25"/>
      <c r="Q9226" s="17"/>
    </row>
    <row r="9227" spans="12:17" x14ac:dyDescent="0.3">
      <c r="L9227" s="25"/>
      <c r="Q9227" s="17"/>
    </row>
    <row r="9228" spans="12:17" x14ac:dyDescent="0.3">
      <c r="L9228" s="25"/>
      <c r="Q9228" s="17"/>
    </row>
    <row r="9229" spans="12:17" x14ac:dyDescent="0.3">
      <c r="L9229" s="25"/>
      <c r="Q9229" s="17"/>
    </row>
    <row r="9230" spans="12:17" x14ac:dyDescent="0.3">
      <c r="L9230" s="25"/>
      <c r="Q9230" s="17"/>
    </row>
    <row r="9231" spans="12:17" x14ac:dyDescent="0.3">
      <c r="L9231" s="25"/>
      <c r="Q9231" s="17"/>
    </row>
    <row r="9232" spans="12:17" x14ac:dyDescent="0.3">
      <c r="L9232" s="25"/>
      <c r="Q9232" s="17"/>
    </row>
    <row r="9233" spans="12:17" x14ac:dyDescent="0.3">
      <c r="L9233" s="25"/>
      <c r="Q9233" s="17"/>
    </row>
    <row r="9234" spans="12:17" x14ac:dyDescent="0.3">
      <c r="L9234" s="25"/>
      <c r="Q9234" s="17"/>
    </row>
    <row r="9235" spans="12:17" x14ac:dyDescent="0.3">
      <c r="L9235" s="25"/>
      <c r="Q9235" s="17"/>
    </row>
    <row r="9236" spans="12:17" x14ac:dyDescent="0.3">
      <c r="L9236" s="25"/>
      <c r="Q9236" s="17"/>
    </row>
    <row r="9237" spans="12:17" x14ac:dyDescent="0.3">
      <c r="L9237" s="25"/>
      <c r="Q9237" s="17"/>
    </row>
    <row r="9238" spans="12:17" x14ac:dyDescent="0.3">
      <c r="L9238" s="25"/>
      <c r="Q9238" s="17"/>
    </row>
    <row r="9239" spans="12:17" x14ac:dyDescent="0.3">
      <c r="L9239" s="25"/>
      <c r="Q9239" s="17"/>
    </row>
    <row r="9240" spans="12:17" x14ac:dyDescent="0.3">
      <c r="L9240" s="25"/>
      <c r="Q9240" s="17"/>
    </row>
    <row r="9241" spans="12:17" x14ac:dyDescent="0.3">
      <c r="L9241" s="25"/>
      <c r="Q9241" s="17"/>
    </row>
    <row r="9242" spans="12:17" x14ac:dyDescent="0.3">
      <c r="L9242" s="25"/>
      <c r="Q9242" s="17"/>
    </row>
    <row r="9243" spans="12:17" x14ac:dyDescent="0.3">
      <c r="L9243" s="25"/>
      <c r="Q9243" s="17"/>
    </row>
    <row r="9244" spans="12:17" x14ac:dyDescent="0.3">
      <c r="L9244" s="25"/>
      <c r="Q9244" s="17"/>
    </row>
    <row r="9245" spans="12:17" x14ac:dyDescent="0.3">
      <c r="L9245" s="25"/>
      <c r="Q9245" s="17"/>
    </row>
    <row r="9246" spans="12:17" x14ac:dyDescent="0.3">
      <c r="L9246" s="25"/>
      <c r="Q9246" s="17"/>
    </row>
    <row r="9247" spans="12:17" x14ac:dyDescent="0.3">
      <c r="L9247" s="25"/>
      <c r="Q9247" s="17"/>
    </row>
    <row r="9248" spans="12:17" x14ac:dyDescent="0.3">
      <c r="L9248" s="25"/>
      <c r="Q9248" s="17"/>
    </row>
    <row r="9249" spans="12:17" x14ac:dyDescent="0.3">
      <c r="L9249" s="25"/>
      <c r="Q9249" s="17"/>
    </row>
    <row r="9250" spans="12:17" x14ac:dyDescent="0.3">
      <c r="L9250" s="25"/>
      <c r="Q9250" s="17"/>
    </row>
    <row r="9251" spans="12:17" x14ac:dyDescent="0.3">
      <c r="L9251" s="25"/>
      <c r="Q9251" s="17"/>
    </row>
    <row r="9252" spans="12:17" x14ac:dyDescent="0.3">
      <c r="L9252" s="25"/>
      <c r="Q9252" s="17"/>
    </row>
    <row r="9253" spans="12:17" x14ac:dyDescent="0.3">
      <c r="L9253" s="25"/>
      <c r="Q9253" s="17"/>
    </row>
    <row r="9254" spans="12:17" x14ac:dyDescent="0.3">
      <c r="L9254" s="25"/>
      <c r="Q9254" s="17"/>
    </row>
    <row r="9255" spans="12:17" x14ac:dyDescent="0.3">
      <c r="L9255" s="25"/>
      <c r="Q9255" s="17"/>
    </row>
    <row r="9256" spans="12:17" x14ac:dyDescent="0.3">
      <c r="L9256" s="25"/>
      <c r="Q9256" s="17"/>
    </row>
    <row r="9257" spans="12:17" x14ac:dyDescent="0.3">
      <c r="L9257" s="25"/>
      <c r="Q9257" s="17"/>
    </row>
    <row r="9258" spans="12:17" x14ac:dyDescent="0.3">
      <c r="L9258" s="25"/>
      <c r="Q9258" s="17"/>
    </row>
    <row r="9259" spans="12:17" x14ac:dyDescent="0.3">
      <c r="L9259" s="25"/>
      <c r="Q9259" s="17"/>
    </row>
    <row r="9260" spans="12:17" x14ac:dyDescent="0.3">
      <c r="L9260" s="25"/>
      <c r="Q9260" s="17"/>
    </row>
    <row r="9261" spans="12:17" x14ac:dyDescent="0.3">
      <c r="L9261" s="25"/>
      <c r="Q9261" s="17"/>
    </row>
    <row r="9262" spans="12:17" x14ac:dyDescent="0.3">
      <c r="L9262" s="25"/>
      <c r="Q9262" s="17"/>
    </row>
    <row r="9263" spans="12:17" x14ac:dyDescent="0.3">
      <c r="L9263" s="25"/>
      <c r="Q9263" s="17"/>
    </row>
    <row r="9264" spans="12:17" x14ac:dyDescent="0.3">
      <c r="L9264" s="25"/>
      <c r="Q9264" s="17"/>
    </row>
    <row r="9265" spans="12:17" x14ac:dyDescent="0.3">
      <c r="L9265" s="25"/>
      <c r="Q9265" s="17"/>
    </row>
    <row r="9266" spans="12:17" x14ac:dyDescent="0.3">
      <c r="L9266" s="25"/>
      <c r="Q9266" s="17"/>
    </row>
    <row r="9267" spans="12:17" x14ac:dyDescent="0.3">
      <c r="L9267" s="25"/>
      <c r="Q9267" s="17"/>
    </row>
    <row r="9268" spans="12:17" x14ac:dyDescent="0.3">
      <c r="L9268" s="25"/>
      <c r="Q9268" s="17"/>
    </row>
    <row r="9269" spans="12:17" x14ac:dyDescent="0.3">
      <c r="L9269" s="25"/>
      <c r="Q9269" s="17"/>
    </row>
    <row r="9270" spans="12:17" x14ac:dyDescent="0.3">
      <c r="L9270" s="25"/>
      <c r="Q9270" s="17"/>
    </row>
    <row r="9271" spans="12:17" x14ac:dyDescent="0.3">
      <c r="L9271" s="25"/>
      <c r="Q9271" s="17"/>
    </row>
    <row r="9272" spans="12:17" x14ac:dyDescent="0.3">
      <c r="L9272" s="25"/>
      <c r="Q9272" s="17"/>
    </row>
    <row r="9273" spans="12:17" x14ac:dyDescent="0.3">
      <c r="L9273" s="25"/>
      <c r="Q9273" s="17"/>
    </row>
    <row r="9274" spans="12:17" x14ac:dyDescent="0.3">
      <c r="L9274" s="25"/>
      <c r="Q9274" s="17"/>
    </row>
    <row r="9275" spans="12:17" x14ac:dyDescent="0.3">
      <c r="L9275" s="25"/>
      <c r="Q9275" s="17"/>
    </row>
    <row r="9276" spans="12:17" x14ac:dyDescent="0.3">
      <c r="L9276" s="25"/>
      <c r="Q9276" s="17"/>
    </row>
    <row r="9277" spans="12:17" x14ac:dyDescent="0.3">
      <c r="L9277" s="25"/>
      <c r="Q9277" s="17"/>
    </row>
    <row r="9278" spans="12:17" x14ac:dyDescent="0.3">
      <c r="L9278" s="25"/>
      <c r="Q9278" s="17"/>
    </row>
    <row r="9279" spans="12:17" x14ac:dyDescent="0.3">
      <c r="L9279" s="25"/>
      <c r="Q9279" s="17"/>
    </row>
    <row r="9280" spans="12:17" x14ac:dyDescent="0.3">
      <c r="L9280" s="25"/>
      <c r="Q9280" s="17"/>
    </row>
    <row r="9281" spans="12:17" x14ac:dyDescent="0.3">
      <c r="L9281" s="25"/>
      <c r="Q9281" s="17"/>
    </row>
    <row r="9282" spans="12:17" x14ac:dyDescent="0.3">
      <c r="L9282" s="25"/>
      <c r="Q9282" s="17"/>
    </row>
    <row r="9283" spans="12:17" x14ac:dyDescent="0.3">
      <c r="L9283" s="25"/>
      <c r="Q9283" s="17"/>
    </row>
    <row r="9284" spans="12:17" x14ac:dyDescent="0.3">
      <c r="L9284" s="25"/>
      <c r="Q9284" s="17"/>
    </row>
    <row r="9285" spans="12:17" x14ac:dyDescent="0.3">
      <c r="L9285" s="25"/>
      <c r="Q9285" s="17"/>
    </row>
    <row r="9286" spans="12:17" x14ac:dyDescent="0.3">
      <c r="L9286" s="25"/>
      <c r="Q9286" s="17"/>
    </row>
    <row r="9287" spans="12:17" x14ac:dyDescent="0.3">
      <c r="L9287" s="25"/>
      <c r="Q9287" s="17"/>
    </row>
    <row r="9288" spans="12:17" x14ac:dyDescent="0.3">
      <c r="L9288" s="25"/>
      <c r="Q9288" s="17"/>
    </row>
    <row r="9289" spans="12:17" x14ac:dyDescent="0.3">
      <c r="L9289" s="25"/>
      <c r="Q9289" s="17"/>
    </row>
    <row r="9290" spans="12:17" x14ac:dyDescent="0.3">
      <c r="L9290" s="25"/>
      <c r="Q9290" s="17"/>
    </row>
    <row r="9291" spans="12:17" x14ac:dyDescent="0.3">
      <c r="L9291" s="25"/>
      <c r="Q9291" s="17"/>
    </row>
    <row r="9292" spans="12:17" x14ac:dyDescent="0.3">
      <c r="L9292" s="25"/>
      <c r="Q9292" s="17"/>
    </row>
    <row r="9293" spans="12:17" x14ac:dyDescent="0.3">
      <c r="L9293" s="25"/>
      <c r="Q9293" s="17"/>
    </row>
    <row r="9294" spans="12:17" x14ac:dyDescent="0.3">
      <c r="L9294" s="25"/>
      <c r="Q9294" s="17"/>
    </row>
    <row r="9295" spans="12:17" x14ac:dyDescent="0.3">
      <c r="L9295" s="25"/>
      <c r="Q9295" s="17"/>
    </row>
    <row r="9296" spans="12:17" x14ac:dyDescent="0.3">
      <c r="L9296" s="25"/>
      <c r="Q9296" s="17"/>
    </row>
    <row r="9297" spans="12:17" x14ac:dyDescent="0.3">
      <c r="L9297" s="25"/>
      <c r="Q9297" s="17"/>
    </row>
    <row r="9298" spans="12:17" x14ac:dyDescent="0.3">
      <c r="L9298" s="25"/>
      <c r="Q9298" s="17"/>
    </row>
    <row r="9299" spans="12:17" x14ac:dyDescent="0.3">
      <c r="L9299" s="25"/>
      <c r="Q9299" s="17"/>
    </row>
    <row r="9300" spans="12:17" x14ac:dyDescent="0.3">
      <c r="L9300" s="25"/>
      <c r="Q9300" s="17"/>
    </row>
    <row r="9301" spans="12:17" x14ac:dyDescent="0.3">
      <c r="L9301" s="25"/>
      <c r="Q9301" s="17"/>
    </row>
    <row r="9302" spans="12:17" x14ac:dyDescent="0.3">
      <c r="L9302" s="25"/>
      <c r="Q9302" s="17"/>
    </row>
    <row r="9303" spans="12:17" x14ac:dyDescent="0.3">
      <c r="L9303" s="25"/>
      <c r="Q9303" s="17"/>
    </row>
    <row r="9304" spans="12:17" x14ac:dyDescent="0.3">
      <c r="L9304" s="25"/>
      <c r="Q9304" s="17"/>
    </row>
    <row r="9305" spans="12:17" x14ac:dyDescent="0.3">
      <c r="L9305" s="25"/>
      <c r="Q9305" s="17"/>
    </row>
    <row r="9306" spans="12:17" x14ac:dyDescent="0.3">
      <c r="L9306" s="25"/>
      <c r="Q9306" s="17"/>
    </row>
    <row r="9307" spans="12:17" x14ac:dyDescent="0.3">
      <c r="L9307" s="25"/>
      <c r="Q9307" s="17"/>
    </row>
    <row r="9308" spans="12:17" x14ac:dyDescent="0.3">
      <c r="L9308" s="25"/>
      <c r="Q9308" s="17"/>
    </row>
    <row r="9309" spans="12:17" x14ac:dyDescent="0.3">
      <c r="L9309" s="25"/>
      <c r="Q9309" s="17"/>
    </row>
    <row r="9310" spans="12:17" x14ac:dyDescent="0.3">
      <c r="L9310" s="25"/>
      <c r="Q9310" s="17"/>
    </row>
    <row r="9311" spans="12:17" x14ac:dyDescent="0.3">
      <c r="L9311" s="25"/>
      <c r="Q9311" s="17"/>
    </row>
    <row r="9312" spans="12:17" x14ac:dyDescent="0.3">
      <c r="L9312" s="25"/>
      <c r="Q9312" s="17"/>
    </row>
    <row r="9313" spans="12:17" x14ac:dyDescent="0.3">
      <c r="L9313" s="25"/>
      <c r="Q9313" s="17"/>
    </row>
    <row r="9314" spans="12:17" x14ac:dyDescent="0.3">
      <c r="L9314" s="25"/>
      <c r="Q9314" s="17"/>
    </row>
    <row r="9315" spans="12:17" x14ac:dyDescent="0.3">
      <c r="L9315" s="25"/>
      <c r="Q9315" s="17"/>
    </row>
    <row r="9316" spans="12:17" x14ac:dyDescent="0.3">
      <c r="L9316" s="25"/>
      <c r="Q9316" s="17"/>
    </row>
    <row r="9317" spans="12:17" x14ac:dyDescent="0.3">
      <c r="L9317" s="25"/>
      <c r="Q9317" s="17"/>
    </row>
    <row r="9318" spans="12:17" x14ac:dyDescent="0.3">
      <c r="L9318" s="25"/>
      <c r="Q9318" s="17"/>
    </row>
    <row r="9319" spans="12:17" x14ac:dyDescent="0.3">
      <c r="L9319" s="25"/>
      <c r="Q9319" s="17"/>
    </row>
    <row r="9320" spans="12:17" x14ac:dyDescent="0.3">
      <c r="L9320" s="25"/>
      <c r="Q9320" s="17"/>
    </row>
    <row r="9321" spans="12:17" x14ac:dyDescent="0.3">
      <c r="L9321" s="25"/>
      <c r="Q9321" s="17"/>
    </row>
    <row r="9322" spans="12:17" x14ac:dyDescent="0.3">
      <c r="L9322" s="25"/>
      <c r="Q9322" s="17"/>
    </row>
    <row r="9323" spans="12:17" x14ac:dyDescent="0.3">
      <c r="L9323" s="25"/>
      <c r="Q9323" s="17"/>
    </row>
    <row r="9324" spans="12:17" x14ac:dyDescent="0.3">
      <c r="L9324" s="25"/>
      <c r="Q9324" s="17"/>
    </row>
    <row r="9325" spans="12:17" x14ac:dyDescent="0.3">
      <c r="L9325" s="25"/>
      <c r="Q9325" s="17"/>
    </row>
    <row r="9326" spans="12:17" x14ac:dyDescent="0.3">
      <c r="L9326" s="25"/>
      <c r="Q9326" s="17"/>
    </row>
    <row r="9327" spans="12:17" x14ac:dyDescent="0.3">
      <c r="L9327" s="25"/>
      <c r="Q9327" s="17"/>
    </row>
    <row r="9328" spans="12:17" x14ac:dyDescent="0.3">
      <c r="L9328" s="25"/>
      <c r="Q9328" s="17"/>
    </row>
    <row r="9329" spans="12:17" x14ac:dyDescent="0.3">
      <c r="L9329" s="25"/>
      <c r="Q9329" s="17"/>
    </row>
    <row r="9330" spans="12:17" x14ac:dyDescent="0.3">
      <c r="L9330" s="25"/>
      <c r="Q9330" s="17"/>
    </row>
    <row r="9331" spans="12:17" x14ac:dyDescent="0.3">
      <c r="L9331" s="25"/>
      <c r="Q9331" s="17"/>
    </row>
    <row r="9332" spans="12:17" x14ac:dyDescent="0.3">
      <c r="L9332" s="25"/>
      <c r="Q9332" s="17"/>
    </row>
    <row r="9333" spans="12:17" x14ac:dyDescent="0.3">
      <c r="L9333" s="25"/>
      <c r="Q9333" s="17"/>
    </row>
    <row r="9334" spans="12:17" x14ac:dyDescent="0.3">
      <c r="L9334" s="25"/>
      <c r="Q9334" s="17"/>
    </row>
    <row r="9335" spans="12:17" x14ac:dyDescent="0.3">
      <c r="L9335" s="25"/>
      <c r="Q9335" s="17"/>
    </row>
    <row r="9336" spans="12:17" x14ac:dyDescent="0.3">
      <c r="L9336" s="25"/>
      <c r="Q9336" s="17"/>
    </row>
    <row r="9337" spans="12:17" x14ac:dyDescent="0.3">
      <c r="L9337" s="25"/>
      <c r="Q9337" s="17"/>
    </row>
    <row r="9338" spans="12:17" x14ac:dyDescent="0.3">
      <c r="L9338" s="25"/>
      <c r="Q9338" s="17"/>
    </row>
    <row r="9339" spans="12:17" x14ac:dyDescent="0.3">
      <c r="L9339" s="25"/>
      <c r="Q9339" s="17"/>
    </row>
    <row r="9340" spans="12:17" x14ac:dyDescent="0.3">
      <c r="L9340" s="25"/>
      <c r="Q9340" s="17"/>
    </row>
    <row r="9341" spans="12:17" x14ac:dyDescent="0.3">
      <c r="L9341" s="25"/>
      <c r="Q9341" s="17"/>
    </row>
    <row r="9342" spans="12:17" x14ac:dyDescent="0.3">
      <c r="L9342" s="25"/>
      <c r="Q9342" s="17"/>
    </row>
    <row r="9343" spans="12:17" x14ac:dyDescent="0.3">
      <c r="L9343" s="25"/>
      <c r="Q9343" s="17"/>
    </row>
    <row r="9344" spans="12:17" x14ac:dyDescent="0.3">
      <c r="L9344" s="25"/>
      <c r="Q9344" s="17"/>
    </row>
    <row r="9345" spans="12:17" x14ac:dyDescent="0.3">
      <c r="L9345" s="25"/>
      <c r="Q9345" s="17"/>
    </row>
    <row r="9346" spans="12:17" x14ac:dyDescent="0.3">
      <c r="L9346" s="25"/>
      <c r="Q9346" s="17"/>
    </row>
    <row r="9347" spans="12:17" x14ac:dyDescent="0.3">
      <c r="L9347" s="25"/>
      <c r="Q9347" s="17"/>
    </row>
    <row r="9348" spans="12:17" x14ac:dyDescent="0.3">
      <c r="L9348" s="25"/>
      <c r="Q9348" s="17"/>
    </row>
    <row r="9349" spans="12:17" x14ac:dyDescent="0.3">
      <c r="L9349" s="25"/>
      <c r="Q9349" s="17"/>
    </row>
    <row r="9350" spans="12:17" x14ac:dyDescent="0.3">
      <c r="L9350" s="25"/>
      <c r="Q9350" s="17"/>
    </row>
    <row r="9351" spans="12:17" x14ac:dyDescent="0.3">
      <c r="L9351" s="25"/>
      <c r="Q9351" s="17"/>
    </row>
    <row r="9352" spans="12:17" x14ac:dyDescent="0.3">
      <c r="L9352" s="25"/>
      <c r="Q9352" s="17"/>
    </row>
    <row r="9353" spans="12:17" x14ac:dyDescent="0.3">
      <c r="L9353" s="25"/>
      <c r="Q9353" s="17"/>
    </row>
    <row r="9354" spans="12:17" x14ac:dyDescent="0.3">
      <c r="L9354" s="25"/>
      <c r="Q9354" s="17"/>
    </row>
    <row r="9355" spans="12:17" x14ac:dyDescent="0.3">
      <c r="L9355" s="25"/>
      <c r="Q9355" s="17"/>
    </row>
    <row r="9356" spans="12:17" x14ac:dyDescent="0.3">
      <c r="L9356" s="25"/>
      <c r="Q9356" s="17"/>
    </row>
    <row r="9357" spans="12:17" x14ac:dyDescent="0.3">
      <c r="L9357" s="25"/>
      <c r="Q9357" s="17"/>
    </row>
    <row r="9358" spans="12:17" x14ac:dyDescent="0.3">
      <c r="L9358" s="25"/>
      <c r="Q9358" s="17"/>
    </row>
    <row r="9359" spans="12:17" x14ac:dyDescent="0.3">
      <c r="L9359" s="25"/>
      <c r="Q9359" s="17"/>
    </row>
    <row r="9360" spans="12:17" x14ac:dyDescent="0.3">
      <c r="L9360" s="25"/>
      <c r="Q9360" s="17"/>
    </row>
    <row r="9361" spans="12:17" x14ac:dyDescent="0.3">
      <c r="L9361" s="25"/>
      <c r="Q9361" s="17"/>
    </row>
    <row r="9362" spans="12:17" x14ac:dyDescent="0.3">
      <c r="L9362" s="25"/>
      <c r="Q9362" s="17"/>
    </row>
    <row r="9363" spans="12:17" x14ac:dyDescent="0.3">
      <c r="L9363" s="25"/>
      <c r="Q9363" s="17"/>
    </row>
    <row r="9364" spans="12:17" x14ac:dyDescent="0.3">
      <c r="L9364" s="25"/>
      <c r="Q9364" s="17"/>
    </row>
    <row r="9365" spans="12:17" x14ac:dyDescent="0.3">
      <c r="L9365" s="25"/>
      <c r="Q9365" s="17"/>
    </row>
    <row r="9366" spans="12:17" x14ac:dyDescent="0.3">
      <c r="L9366" s="25"/>
      <c r="Q9366" s="17"/>
    </row>
    <row r="9367" spans="12:17" x14ac:dyDescent="0.3">
      <c r="L9367" s="25"/>
      <c r="Q9367" s="17"/>
    </row>
    <row r="9368" spans="12:17" x14ac:dyDescent="0.3">
      <c r="L9368" s="25"/>
      <c r="Q9368" s="17"/>
    </row>
    <row r="9369" spans="12:17" x14ac:dyDescent="0.3">
      <c r="L9369" s="25"/>
      <c r="Q9369" s="17"/>
    </row>
    <row r="9370" spans="12:17" x14ac:dyDescent="0.3">
      <c r="L9370" s="25"/>
      <c r="Q9370" s="17"/>
    </row>
    <row r="9371" spans="12:17" x14ac:dyDescent="0.3">
      <c r="L9371" s="25"/>
      <c r="Q9371" s="17"/>
    </row>
    <row r="9372" spans="12:17" x14ac:dyDescent="0.3">
      <c r="L9372" s="25"/>
      <c r="Q9372" s="17"/>
    </row>
    <row r="9373" spans="12:17" x14ac:dyDescent="0.3">
      <c r="L9373" s="25"/>
      <c r="Q9373" s="17"/>
    </row>
    <row r="9374" spans="12:17" x14ac:dyDescent="0.3">
      <c r="L9374" s="25"/>
      <c r="Q9374" s="17"/>
    </row>
    <row r="9375" spans="12:17" x14ac:dyDescent="0.3">
      <c r="L9375" s="25"/>
      <c r="Q9375" s="17"/>
    </row>
    <row r="9376" spans="12:17" x14ac:dyDescent="0.3">
      <c r="L9376" s="25"/>
      <c r="Q9376" s="17"/>
    </row>
    <row r="9377" spans="12:17" x14ac:dyDescent="0.3">
      <c r="L9377" s="25"/>
      <c r="Q9377" s="17"/>
    </row>
    <row r="9378" spans="12:17" x14ac:dyDescent="0.3">
      <c r="L9378" s="25"/>
      <c r="Q9378" s="17"/>
    </row>
    <row r="9379" spans="12:17" x14ac:dyDescent="0.3">
      <c r="L9379" s="25"/>
      <c r="Q9379" s="17"/>
    </row>
    <row r="9380" spans="12:17" x14ac:dyDescent="0.3">
      <c r="L9380" s="25"/>
      <c r="Q9380" s="17"/>
    </row>
    <row r="9381" spans="12:17" x14ac:dyDescent="0.3">
      <c r="L9381" s="25"/>
      <c r="Q9381" s="17"/>
    </row>
    <row r="9382" spans="12:17" x14ac:dyDescent="0.3">
      <c r="L9382" s="25"/>
      <c r="Q9382" s="17"/>
    </row>
    <row r="9383" spans="12:17" x14ac:dyDescent="0.3">
      <c r="L9383" s="25"/>
      <c r="Q9383" s="17"/>
    </row>
    <row r="9384" spans="12:17" x14ac:dyDescent="0.3">
      <c r="L9384" s="25"/>
      <c r="Q9384" s="17"/>
    </row>
    <row r="9385" spans="12:17" x14ac:dyDescent="0.3">
      <c r="L9385" s="25"/>
      <c r="Q9385" s="17"/>
    </row>
    <row r="9386" spans="12:17" x14ac:dyDescent="0.3">
      <c r="L9386" s="25"/>
      <c r="Q9386" s="17"/>
    </row>
    <row r="9387" spans="12:17" x14ac:dyDescent="0.3">
      <c r="L9387" s="25"/>
      <c r="Q9387" s="17"/>
    </row>
    <row r="9388" spans="12:17" x14ac:dyDescent="0.3">
      <c r="L9388" s="25"/>
      <c r="Q9388" s="17"/>
    </row>
    <row r="9389" spans="12:17" x14ac:dyDescent="0.3">
      <c r="L9389" s="25"/>
      <c r="Q9389" s="17"/>
    </row>
    <row r="9390" spans="12:17" x14ac:dyDescent="0.3">
      <c r="L9390" s="25"/>
      <c r="Q9390" s="17"/>
    </row>
    <row r="9391" spans="12:17" x14ac:dyDescent="0.3">
      <c r="L9391" s="25"/>
      <c r="Q9391" s="17"/>
    </row>
    <row r="9392" spans="12:17" x14ac:dyDescent="0.3">
      <c r="L9392" s="25"/>
      <c r="Q9392" s="17"/>
    </row>
    <row r="9393" spans="12:17" x14ac:dyDescent="0.3">
      <c r="L9393" s="25"/>
      <c r="Q9393" s="17"/>
    </row>
    <row r="9394" spans="12:17" x14ac:dyDescent="0.3">
      <c r="L9394" s="25"/>
      <c r="Q9394" s="17"/>
    </row>
    <row r="9395" spans="12:17" x14ac:dyDescent="0.3">
      <c r="L9395" s="25"/>
      <c r="Q9395" s="17"/>
    </row>
    <row r="9396" spans="12:17" x14ac:dyDescent="0.3">
      <c r="L9396" s="25"/>
      <c r="Q9396" s="17"/>
    </row>
    <row r="9397" spans="12:17" x14ac:dyDescent="0.3">
      <c r="L9397" s="25"/>
      <c r="Q9397" s="17"/>
    </row>
    <row r="9398" spans="12:17" x14ac:dyDescent="0.3">
      <c r="L9398" s="25"/>
      <c r="Q9398" s="17"/>
    </row>
    <row r="9399" spans="12:17" x14ac:dyDescent="0.3">
      <c r="L9399" s="25"/>
      <c r="Q9399" s="17"/>
    </row>
    <row r="9400" spans="12:17" x14ac:dyDescent="0.3">
      <c r="L9400" s="25"/>
      <c r="Q9400" s="17"/>
    </row>
    <row r="9401" spans="12:17" x14ac:dyDescent="0.3">
      <c r="L9401" s="25"/>
      <c r="Q9401" s="17"/>
    </row>
    <row r="9402" spans="12:17" x14ac:dyDescent="0.3">
      <c r="L9402" s="25"/>
      <c r="Q9402" s="17"/>
    </row>
    <row r="9403" spans="12:17" x14ac:dyDescent="0.3">
      <c r="L9403" s="25"/>
      <c r="Q9403" s="17"/>
    </row>
    <row r="9404" spans="12:17" x14ac:dyDescent="0.3">
      <c r="L9404" s="25"/>
      <c r="Q9404" s="17"/>
    </row>
    <row r="9405" spans="12:17" x14ac:dyDescent="0.3">
      <c r="L9405" s="25"/>
      <c r="Q9405" s="17"/>
    </row>
    <row r="9406" spans="12:17" x14ac:dyDescent="0.3">
      <c r="L9406" s="25"/>
      <c r="Q9406" s="17"/>
    </row>
    <row r="9407" spans="12:17" x14ac:dyDescent="0.3">
      <c r="L9407" s="25"/>
      <c r="Q9407" s="17"/>
    </row>
    <row r="9408" spans="12:17" x14ac:dyDescent="0.3">
      <c r="L9408" s="25"/>
      <c r="Q9408" s="17"/>
    </row>
    <row r="9409" spans="12:17" x14ac:dyDescent="0.3">
      <c r="L9409" s="25"/>
      <c r="Q9409" s="17"/>
    </row>
    <row r="9410" spans="12:17" x14ac:dyDescent="0.3">
      <c r="L9410" s="25"/>
      <c r="Q9410" s="17"/>
    </row>
    <row r="9411" spans="12:17" x14ac:dyDescent="0.3">
      <c r="L9411" s="25"/>
      <c r="Q9411" s="17"/>
    </row>
    <row r="9412" spans="12:17" x14ac:dyDescent="0.3">
      <c r="L9412" s="25"/>
      <c r="Q9412" s="17"/>
    </row>
    <row r="9413" spans="12:17" x14ac:dyDescent="0.3">
      <c r="L9413" s="25"/>
      <c r="Q9413" s="17"/>
    </row>
    <row r="9414" spans="12:17" x14ac:dyDescent="0.3">
      <c r="L9414" s="25"/>
      <c r="Q9414" s="17"/>
    </row>
    <row r="9415" spans="12:17" x14ac:dyDescent="0.3">
      <c r="L9415" s="25"/>
      <c r="Q9415" s="17"/>
    </row>
    <row r="9416" spans="12:17" x14ac:dyDescent="0.3">
      <c r="L9416" s="25"/>
      <c r="Q9416" s="17"/>
    </row>
    <row r="9417" spans="12:17" x14ac:dyDescent="0.3">
      <c r="L9417" s="25"/>
      <c r="Q9417" s="17"/>
    </row>
    <row r="9418" spans="12:17" x14ac:dyDescent="0.3">
      <c r="L9418" s="25"/>
      <c r="Q9418" s="17"/>
    </row>
    <row r="9419" spans="12:17" x14ac:dyDescent="0.3">
      <c r="L9419" s="25"/>
      <c r="Q9419" s="17"/>
    </row>
    <row r="9420" spans="12:17" x14ac:dyDescent="0.3">
      <c r="L9420" s="25"/>
      <c r="Q9420" s="17"/>
    </row>
    <row r="9421" spans="12:17" x14ac:dyDescent="0.3">
      <c r="L9421" s="25"/>
      <c r="Q9421" s="17"/>
    </row>
    <row r="9422" spans="12:17" x14ac:dyDescent="0.3">
      <c r="L9422" s="25"/>
      <c r="Q9422" s="17"/>
    </row>
    <row r="9423" spans="12:17" x14ac:dyDescent="0.3">
      <c r="L9423" s="25"/>
      <c r="Q9423" s="17"/>
    </row>
    <row r="9424" spans="12:17" x14ac:dyDescent="0.3">
      <c r="L9424" s="25"/>
      <c r="Q9424" s="17"/>
    </row>
    <row r="9425" spans="12:17" x14ac:dyDescent="0.3">
      <c r="L9425" s="25"/>
      <c r="Q9425" s="17"/>
    </row>
    <row r="9426" spans="12:17" x14ac:dyDescent="0.3">
      <c r="L9426" s="25"/>
      <c r="Q9426" s="17"/>
    </row>
    <row r="9427" spans="12:17" x14ac:dyDescent="0.3">
      <c r="L9427" s="25"/>
      <c r="Q9427" s="17"/>
    </row>
    <row r="9428" spans="12:17" x14ac:dyDescent="0.3">
      <c r="L9428" s="25"/>
      <c r="Q9428" s="17"/>
    </row>
    <row r="9429" spans="12:17" x14ac:dyDescent="0.3">
      <c r="L9429" s="25"/>
      <c r="Q9429" s="17"/>
    </row>
    <row r="9430" spans="12:17" x14ac:dyDescent="0.3">
      <c r="L9430" s="25"/>
      <c r="Q9430" s="17"/>
    </row>
    <row r="9431" spans="12:17" x14ac:dyDescent="0.3">
      <c r="L9431" s="25"/>
      <c r="Q9431" s="17"/>
    </row>
    <row r="9432" spans="12:17" x14ac:dyDescent="0.3">
      <c r="L9432" s="25"/>
      <c r="Q9432" s="17"/>
    </row>
    <row r="9433" spans="12:17" x14ac:dyDescent="0.3">
      <c r="L9433" s="25"/>
      <c r="Q9433" s="17"/>
    </row>
    <row r="9434" spans="12:17" x14ac:dyDescent="0.3">
      <c r="L9434" s="25"/>
      <c r="Q9434" s="17"/>
    </row>
    <row r="9435" spans="12:17" x14ac:dyDescent="0.3">
      <c r="L9435" s="25"/>
      <c r="Q9435" s="17"/>
    </row>
    <row r="9436" spans="12:17" x14ac:dyDescent="0.3">
      <c r="L9436" s="25"/>
      <c r="Q9436" s="17"/>
    </row>
    <row r="9437" spans="12:17" x14ac:dyDescent="0.3">
      <c r="L9437" s="25"/>
      <c r="Q9437" s="17"/>
    </row>
    <row r="9438" spans="12:17" x14ac:dyDescent="0.3">
      <c r="L9438" s="25"/>
      <c r="Q9438" s="17"/>
    </row>
    <row r="9439" spans="12:17" x14ac:dyDescent="0.3">
      <c r="L9439" s="25"/>
      <c r="Q9439" s="17"/>
    </row>
    <row r="9440" spans="12:17" x14ac:dyDescent="0.3">
      <c r="L9440" s="25"/>
      <c r="Q9440" s="17"/>
    </row>
    <row r="9441" spans="12:17" x14ac:dyDescent="0.3">
      <c r="L9441" s="25"/>
      <c r="Q9441" s="17"/>
    </row>
    <row r="9442" spans="12:17" x14ac:dyDescent="0.3">
      <c r="L9442" s="25"/>
      <c r="Q9442" s="17"/>
    </row>
    <row r="9443" spans="12:17" x14ac:dyDescent="0.3">
      <c r="L9443" s="25"/>
      <c r="Q9443" s="17"/>
    </row>
    <row r="9444" spans="12:17" x14ac:dyDescent="0.3">
      <c r="L9444" s="25"/>
      <c r="Q9444" s="17"/>
    </row>
    <row r="9445" spans="12:17" x14ac:dyDescent="0.3">
      <c r="L9445" s="25"/>
      <c r="Q9445" s="17"/>
    </row>
    <row r="9446" spans="12:17" x14ac:dyDescent="0.3">
      <c r="L9446" s="25"/>
      <c r="Q9446" s="17"/>
    </row>
    <row r="9447" spans="12:17" x14ac:dyDescent="0.3">
      <c r="L9447" s="25"/>
      <c r="Q9447" s="17"/>
    </row>
    <row r="9448" spans="12:17" x14ac:dyDescent="0.3">
      <c r="L9448" s="25"/>
      <c r="Q9448" s="17"/>
    </row>
    <row r="9449" spans="12:17" x14ac:dyDescent="0.3">
      <c r="L9449" s="25"/>
      <c r="Q9449" s="17"/>
    </row>
    <row r="9450" spans="12:17" x14ac:dyDescent="0.3">
      <c r="L9450" s="25"/>
      <c r="Q9450" s="17"/>
    </row>
    <row r="9451" spans="12:17" x14ac:dyDescent="0.3">
      <c r="L9451" s="25"/>
      <c r="Q9451" s="17"/>
    </row>
    <row r="9452" spans="12:17" x14ac:dyDescent="0.3">
      <c r="L9452" s="25"/>
      <c r="Q9452" s="17"/>
    </row>
    <row r="9453" spans="12:17" x14ac:dyDescent="0.3">
      <c r="L9453" s="25"/>
      <c r="Q9453" s="17"/>
    </row>
    <row r="9454" spans="12:17" x14ac:dyDescent="0.3">
      <c r="L9454" s="25"/>
      <c r="Q9454" s="17"/>
    </row>
    <row r="9455" spans="12:17" x14ac:dyDescent="0.3">
      <c r="L9455" s="25"/>
      <c r="Q9455" s="17"/>
    </row>
    <row r="9456" spans="12:17" x14ac:dyDescent="0.3">
      <c r="L9456" s="25"/>
      <c r="Q9456" s="17"/>
    </row>
    <row r="9457" spans="12:17" x14ac:dyDescent="0.3">
      <c r="L9457" s="25"/>
      <c r="Q9457" s="17"/>
    </row>
    <row r="9458" spans="12:17" x14ac:dyDescent="0.3">
      <c r="L9458" s="25"/>
      <c r="Q9458" s="17"/>
    </row>
    <row r="9459" spans="12:17" x14ac:dyDescent="0.3">
      <c r="L9459" s="25"/>
      <c r="Q9459" s="17"/>
    </row>
    <row r="9460" spans="12:17" x14ac:dyDescent="0.3">
      <c r="L9460" s="25"/>
      <c r="Q9460" s="17"/>
    </row>
    <row r="9461" spans="12:17" x14ac:dyDescent="0.3">
      <c r="L9461" s="25"/>
      <c r="Q9461" s="17"/>
    </row>
    <row r="9462" spans="12:17" x14ac:dyDescent="0.3">
      <c r="L9462" s="25"/>
      <c r="Q9462" s="17"/>
    </row>
    <row r="9463" spans="12:17" x14ac:dyDescent="0.3">
      <c r="L9463" s="25"/>
      <c r="Q9463" s="17"/>
    </row>
    <row r="9464" spans="12:17" x14ac:dyDescent="0.3">
      <c r="L9464" s="25"/>
      <c r="Q9464" s="17"/>
    </row>
    <row r="9465" spans="12:17" x14ac:dyDescent="0.3">
      <c r="L9465" s="25"/>
      <c r="Q9465" s="17"/>
    </row>
    <row r="9466" spans="12:17" x14ac:dyDescent="0.3">
      <c r="L9466" s="25"/>
      <c r="Q9466" s="17"/>
    </row>
    <row r="9467" spans="12:17" x14ac:dyDescent="0.3">
      <c r="L9467" s="25"/>
      <c r="Q9467" s="17"/>
    </row>
    <row r="9468" spans="12:17" x14ac:dyDescent="0.3">
      <c r="L9468" s="25"/>
      <c r="Q9468" s="17"/>
    </row>
    <row r="9469" spans="12:17" x14ac:dyDescent="0.3">
      <c r="L9469" s="25"/>
      <c r="Q9469" s="17"/>
    </row>
    <row r="9470" spans="12:17" x14ac:dyDescent="0.3">
      <c r="L9470" s="25"/>
      <c r="Q9470" s="17"/>
    </row>
    <row r="9471" spans="12:17" x14ac:dyDescent="0.3">
      <c r="L9471" s="25"/>
      <c r="Q9471" s="17"/>
    </row>
    <row r="9472" spans="12:17" x14ac:dyDescent="0.3">
      <c r="L9472" s="25"/>
      <c r="Q9472" s="17"/>
    </row>
    <row r="9473" spans="12:17" x14ac:dyDescent="0.3">
      <c r="L9473" s="25"/>
      <c r="Q9473" s="17"/>
    </row>
    <row r="9474" spans="12:17" x14ac:dyDescent="0.3">
      <c r="L9474" s="25"/>
      <c r="Q9474" s="17"/>
    </row>
    <row r="9475" spans="12:17" x14ac:dyDescent="0.3">
      <c r="L9475" s="25"/>
      <c r="Q9475" s="17"/>
    </row>
    <row r="9476" spans="12:17" x14ac:dyDescent="0.3">
      <c r="L9476" s="25"/>
      <c r="Q9476" s="17"/>
    </row>
    <row r="9477" spans="12:17" x14ac:dyDescent="0.3">
      <c r="L9477" s="25"/>
      <c r="Q9477" s="17"/>
    </row>
    <row r="9478" spans="12:17" x14ac:dyDescent="0.3">
      <c r="L9478" s="25"/>
      <c r="Q9478" s="17"/>
    </row>
    <row r="9479" spans="12:17" x14ac:dyDescent="0.3">
      <c r="L9479" s="25"/>
      <c r="Q9479" s="17"/>
    </row>
    <row r="9480" spans="12:17" x14ac:dyDescent="0.3">
      <c r="L9480" s="25"/>
      <c r="Q9480" s="17"/>
    </row>
    <row r="9481" spans="12:17" x14ac:dyDescent="0.3">
      <c r="L9481" s="25"/>
      <c r="Q9481" s="17"/>
    </row>
    <row r="9482" spans="12:17" x14ac:dyDescent="0.3">
      <c r="L9482" s="25"/>
      <c r="Q9482" s="17"/>
    </row>
    <row r="9483" spans="12:17" x14ac:dyDescent="0.3">
      <c r="L9483" s="25"/>
      <c r="Q9483" s="17"/>
    </row>
    <row r="9484" spans="12:17" x14ac:dyDescent="0.3">
      <c r="L9484" s="25"/>
      <c r="Q9484" s="17"/>
    </row>
    <row r="9485" spans="12:17" x14ac:dyDescent="0.3">
      <c r="L9485" s="25"/>
      <c r="Q9485" s="17"/>
    </row>
    <row r="9486" spans="12:17" x14ac:dyDescent="0.3">
      <c r="L9486" s="25"/>
      <c r="Q9486" s="17"/>
    </row>
    <row r="9487" spans="12:17" x14ac:dyDescent="0.3">
      <c r="L9487" s="25"/>
      <c r="Q9487" s="17"/>
    </row>
    <row r="9488" spans="12:17" x14ac:dyDescent="0.3">
      <c r="L9488" s="25"/>
      <c r="Q9488" s="17"/>
    </row>
    <row r="9489" spans="12:17" x14ac:dyDescent="0.3">
      <c r="L9489" s="25"/>
      <c r="Q9489" s="17"/>
    </row>
    <row r="9490" spans="12:17" x14ac:dyDescent="0.3">
      <c r="L9490" s="25"/>
      <c r="Q9490" s="17"/>
    </row>
    <row r="9491" spans="12:17" x14ac:dyDescent="0.3">
      <c r="L9491" s="25"/>
      <c r="Q9491" s="17"/>
    </row>
    <row r="9492" spans="12:17" x14ac:dyDescent="0.3">
      <c r="L9492" s="25"/>
      <c r="Q9492" s="17"/>
    </row>
    <row r="9493" spans="12:17" x14ac:dyDescent="0.3">
      <c r="L9493" s="25"/>
      <c r="Q9493" s="17"/>
    </row>
    <row r="9494" spans="12:17" x14ac:dyDescent="0.3">
      <c r="L9494" s="25"/>
      <c r="Q9494" s="17"/>
    </row>
    <row r="9495" spans="12:17" x14ac:dyDescent="0.3">
      <c r="L9495" s="25"/>
      <c r="Q9495" s="17"/>
    </row>
    <row r="9496" spans="12:17" x14ac:dyDescent="0.3">
      <c r="L9496" s="25"/>
      <c r="Q9496" s="17"/>
    </row>
    <row r="9497" spans="12:17" x14ac:dyDescent="0.3">
      <c r="L9497" s="25"/>
      <c r="Q9497" s="17"/>
    </row>
    <row r="9498" spans="12:17" x14ac:dyDescent="0.3">
      <c r="L9498" s="25"/>
      <c r="Q9498" s="17"/>
    </row>
    <row r="9499" spans="12:17" x14ac:dyDescent="0.3">
      <c r="L9499" s="25"/>
      <c r="Q9499" s="17"/>
    </row>
    <row r="9500" spans="12:17" x14ac:dyDescent="0.3">
      <c r="L9500" s="25"/>
      <c r="Q9500" s="17"/>
    </row>
    <row r="9501" spans="12:17" x14ac:dyDescent="0.3">
      <c r="L9501" s="25"/>
      <c r="Q9501" s="17"/>
    </row>
    <row r="9502" spans="12:17" x14ac:dyDescent="0.3">
      <c r="L9502" s="25"/>
      <c r="Q9502" s="17"/>
    </row>
    <row r="9503" spans="12:17" x14ac:dyDescent="0.3">
      <c r="L9503" s="25"/>
      <c r="Q9503" s="17"/>
    </row>
    <row r="9504" spans="12:17" x14ac:dyDescent="0.3">
      <c r="L9504" s="25"/>
      <c r="Q9504" s="17"/>
    </row>
    <row r="9505" spans="12:17" x14ac:dyDescent="0.3">
      <c r="L9505" s="25"/>
      <c r="Q9505" s="17"/>
    </row>
    <row r="9506" spans="12:17" x14ac:dyDescent="0.3">
      <c r="L9506" s="25"/>
      <c r="Q9506" s="17"/>
    </row>
    <row r="9507" spans="12:17" x14ac:dyDescent="0.3">
      <c r="L9507" s="25"/>
      <c r="Q9507" s="17"/>
    </row>
    <row r="9508" spans="12:17" x14ac:dyDescent="0.3">
      <c r="L9508" s="25"/>
      <c r="Q9508" s="17"/>
    </row>
    <row r="9509" spans="12:17" x14ac:dyDescent="0.3">
      <c r="L9509" s="25"/>
      <c r="Q9509" s="17"/>
    </row>
    <row r="9510" spans="12:17" x14ac:dyDescent="0.3">
      <c r="L9510" s="25"/>
      <c r="Q9510" s="17"/>
    </row>
    <row r="9511" spans="12:17" x14ac:dyDescent="0.3">
      <c r="L9511" s="25"/>
      <c r="Q9511" s="17"/>
    </row>
    <row r="9512" spans="12:17" x14ac:dyDescent="0.3">
      <c r="L9512" s="25"/>
      <c r="Q9512" s="17"/>
    </row>
    <row r="9513" spans="12:17" x14ac:dyDescent="0.3">
      <c r="L9513" s="25"/>
      <c r="Q9513" s="17"/>
    </row>
    <row r="9514" spans="12:17" x14ac:dyDescent="0.3">
      <c r="L9514" s="25"/>
      <c r="Q9514" s="17"/>
    </row>
    <row r="9515" spans="12:17" x14ac:dyDescent="0.3">
      <c r="L9515" s="25"/>
      <c r="Q9515" s="17"/>
    </row>
    <row r="9516" spans="12:17" x14ac:dyDescent="0.3">
      <c r="L9516" s="25"/>
      <c r="Q9516" s="17"/>
    </row>
    <row r="9517" spans="12:17" x14ac:dyDescent="0.3">
      <c r="L9517" s="25"/>
      <c r="Q9517" s="17"/>
    </row>
    <row r="9518" spans="12:17" x14ac:dyDescent="0.3">
      <c r="L9518" s="25"/>
      <c r="Q9518" s="17"/>
    </row>
    <row r="9519" spans="12:17" x14ac:dyDescent="0.3">
      <c r="L9519" s="25"/>
      <c r="Q9519" s="17"/>
    </row>
    <row r="9520" spans="12:17" x14ac:dyDescent="0.3">
      <c r="L9520" s="25"/>
      <c r="Q9520" s="17"/>
    </row>
    <row r="9521" spans="12:17" x14ac:dyDescent="0.3">
      <c r="L9521" s="25"/>
      <c r="Q9521" s="17"/>
    </row>
    <row r="9522" spans="12:17" x14ac:dyDescent="0.3">
      <c r="L9522" s="25"/>
      <c r="Q9522" s="17"/>
    </row>
    <row r="9523" spans="12:17" x14ac:dyDescent="0.3">
      <c r="L9523" s="25"/>
      <c r="Q9523" s="17"/>
    </row>
    <row r="9524" spans="12:17" x14ac:dyDescent="0.3">
      <c r="L9524" s="25"/>
      <c r="Q9524" s="17"/>
    </row>
    <row r="9525" spans="12:17" x14ac:dyDescent="0.3">
      <c r="L9525" s="25"/>
      <c r="Q9525" s="17"/>
    </row>
    <row r="9526" spans="12:17" x14ac:dyDescent="0.3">
      <c r="L9526" s="25"/>
      <c r="Q9526" s="17"/>
    </row>
    <row r="9527" spans="12:17" x14ac:dyDescent="0.3">
      <c r="L9527" s="25"/>
      <c r="Q9527" s="17"/>
    </row>
    <row r="9528" spans="12:17" x14ac:dyDescent="0.3">
      <c r="L9528" s="25"/>
      <c r="Q9528" s="17"/>
    </row>
    <row r="9529" spans="12:17" x14ac:dyDescent="0.3">
      <c r="L9529" s="25"/>
      <c r="Q9529" s="17"/>
    </row>
    <row r="9530" spans="12:17" x14ac:dyDescent="0.3">
      <c r="L9530" s="25"/>
      <c r="Q9530" s="17"/>
    </row>
    <row r="9531" spans="12:17" x14ac:dyDescent="0.3">
      <c r="L9531" s="25"/>
      <c r="Q9531" s="17"/>
    </row>
    <row r="9532" spans="12:17" x14ac:dyDescent="0.3">
      <c r="L9532" s="25"/>
      <c r="Q9532" s="17"/>
    </row>
    <row r="9533" spans="12:17" x14ac:dyDescent="0.3">
      <c r="L9533" s="25"/>
      <c r="Q9533" s="17"/>
    </row>
    <row r="9534" spans="12:17" x14ac:dyDescent="0.3">
      <c r="L9534" s="25"/>
      <c r="Q9534" s="17"/>
    </row>
    <row r="9535" spans="12:17" x14ac:dyDescent="0.3">
      <c r="L9535" s="25"/>
      <c r="Q9535" s="17"/>
    </row>
    <row r="9536" spans="12:17" x14ac:dyDescent="0.3">
      <c r="L9536" s="25"/>
      <c r="Q9536" s="17"/>
    </row>
    <row r="9537" spans="12:17" x14ac:dyDescent="0.3">
      <c r="L9537" s="25"/>
      <c r="Q9537" s="17"/>
    </row>
    <row r="9538" spans="12:17" x14ac:dyDescent="0.3">
      <c r="L9538" s="25"/>
      <c r="Q9538" s="17"/>
    </row>
    <row r="9539" spans="12:17" x14ac:dyDescent="0.3">
      <c r="L9539" s="25"/>
      <c r="Q9539" s="17"/>
    </row>
    <row r="9540" spans="12:17" x14ac:dyDescent="0.3">
      <c r="L9540" s="25"/>
      <c r="Q9540" s="17"/>
    </row>
    <row r="9541" spans="12:17" x14ac:dyDescent="0.3">
      <c r="L9541" s="25"/>
      <c r="Q9541" s="17"/>
    </row>
    <row r="9542" spans="12:17" x14ac:dyDescent="0.3">
      <c r="L9542" s="25"/>
      <c r="Q9542" s="17"/>
    </row>
    <row r="9543" spans="12:17" x14ac:dyDescent="0.3">
      <c r="L9543" s="25"/>
      <c r="Q9543" s="17"/>
    </row>
    <row r="9544" spans="12:17" x14ac:dyDescent="0.3">
      <c r="L9544" s="25"/>
      <c r="Q9544" s="17"/>
    </row>
    <row r="9545" spans="12:17" x14ac:dyDescent="0.3">
      <c r="L9545" s="25"/>
      <c r="Q9545" s="17"/>
    </row>
    <row r="9546" spans="12:17" x14ac:dyDescent="0.3">
      <c r="L9546" s="25"/>
      <c r="Q9546" s="17"/>
    </row>
    <row r="9547" spans="12:17" x14ac:dyDescent="0.3">
      <c r="L9547" s="25"/>
      <c r="Q9547" s="17"/>
    </row>
    <row r="9548" spans="12:17" x14ac:dyDescent="0.3">
      <c r="L9548" s="25"/>
      <c r="Q9548" s="17"/>
    </row>
    <row r="9549" spans="12:17" x14ac:dyDescent="0.3">
      <c r="L9549" s="25"/>
      <c r="Q9549" s="17"/>
    </row>
    <row r="9550" spans="12:17" x14ac:dyDescent="0.3">
      <c r="L9550" s="25"/>
      <c r="Q9550" s="17"/>
    </row>
    <row r="9551" spans="12:17" x14ac:dyDescent="0.3">
      <c r="L9551" s="25"/>
      <c r="Q9551" s="17"/>
    </row>
    <row r="9552" spans="12:17" x14ac:dyDescent="0.3">
      <c r="L9552" s="25"/>
      <c r="Q9552" s="17"/>
    </row>
    <row r="9553" spans="12:17" x14ac:dyDescent="0.3">
      <c r="L9553" s="25"/>
      <c r="Q9553" s="17"/>
    </row>
    <row r="9554" spans="12:17" x14ac:dyDescent="0.3">
      <c r="L9554" s="25"/>
      <c r="Q9554" s="17"/>
    </row>
    <row r="9555" spans="12:17" x14ac:dyDescent="0.3">
      <c r="L9555" s="25"/>
      <c r="Q9555" s="17"/>
    </row>
    <row r="9556" spans="12:17" x14ac:dyDescent="0.3">
      <c r="L9556" s="25"/>
      <c r="Q9556" s="17"/>
    </row>
    <row r="9557" spans="12:17" x14ac:dyDescent="0.3">
      <c r="L9557" s="25"/>
      <c r="Q9557" s="17"/>
    </row>
    <row r="9558" spans="12:17" x14ac:dyDescent="0.3">
      <c r="L9558" s="25"/>
      <c r="Q9558" s="17"/>
    </row>
    <row r="9559" spans="12:17" x14ac:dyDescent="0.3">
      <c r="L9559" s="25"/>
      <c r="Q9559" s="17"/>
    </row>
    <row r="9560" spans="12:17" x14ac:dyDescent="0.3">
      <c r="L9560" s="25"/>
      <c r="Q9560" s="17"/>
    </row>
    <row r="9561" spans="12:17" x14ac:dyDescent="0.3">
      <c r="L9561" s="25"/>
      <c r="Q9561" s="17"/>
    </row>
    <row r="9562" spans="12:17" x14ac:dyDescent="0.3">
      <c r="L9562" s="25"/>
      <c r="Q9562" s="17"/>
    </row>
    <row r="9563" spans="12:17" x14ac:dyDescent="0.3">
      <c r="L9563" s="25"/>
      <c r="Q9563" s="17"/>
    </row>
    <row r="9564" spans="12:17" x14ac:dyDescent="0.3">
      <c r="L9564" s="25"/>
      <c r="Q9564" s="17"/>
    </row>
    <row r="9565" spans="12:17" x14ac:dyDescent="0.3">
      <c r="L9565" s="25"/>
      <c r="Q9565" s="17"/>
    </row>
    <row r="9566" spans="12:17" x14ac:dyDescent="0.3">
      <c r="L9566" s="25"/>
      <c r="Q9566" s="17"/>
    </row>
    <row r="9567" spans="12:17" x14ac:dyDescent="0.3">
      <c r="L9567" s="25"/>
      <c r="Q9567" s="17"/>
    </row>
    <row r="9568" spans="12:17" x14ac:dyDescent="0.3">
      <c r="L9568" s="25"/>
      <c r="Q9568" s="17"/>
    </row>
    <row r="9569" spans="12:17" x14ac:dyDescent="0.3">
      <c r="L9569" s="25"/>
      <c r="Q9569" s="17"/>
    </row>
    <row r="9570" spans="12:17" x14ac:dyDescent="0.3">
      <c r="L9570" s="25"/>
      <c r="Q9570" s="17"/>
    </row>
    <row r="9571" spans="12:17" x14ac:dyDescent="0.3">
      <c r="L9571" s="25"/>
      <c r="Q9571" s="17"/>
    </row>
    <row r="9572" spans="12:17" x14ac:dyDescent="0.3">
      <c r="L9572" s="25"/>
      <c r="Q9572" s="17"/>
    </row>
    <row r="9573" spans="12:17" x14ac:dyDescent="0.3">
      <c r="L9573" s="25"/>
      <c r="Q9573" s="17"/>
    </row>
    <row r="9574" spans="12:17" x14ac:dyDescent="0.3">
      <c r="L9574" s="25"/>
      <c r="Q9574" s="17"/>
    </row>
    <row r="9575" spans="12:17" x14ac:dyDescent="0.3">
      <c r="L9575" s="25"/>
      <c r="Q9575" s="17"/>
    </row>
    <row r="9576" spans="12:17" x14ac:dyDescent="0.3">
      <c r="L9576" s="25"/>
      <c r="Q9576" s="17"/>
    </row>
    <row r="9577" spans="12:17" x14ac:dyDescent="0.3">
      <c r="L9577" s="25"/>
      <c r="Q9577" s="17"/>
    </row>
    <row r="9578" spans="12:17" x14ac:dyDescent="0.3">
      <c r="L9578" s="25"/>
      <c r="Q9578" s="17"/>
    </row>
    <row r="9579" spans="12:17" x14ac:dyDescent="0.3">
      <c r="L9579" s="25"/>
      <c r="Q9579" s="17"/>
    </row>
    <row r="9580" spans="12:17" x14ac:dyDescent="0.3">
      <c r="L9580" s="25"/>
      <c r="Q9580" s="17"/>
    </row>
    <row r="9581" spans="12:17" x14ac:dyDescent="0.3">
      <c r="L9581" s="25"/>
      <c r="Q9581" s="17"/>
    </row>
    <row r="9582" spans="12:17" x14ac:dyDescent="0.3">
      <c r="L9582" s="25"/>
      <c r="Q9582" s="17"/>
    </row>
    <row r="9583" spans="12:17" x14ac:dyDescent="0.3">
      <c r="L9583" s="25"/>
      <c r="Q9583" s="17"/>
    </row>
    <row r="9584" spans="12:17" x14ac:dyDescent="0.3">
      <c r="L9584" s="25"/>
      <c r="Q9584" s="17"/>
    </row>
    <row r="9585" spans="12:17" x14ac:dyDescent="0.3">
      <c r="L9585" s="25"/>
      <c r="Q9585" s="17"/>
    </row>
    <row r="9586" spans="12:17" x14ac:dyDescent="0.3">
      <c r="L9586" s="25"/>
      <c r="Q9586" s="17"/>
    </row>
    <row r="9587" spans="12:17" x14ac:dyDescent="0.3">
      <c r="L9587" s="25"/>
      <c r="Q9587" s="17"/>
    </row>
    <row r="9588" spans="12:17" x14ac:dyDescent="0.3">
      <c r="L9588" s="25"/>
      <c r="Q9588" s="17"/>
    </row>
    <row r="9589" spans="12:17" x14ac:dyDescent="0.3">
      <c r="L9589" s="25"/>
      <c r="Q9589" s="17"/>
    </row>
    <row r="9590" spans="12:17" x14ac:dyDescent="0.3">
      <c r="L9590" s="25"/>
      <c r="Q9590" s="17"/>
    </row>
    <row r="9591" spans="12:17" x14ac:dyDescent="0.3">
      <c r="L9591" s="25"/>
      <c r="Q9591" s="17"/>
    </row>
    <row r="9592" spans="12:17" x14ac:dyDescent="0.3">
      <c r="L9592" s="25"/>
      <c r="Q9592" s="17"/>
    </row>
    <row r="9593" spans="12:17" x14ac:dyDescent="0.3">
      <c r="L9593" s="25"/>
      <c r="Q9593" s="17"/>
    </row>
    <row r="9594" spans="12:17" x14ac:dyDescent="0.3">
      <c r="L9594" s="25"/>
      <c r="Q9594" s="17"/>
    </row>
    <row r="9595" spans="12:17" x14ac:dyDescent="0.3">
      <c r="L9595" s="25"/>
      <c r="Q9595" s="17"/>
    </row>
    <row r="9596" spans="12:17" x14ac:dyDescent="0.3">
      <c r="L9596" s="25"/>
      <c r="Q9596" s="17"/>
    </row>
    <row r="9597" spans="12:17" x14ac:dyDescent="0.3">
      <c r="L9597" s="25"/>
      <c r="Q9597" s="17"/>
    </row>
    <row r="9598" spans="12:17" x14ac:dyDescent="0.3">
      <c r="L9598" s="25"/>
      <c r="Q9598" s="17"/>
    </row>
    <row r="9599" spans="12:17" x14ac:dyDescent="0.3">
      <c r="L9599" s="25"/>
      <c r="Q9599" s="17"/>
    </row>
    <row r="9600" spans="12:17" x14ac:dyDescent="0.3">
      <c r="L9600" s="25"/>
      <c r="Q9600" s="17"/>
    </row>
    <row r="9601" spans="12:17" x14ac:dyDescent="0.3">
      <c r="L9601" s="25"/>
      <c r="Q9601" s="17"/>
    </row>
    <row r="9602" spans="12:17" x14ac:dyDescent="0.3">
      <c r="L9602" s="25"/>
      <c r="Q9602" s="17"/>
    </row>
    <row r="9603" spans="12:17" x14ac:dyDescent="0.3">
      <c r="L9603" s="25"/>
      <c r="Q9603" s="17"/>
    </row>
    <row r="9604" spans="12:17" x14ac:dyDescent="0.3">
      <c r="L9604" s="25"/>
      <c r="Q9604" s="17"/>
    </row>
    <row r="9605" spans="12:17" x14ac:dyDescent="0.3">
      <c r="L9605" s="25"/>
      <c r="Q9605" s="17"/>
    </row>
    <row r="9606" spans="12:17" x14ac:dyDescent="0.3">
      <c r="L9606" s="25"/>
      <c r="Q9606" s="17"/>
    </row>
    <row r="9607" spans="12:17" x14ac:dyDescent="0.3">
      <c r="L9607" s="25"/>
      <c r="Q9607" s="17"/>
    </row>
    <row r="9608" spans="12:17" x14ac:dyDescent="0.3">
      <c r="L9608" s="25"/>
      <c r="Q9608" s="17"/>
    </row>
    <row r="9609" spans="12:17" x14ac:dyDescent="0.3">
      <c r="L9609" s="25"/>
      <c r="Q9609" s="17"/>
    </row>
    <row r="9610" spans="12:17" x14ac:dyDescent="0.3">
      <c r="L9610" s="25"/>
      <c r="Q9610" s="17"/>
    </row>
    <row r="9611" spans="12:17" x14ac:dyDescent="0.3">
      <c r="L9611" s="25"/>
      <c r="Q9611" s="17"/>
    </row>
    <row r="9612" spans="12:17" x14ac:dyDescent="0.3">
      <c r="L9612" s="25"/>
      <c r="Q9612" s="17"/>
    </row>
    <row r="9613" spans="12:17" x14ac:dyDescent="0.3">
      <c r="L9613" s="25"/>
      <c r="Q9613" s="17"/>
    </row>
    <row r="9614" spans="12:17" x14ac:dyDescent="0.3">
      <c r="L9614" s="25"/>
      <c r="Q9614" s="17"/>
    </row>
    <row r="9615" spans="12:17" x14ac:dyDescent="0.3">
      <c r="L9615" s="25"/>
      <c r="Q9615" s="17"/>
    </row>
    <row r="9616" spans="12:17" x14ac:dyDescent="0.3">
      <c r="L9616" s="25"/>
      <c r="Q9616" s="17"/>
    </row>
    <row r="9617" spans="12:17" x14ac:dyDescent="0.3">
      <c r="L9617" s="25"/>
      <c r="Q9617" s="17"/>
    </row>
    <row r="9618" spans="12:17" x14ac:dyDescent="0.3">
      <c r="L9618" s="25"/>
      <c r="Q9618" s="17"/>
    </row>
    <row r="9619" spans="12:17" x14ac:dyDescent="0.3">
      <c r="L9619" s="25"/>
      <c r="Q9619" s="17"/>
    </row>
    <row r="9620" spans="12:17" x14ac:dyDescent="0.3">
      <c r="L9620" s="25"/>
      <c r="Q9620" s="17"/>
    </row>
    <row r="9621" spans="12:17" x14ac:dyDescent="0.3">
      <c r="L9621" s="25"/>
      <c r="Q9621" s="17"/>
    </row>
    <row r="9622" spans="12:17" x14ac:dyDescent="0.3">
      <c r="L9622" s="25"/>
      <c r="Q9622" s="17"/>
    </row>
    <row r="9623" spans="12:17" x14ac:dyDescent="0.3">
      <c r="L9623" s="25"/>
      <c r="Q9623" s="17"/>
    </row>
    <row r="9624" spans="12:17" x14ac:dyDescent="0.3">
      <c r="L9624" s="25"/>
      <c r="Q9624" s="17"/>
    </row>
    <row r="9625" spans="12:17" x14ac:dyDescent="0.3">
      <c r="L9625" s="25"/>
      <c r="Q9625" s="17"/>
    </row>
    <row r="9626" spans="12:17" x14ac:dyDescent="0.3">
      <c r="L9626" s="25"/>
      <c r="Q9626" s="17"/>
    </row>
    <row r="9627" spans="12:17" x14ac:dyDescent="0.3">
      <c r="L9627" s="25"/>
      <c r="Q9627" s="17"/>
    </row>
    <row r="9628" spans="12:17" x14ac:dyDescent="0.3">
      <c r="L9628" s="25"/>
      <c r="Q9628" s="17"/>
    </row>
    <row r="9629" spans="12:17" x14ac:dyDescent="0.3">
      <c r="L9629" s="25"/>
      <c r="Q9629" s="17"/>
    </row>
    <row r="9630" spans="12:17" x14ac:dyDescent="0.3">
      <c r="L9630" s="25"/>
      <c r="Q9630" s="17"/>
    </row>
    <row r="9631" spans="12:17" x14ac:dyDescent="0.3">
      <c r="L9631" s="25"/>
      <c r="Q9631" s="17"/>
    </row>
    <row r="9632" spans="12:17" x14ac:dyDescent="0.3">
      <c r="L9632" s="25"/>
      <c r="Q9632" s="17"/>
    </row>
    <row r="9633" spans="12:17" x14ac:dyDescent="0.3">
      <c r="L9633" s="25"/>
      <c r="Q9633" s="17"/>
    </row>
    <row r="9634" spans="12:17" x14ac:dyDescent="0.3">
      <c r="L9634" s="25"/>
      <c r="Q9634" s="17"/>
    </row>
    <row r="9635" spans="12:17" x14ac:dyDescent="0.3">
      <c r="L9635" s="25"/>
      <c r="Q9635" s="17"/>
    </row>
    <row r="9636" spans="12:17" x14ac:dyDescent="0.3">
      <c r="L9636" s="25"/>
      <c r="Q9636" s="17"/>
    </row>
    <row r="9637" spans="12:17" x14ac:dyDescent="0.3">
      <c r="L9637" s="25"/>
      <c r="Q9637" s="17"/>
    </row>
    <row r="9638" spans="12:17" x14ac:dyDescent="0.3">
      <c r="L9638" s="25"/>
      <c r="Q9638" s="17"/>
    </row>
    <row r="9639" spans="12:17" x14ac:dyDescent="0.3">
      <c r="L9639" s="25"/>
      <c r="Q9639" s="17"/>
    </row>
    <row r="9640" spans="12:17" x14ac:dyDescent="0.3">
      <c r="L9640" s="25"/>
      <c r="Q9640" s="17"/>
    </row>
    <row r="9641" spans="12:17" x14ac:dyDescent="0.3">
      <c r="L9641" s="25"/>
      <c r="Q9641" s="17"/>
    </row>
    <row r="9642" spans="12:17" x14ac:dyDescent="0.3">
      <c r="L9642" s="25"/>
      <c r="Q9642" s="17"/>
    </row>
    <row r="9643" spans="12:17" x14ac:dyDescent="0.3">
      <c r="L9643" s="25"/>
      <c r="Q9643" s="17"/>
    </row>
    <row r="9644" spans="12:17" x14ac:dyDescent="0.3">
      <c r="L9644" s="25"/>
      <c r="Q9644" s="17"/>
    </row>
    <row r="9645" spans="12:17" x14ac:dyDescent="0.3">
      <c r="L9645" s="25"/>
      <c r="Q9645" s="17"/>
    </row>
    <row r="9646" spans="12:17" x14ac:dyDescent="0.3">
      <c r="L9646" s="25"/>
      <c r="Q9646" s="17"/>
    </row>
    <row r="9647" spans="12:17" x14ac:dyDescent="0.3">
      <c r="L9647" s="25"/>
      <c r="Q9647" s="17"/>
    </row>
    <row r="9648" spans="12:17" x14ac:dyDescent="0.3">
      <c r="L9648" s="25"/>
      <c r="Q9648" s="17"/>
    </row>
    <row r="9649" spans="12:17" x14ac:dyDescent="0.3">
      <c r="L9649" s="25"/>
      <c r="Q9649" s="17"/>
    </row>
    <row r="9650" spans="12:17" x14ac:dyDescent="0.3">
      <c r="L9650" s="25"/>
      <c r="Q9650" s="17"/>
    </row>
    <row r="9651" spans="12:17" x14ac:dyDescent="0.3">
      <c r="L9651" s="25"/>
      <c r="Q9651" s="17"/>
    </row>
    <row r="9652" spans="12:17" x14ac:dyDescent="0.3">
      <c r="L9652" s="25"/>
      <c r="Q9652" s="17"/>
    </row>
    <row r="9653" spans="12:17" x14ac:dyDescent="0.3">
      <c r="L9653" s="25"/>
      <c r="Q9653" s="17"/>
    </row>
    <row r="9654" spans="12:17" x14ac:dyDescent="0.3">
      <c r="L9654" s="25"/>
      <c r="Q9654" s="17"/>
    </row>
    <row r="9655" spans="12:17" x14ac:dyDescent="0.3">
      <c r="L9655" s="25"/>
      <c r="Q9655" s="17"/>
    </row>
    <row r="9656" spans="12:17" x14ac:dyDescent="0.3">
      <c r="L9656" s="25"/>
      <c r="Q9656" s="17"/>
    </row>
    <row r="9657" spans="12:17" x14ac:dyDescent="0.3">
      <c r="L9657" s="25"/>
      <c r="Q9657" s="17"/>
    </row>
    <row r="9658" spans="12:17" x14ac:dyDescent="0.3">
      <c r="L9658" s="25"/>
      <c r="Q9658" s="17"/>
    </row>
    <row r="9659" spans="12:17" x14ac:dyDescent="0.3">
      <c r="L9659" s="25"/>
      <c r="Q9659" s="17"/>
    </row>
    <row r="9660" spans="12:17" x14ac:dyDescent="0.3">
      <c r="L9660" s="25"/>
      <c r="Q9660" s="17"/>
    </row>
    <row r="9661" spans="12:17" x14ac:dyDescent="0.3">
      <c r="L9661" s="25"/>
      <c r="Q9661" s="17"/>
    </row>
    <row r="9662" spans="12:17" x14ac:dyDescent="0.3">
      <c r="L9662" s="25"/>
      <c r="Q9662" s="17"/>
    </row>
    <row r="9663" spans="12:17" x14ac:dyDescent="0.3">
      <c r="L9663" s="25"/>
      <c r="Q9663" s="17"/>
    </row>
    <row r="9664" spans="12:17" x14ac:dyDescent="0.3">
      <c r="L9664" s="25"/>
      <c r="Q9664" s="17"/>
    </row>
    <row r="9665" spans="12:17" x14ac:dyDescent="0.3">
      <c r="L9665" s="25"/>
      <c r="Q9665" s="17"/>
    </row>
    <row r="9666" spans="12:17" x14ac:dyDescent="0.3">
      <c r="L9666" s="25"/>
      <c r="Q9666" s="17"/>
    </row>
    <row r="9667" spans="12:17" x14ac:dyDescent="0.3">
      <c r="L9667" s="25"/>
      <c r="Q9667" s="17"/>
    </row>
    <row r="9668" spans="12:17" x14ac:dyDescent="0.3">
      <c r="L9668" s="25"/>
      <c r="Q9668" s="17"/>
    </row>
    <row r="9669" spans="12:17" x14ac:dyDescent="0.3">
      <c r="L9669" s="25"/>
      <c r="Q9669" s="17"/>
    </row>
    <row r="9670" spans="12:17" x14ac:dyDescent="0.3">
      <c r="L9670" s="25"/>
      <c r="Q9670" s="17"/>
    </row>
    <row r="9671" spans="12:17" x14ac:dyDescent="0.3">
      <c r="L9671" s="25"/>
      <c r="Q9671" s="17"/>
    </row>
    <row r="9672" spans="12:17" x14ac:dyDescent="0.3">
      <c r="L9672" s="25"/>
      <c r="Q9672" s="17"/>
    </row>
    <row r="9673" spans="12:17" x14ac:dyDescent="0.3">
      <c r="L9673" s="25"/>
      <c r="Q9673" s="17"/>
    </row>
    <row r="9674" spans="12:17" x14ac:dyDescent="0.3">
      <c r="L9674" s="25"/>
      <c r="Q9674" s="17"/>
    </row>
    <row r="9675" spans="12:17" x14ac:dyDescent="0.3">
      <c r="L9675" s="25"/>
      <c r="Q9675" s="17"/>
    </row>
    <row r="9676" spans="12:17" x14ac:dyDescent="0.3">
      <c r="L9676" s="25"/>
      <c r="Q9676" s="17"/>
    </row>
    <row r="9677" spans="12:17" x14ac:dyDescent="0.3">
      <c r="L9677" s="25"/>
      <c r="Q9677" s="17"/>
    </row>
    <row r="9678" spans="12:17" x14ac:dyDescent="0.3">
      <c r="L9678" s="25"/>
      <c r="Q9678" s="17"/>
    </row>
    <row r="9679" spans="12:17" x14ac:dyDescent="0.3">
      <c r="L9679" s="25"/>
      <c r="Q9679" s="17"/>
    </row>
    <row r="9680" spans="12:17" x14ac:dyDescent="0.3">
      <c r="L9680" s="25"/>
      <c r="Q9680" s="17"/>
    </row>
    <row r="9681" spans="12:17" x14ac:dyDescent="0.3">
      <c r="L9681" s="25"/>
      <c r="Q9681" s="17"/>
    </row>
    <row r="9682" spans="12:17" x14ac:dyDescent="0.3">
      <c r="L9682" s="25"/>
      <c r="Q9682" s="17"/>
    </row>
    <row r="9683" spans="12:17" x14ac:dyDescent="0.3">
      <c r="L9683" s="25"/>
      <c r="Q9683" s="17"/>
    </row>
    <row r="9684" spans="12:17" x14ac:dyDescent="0.3">
      <c r="L9684" s="25"/>
      <c r="Q9684" s="17"/>
    </row>
    <row r="9685" spans="12:17" x14ac:dyDescent="0.3">
      <c r="L9685" s="25"/>
      <c r="Q9685" s="17"/>
    </row>
    <row r="9686" spans="12:17" x14ac:dyDescent="0.3">
      <c r="L9686" s="25"/>
      <c r="Q9686" s="17"/>
    </row>
    <row r="9687" spans="12:17" x14ac:dyDescent="0.3">
      <c r="L9687" s="25"/>
      <c r="Q9687" s="17"/>
    </row>
    <row r="9688" spans="12:17" x14ac:dyDescent="0.3">
      <c r="L9688" s="25"/>
      <c r="Q9688" s="17"/>
    </row>
    <row r="9689" spans="12:17" x14ac:dyDescent="0.3">
      <c r="L9689" s="25"/>
      <c r="Q9689" s="17"/>
    </row>
    <row r="9690" spans="12:17" x14ac:dyDescent="0.3">
      <c r="L9690" s="25"/>
      <c r="Q9690" s="17"/>
    </row>
    <row r="9691" spans="12:17" x14ac:dyDescent="0.3">
      <c r="L9691" s="25"/>
      <c r="Q9691" s="17"/>
    </row>
    <row r="9692" spans="12:17" x14ac:dyDescent="0.3">
      <c r="L9692" s="25"/>
      <c r="Q9692" s="17"/>
    </row>
    <row r="9693" spans="12:17" x14ac:dyDescent="0.3">
      <c r="L9693" s="25"/>
      <c r="Q9693" s="17"/>
    </row>
    <row r="9694" spans="12:17" x14ac:dyDescent="0.3">
      <c r="L9694" s="25"/>
      <c r="Q9694" s="17"/>
    </row>
    <row r="9695" spans="12:17" x14ac:dyDescent="0.3">
      <c r="L9695" s="25"/>
      <c r="Q9695" s="17"/>
    </row>
    <row r="9696" spans="12:17" x14ac:dyDescent="0.3">
      <c r="L9696" s="25"/>
      <c r="Q9696" s="17"/>
    </row>
    <row r="9697" spans="12:17" x14ac:dyDescent="0.3">
      <c r="L9697" s="25"/>
      <c r="Q9697" s="17"/>
    </row>
    <row r="9698" spans="12:17" x14ac:dyDescent="0.3">
      <c r="L9698" s="25"/>
      <c r="Q9698" s="17"/>
    </row>
    <row r="9699" spans="12:17" x14ac:dyDescent="0.3">
      <c r="L9699" s="25"/>
      <c r="Q9699" s="17"/>
    </row>
    <row r="9700" spans="12:17" x14ac:dyDescent="0.3">
      <c r="L9700" s="25"/>
      <c r="Q9700" s="17"/>
    </row>
    <row r="9701" spans="12:17" x14ac:dyDescent="0.3">
      <c r="L9701" s="25"/>
      <c r="Q9701" s="17"/>
    </row>
    <row r="9702" spans="12:17" x14ac:dyDescent="0.3">
      <c r="L9702" s="25"/>
      <c r="Q9702" s="17"/>
    </row>
    <row r="9703" spans="12:17" x14ac:dyDescent="0.3">
      <c r="L9703" s="25"/>
      <c r="Q9703" s="17"/>
    </row>
    <row r="9704" spans="12:17" x14ac:dyDescent="0.3">
      <c r="L9704" s="25"/>
      <c r="Q9704" s="17"/>
    </row>
    <row r="9705" spans="12:17" x14ac:dyDescent="0.3">
      <c r="L9705" s="25"/>
      <c r="Q9705" s="17"/>
    </row>
    <row r="9706" spans="12:17" x14ac:dyDescent="0.3">
      <c r="L9706" s="25"/>
      <c r="Q9706" s="17"/>
    </row>
    <row r="9707" spans="12:17" x14ac:dyDescent="0.3">
      <c r="L9707" s="25"/>
      <c r="Q9707" s="17"/>
    </row>
    <row r="9708" spans="12:17" x14ac:dyDescent="0.3">
      <c r="L9708" s="25"/>
      <c r="Q9708" s="17"/>
    </row>
    <row r="9709" spans="12:17" x14ac:dyDescent="0.3">
      <c r="L9709" s="25"/>
      <c r="Q9709" s="17"/>
    </row>
    <row r="9710" spans="12:17" x14ac:dyDescent="0.3">
      <c r="L9710" s="25"/>
      <c r="Q9710" s="17"/>
    </row>
    <row r="9711" spans="12:17" x14ac:dyDescent="0.3">
      <c r="L9711" s="25"/>
      <c r="Q9711" s="17"/>
    </row>
    <row r="9712" spans="12:17" x14ac:dyDescent="0.3">
      <c r="L9712" s="25"/>
      <c r="Q9712" s="17"/>
    </row>
    <row r="9713" spans="12:17" x14ac:dyDescent="0.3">
      <c r="L9713" s="25"/>
      <c r="Q9713" s="17"/>
    </row>
    <row r="9714" spans="12:17" x14ac:dyDescent="0.3">
      <c r="L9714" s="25"/>
      <c r="Q9714" s="17"/>
    </row>
    <row r="9715" spans="12:17" x14ac:dyDescent="0.3">
      <c r="L9715" s="25"/>
      <c r="Q9715" s="17"/>
    </row>
    <row r="9716" spans="12:17" x14ac:dyDescent="0.3">
      <c r="L9716" s="25"/>
      <c r="Q9716" s="17"/>
    </row>
    <row r="9717" spans="12:17" x14ac:dyDescent="0.3">
      <c r="L9717" s="25"/>
      <c r="Q9717" s="17"/>
    </row>
    <row r="9718" spans="12:17" x14ac:dyDescent="0.3">
      <c r="L9718" s="25"/>
      <c r="Q9718" s="17"/>
    </row>
    <row r="9719" spans="12:17" x14ac:dyDescent="0.3">
      <c r="L9719" s="25"/>
      <c r="Q9719" s="17"/>
    </row>
    <row r="9720" spans="12:17" x14ac:dyDescent="0.3">
      <c r="L9720" s="25"/>
      <c r="Q9720" s="17"/>
    </row>
    <row r="9721" spans="12:17" x14ac:dyDescent="0.3">
      <c r="L9721" s="25"/>
      <c r="Q9721" s="17"/>
    </row>
    <row r="9722" spans="12:17" x14ac:dyDescent="0.3">
      <c r="L9722" s="25"/>
      <c r="Q9722" s="17"/>
    </row>
    <row r="9723" spans="12:17" x14ac:dyDescent="0.3">
      <c r="L9723" s="25"/>
      <c r="Q9723" s="17"/>
    </row>
    <row r="9724" spans="12:17" x14ac:dyDescent="0.3">
      <c r="L9724" s="25"/>
      <c r="Q9724" s="17"/>
    </row>
    <row r="9725" spans="12:17" x14ac:dyDescent="0.3">
      <c r="L9725" s="25"/>
      <c r="Q9725" s="17"/>
    </row>
    <row r="9726" spans="12:17" x14ac:dyDescent="0.3">
      <c r="L9726" s="25"/>
      <c r="Q9726" s="17"/>
    </row>
    <row r="9727" spans="12:17" x14ac:dyDescent="0.3">
      <c r="L9727" s="25"/>
      <c r="Q9727" s="17"/>
    </row>
    <row r="9728" spans="12:17" x14ac:dyDescent="0.3">
      <c r="L9728" s="25"/>
      <c r="Q9728" s="17"/>
    </row>
    <row r="9729" spans="12:17" x14ac:dyDescent="0.3">
      <c r="L9729" s="25"/>
      <c r="Q9729" s="17"/>
    </row>
    <row r="9730" spans="12:17" x14ac:dyDescent="0.3">
      <c r="L9730" s="25"/>
      <c r="Q9730" s="17"/>
    </row>
    <row r="9731" spans="12:17" x14ac:dyDescent="0.3">
      <c r="L9731" s="25"/>
      <c r="Q9731" s="17"/>
    </row>
    <row r="9732" spans="12:17" x14ac:dyDescent="0.3">
      <c r="L9732" s="25"/>
      <c r="Q9732" s="17"/>
    </row>
    <row r="9733" spans="12:17" x14ac:dyDescent="0.3">
      <c r="L9733" s="25"/>
      <c r="Q9733" s="17"/>
    </row>
    <row r="9734" spans="12:17" x14ac:dyDescent="0.3">
      <c r="L9734" s="25"/>
      <c r="Q9734" s="17"/>
    </row>
    <row r="9735" spans="12:17" x14ac:dyDescent="0.3">
      <c r="L9735" s="25"/>
      <c r="Q9735" s="17"/>
    </row>
    <row r="9736" spans="12:17" x14ac:dyDescent="0.3">
      <c r="L9736" s="25"/>
      <c r="Q9736" s="17"/>
    </row>
    <row r="9737" spans="12:17" x14ac:dyDescent="0.3">
      <c r="L9737" s="25"/>
      <c r="Q9737" s="17"/>
    </row>
    <row r="9738" spans="12:17" x14ac:dyDescent="0.3">
      <c r="L9738" s="25"/>
      <c r="Q9738" s="17"/>
    </row>
    <row r="9739" spans="12:17" x14ac:dyDescent="0.3">
      <c r="L9739" s="25"/>
      <c r="Q9739" s="17"/>
    </row>
    <row r="9740" spans="12:17" x14ac:dyDescent="0.3">
      <c r="L9740" s="25"/>
      <c r="Q9740" s="17"/>
    </row>
    <row r="9741" spans="12:17" x14ac:dyDescent="0.3">
      <c r="L9741" s="25"/>
      <c r="Q9741" s="17"/>
    </row>
    <row r="9742" spans="12:17" x14ac:dyDescent="0.3">
      <c r="L9742" s="25"/>
      <c r="Q9742" s="17"/>
    </row>
    <row r="9743" spans="12:17" x14ac:dyDescent="0.3">
      <c r="L9743" s="25"/>
      <c r="Q9743" s="17"/>
    </row>
    <row r="9744" spans="12:17" x14ac:dyDescent="0.3">
      <c r="L9744" s="25"/>
      <c r="Q9744" s="17"/>
    </row>
    <row r="9745" spans="12:17" x14ac:dyDescent="0.3">
      <c r="L9745" s="25"/>
      <c r="Q9745" s="17"/>
    </row>
    <row r="9746" spans="12:17" x14ac:dyDescent="0.3">
      <c r="L9746" s="25"/>
      <c r="Q9746" s="17"/>
    </row>
    <row r="9747" spans="12:17" x14ac:dyDescent="0.3">
      <c r="L9747" s="25"/>
      <c r="Q9747" s="17"/>
    </row>
    <row r="9748" spans="12:17" x14ac:dyDescent="0.3">
      <c r="L9748" s="25"/>
      <c r="Q9748" s="17"/>
    </row>
    <row r="9749" spans="12:17" x14ac:dyDescent="0.3">
      <c r="L9749" s="25"/>
      <c r="Q9749" s="17"/>
    </row>
    <row r="9750" spans="12:17" x14ac:dyDescent="0.3">
      <c r="L9750" s="25"/>
      <c r="Q9750" s="17"/>
    </row>
    <row r="9751" spans="12:17" x14ac:dyDescent="0.3">
      <c r="L9751" s="25"/>
      <c r="Q9751" s="17"/>
    </row>
    <row r="9752" spans="12:17" x14ac:dyDescent="0.3">
      <c r="L9752" s="25"/>
      <c r="Q9752" s="17"/>
    </row>
    <row r="9753" spans="12:17" x14ac:dyDescent="0.3">
      <c r="L9753" s="25"/>
      <c r="Q9753" s="17"/>
    </row>
    <row r="9754" spans="12:17" x14ac:dyDescent="0.3">
      <c r="L9754" s="25"/>
      <c r="Q9754" s="17"/>
    </row>
    <row r="9755" spans="12:17" x14ac:dyDescent="0.3">
      <c r="L9755" s="25"/>
      <c r="Q9755" s="17"/>
    </row>
    <row r="9756" spans="12:17" x14ac:dyDescent="0.3">
      <c r="L9756" s="25"/>
      <c r="Q9756" s="17"/>
    </row>
    <row r="9757" spans="12:17" x14ac:dyDescent="0.3">
      <c r="L9757" s="25"/>
      <c r="Q9757" s="17"/>
    </row>
    <row r="9758" spans="12:17" x14ac:dyDescent="0.3">
      <c r="L9758" s="25"/>
      <c r="Q9758" s="17"/>
    </row>
    <row r="9759" spans="12:17" x14ac:dyDescent="0.3">
      <c r="L9759" s="25"/>
      <c r="Q9759" s="17"/>
    </row>
    <row r="9760" spans="12:17" x14ac:dyDescent="0.3">
      <c r="L9760" s="25"/>
      <c r="Q9760" s="17"/>
    </row>
    <row r="9761" spans="12:17" x14ac:dyDescent="0.3">
      <c r="L9761" s="25"/>
      <c r="Q9761" s="17"/>
    </row>
    <row r="9762" spans="12:17" x14ac:dyDescent="0.3">
      <c r="L9762" s="25"/>
      <c r="Q9762" s="17"/>
    </row>
    <row r="9763" spans="12:17" x14ac:dyDescent="0.3">
      <c r="L9763" s="25"/>
      <c r="Q9763" s="17"/>
    </row>
    <row r="9764" spans="12:17" x14ac:dyDescent="0.3">
      <c r="L9764" s="25"/>
      <c r="Q9764" s="17"/>
    </row>
    <row r="9765" spans="12:17" x14ac:dyDescent="0.3">
      <c r="L9765" s="25"/>
      <c r="Q9765" s="17"/>
    </row>
    <row r="9766" spans="12:17" x14ac:dyDescent="0.3">
      <c r="L9766" s="25"/>
      <c r="Q9766" s="17"/>
    </row>
    <row r="9767" spans="12:17" x14ac:dyDescent="0.3">
      <c r="L9767" s="25"/>
      <c r="Q9767" s="17"/>
    </row>
    <row r="9768" spans="12:17" x14ac:dyDescent="0.3">
      <c r="L9768" s="25"/>
      <c r="Q9768" s="17"/>
    </row>
    <row r="9769" spans="12:17" x14ac:dyDescent="0.3">
      <c r="L9769" s="25"/>
      <c r="Q9769" s="17"/>
    </row>
    <row r="9770" spans="12:17" x14ac:dyDescent="0.3">
      <c r="L9770" s="25"/>
      <c r="Q9770" s="17"/>
    </row>
    <row r="9771" spans="12:17" x14ac:dyDescent="0.3">
      <c r="L9771" s="25"/>
      <c r="Q9771" s="17"/>
    </row>
    <row r="9772" spans="12:17" x14ac:dyDescent="0.3">
      <c r="L9772" s="25"/>
      <c r="Q9772" s="17"/>
    </row>
    <row r="9773" spans="12:17" x14ac:dyDescent="0.3">
      <c r="L9773" s="25"/>
      <c r="Q9773" s="17"/>
    </row>
    <row r="9774" spans="12:17" x14ac:dyDescent="0.3">
      <c r="L9774" s="25"/>
      <c r="Q9774" s="17"/>
    </row>
    <row r="9775" spans="12:17" x14ac:dyDescent="0.3">
      <c r="L9775" s="25"/>
      <c r="Q9775" s="17"/>
    </row>
    <row r="9776" spans="12:17" x14ac:dyDescent="0.3">
      <c r="L9776" s="25"/>
      <c r="Q9776" s="17"/>
    </row>
    <row r="9777" spans="12:17" x14ac:dyDescent="0.3">
      <c r="L9777" s="25"/>
      <c r="Q9777" s="17"/>
    </row>
    <row r="9778" spans="12:17" x14ac:dyDescent="0.3">
      <c r="L9778" s="25"/>
      <c r="Q9778" s="17"/>
    </row>
    <row r="9779" spans="12:17" x14ac:dyDescent="0.3">
      <c r="L9779" s="25"/>
      <c r="Q9779" s="17"/>
    </row>
    <row r="9780" spans="12:17" x14ac:dyDescent="0.3">
      <c r="L9780" s="25"/>
      <c r="Q9780" s="17"/>
    </row>
    <row r="9781" spans="12:17" x14ac:dyDescent="0.3">
      <c r="L9781" s="25"/>
      <c r="Q9781" s="17"/>
    </row>
    <row r="9782" spans="12:17" x14ac:dyDescent="0.3">
      <c r="L9782" s="25"/>
      <c r="Q9782" s="17"/>
    </row>
    <row r="9783" spans="12:17" x14ac:dyDescent="0.3">
      <c r="L9783" s="25"/>
      <c r="Q9783" s="17"/>
    </row>
    <row r="9784" spans="12:17" x14ac:dyDescent="0.3">
      <c r="L9784" s="25"/>
      <c r="Q9784" s="17"/>
    </row>
    <row r="9785" spans="12:17" x14ac:dyDescent="0.3">
      <c r="L9785" s="25"/>
      <c r="Q9785" s="17"/>
    </row>
    <row r="9786" spans="12:17" x14ac:dyDescent="0.3">
      <c r="L9786" s="25"/>
      <c r="Q9786" s="17"/>
    </row>
    <row r="9787" spans="12:17" x14ac:dyDescent="0.3">
      <c r="L9787" s="25"/>
      <c r="Q9787" s="17"/>
    </row>
    <row r="9788" spans="12:17" x14ac:dyDescent="0.3">
      <c r="L9788" s="25"/>
      <c r="Q9788" s="17"/>
    </row>
    <row r="9789" spans="12:17" x14ac:dyDescent="0.3">
      <c r="L9789" s="25"/>
      <c r="Q9789" s="17"/>
    </row>
    <row r="9790" spans="12:17" x14ac:dyDescent="0.3">
      <c r="L9790" s="25"/>
      <c r="Q9790" s="17"/>
    </row>
    <row r="9791" spans="12:17" x14ac:dyDescent="0.3">
      <c r="L9791" s="25"/>
      <c r="Q9791" s="17"/>
    </row>
    <row r="9792" spans="12:17" x14ac:dyDescent="0.3">
      <c r="L9792" s="25"/>
      <c r="Q9792" s="17"/>
    </row>
    <row r="9793" spans="12:17" x14ac:dyDescent="0.3">
      <c r="L9793" s="25"/>
      <c r="Q9793" s="17"/>
    </row>
    <row r="9794" spans="12:17" x14ac:dyDescent="0.3">
      <c r="L9794" s="25"/>
      <c r="Q9794" s="17"/>
    </row>
    <row r="9795" spans="12:17" x14ac:dyDescent="0.3">
      <c r="L9795" s="25"/>
      <c r="Q9795" s="17"/>
    </row>
    <row r="9796" spans="12:17" x14ac:dyDescent="0.3">
      <c r="L9796" s="25"/>
      <c r="Q9796" s="17"/>
    </row>
    <row r="9797" spans="12:17" x14ac:dyDescent="0.3">
      <c r="L9797" s="25"/>
      <c r="Q9797" s="17"/>
    </row>
    <row r="9798" spans="12:17" x14ac:dyDescent="0.3">
      <c r="L9798" s="25"/>
      <c r="Q9798" s="17"/>
    </row>
    <row r="9799" spans="12:17" x14ac:dyDescent="0.3">
      <c r="L9799" s="25"/>
      <c r="Q9799" s="17"/>
    </row>
    <row r="9800" spans="12:17" x14ac:dyDescent="0.3">
      <c r="L9800" s="25"/>
      <c r="Q9800" s="17"/>
    </row>
    <row r="9801" spans="12:17" x14ac:dyDescent="0.3">
      <c r="L9801" s="25"/>
      <c r="Q9801" s="17"/>
    </row>
    <row r="9802" spans="12:17" x14ac:dyDescent="0.3">
      <c r="L9802" s="25"/>
      <c r="Q9802" s="17"/>
    </row>
    <row r="9803" spans="12:17" x14ac:dyDescent="0.3">
      <c r="L9803" s="25"/>
      <c r="Q9803" s="17"/>
    </row>
    <row r="9804" spans="12:17" x14ac:dyDescent="0.3">
      <c r="L9804" s="25"/>
      <c r="Q9804" s="17"/>
    </row>
    <row r="9805" spans="12:17" x14ac:dyDescent="0.3">
      <c r="L9805" s="25"/>
      <c r="Q9805" s="17"/>
    </row>
    <row r="9806" spans="12:17" x14ac:dyDescent="0.3">
      <c r="L9806" s="25"/>
      <c r="Q9806" s="17"/>
    </row>
    <row r="9807" spans="12:17" x14ac:dyDescent="0.3">
      <c r="L9807" s="25"/>
      <c r="Q9807" s="17"/>
    </row>
    <row r="9808" spans="12:17" x14ac:dyDescent="0.3">
      <c r="L9808" s="25"/>
      <c r="Q9808" s="17"/>
    </row>
    <row r="9809" spans="12:17" x14ac:dyDescent="0.3">
      <c r="L9809" s="25"/>
      <c r="Q9809" s="17"/>
    </row>
    <row r="9810" spans="12:17" x14ac:dyDescent="0.3">
      <c r="L9810" s="25"/>
      <c r="Q9810" s="17"/>
    </row>
    <row r="9811" spans="12:17" x14ac:dyDescent="0.3">
      <c r="L9811" s="25"/>
      <c r="Q9811" s="17"/>
    </row>
    <row r="9812" spans="12:17" x14ac:dyDescent="0.3">
      <c r="L9812" s="25"/>
      <c r="Q9812" s="17"/>
    </row>
    <row r="9813" spans="12:17" x14ac:dyDescent="0.3">
      <c r="L9813" s="25"/>
      <c r="Q9813" s="17"/>
    </row>
    <row r="9814" spans="12:17" x14ac:dyDescent="0.3">
      <c r="L9814" s="25"/>
      <c r="Q9814" s="17"/>
    </row>
    <row r="9815" spans="12:17" x14ac:dyDescent="0.3">
      <c r="L9815" s="25"/>
      <c r="Q9815" s="17"/>
    </row>
    <row r="9816" spans="12:17" x14ac:dyDescent="0.3">
      <c r="L9816" s="25"/>
      <c r="Q9816" s="17"/>
    </row>
    <row r="9817" spans="12:17" x14ac:dyDescent="0.3">
      <c r="L9817" s="25"/>
      <c r="Q9817" s="17"/>
    </row>
    <row r="9818" spans="12:17" x14ac:dyDescent="0.3">
      <c r="L9818" s="25"/>
      <c r="Q9818" s="17"/>
    </row>
    <row r="9819" spans="12:17" x14ac:dyDescent="0.3">
      <c r="L9819" s="25"/>
      <c r="Q9819" s="17"/>
    </row>
    <row r="9820" spans="12:17" x14ac:dyDescent="0.3">
      <c r="L9820" s="25"/>
      <c r="Q9820" s="17"/>
    </row>
    <row r="9821" spans="12:17" x14ac:dyDescent="0.3">
      <c r="L9821" s="25"/>
      <c r="Q9821" s="17"/>
    </row>
    <row r="9822" spans="12:17" x14ac:dyDescent="0.3">
      <c r="L9822" s="25"/>
      <c r="Q9822" s="17"/>
    </row>
    <row r="9823" spans="12:17" x14ac:dyDescent="0.3">
      <c r="L9823" s="25"/>
      <c r="Q9823" s="17"/>
    </row>
    <row r="9824" spans="12:17" x14ac:dyDescent="0.3">
      <c r="L9824" s="25"/>
      <c r="Q9824" s="17"/>
    </row>
    <row r="9825" spans="12:17" x14ac:dyDescent="0.3">
      <c r="L9825" s="25"/>
      <c r="Q9825" s="17"/>
    </row>
    <row r="9826" spans="12:17" x14ac:dyDescent="0.3">
      <c r="L9826" s="25"/>
      <c r="Q9826" s="17"/>
    </row>
    <row r="9827" spans="12:17" x14ac:dyDescent="0.3">
      <c r="L9827" s="25"/>
      <c r="Q9827" s="17"/>
    </row>
    <row r="9828" spans="12:17" x14ac:dyDescent="0.3">
      <c r="L9828" s="25"/>
      <c r="Q9828" s="17"/>
    </row>
    <row r="9829" spans="12:17" x14ac:dyDescent="0.3">
      <c r="L9829" s="25"/>
      <c r="Q9829" s="17"/>
    </row>
    <row r="9830" spans="12:17" x14ac:dyDescent="0.3">
      <c r="L9830" s="25"/>
      <c r="Q9830" s="17"/>
    </row>
    <row r="9831" spans="12:17" x14ac:dyDescent="0.3">
      <c r="L9831" s="25"/>
      <c r="Q9831" s="17"/>
    </row>
    <row r="9832" spans="12:17" x14ac:dyDescent="0.3">
      <c r="L9832" s="25"/>
      <c r="Q9832" s="17"/>
    </row>
    <row r="9833" spans="12:17" x14ac:dyDescent="0.3">
      <c r="L9833" s="25"/>
      <c r="Q9833" s="17"/>
    </row>
    <row r="9834" spans="12:17" x14ac:dyDescent="0.3">
      <c r="L9834" s="25"/>
      <c r="Q9834" s="17"/>
    </row>
    <row r="9835" spans="12:17" x14ac:dyDescent="0.3">
      <c r="L9835" s="25"/>
      <c r="Q9835" s="17"/>
    </row>
    <row r="9836" spans="12:17" x14ac:dyDescent="0.3">
      <c r="L9836" s="25"/>
      <c r="Q9836" s="17"/>
    </row>
    <row r="9837" spans="12:17" x14ac:dyDescent="0.3">
      <c r="L9837" s="25"/>
      <c r="Q9837" s="17"/>
    </row>
    <row r="9838" spans="12:17" x14ac:dyDescent="0.3">
      <c r="L9838" s="25"/>
      <c r="Q9838" s="17"/>
    </row>
    <row r="9839" spans="12:17" x14ac:dyDescent="0.3">
      <c r="L9839" s="25"/>
      <c r="Q9839" s="17"/>
    </row>
    <row r="9840" spans="12:17" x14ac:dyDescent="0.3">
      <c r="L9840" s="25"/>
      <c r="Q9840" s="17"/>
    </row>
    <row r="9841" spans="12:17" x14ac:dyDescent="0.3">
      <c r="L9841" s="25"/>
      <c r="Q9841" s="17"/>
    </row>
    <row r="9842" spans="12:17" x14ac:dyDescent="0.3">
      <c r="L9842" s="25"/>
      <c r="Q9842" s="17"/>
    </row>
    <row r="9843" spans="12:17" x14ac:dyDescent="0.3">
      <c r="L9843" s="25"/>
      <c r="Q9843" s="17"/>
    </row>
    <row r="9844" spans="12:17" x14ac:dyDescent="0.3">
      <c r="L9844" s="25"/>
      <c r="Q9844" s="17"/>
    </row>
    <row r="9845" spans="12:17" x14ac:dyDescent="0.3">
      <c r="L9845" s="25"/>
      <c r="Q9845" s="17"/>
    </row>
    <row r="9846" spans="12:17" x14ac:dyDescent="0.3">
      <c r="L9846" s="25"/>
      <c r="Q9846" s="17"/>
    </row>
    <row r="9847" spans="12:17" x14ac:dyDescent="0.3">
      <c r="L9847" s="25"/>
      <c r="Q9847" s="17"/>
    </row>
    <row r="9848" spans="12:17" x14ac:dyDescent="0.3">
      <c r="L9848" s="25"/>
      <c r="Q9848" s="17"/>
    </row>
    <row r="9849" spans="12:17" x14ac:dyDescent="0.3">
      <c r="L9849" s="25"/>
      <c r="Q9849" s="17"/>
    </row>
    <row r="9850" spans="12:17" x14ac:dyDescent="0.3">
      <c r="L9850" s="25"/>
      <c r="Q9850" s="17"/>
    </row>
    <row r="9851" spans="12:17" x14ac:dyDescent="0.3">
      <c r="L9851" s="25"/>
      <c r="Q9851" s="17"/>
    </row>
    <row r="9852" spans="12:17" x14ac:dyDescent="0.3">
      <c r="L9852" s="25"/>
      <c r="Q9852" s="17"/>
    </row>
    <row r="9853" spans="12:17" x14ac:dyDescent="0.3">
      <c r="L9853" s="25"/>
      <c r="Q9853" s="17"/>
    </row>
    <row r="9854" spans="12:17" x14ac:dyDescent="0.3">
      <c r="L9854" s="25"/>
      <c r="Q9854" s="17"/>
    </row>
    <row r="9855" spans="12:17" x14ac:dyDescent="0.3">
      <c r="L9855" s="25"/>
      <c r="Q9855" s="17"/>
    </row>
    <row r="9856" spans="12:17" x14ac:dyDescent="0.3">
      <c r="L9856" s="25"/>
      <c r="Q9856" s="17"/>
    </row>
    <row r="9857" spans="12:17" x14ac:dyDescent="0.3">
      <c r="L9857" s="25"/>
      <c r="Q9857" s="17"/>
    </row>
    <row r="9858" spans="12:17" x14ac:dyDescent="0.3">
      <c r="L9858" s="25"/>
      <c r="Q9858" s="17"/>
    </row>
    <row r="9859" spans="12:17" x14ac:dyDescent="0.3">
      <c r="L9859" s="25"/>
      <c r="Q9859" s="17"/>
    </row>
    <row r="9860" spans="12:17" x14ac:dyDescent="0.3">
      <c r="L9860" s="25"/>
      <c r="Q9860" s="17"/>
    </row>
    <row r="9861" spans="12:17" x14ac:dyDescent="0.3">
      <c r="L9861" s="25"/>
      <c r="Q9861" s="17"/>
    </row>
    <row r="9862" spans="12:17" x14ac:dyDescent="0.3">
      <c r="L9862" s="25"/>
      <c r="Q9862" s="17"/>
    </row>
    <row r="9863" spans="12:17" x14ac:dyDescent="0.3">
      <c r="L9863" s="25"/>
      <c r="Q9863" s="17"/>
    </row>
    <row r="9864" spans="12:17" x14ac:dyDescent="0.3">
      <c r="L9864" s="25"/>
      <c r="Q9864" s="17"/>
    </row>
    <row r="9865" spans="12:17" x14ac:dyDescent="0.3">
      <c r="L9865" s="25"/>
      <c r="Q9865" s="17"/>
    </row>
    <row r="9866" spans="12:17" x14ac:dyDescent="0.3">
      <c r="L9866" s="25"/>
      <c r="Q9866" s="17"/>
    </row>
    <row r="9867" spans="12:17" x14ac:dyDescent="0.3">
      <c r="L9867" s="25"/>
      <c r="Q9867" s="17"/>
    </row>
    <row r="9868" spans="12:17" x14ac:dyDescent="0.3">
      <c r="L9868" s="25"/>
      <c r="Q9868" s="17"/>
    </row>
    <row r="9869" spans="12:17" x14ac:dyDescent="0.3">
      <c r="L9869" s="25"/>
      <c r="Q9869" s="17"/>
    </row>
    <row r="9870" spans="12:17" x14ac:dyDescent="0.3">
      <c r="L9870" s="25"/>
      <c r="Q9870" s="17"/>
    </row>
    <row r="9871" spans="12:17" x14ac:dyDescent="0.3">
      <c r="L9871" s="25"/>
      <c r="Q9871" s="17"/>
    </row>
    <row r="9872" spans="12:17" x14ac:dyDescent="0.3">
      <c r="L9872" s="25"/>
      <c r="Q9872" s="17"/>
    </row>
    <row r="9873" spans="12:17" x14ac:dyDescent="0.3">
      <c r="L9873" s="25"/>
      <c r="Q9873" s="17"/>
    </row>
    <row r="9874" spans="12:17" x14ac:dyDescent="0.3">
      <c r="L9874" s="25"/>
      <c r="Q9874" s="17"/>
    </row>
    <row r="9875" spans="12:17" x14ac:dyDescent="0.3">
      <c r="L9875" s="25"/>
      <c r="Q9875" s="17"/>
    </row>
    <row r="9876" spans="12:17" x14ac:dyDescent="0.3">
      <c r="L9876" s="25"/>
      <c r="Q9876" s="17"/>
    </row>
    <row r="9877" spans="12:17" x14ac:dyDescent="0.3">
      <c r="L9877" s="25"/>
      <c r="Q9877" s="17"/>
    </row>
    <row r="9878" spans="12:17" x14ac:dyDescent="0.3">
      <c r="L9878" s="25"/>
      <c r="Q9878" s="17"/>
    </row>
    <row r="9879" spans="12:17" x14ac:dyDescent="0.3">
      <c r="L9879" s="25"/>
      <c r="Q9879" s="17"/>
    </row>
    <row r="9880" spans="12:17" x14ac:dyDescent="0.3">
      <c r="L9880" s="25"/>
      <c r="Q9880" s="17"/>
    </row>
    <row r="9881" spans="12:17" x14ac:dyDescent="0.3">
      <c r="L9881" s="25"/>
      <c r="Q9881" s="17"/>
    </row>
    <row r="9882" spans="12:17" x14ac:dyDescent="0.3">
      <c r="L9882" s="25"/>
      <c r="Q9882" s="17"/>
    </row>
    <row r="9883" spans="12:17" x14ac:dyDescent="0.3">
      <c r="L9883" s="25"/>
      <c r="Q9883" s="17"/>
    </row>
    <row r="9884" spans="12:17" x14ac:dyDescent="0.3">
      <c r="L9884" s="25"/>
      <c r="Q9884" s="17"/>
    </row>
    <row r="9885" spans="12:17" x14ac:dyDescent="0.3">
      <c r="L9885" s="25"/>
      <c r="Q9885" s="17"/>
    </row>
    <row r="9886" spans="12:17" x14ac:dyDescent="0.3">
      <c r="L9886" s="25"/>
      <c r="Q9886" s="17"/>
    </row>
    <row r="9887" spans="12:17" x14ac:dyDescent="0.3">
      <c r="L9887" s="25"/>
      <c r="Q9887" s="17"/>
    </row>
    <row r="9888" spans="12:17" x14ac:dyDescent="0.3">
      <c r="L9888" s="25"/>
      <c r="Q9888" s="17"/>
    </row>
    <row r="9889" spans="12:17" x14ac:dyDescent="0.3">
      <c r="L9889" s="25"/>
      <c r="Q9889" s="17"/>
    </row>
    <row r="9890" spans="12:17" x14ac:dyDescent="0.3">
      <c r="L9890" s="25"/>
      <c r="Q9890" s="17"/>
    </row>
    <row r="9891" spans="12:17" x14ac:dyDescent="0.3">
      <c r="L9891" s="25"/>
      <c r="Q9891" s="17"/>
    </row>
    <row r="9892" spans="12:17" x14ac:dyDescent="0.3">
      <c r="L9892" s="25"/>
      <c r="Q9892" s="17"/>
    </row>
    <row r="9893" spans="12:17" x14ac:dyDescent="0.3">
      <c r="L9893" s="25"/>
      <c r="Q9893" s="17"/>
    </row>
    <row r="9894" spans="12:17" x14ac:dyDescent="0.3">
      <c r="L9894" s="25"/>
      <c r="Q9894" s="17"/>
    </row>
    <row r="9895" spans="12:17" x14ac:dyDescent="0.3">
      <c r="L9895" s="25"/>
      <c r="Q9895" s="17"/>
    </row>
    <row r="9896" spans="12:17" x14ac:dyDescent="0.3">
      <c r="L9896" s="25"/>
      <c r="Q9896" s="17"/>
    </row>
    <row r="9897" spans="12:17" x14ac:dyDescent="0.3">
      <c r="L9897" s="25"/>
      <c r="Q9897" s="17"/>
    </row>
    <row r="9898" spans="12:17" x14ac:dyDescent="0.3">
      <c r="L9898" s="25"/>
      <c r="Q9898" s="17"/>
    </row>
    <row r="9899" spans="12:17" x14ac:dyDescent="0.3">
      <c r="L9899" s="25"/>
      <c r="Q9899" s="17"/>
    </row>
    <row r="9900" spans="12:17" x14ac:dyDescent="0.3">
      <c r="L9900" s="25"/>
      <c r="Q9900" s="17"/>
    </row>
    <row r="9901" spans="12:17" x14ac:dyDescent="0.3">
      <c r="L9901" s="25"/>
      <c r="Q9901" s="17"/>
    </row>
    <row r="9902" spans="12:17" x14ac:dyDescent="0.3">
      <c r="L9902" s="25"/>
      <c r="Q9902" s="17"/>
    </row>
    <row r="9903" spans="12:17" x14ac:dyDescent="0.3">
      <c r="L9903" s="25"/>
      <c r="Q9903" s="17"/>
    </row>
    <row r="9904" spans="12:17" x14ac:dyDescent="0.3">
      <c r="L9904" s="25"/>
      <c r="Q9904" s="17"/>
    </row>
    <row r="9905" spans="12:17" x14ac:dyDescent="0.3">
      <c r="L9905" s="25"/>
      <c r="Q9905" s="17"/>
    </row>
    <row r="9906" spans="12:17" x14ac:dyDescent="0.3">
      <c r="L9906" s="25"/>
      <c r="Q9906" s="17"/>
    </row>
    <row r="9907" spans="12:17" x14ac:dyDescent="0.3">
      <c r="L9907" s="25"/>
      <c r="Q9907" s="17"/>
    </row>
    <row r="9908" spans="12:17" x14ac:dyDescent="0.3">
      <c r="L9908" s="25"/>
      <c r="Q9908" s="17"/>
    </row>
    <row r="9909" spans="12:17" x14ac:dyDescent="0.3">
      <c r="L9909" s="25"/>
      <c r="Q9909" s="17"/>
    </row>
    <row r="9910" spans="12:17" x14ac:dyDescent="0.3">
      <c r="L9910" s="25"/>
      <c r="Q9910" s="17"/>
    </row>
    <row r="9911" spans="12:17" x14ac:dyDescent="0.3">
      <c r="L9911" s="25"/>
      <c r="Q9911" s="17"/>
    </row>
    <row r="9912" spans="12:17" x14ac:dyDescent="0.3">
      <c r="L9912" s="25"/>
      <c r="Q9912" s="17"/>
    </row>
    <row r="9913" spans="12:17" x14ac:dyDescent="0.3">
      <c r="L9913" s="25"/>
      <c r="Q9913" s="17"/>
    </row>
    <row r="9914" spans="12:17" x14ac:dyDescent="0.3">
      <c r="L9914" s="25"/>
      <c r="Q9914" s="17"/>
    </row>
    <row r="9915" spans="12:17" x14ac:dyDescent="0.3">
      <c r="L9915" s="25"/>
      <c r="Q9915" s="17"/>
    </row>
    <row r="9916" spans="12:17" x14ac:dyDescent="0.3">
      <c r="L9916" s="25"/>
      <c r="Q9916" s="17"/>
    </row>
    <row r="9917" spans="12:17" x14ac:dyDescent="0.3">
      <c r="L9917" s="25"/>
      <c r="Q9917" s="17"/>
    </row>
    <row r="9918" spans="12:17" x14ac:dyDescent="0.3">
      <c r="L9918" s="25"/>
      <c r="Q9918" s="17"/>
    </row>
    <row r="9919" spans="12:17" x14ac:dyDescent="0.3">
      <c r="L9919" s="25"/>
      <c r="Q9919" s="17"/>
    </row>
    <row r="9920" spans="12:17" x14ac:dyDescent="0.3">
      <c r="L9920" s="25"/>
      <c r="Q9920" s="17"/>
    </row>
    <row r="9921" spans="12:17" x14ac:dyDescent="0.3">
      <c r="L9921" s="25"/>
      <c r="Q9921" s="17"/>
    </row>
    <row r="9922" spans="12:17" x14ac:dyDescent="0.3">
      <c r="L9922" s="25"/>
      <c r="Q9922" s="17"/>
    </row>
    <row r="9923" spans="12:17" x14ac:dyDescent="0.3">
      <c r="L9923" s="25"/>
      <c r="Q9923" s="17"/>
    </row>
    <row r="9924" spans="12:17" x14ac:dyDescent="0.3">
      <c r="L9924" s="25"/>
      <c r="Q9924" s="17"/>
    </row>
    <row r="9925" spans="12:17" x14ac:dyDescent="0.3">
      <c r="L9925" s="25"/>
      <c r="Q9925" s="17"/>
    </row>
    <row r="9926" spans="12:17" x14ac:dyDescent="0.3">
      <c r="L9926" s="25"/>
      <c r="Q9926" s="17"/>
    </row>
    <row r="9927" spans="12:17" x14ac:dyDescent="0.3">
      <c r="L9927" s="25"/>
      <c r="Q9927" s="17"/>
    </row>
    <row r="9928" spans="12:17" x14ac:dyDescent="0.3">
      <c r="L9928" s="25"/>
      <c r="Q9928" s="17"/>
    </row>
    <row r="9929" spans="12:17" x14ac:dyDescent="0.3">
      <c r="L9929" s="25"/>
      <c r="Q9929" s="17"/>
    </row>
    <row r="9930" spans="12:17" x14ac:dyDescent="0.3">
      <c r="L9930" s="25"/>
      <c r="Q9930" s="17"/>
    </row>
    <row r="9931" spans="12:17" x14ac:dyDescent="0.3">
      <c r="L9931" s="25"/>
      <c r="Q9931" s="17"/>
    </row>
    <row r="9932" spans="12:17" x14ac:dyDescent="0.3">
      <c r="L9932" s="25"/>
      <c r="Q9932" s="17"/>
    </row>
    <row r="9933" spans="12:17" x14ac:dyDescent="0.3">
      <c r="L9933" s="25"/>
      <c r="Q9933" s="17"/>
    </row>
    <row r="9934" spans="12:17" x14ac:dyDescent="0.3">
      <c r="L9934" s="25"/>
      <c r="Q9934" s="17"/>
    </row>
    <row r="9935" spans="12:17" x14ac:dyDescent="0.3">
      <c r="L9935" s="25"/>
      <c r="Q9935" s="17"/>
    </row>
    <row r="9936" spans="12:17" x14ac:dyDescent="0.3">
      <c r="L9936" s="25"/>
      <c r="Q9936" s="17"/>
    </row>
    <row r="9937" spans="12:17" x14ac:dyDescent="0.3">
      <c r="L9937" s="25"/>
      <c r="Q9937" s="17"/>
    </row>
    <row r="9938" spans="12:17" x14ac:dyDescent="0.3">
      <c r="L9938" s="25"/>
      <c r="Q9938" s="17"/>
    </row>
    <row r="9939" spans="12:17" x14ac:dyDescent="0.3">
      <c r="L9939" s="25"/>
      <c r="Q9939" s="17"/>
    </row>
    <row r="9940" spans="12:17" x14ac:dyDescent="0.3">
      <c r="L9940" s="25"/>
      <c r="Q9940" s="17"/>
    </row>
    <row r="9941" spans="12:17" x14ac:dyDescent="0.3">
      <c r="L9941" s="25"/>
      <c r="Q9941" s="17"/>
    </row>
    <row r="9942" spans="12:17" x14ac:dyDescent="0.3">
      <c r="L9942" s="25"/>
      <c r="Q9942" s="17"/>
    </row>
    <row r="9943" spans="12:17" x14ac:dyDescent="0.3">
      <c r="L9943" s="25"/>
      <c r="Q9943" s="17"/>
    </row>
    <row r="9944" spans="12:17" x14ac:dyDescent="0.3">
      <c r="L9944" s="25"/>
      <c r="Q9944" s="17"/>
    </row>
    <row r="9945" spans="12:17" x14ac:dyDescent="0.3">
      <c r="L9945" s="25"/>
      <c r="Q9945" s="17"/>
    </row>
    <row r="9946" spans="12:17" x14ac:dyDescent="0.3">
      <c r="L9946" s="25"/>
      <c r="Q9946" s="17"/>
    </row>
    <row r="9947" spans="12:17" x14ac:dyDescent="0.3">
      <c r="L9947" s="25"/>
      <c r="Q9947" s="17"/>
    </row>
    <row r="9948" spans="12:17" x14ac:dyDescent="0.3">
      <c r="L9948" s="25"/>
      <c r="Q9948" s="17"/>
    </row>
    <row r="9949" spans="12:17" x14ac:dyDescent="0.3">
      <c r="L9949" s="25"/>
      <c r="Q9949" s="17"/>
    </row>
    <row r="9950" spans="12:17" x14ac:dyDescent="0.3">
      <c r="L9950" s="25"/>
      <c r="Q9950" s="17"/>
    </row>
    <row r="9951" spans="12:17" x14ac:dyDescent="0.3">
      <c r="L9951" s="25"/>
      <c r="Q9951" s="17"/>
    </row>
    <row r="9952" spans="12:17" x14ac:dyDescent="0.3">
      <c r="L9952" s="25"/>
      <c r="Q9952" s="17"/>
    </row>
    <row r="9953" spans="12:17" x14ac:dyDescent="0.3">
      <c r="L9953" s="25"/>
      <c r="Q9953" s="17"/>
    </row>
    <row r="9954" spans="12:17" x14ac:dyDescent="0.3">
      <c r="L9954" s="25"/>
      <c r="Q9954" s="17"/>
    </row>
    <row r="9955" spans="12:17" x14ac:dyDescent="0.3">
      <c r="L9955" s="25"/>
      <c r="Q9955" s="17"/>
    </row>
    <row r="9956" spans="12:17" x14ac:dyDescent="0.3">
      <c r="L9956" s="25"/>
      <c r="Q9956" s="17"/>
    </row>
    <row r="9957" spans="12:17" x14ac:dyDescent="0.3">
      <c r="L9957" s="25"/>
      <c r="Q9957" s="17"/>
    </row>
    <row r="9958" spans="12:17" x14ac:dyDescent="0.3">
      <c r="L9958" s="25"/>
      <c r="Q9958" s="17"/>
    </row>
    <row r="9959" spans="12:17" x14ac:dyDescent="0.3">
      <c r="L9959" s="25"/>
      <c r="Q9959" s="17"/>
    </row>
    <row r="9960" spans="12:17" x14ac:dyDescent="0.3">
      <c r="L9960" s="25"/>
      <c r="Q9960" s="17"/>
    </row>
    <row r="9961" spans="12:17" x14ac:dyDescent="0.3">
      <c r="L9961" s="25"/>
      <c r="Q9961" s="17"/>
    </row>
    <row r="9962" spans="12:17" x14ac:dyDescent="0.3">
      <c r="L9962" s="25"/>
      <c r="Q9962" s="17"/>
    </row>
    <row r="9963" spans="12:17" x14ac:dyDescent="0.3">
      <c r="L9963" s="25"/>
      <c r="Q9963" s="17"/>
    </row>
    <row r="9964" spans="12:17" x14ac:dyDescent="0.3">
      <c r="L9964" s="25"/>
      <c r="Q9964" s="17"/>
    </row>
    <row r="9965" spans="12:17" x14ac:dyDescent="0.3">
      <c r="L9965" s="25"/>
      <c r="Q9965" s="17"/>
    </row>
    <row r="9966" spans="12:17" x14ac:dyDescent="0.3">
      <c r="L9966" s="25"/>
      <c r="Q9966" s="17"/>
    </row>
    <row r="9967" spans="12:17" x14ac:dyDescent="0.3">
      <c r="L9967" s="25"/>
      <c r="Q9967" s="17"/>
    </row>
    <row r="9968" spans="12:17" x14ac:dyDescent="0.3">
      <c r="L9968" s="25"/>
      <c r="Q9968" s="17"/>
    </row>
    <row r="9969" spans="12:17" x14ac:dyDescent="0.3">
      <c r="L9969" s="25"/>
      <c r="Q9969" s="17"/>
    </row>
    <row r="9970" spans="12:17" x14ac:dyDescent="0.3">
      <c r="L9970" s="25"/>
      <c r="Q9970" s="17"/>
    </row>
    <row r="9971" spans="12:17" x14ac:dyDescent="0.3">
      <c r="L9971" s="25"/>
      <c r="Q9971" s="17"/>
    </row>
    <row r="9972" spans="12:17" x14ac:dyDescent="0.3">
      <c r="L9972" s="25"/>
      <c r="Q9972" s="17"/>
    </row>
    <row r="9973" spans="12:17" x14ac:dyDescent="0.3">
      <c r="L9973" s="25"/>
      <c r="Q9973" s="17"/>
    </row>
    <row r="9974" spans="12:17" x14ac:dyDescent="0.3">
      <c r="L9974" s="25"/>
      <c r="Q9974" s="17"/>
    </row>
    <row r="9975" spans="12:17" x14ac:dyDescent="0.3">
      <c r="L9975" s="25"/>
      <c r="Q9975" s="17"/>
    </row>
    <row r="9976" spans="12:17" x14ac:dyDescent="0.3">
      <c r="L9976" s="25"/>
      <c r="Q9976" s="17"/>
    </row>
    <row r="9977" spans="12:17" x14ac:dyDescent="0.3">
      <c r="L9977" s="25"/>
      <c r="Q9977" s="17"/>
    </row>
    <row r="9978" spans="12:17" x14ac:dyDescent="0.3">
      <c r="L9978" s="25"/>
      <c r="Q9978" s="17"/>
    </row>
    <row r="9979" spans="12:17" x14ac:dyDescent="0.3">
      <c r="L9979" s="25"/>
      <c r="Q9979" s="17"/>
    </row>
    <row r="9980" spans="12:17" x14ac:dyDescent="0.3">
      <c r="L9980" s="25"/>
      <c r="Q9980" s="17"/>
    </row>
    <row r="9981" spans="12:17" x14ac:dyDescent="0.3">
      <c r="L9981" s="25"/>
      <c r="Q9981" s="17"/>
    </row>
    <row r="9982" spans="12:17" x14ac:dyDescent="0.3">
      <c r="L9982" s="25"/>
      <c r="Q9982" s="17"/>
    </row>
    <row r="9983" spans="12:17" x14ac:dyDescent="0.3">
      <c r="L9983" s="25"/>
      <c r="Q9983" s="17"/>
    </row>
    <row r="9984" spans="12:17" x14ac:dyDescent="0.3">
      <c r="L9984" s="25"/>
      <c r="Q9984" s="17"/>
    </row>
    <row r="9985" spans="12:17" x14ac:dyDescent="0.3">
      <c r="L9985" s="25"/>
      <c r="Q9985" s="17"/>
    </row>
    <row r="9986" spans="12:17" x14ac:dyDescent="0.3">
      <c r="L9986" s="25"/>
      <c r="Q9986" s="17"/>
    </row>
    <row r="9987" spans="12:17" x14ac:dyDescent="0.3">
      <c r="L9987" s="25"/>
      <c r="Q9987" s="17"/>
    </row>
    <row r="9988" spans="12:17" x14ac:dyDescent="0.3">
      <c r="L9988" s="25"/>
      <c r="Q9988" s="17"/>
    </row>
    <row r="9989" spans="12:17" x14ac:dyDescent="0.3">
      <c r="L9989" s="25"/>
      <c r="Q9989" s="17"/>
    </row>
    <row r="9990" spans="12:17" x14ac:dyDescent="0.3">
      <c r="L9990" s="25"/>
      <c r="Q9990" s="17"/>
    </row>
    <row r="9991" spans="12:17" x14ac:dyDescent="0.3">
      <c r="L9991" s="25"/>
      <c r="Q9991" s="17"/>
    </row>
    <row r="9992" spans="12:17" x14ac:dyDescent="0.3">
      <c r="L9992" s="25"/>
      <c r="Q9992" s="17"/>
    </row>
    <row r="9993" spans="12:17" x14ac:dyDescent="0.3">
      <c r="L9993" s="25"/>
      <c r="Q9993" s="17"/>
    </row>
    <row r="9994" spans="12:17" x14ac:dyDescent="0.3">
      <c r="L9994" s="25"/>
      <c r="Q9994" s="17"/>
    </row>
    <row r="9995" spans="12:17" x14ac:dyDescent="0.3">
      <c r="L9995" s="25"/>
      <c r="Q9995" s="17"/>
    </row>
    <row r="9996" spans="12:17" x14ac:dyDescent="0.3">
      <c r="L9996" s="25"/>
      <c r="Q9996" s="17"/>
    </row>
    <row r="9997" spans="12:17" x14ac:dyDescent="0.3">
      <c r="L9997" s="25"/>
      <c r="Q9997" s="17"/>
    </row>
    <row r="9998" spans="12:17" x14ac:dyDescent="0.3">
      <c r="L9998" s="25"/>
      <c r="Q9998" s="17"/>
    </row>
    <row r="9999" spans="12:17" x14ac:dyDescent="0.3">
      <c r="L9999" s="25"/>
      <c r="Q9999" s="17"/>
    </row>
    <row r="10000" spans="12:17" x14ac:dyDescent="0.3">
      <c r="L10000" s="25"/>
      <c r="Q10000" s="17"/>
    </row>
    <row r="10001" spans="12:17" x14ac:dyDescent="0.3">
      <c r="L10001" s="25"/>
      <c r="Q10001" s="17"/>
    </row>
    <row r="10002" spans="12:17" x14ac:dyDescent="0.3">
      <c r="L10002" s="25"/>
      <c r="Q10002" s="17"/>
    </row>
    <row r="10003" spans="12:17" x14ac:dyDescent="0.3">
      <c r="L10003" s="25"/>
      <c r="Q10003" s="17"/>
    </row>
    <row r="10004" spans="12:17" x14ac:dyDescent="0.3">
      <c r="L10004" s="25"/>
      <c r="Q10004" s="17"/>
    </row>
    <row r="10005" spans="12:17" x14ac:dyDescent="0.3">
      <c r="L10005" s="25"/>
      <c r="Q10005" s="17"/>
    </row>
    <row r="10006" spans="12:17" x14ac:dyDescent="0.3">
      <c r="L10006" s="25"/>
      <c r="Q10006" s="17"/>
    </row>
    <row r="10007" spans="12:17" x14ac:dyDescent="0.3">
      <c r="L10007" s="25"/>
      <c r="Q10007" s="17"/>
    </row>
    <row r="10008" spans="12:17" x14ac:dyDescent="0.3">
      <c r="L10008" s="25"/>
      <c r="Q10008" s="17"/>
    </row>
    <row r="10009" spans="12:17" x14ac:dyDescent="0.3">
      <c r="L10009" s="25"/>
      <c r="Q10009" s="17"/>
    </row>
    <row r="10010" spans="12:17" x14ac:dyDescent="0.3">
      <c r="L10010" s="25"/>
      <c r="Q10010" s="17"/>
    </row>
    <row r="10011" spans="12:17" x14ac:dyDescent="0.3">
      <c r="L10011" s="25"/>
      <c r="Q10011" s="17"/>
    </row>
    <row r="10012" spans="12:17" x14ac:dyDescent="0.3">
      <c r="L10012" s="25"/>
      <c r="Q10012" s="17"/>
    </row>
    <row r="10013" spans="12:17" x14ac:dyDescent="0.3">
      <c r="L10013" s="25"/>
      <c r="Q10013" s="17"/>
    </row>
    <row r="10014" spans="12:17" x14ac:dyDescent="0.3">
      <c r="L10014" s="25"/>
      <c r="Q10014" s="17"/>
    </row>
    <row r="10015" spans="12:17" x14ac:dyDescent="0.3">
      <c r="L10015" s="25"/>
      <c r="Q10015" s="17"/>
    </row>
    <row r="10016" spans="12:17" x14ac:dyDescent="0.3">
      <c r="L10016" s="25"/>
      <c r="Q10016" s="17"/>
    </row>
    <row r="10017" spans="12:17" x14ac:dyDescent="0.3">
      <c r="L10017" s="25"/>
      <c r="Q10017" s="17"/>
    </row>
    <row r="10018" spans="12:17" x14ac:dyDescent="0.3">
      <c r="L10018" s="25"/>
      <c r="Q10018" s="17"/>
    </row>
    <row r="10019" spans="12:17" x14ac:dyDescent="0.3">
      <c r="L10019" s="25"/>
      <c r="Q10019" s="17"/>
    </row>
    <row r="10020" spans="12:17" x14ac:dyDescent="0.3">
      <c r="L10020" s="25"/>
      <c r="Q10020" s="17"/>
    </row>
    <row r="10021" spans="12:17" x14ac:dyDescent="0.3">
      <c r="L10021" s="25"/>
      <c r="Q10021" s="17"/>
    </row>
    <row r="10022" spans="12:17" x14ac:dyDescent="0.3">
      <c r="L10022" s="25"/>
      <c r="Q10022" s="17"/>
    </row>
    <row r="10023" spans="12:17" x14ac:dyDescent="0.3">
      <c r="L10023" s="25"/>
      <c r="Q10023" s="17"/>
    </row>
    <row r="10024" spans="12:17" x14ac:dyDescent="0.3">
      <c r="L10024" s="25"/>
      <c r="Q10024" s="17"/>
    </row>
    <row r="10025" spans="12:17" x14ac:dyDescent="0.3">
      <c r="L10025" s="25"/>
      <c r="Q10025" s="17"/>
    </row>
    <row r="10026" spans="12:17" x14ac:dyDescent="0.3">
      <c r="L10026" s="25"/>
      <c r="Q10026" s="17"/>
    </row>
    <row r="10027" spans="12:17" x14ac:dyDescent="0.3">
      <c r="L10027" s="25"/>
      <c r="Q10027" s="17"/>
    </row>
    <row r="10028" spans="12:17" x14ac:dyDescent="0.3">
      <c r="L10028" s="25"/>
      <c r="Q10028" s="17"/>
    </row>
    <row r="10029" spans="12:17" x14ac:dyDescent="0.3">
      <c r="L10029" s="25"/>
      <c r="Q10029" s="17"/>
    </row>
    <row r="10030" spans="12:17" x14ac:dyDescent="0.3">
      <c r="L10030" s="25"/>
      <c r="Q10030" s="17"/>
    </row>
    <row r="10031" spans="12:17" x14ac:dyDescent="0.3">
      <c r="L10031" s="25"/>
      <c r="Q10031" s="17"/>
    </row>
    <row r="10032" spans="12:17" x14ac:dyDescent="0.3">
      <c r="L10032" s="25"/>
      <c r="Q10032" s="17"/>
    </row>
    <row r="10033" spans="12:17" x14ac:dyDescent="0.3">
      <c r="L10033" s="25"/>
      <c r="Q10033" s="17"/>
    </row>
    <row r="10034" spans="12:17" x14ac:dyDescent="0.3">
      <c r="L10034" s="25"/>
      <c r="Q10034" s="17"/>
    </row>
    <row r="10035" spans="12:17" x14ac:dyDescent="0.3">
      <c r="L10035" s="25"/>
      <c r="Q10035" s="17"/>
    </row>
    <row r="10036" spans="12:17" x14ac:dyDescent="0.3">
      <c r="L10036" s="25"/>
      <c r="Q10036" s="17"/>
    </row>
    <row r="10037" spans="12:17" x14ac:dyDescent="0.3">
      <c r="L10037" s="25"/>
      <c r="Q10037" s="17"/>
    </row>
    <row r="10038" spans="12:17" x14ac:dyDescent="0.3">
      <c r="L10038" s="25"/>
      <c r="Q10038" s="17"/>
    </row>
    <row r="10039" spans="12:17" x14ac:dyDescent="0.3">
      <c r="L10039" s="25"/>
      <c r="Q10039" s="17"/>
    </row>
    <row r="10040" spans="12:17" x14ac:dyDescent="0.3">
      <c r="L10040" s="25"/>
      <c r="Q10040" s="17"/>
    </row>
    <row r="10041" spans="12:17" x14ac:dyDescent="0.3">
      <c r="L10041" s="25"/>
      <c r="Q10041" s="17"/>
    </row>
    <row r="10042" spans="12:17" x14ac:dyDescent="0.3">
      <c r="L10042" s="25"/>
      <c r="Q10042" s="17"/>
    </row>
    <row r="10043" spans="12:17" x14ac:dyDescent="0.3">
      <c r="L10043" s="25"/>
      <c r="Q10043" s="17"/>
    </row>
    <row r="10044" spans="12:17" x14ac:dyDescent="0.3">
      <c r="L10044" s="25"/>
      <c r="Q10044" s="17"/>
    </row>
    <row r="10045" spans="12:17" x14ac:dyDescent="0.3">
      <c r="L10045" s="25"/>
      <c r="Q10045" s="17"/>
    </row>
    <row r="10046" spans="12:17" x14ac:dyDescent="0.3">
      <c r="L10046" s="25"/>
      <c r="Q10046" s="17"/>
    </row>
    <row r="10047" spans="12:17" x14ac:dyDescent="0.3">
      <c r="L10047" s="25"/>
      <c r="Q10047" s="17"/>
    </row>
    <row r="10048" spans="12:17" x14ac:dyDescent="0.3">
      <c r="L10048" s="25"/>
      <c r="Q10048" s="17"/>
    </row>
    <row r="10049" spans="12:17" x14ac:dyDescent="0.3">
      <c r="L10049" s="25"/>
      <c r="Q10049" s="17"/>
    </row>
    <row r="10050" spans="12:17" x14ac:dyDescent="0.3">
      <c r="L10050" s="25"/>
      <c r="Q10050" s="17"/>
    </row>
    <row r="10051" spans="12:17" x14ac:dyDescent="0.3">
      <c r="L10051" s="25"/>
      <c r="Q10051" s="17"/>
    </row>
    <row r="10052" spans="12:17" x14ac:dyDescent="0.3">
      <c r="L10052" s="25"/>
      <c r="Q10052" s="17"/>
    </row>
    <row r="10053" spans="12:17" x14ac:dyDescent="0.3">
      <c r="L10053" s="25"/>
      <c r="Q10053" s="17"/>
    </row>
    <row r="10054" spans="12:17" x14ac:dyDescent="0.3">
      <c r="L10054" s="25"/>
      <c r="Q10054" s="17"/>
    </row>
    <row r="10055" spans="12:17" x14ac:dyDescent="0.3">
      <c r="L10055" s="25"/>
      <c r="Q10055" s="17"/>
    </row>
    <row r="10056" spans="12:17" x14ac:dyDescent="0.3">
      <c r="L10056" s="25"/>
      <c r="Q10056" s="17"/>
    </row>
    <row r="10057" spans="12:17" x14ac:dyDescent="0.3">
      <c r="L10057" s="25"/>
      <c r="Q10057" s="17"/>
    </row>
    <row r="10058" spans="12:17" x14ac:dyDescent="0.3">
      <c r="L10058" s="25"/>
      <c r="Q10058" s="17"/>
    </row>
    <row r="10059" spans="12:17" x14ac:dyDescent="0.3">
      <c r="L10059" s="25"/>
      <c r="Q10059" s="17"/>
    </row>
    <row r="10060" spans="12:17" x14ac:dyDescent="0.3">
      <c r="L10060" s="25"/>
      <c r="Q10060" s="17"/>
    </row>
    <row r="10061" spans="12:17" x14ac:dyDescent="0.3">
      <c r="L10061" s="25"/>
      <c r="Q10061" s="17"/>
    </row>
    <row r="10062" spans="12:17" x14ac:dyDescent="0.3">
      <c r="L10062" s="25"/>
      <c r="Q10062" s="17"/>
    </row>
    <row r="10063" spans="12:17" x14ac:dyDescent="0.3">
      <c r="L10063" s="25"/>
      <c r="Q10063" s="17"/>
    </row>
    <row r="10064" spans="12:17" x14ac:dyDescent="0.3">
      <c r="L10064" s="25"/>
      <c r="Q10064" s="17"/>
    </row>
    <row r="10065" spans="12:17" x14ac:dyDescent="0.3">
      <c r="L10065" s="25"/>
      <c r="Q10065" s="17"/>
    </row>
    <row r="10066" spans="12:17" x14ac:dyDescent="0.3">
      <c r="L10066" s="25"/>
      <c r="Q10066" s="17"/>
    </row>
    <row r="10067" spans="12:17" x14ac:dyDescent="0.3">
      <c r="L10067" s="25"/>
      <c r="Q10067" s="17"/>
    </row>
    <row r="10068" spans="12:17" x14ac:dyDescent="0.3">
      <c r="L10068" s="25"/>
      <c r="Q10068" s="17"/>
    </row>
    <row r="10069" spans="12:17" x14ac:dyDescent="0.3">
      <c r="L10069" s="25"/>
      <c r="Q10069" s="17"/>
    </row>
    <row r="10070" spans="12:17" x14ac:dyDescent="0.3">
      <c r="L10070" s="25"/>
      <c r="Q10070" s="17"/>
    </row>
    <row r="10071" spans="12:17" x14ac:dyDescent="0.3">
      <c r="L10071" s="25"/>
      <c r="Q10071" s="17"/>
    </row>
    <row r="10072" spans="12:17" x14ac:dyDescent="0.3">
      <c r="L10072" s="25"/>
      <c r="Q10072" s="17"/>
    </row>
    <row r="10073" spans="12:17" x14ac:dyDescent="0.3">
      <c r="L10073" s="25"/>
      <c r="Q10073" s="17"/>
    </row>
    <row r="10074" spans="12:17" x14ac:dyDescent="0.3">
      <c r="L10074" s="25"/>
      <c r="Q10074" s="17"/>
    </row>
    <row r="10075" spans="12:17" x14ac:dyDescent="0.3">
      <c r="L10075" s="25"/>
      <c r="Q10075" s="17"/>
    </row>
    <row r="10076" spans="12:17" x14ac:dyDescent="0.3">
      <c r="L10076" s="25"/>
      <c r="Q10076" s="17"/>
    </row>
    <row r="10077" spans="12:17" x14ac:dyDescent="0.3">
      <c r="L10077" s="25"/>
      <c r="Q10077" s="17"/>
    </row>
    <row r="10078" spans="12:17" x14ac:dyDescent="0.3">
      <c r="L10078" s="25"/>
      <c r="Q10078" s="17"/>
    </row>
    <row r="10079" spans="12:17" x14ac:dyDescent="0.3">
      <c r="L10079" s="25"/>
      <c r="Q10079" s="17"/>
    </row>
    <row r="10080" spans="12:17" x14ac:dyDescent="0.3">
      <c r="L10080" s="25"/>
      <c r="Q10080" s="17"/>
    </row>
    <row r="10081" spans="12:17" x14ac:dyDescent="0.3">
      <c r="L10081" s="25"/>
      <c r="Q10081" s="17"/>
    </row>
    <row r="10082" spans="12:17" x14ac:dyDescent="0.3">
      <c r="L10082" s="25"/>
      <c r="Q10082" s="17"/>
    </row>
    <row r="10083" spans="12:17" x14ac:dyDescent="0.3">
      <c r="L10083" s="25"/>
      <c r="Q10083" s="17"/>
    </row>
    <row r="10084" spans="12:17" x14ac:dyDescent="0.3">
      <c r="L10084" s="25"/>
      <c r="Q10084" s="17"/>
    </row>
    <row r="10085" spans="12:17" x14ac:dyDescent="0.3">
      <c r="L10085" s="25"/>
      <c r="Q10085" s="17"/>
    </row>
    <row r="10086" spans="12:17" x14ac:dyDescent="0.3">
      <c r="L10086" s="25"/>
      <c r="Q10086" s="17"/>
    </row>
    <row r="10087" spans="12:17" x14ac:dyDescent="0.3">
      <c r="L10087" s="25"/>
      <c r="Q10087" s="17"/>
    </row>
    <row r="10088" spans="12:17" x14ac:dyDescent="0.3">
      <c r="L10088" s="25"/>
      <c r="Q10088" s="17"/>
    </row>
    <row r="10089" spans="12:17" x14ac:dyDescent="0.3">
      <c r="L10089" s="25"/>
      <c r="Q10089" s="17"/>
    </row>
    <row r="10090" spans="12:17" x14ac:dyDescent="0.3">
      <c r="L10090" s="25"/>
      <c r="Q10090" s="17"/>
    </row>
    <row r="10091" spans="12:17" x14ac:dyDescent="0.3">
      <c r="L10091" s="25"/>
      <c r="Q10091" s="17"/>
    </row>
    <row r="10092" spans="12:17" x14ac:dyDescent="0.3">
      <c r="L10092" s="25"/>
      <c r="Q10092" s="17"/>
    </row>
    <row r="10093" spans="12:17" x14ac:dyDescent="0.3">
      <c r="L10093" s="25"/>
      <c r="Q10093" s="17"/>
    </row>
    <row r="10094" spans="12:17" x14ac:dyDescent="0.3">
      <c r="L10094" s="25"/>
      <c r="Q10094" s="17"/>
    </row>
    <row r="10095" spans="12:17" x14ac:dyDescent="0.3">
      <c r="L10095" s="25"/>
      <c r="Q10095" s="17"/>
    </row>
    <row r="10096" spans="12:17" x14ac:dyDescent="0.3">
      <c r="L10096" s="25"/>
      <c r="Q10096" s="17"/>
    </row>
    <row r="10097" spans="12:17" x14ac:dyDescent="0.3">
      <c r="L10097" s="25"/>
      <c r="Q10097" s="17"/>
    </row>
    <row r="10098" spans="12:17" x14ac:dyDescent="0.3">
      <c r="L10098" s="25"/>
      <c r="Q10098" s="17"/>
    </row>
    <row r="10099" spans="12:17" x14ac:dyDescent="0.3">
      <c r="L10099" s="25"/>
      <c r="Q10099" s="17"/>
    </row>
    <row r="10100" spans="12:17" x14ac:dyDescent="0.3">
      <c r="L10100" s="25"/>
      <c r="Q10100" s="17"/>
    </row>
    <row r="10101" spans="12:17" x14ac:dyDescent="0.3">
      <c r="L10101" s="25"/>
      <c r="Q10101" s="17"/>
    </row>
    <row r="10102" spans="12:17" x14ac:dyDescent="0.3">
      <c r="L10102" s="25"/>
      <c r="Q10102" s="17"/>
    </row>
    <row r="10103" spans="12:17" x14ac:dyDescent="0.3">
      <c r="L10103" s="25"/>
      <c r="Q10103" s="17"/>
    </row>
    <row r="10104" spans="12:17" x14ac:dyDescent="0.3">
      <c r="L10104" s="25"/>
      <c r="Q10104" s="17"/>
    </row>
    <row r="10105" spans="12:17" x14ac:dyDescent="0.3">
      <c r="L10105" s="25"/>
      <c r="Q10105" s="17"/>
    </row>
    <row r="10106" spans="12:17" x14ac:dyDescent="0.3">
      <c r="L10106" s="25"/>
      <c r="Q10106" s="17"/>
    </row>
    <row r="10107" spans="12:17" x14ac:dyDescent="0.3">
      <c r="L10107" s="25"/>
      <c r="Q10107" s="17"/>
    </row>
    <row r="10108" spans="12:17" x14ac:dyDescent="0.3">
      <c r="L10108" s="25"/>
      <c r="Q10108" s="17"/>
    </row>
    <row r="10109" spans="12:17" x14ac:dyDescent="0.3">
      <c r="L10109" s="25"/>
      <c r="Q10109" s="17"/>
    </row>
    <row r="10110" spans="12:17" x14ac:dyDescent="0.3">
      <c r="L10110" s="25"/>
      <c r="Q10110" s="17"/>
    </row>
    <row r="10111" spans="12:17" x14ac:dyDescent="0.3">
      <c r="L10111" s="25"/>
      <c r="Q10111" s="17"/>
    </row>
    <row r="10112" spans="12:17" x14ac:dyDescent="0.3">
      <c r="L10112" s="25"/>
      <c r="Q10112" s="17"/>
    </row>
    <row r="10113" spans="12:17" x14ac:dyDescent="0.3">
      <c r="L10113" s="25"/>
      <c r="Q10113" s="17"/>
    </row>
    <row r="10114" spans="12:17" x14ac:dyDescent="0.3">
      <c r="L10114" s="25"/>
      <c r="Q10114" s="17"/>
    </row>
    <row r="10115" spans="12:17" x14ac:dyDescent="0.3">
      <c r="L10115" s="25"/>
      <c r="Q10115" s="17"/>
    </row>
    <row r="10116" spans="12:17" x14ac:dyDescent="0.3">
      <c r="L10116" s="25"/>
      <c r="Q10116" s="17"/>
    </row>
    <row r="10117" spans="12:17" x14ac:dyDescent="0.3">
      <c r="L10117" s="25"/>
      <c r="Q10117" s="17"/>
    </row>
    <row r="10118" spans="12:17" x14ac:dyDescent="0.3">
      <c r="L10118" s="25"/>
      <c r="Q10118" s="17"/>
    </row>
    <row r="10119" spans="12:17" x14ac:dyDescent="0.3">
      <c r="L10119" s="25"/>
      <c r="Q10119" s="17"/>
    </row>
    <row r="10120" spans="12:17" x14ac:dyDescent="0.3">
      <c r="L10120" s="25"/>
      <c r="Q10120" s="17"/>
    </row>
    <row r="10121" spans="12:17" x14ac:dyDescent="0.3">
      <c r="L10121" s="25"/>
      <c r="Q10121" s="17"/>
    </row>
    <row r="10122" spans="12:17" x14ac:dyDescent="0.3">
      <c r="L10122" s="25"/>
      <c r="Q10122" s="17"/>
    </row>
    <row r="10123" spans="12:17" x14ac:dyDescent="0.3">
      <c r="L10123" s="25"/>
      <c r="Q10123" s="17"/>
    </row>
    <row r="10124" spans="12:17" x14ac:dyDescent="0.3">
      <c r="L10124" s="25"/>
      <c r="Q10124" s="17"/>
    </row>
    <row r="10125" spans="12:17" x14ac:dyDescent="0.3">
      <c r="L10125" s="25"/>
      <c r="Q10125" s="17"/>
    </row>
    <row r="10126" spans="12:17" x14ac:dyDescent="0.3">
      <c r="L10126" s="25"/>
      <c r="Q10126" s="17"/>
    </row>
    <row r="10127" spans="12:17" x14ac:dyDescent="0.3">
      <c r="L10127" s="25"/>
      <c r="Q10127" s="17"/>
    </row>
    <row r="10128" spans="12:17" x14ac:dyDescent="0.3">
      <c r="L10128" s="25"/>
      <c r="Q10128" s="17"/>
    </row>
    <row r="10129" spans="12:17" x14ac:dyDescent="0.3">
      <c r="L10129" s="25"/>
      <c r="Q10129" s="17"/>
    </row>
    <row r="10130" spans="12:17" x14ac:dyDescent="0.3">
      <c r="L10130" s="25"/>
      <c r="Q10130" s="17"/>
    </row>
    <row r="10131" spans="12:17" x14ac:dyDescent="0.3">
      <c r="L10131" s="25"/>
      <c r="Q10131" s="17"/>
    </row>
    <row r="10132" spans="12:17" x14ac:dyDescent="0.3">
      <c r="L10132" s="25"/>
      <c r="Q10132" s="17"/>
    </row>
    <row r="10133" spans="12:17" x14ac:dyDescent="0.3">
      <c r="L10133" s="25"/>
      <c r="Q10133" s="17"/>
    </row>
    <row r="10134" spans="12:17" x14ac:dyDescent="0.3">
      <c r="L10134" s="25"/>
      <c r="Q10134" s="17"/>
    </row>
    <row r="10135" spans="12:17" x14ac:dyDescent="0.3">
      <c r="L10135" s="25"/>
      <c r="Q10135" s="17"/>
    </row>
    <row r="10136" spans="12:17" x14ac:dyDescent="0.3">
      <c r="L10136" s="25"/>
      <c r="Q10136" s="17"/>
    </row>
    <row r="10137" spans="12:17" x14ac:dyDescent="0.3">
      <c r="L10137" s="25"/>
      <c r="Q10137" s="17"/>
    </row>
    <row r="10138" spans="12:17" x14ac:dyDescent="0.3">
      <c r="L10138" s="25"/>
      <c r="Q10138" s="17"/>
    </row>
    <row r="10139" spans="12:17" x14ac:dyDescent="0.3">
      <c r="L10139" s="25"/>
      <c r="Q10139" s="17"/>
    </row>
    <row r="10140" spans="12:17" x14ac:dyDescent="0.3">
      <c r="L10140" s="25"/>
      <c r="Q10140" s="17"/>
    </row>
    <row r="10141" spans="12:17" x14ac:dyDescent="0.3">
      <c r="L10141" s="25"/>
      <c r="Q10141" s="17"/>
    </row>
    <row r="10142" spans="12:17" x14ac:dyDescent="0.3">
      <c r="L10142" s="25"/>
      <c r="Q10142" s="17"/>
    </row>
    <row r="10143" spans="12:17" x14ac:dyDescent="0.3">
      <c r="L10143" s="25"/>
      <c r="Q10143" s="17"/>
    </row>
    <row r="10144" spans="12:17" x14ac:dyDescent="0.3">
      <c r="L10144" s="25"/>
      <c r="Q10144" s="17"/>
    </row>
    <row r="10145" spans="12:17" x14ac:dyDescent="0.3">
      <c r="L10145" s="25"/>
      <c r="Q10145" s="17"/>
    </row>
    <row r="10146" spans="12:17" x14ac:dyDescent="0.3">
      <c r="L10146" s="25"/>
      <c r="Q10146" s="17"/>
    </row>
    <row r="10147" spans="12:17" x14ac:dyDescent="0.3">
      <c r="L10147" s="25"/>
      <c r="Q10147" s="17"/>
    </row>
    <row r="10148" spans="12:17" x14ac:dyDescent="0.3">
      <c r="L10148" s="25"/>
      <c r="Q10148" s="17"/>
    </row>
    <row r="10149" spans="12:17" x14ac:dyDescent="0.3">
      <c r="L10149" s="25"/>
      <c r="Q10149" s="17"/>
    </row>
    <row r="10150" spans="12:17" x14ac:dyDescent="0.3">
      <c r="L10150" s="25"/>
      <c r="Q10150" s="17"/>
    </row>
    <row r="10151" spans="12:17" x14ac:dyDescent="0.3">
      <c r="L10151" s="25"/>
      <c r="Q10151" s="17"/>
    </row>
    <row r="10152" spans="12:17" x14ac:dyDescent="0.3">
      <c r="L10152" s="25"/>
      <c r="Q10152" s="17"/>
    </row>
    <row r="10153" spans="12:17" x14ac:dyDescent="0.3">
      <c r="L10153" s="25"/>
      <c r="Q10153" s="17"/>
    </row>
    <row r="10154" spans="12:17" x14ac:dyDescent="0.3">
      <c r="L10154" s="25"/>
      <c r="Q10154" s="17"/>
    </row>
    <row r="10155" spans="12:17" x14ac:dyDescent="0.3">
      <c r="L10155" s="25"/>
      <c r="Q10155" s="17"/>
    </row>
    <row r="10156" spans="12:17" x14ac:dyDescent="0.3">
      <c r="L10156" s="25"/>
      <c r="Q10156" s="17"/>
    </row>
    <row r="10157" spans="12:17" x14ac:dyDescent="0.3">
      <c r="L10157" s="25"/>
      <c r="Q10157" s="17"/>
    </row>
    <row r="10158" spans="12:17" x14ac:dyDescent="0.3">
      <c r="L10158" s="25"/>
      <c r="Q10158" s="17"/>
    </row>
    <row r="10159" spans="12:17" x14ac:dyDescent="0.3">
      <c r="L10159" s="25"/>
      <c r="Q10159" s="17"/>
    </row>
    <row r="10160" spans="12:17" x14ac:dyDescent="0.3">
      <c r="L10160" s="25"/>
      <c r="Q10160" s="17"/>
    </row>
    <row r="10161" spans="12:17" x14ac:dyDescent="0.3">
      <c r="L10161" s="25"/>
      <c r="Q10161" s="17"/>
    </row>
    <row r="10162" spans="12:17" x14ac:dyDescent="0.3">
      <c r="L10162" s="25"/>
      <c r="Q10162" s="17"/>
    </row>
    <row r="10163" spans="12:17" x14ac:dyDescent="0.3">
      <c r="L10163" s="25"/>
      <c r="Q10163" s="17"/>
    </row>
    <row r="10164" spans="12:17" x14ac:dyDescent="0.3">
      <c r="L10164" s="25"/>
      <c r="Q10164" s="17"/>
    </row>
    <row r="10165" spans="12:17" x14ac:dyDescent="0.3">
      <c r="L10165" s="25"/>
      <c r="Q10165" s="17"/>
    </row>
    <row r="10166" spans="12:17" x14ac:dyDescent="0.3">
      <c r="L10166" s="25"/>
      <c r="Q10166" s="17"/>
    </row>
    <row r="10167" spans="12:17" x14ac:dyDescent="0.3">
      <c r="L10167" s="25"/>
      <c r="Q10167" s="17"/>
    </row>
    <row r="10168" spans="12:17" x14ac:dyDescent="0.3">
      <c r="L10168" s="25"/>
      <c r="Q10168" s="17"/>
    </row>
    <row r="10169" spans="12:17" x14ac:dyDescent="0.3">
      <c r="L10169" s="25"/>
      <c r="Q10169" s="17"/>
    </row>
    <row r="10170" spans="12:17" x14ac:dyDescent="0.3">
      <c r="L10170" s="25"/>
      <c r="Q10170" s="17"/>
    </row>
    <row r="10171" spans="12:17" x14ac:dyDescent="0.3">
      <c r="L10171" s="25"/>
      <c r="Q10171" s="17"/>
    </row>
    <row r="10172" spans="12:17" x14ac:dyDescent="0.3">
      <c r="L10172" s="25"/>
      <c r="Q10172" s="17"/>
    </row>
    <row r="10173" spans="12:17" x14ac:dyDescent="0.3">
      <c r="L10173" s="25"/>
      <c r="Q10173" s="17"/>
    </row>
    <row r="10174" spans="12:17" x14ac:dyDescent="0.3">
      <c r="L10174" s="25"/>
      <c r="Q10174" s="17"/>
    </row>
    <row r="10175" spans="12:17" x14ac:dyDescent="0.3">
      <c r="L10175" s="25"/>
      <c r="Q10175" s="17"/>
    </row>
    <row r="10176" spans="12:17" x14ac:dyDescent="0.3">
      <c r="L10176" s="25"/>
      <c r="Q10176" s="17"/>
    </row>
    <row r="10177" spans="12:17" x14ac:dyDescent="0.3">
      <c r="L10177" s="25"/>
      <c r="Q10177" s="17"/>
    </row>
    <row r="10178" spans="12:17" x14ac:dyDescent="0.3">
      <c r="L10178" s="25"/>
      <c r="Q10178" s="17"/>
    </row>
    <row r="10179" spans="12:17" x14ac:dyDescent="0.3">
      <c r="L10179" s="25"/>
      <c r="Q10179" s="17"/>
    </row>
    <row r="10180" spans="12:17" x14ac:dyDescent="0.3">
      <c r="L10180" s="25"/>
      <c r="Q10180" s="17"/>
    </row>
    <row r="10181" spans="12:17" x14ac:dyDescent="0.3">
      <c r="L10181" s="25"/>
      <c r="Q10181" s="17"/>
    </row>
    <row r="10182" spans="12:17" x14ac:dyDescent="0.3">
      <c r="L10182" s="25"/>
      <c r="Q10182" s="17"/>
    </row>
    <row r="10183" spans="12:17" x14ac:dyDescent="0.3">
      <c r="L10183" s="25"/>
      <c r="Q10183" s="17"/>
    </row>
    <row r="10184" spans="12:17" x14ac:dyDescent="0.3">
      <c r="L10184" s="25"/>
      <c r="Q10184" s="17"/>
    </row>
    <row r="10185" spans="12:17" x14ac:dyDescent="0.3">
      <c r="L10185" s="25"/>
      <c r="Q10185" s="17"/>
    </row>
    <row r="10186" spans="12:17" x14ac:dyDescent="0.3">
      <c r="L10186" s="25"/>
      <c r="Q10186" s="17"/>
    </row>
    <row r="10187" spans="12:17" x14ac:dyDescent="0.3">
      <c r="L10187" s="25"/>
      <c r="Q10187" s="17"/>
    </row>
    <row r="10188" spans="12:17" x14ac:dyDescent="0.3">
      <c r="L10188" s="25"/>
      <c r="Q10188" s="17"/>
    </row>
    <row r="10189" spans="12:17" x14ac:dyDescent="0.3">
      <c r="L10189" s="25"/>
      <c r="Q10189" s="17"/>
    </row>
    <row r="10190" spans="12:17" x14ac:dyDescent="0.3">
      <c r="L10190" s="25"/>
      <c r="Q10190" s="17"/>
    </row>
    <row r="10191" spans="12:17" x14ac:dyDescent="0.3">
      <c r="L10191" s="25"/>
      <c r="Q10191" s="17"/>
    </row>
    <row r="10192" spans="12:17" x14ac:dyDescent="0.3">
      <c r="L10192" s="25"/>
      <c r="Q10192" s="17"/>
    </row>
    <row r="10193" spans="12:17" x14ac:dyDescent="0.3">
      <c r="L10193" s="25"/>
      <c r="Q10193" s="17"/>
    </row>
    <row r="10194" spans="12:17" x14ac:dyDescent="0.3">
      <c r="L10194" s="25"/>
      <c r="Q10194" s="17"/>
    </row>
    <row r="10195" spans="12:17" x14ac:dyDescent="0.3">
      <c r="L10195" s="25"/>
      <c r="Q10195" s="17"/>
    </row>
    <row r="10196" spans="12:17" x14ac:dyDescent="0.3">
      <c r="L10196" s="25"/>
      <c r="Q10196" s="17"/>
    </row>
    <row r="10197" spans="12:17" x14ac:dyDescent="0.3">
      <c r="L10197" s="25"/>
      <c r="Q10197" s="17"/>
    </row>
    <row r="10198" spans="12:17" x14ac:dyDescent="0.3">
      <c r="L10198" s="25"/>
      <c r="Q10198" s="17"/>
    </row>
    <row r="10199" spans="12:17" x14ac:dyDescent="0.3">
      <c r="L10199" s="25"/>
      <c r="Q10199" s="17"/>
    </row>
    <row r="10200" spans="12:17" x14ac:dyDescent="0.3">
      <c r="L10200" s="25"/>
      <c r="Q10200" s="17"/>
    </row>
    <row r="10201" spans="12:17" x14ac:dyDescent="0.3">
      <c r="L10201" s="25"/>
      <c r="Q10201" s="17"/>
    </row>
    <row r="10202" spans="12:17" x14ac:dyDescent="0.3">
      <c r="L10202" s="25"/>
      <c r="Q10202" s="17"/>
    </row>
    <row r="10203" spans="12:17" x14ac:dyDescent="0.3">
      <c r="L10203" s="25"/>
      <c r="Q10203" s="17"/>
    </row>
    <row r="10204" spans="12:17" x14ac:dyDescent="0.3">
      <c r="L10204" s="25"/>
      <c r="Q10204" s="17"/>
    </row>
    <row r="10205" spans="12:17" x14ac:dyDescent="0.3">
      <c r="L10205" s="25"/>
      <c r="Q10205" s="17"/>
    </row>
    <row r="10206" spans="12:17" x14ac:dyDescent="0.3">
      <c r="L10206" s="25"/>
      <c r="Q10206" s="17"/>
    </row>
    <row r="10207" spans="12:17" x14ac:dyDescent="0.3">
      <c r="L10207" s="25"/>
      <c r="Q10207" s="17"/>
    </row>
    <row r="10208" spans="12:17" x14ac:dyDescent="0.3">
      <c r="L10208" s="25"/>
      <c r="Q10208" s="17"/>
    </row>
    <row r="10209" spans="12:17" x14ac:dyDescent="0.3">
      <c r="L10209" s="25"/>
      <c r="Q10209" s="17"/>
    </row>
    <row r="10210" spans="12:17" x14ac:dyDescent="0.3">
      <c r="L10210" s="25"/>
      <c r="Q10210" s="17"/>
    </row>
    <row r="10211" spans="12:17" x14ac:dyDescent="0.3">
      <c r="L10211" s="25"/>
      <c r="Q10211" s="17"/>
    </row>
    <row r="10212" spans="12:17" x14ac:dyDescent="0.3">
      <c r="L10212" s="25"/>
      <c r="Q10212" s="17"/>
    </row>
    <row r="10213" spans="12:17" x14ac:dyDescent="0.3">
      <c r="L10213" s="25"/>
      <c r="Q10213" s="17"/>
    </row>
    <row r="10214" spans="12:17" x14ac:dyDescent="0.3">
      <c r="L10214" s="25"/>
      <c r="Q10214" s="17"/>
    </row>
    <row r="10215" spans="12:17" x14ac:dyDescent="0.3">
      <c r="L10215" s="25"/>
      <c r="Q10215" s="17"/>
    </row>
    <row r="10216" spans="12:17" x14ac:dyDescent="0.3">
      <c r="L10216" s="25"/>
      <c r="Q10216" s="17"/>
    </row>
    <row r="10217" spans="12:17" x14ac:dyDescent="0.3">
      <c r="L10217" s="25"/>
      <c r="Q10217" s="17"/>
    </row>
    <row r="10218" spans="12:17" x14ac:dyDescent="0.3">
      <c r="L10218" s="25"/>
      <c r="Q10218" s="17"/>
    </row>
    <row r="10219" spans="12:17" x14ac:dyDescent="0.3">
      <c r="L10219" s="25"/>
      <c r="Q10219" s="17"/>
    </row>
    <row r="10220" spans="12:17" x14ac:dyDescent="0.3">
      <c r="L10220" s="25"/>
      <c r="Q10220" s="17"/>
    </row>
    <row r="10221" spans="12:17" x14ac:dyDescent="0.3">
      <c r="L10221" s="25"/>
      <c r="Q10221" s="17"/>
    </row>
    <row r="10222" spans="12:17" x14ac:dyDescent="0.3">
      <c r="L10222" s="25"/>
      <c r="Q10222" s="17"/>
    </row>
    <row r="10223" spans="12:17" x14ac:dyDescent="0.3">
      <c r="L10223" s="25"/>
      <c r="Q10223" s="17"/>
    </row>
    <row r="10224" spans="12:17" x14ac:dyDescent="0.3">
      <c r="L10224" s="25"/>
      <c r="Q10224" s="17"/>
    </row>
    <row r="10225" spans="12:17" x14ac:dyDescent="0.3">
      <c r="L10225" s="25"/>
      <c r="Q10225" s="17"/>
    </row>
    <row r="10226" spans="12:17" x14ac:dyDescent="0.3">
      <c r="L10226" s="25"/>
      <c r="Q10226" s="17"/>
    </row>
    <row r="10227" spans="12:17" x14ac:dyDescent="0.3">
      <c r="L10227" s="25"/>
      <c r="Q10227" s="17"/>
    </row>
    <row r="10228" spans="12:17" x14ac:dyDescent="0.3">
      <c r="L10228" s="25"/>
      <c r="Q10228" s="17"/>
    </row>
    <row r="10229" spans="12:17" x14ac:dyDescent="0.3">
      <c r="L10229" s="25"/>
      <c r="Q10229" s="17"/>
    </row>
    <row r="10230" spans="12:17" x14ac:dyDescent="0.3">
      <c r="L10230" s="25"/>
      <c r="Q10230" s="17"/>
    </row>
    <row r="10231" spans="12:17" x14ac:dyDescent="0.3">
      <c r="L10231" s="25"/>
      <c r="Q10231" s="17"/>
    </row>
    <row r="10232" spans="12:17" x14ac:dyDescent="0.3">
      <c r="L10232" s="25"/>
      <c r="Q10232" s="17"/>
    </row>
    <row r="10233" spans="12:17" x14ac:dyDescent="0.3">
      <c r="L10233" s="25"/>
      <c r="Q10233" s="17"/>
    </row>
    <row r="10234" spans="12:17" x14ac:dyDescent="0.3">
      <c r="L10234" s="25"/>
      <c r="Q10234" s="17"/>
    </row>
    <row r="10235" spans="12:17" x14ac:dyDescent="0.3">
      <c r="L10235" s="25"/>
      <c r="Q10235" s="17"/>
    </row>
    <row r="10236" spans="12:17" x14ac:dyDescent="0.3">
      <c r="L10236" s="25"/>
      <c r="Q10236" s="17"/>
    </row>
    <row r="10237" spans="12:17" x14ac:dyDescent="0.3">
      <c r="L10237" s="25"/>
      <c r="Q10237" s="17"/>
    </row>
    <row r="10238" spans="12:17" x14ac:dyDescent="0.3">
      <c r="L10238" s="25"/>
      <c r="Q10238" s="17"/>
    </row>
    <row r="10239" spans="12:17" x14ac:dyDescent="0.3">
      <c r="L10239" s="25"/>
      <c r="Q10239" s="17"/>
    </row>
    <row r="10240" spans="12:17" x14ac:dyDescent="0.3">
      <c r="L10240" s="25"/>
      <c r="Q10240" s="17"/>
    </row>
    <row r="10241" spans="12:17" x14ac:dyDescent="0.3">
      <c r="L10241" s="25"/>
      <c r="Q10241" s="17"/>
    </row>
    <row r="10242" spans="12:17" x14ac:dyDescent="0.3">
      <c r="L10242" s="25"/>
      <c r="Q10242" s="17"/>
    </row>
    <row r="10243" spans="12:17" x14ac:dyDescent="0.3">
      <c r="L10243" s="25"/>
      <c r="Q10243" s="17"/>
    </row>
    <row r="10244" spans="12:17" x14ac:dyDescent="0.3">
      <c r="L10244" s="25"/>
      <c r="Q10244" s="17"/>
    </row>
    <row r="10245" spans="12:17" x14ac:dyDescent="0.3">
      <c r="L10245" s="25"/>
      <c r="Q10245" s="17"/>
    </row>
    <row r="10246" spans="12:17" x14ac:dyDescent="0.3">
      <c r="L10246" s="25"/>
      <c r="Q10246" s="17"/>
    </row>
    <row r="10247" spans="12:17" x14ac:dyDescent="0.3">
      <c r="L10247" s="25"/>
      <c r="Q10247" s="17"/>
    </row>
    <row r="10248" spans="12:17" x14ac:dyDescent="0.3">
      <c r="L10248" s="25"/>
      <c r="Q10248" s="17"/>
    </row>
    <row r="10249" spans="12:17" x14ac:dyDescent="0.3">
      <c r="L10249" s="25"/>
      <c r="Q10249" s="17"/>
    </row>
    <row r="10250" spans="12:17" x14ac:dyDescent="0.3">
      <c r="L10250" s="25"/>
      <c r="Q10250" s="17"/>
    </row>
    <row r="10251" spans="12:17" x14ac:dyDescent="0.3">
      <c r="L10251" s="25"/>
      <c r="Q10251" s="17"/>
    </row>
    <row r="10252" spans="12:17" x14ac:dyDescent="0.3">
      <c r="L10252" s="25"/>
      <c r="Q10252" s="17"/>
    </row>
    <row r="10253" spans="12:17" x14ac:dyDescent="0.3">
      <c r="L10253" s="25"/>
      <c r="Q10253" s="17"/>
    </row>
    <row r="10254" spans="12:17" x14ac:dyDescent="0.3">
      <c r="L10254" s="25"/>
      <c r="Q10254" s="17"/>
    </row>
    <row r="10255" spans="12:17" x14ac:dyDescent="0.3">
      <c r="L10255" s="25"/>
      <c r="Q10255" s="17"/>
    </row>
    <row r="10256" spans="12:17" x14ac:dyDescent="0.3">
      <c r="L10256" s="25"/>
      <c r="Q10256" s="17"/>
    </row>
    <row r="10257" spans="12:17" x14ac:dyDescent="0.3">
      <c r="L10257" s="25"/>
      <c r="Q10257" s="17"/>
    </row>
    <row r="10258" spans="12:17" x14ac:dyDescent="0.3">
      <c r="L10258" s="25"/>
      <c r="Q10258" s="17"/>
    </row>
    <row r="10259" spans="12:17" x14ac:dyDescent="0.3">
      <c r="L10259" s="25"/>
      <c r="Q10259" s="17"/>
    </row>
    <row r="10260" spans="12:17" x14ac:dyDescent="0.3">
      <c r="L10260" s="25"/>
      <c r="Q10260" s="17"/>
    </row>
    <row r="10261" spans="12:17" x14ac:dyDescent="0.3">
      <c r="L10261" s="25"/>
      <c r="Q10261" s="17"/>
    </row>
    <row r="10262" spans="12:17" x14ac:dyDescent="0.3">
      <c r="L10262" s="25"/>
      <c r="Q10262" s="17"/>
    </row>
    <row r="10263" spans="12:17" x14ac:dyDescent="0.3">
      <c r="L10263" s="25"/>
      <c r="Q10263" s="17"/>
    </row>
    <row r="10264" spans="12:17" x14ac:dyDescent="0.3">
      <c r="L10264" s="25"/>
      <c r="Q10264" s="17"/>
    </row>
    <row r="10265" spans="12:17" x14ac:dyDescent="0.3">
      <c r="L10265" s="25"/>
      <c r="Q10265" s="17"/>
    </row>
    <row r="10266" spans="12:17" x14ac:dyDescent="0.3">
      <c r="L10266" s="25"/>
      <c r="Q10266" s="17"/>
    </row>
    <row r="10267" spans="12:17" x14ac:dyDescent="0.3">
      <c r="L10267" s="25"/>
      <c r="Q10267" s="17"/>
    </row>
    <row r="10268" spans="12:17" x14ac:dyDescent="0.3">
      <c r="L10268" s="25"/>
      <c r="Q10268" s="17"/>
    </row>
    <row r="10269" spans="12:17" x14ac:dyDescent="0.3">
      <c r="L10269" s="25"/>
      <c r="Q10269" s="17"/>
    </row>
    <row r="10270" spans="12:17" x14ac:dyDescent="0.3">
      <c r="L10270" s="25"/>
      <c r="Q10270" s="17"/>
    </row>
    <row r="10271" spans="12:17" x14ac:dyDescent="0.3">
      <c r="L10271" s="25"/>
      <c r="Q10271" s="17"/>
    </row>
    <row r="10272" spans="12:17" x14ac:dyDescent="0.3">
      <c r="L10272" s="25"/>
      <c r="Q10272" s="17"/>
    </row>
    <row r="10273" spans="12:17" x14ac:dyDescent="0.3">
      <c r="L10273" s="25"/>
      <c r="Q10273" s="17"/>
    </row>
    <row r="10274" spans="12:17" x14ac:dyDescent="0.3">
      <c r="L10274" s="25"/>
      <c r="Q10274" s="17"/>
    </row>
    <row r="10275" spans="12:17" x14ac:dyDescent="0.3">
      <c r="L10275" s="25"/>
      <c r="Q10275" s="17"/>
    </row>
    <row r="10276" spans="12:17" x14ac:dyDescent="0.3">
      <c r="L10276" s="25"/>
      <c r="Q10276" s="17"/>
    </row>
    <row r="10277" spans="12:17" x14ac:dyDescent="0.3">
      <c r="L10277" s="25"/>
      <c r="Q10277" s="17"/>
    </row>
    <row r="10278" spans="12:17" x14ac:dyDescent="0.3">
      <c r="L10278" s="25"/>
      <c r="Q10278" s="17"/>
    </row>
    <row r="10279" spans="12:17" x14ac:dyDescent="0.3">
      <c r="L10279" s="25"/>
      <c r="Q10279" s="17"/>
    </row>
    <row r="10280" spans="12:17" x14ac:dyDescent="0.3">
      <c r="L10280" s="25"/>
      <c r="Q10280" s="17"/>
    </row>
    <row r="10281" spans="12:17" x14ac:dyDescent="0.3">
      <c r="L10281" s="25"/>
      <c r="Q10281" s="17"/>
    </row>
    <row r="10282" spans="12:17" x14ac:dyDescent="0.3">
      <c r="L10282" s="25"/>
      <c r="Q10282" s="17"/>
    </row>
    <row r="10283" spans="12:17" x14ac:dyDescent="0.3">
      <c r="L10283" s="25"/>
      <c r="Q10283" s="17"/>
    </row>
    <row r="10284" spans="12:17" x14ac:dyDescent="0.3">
      <c r="L10284" s="25"/>
      <c r="Q10284" s="17"/>
    </row>
    <row r="10285" spans="12:17" x14ac:dyDescent="0.3">
      <c r="L10285" s="25"/>
      <c r="Q10285" s="17"/>
    </row>
    <row r="10286" spans="12:17" x14ac:dyDescent="0.3">
      <c r="L10286" s="25"/>
      <c r="Q10286" s="17"/>
    </row>
    <row r="10287" spans="12:17" x14ac:dyDescent="0.3">
      <c r="L10287" s="25"/>
      <c r="Q10287" s="17"/>
    </row>
    <row r="10288" spans="12:17" x14ac:dyDescent="0.3">
      <c r="L10288" s="25"/>
      <c r="Q10288" s="17"/>
    </row>
    <row r="10289" spans="12:17" x14ac:dyDescent="0.3">
      <c r="L10289" s="25"/>
      <c r="Q10289" s="17"/>
    </row>
    <row r="10290" spans="12:17" x14ac:dyDescent="0.3">
      <c r="L10290" s="25"/>
      <c r="Q10290" s="17"/>
    </row>
    <row r="10291" spans="12:17" x14ac:dyDescent="0.3">
      <c r="L10291" s="25"/>
      <c r="Q10291" s="17"/>
    </row>
    <row r="10292" spans="12:17" x14ac:dyDescent="0.3">
      <c r="L10292" s="25"/>
      <c r="Q10292" s="17"/>
    </row>
    <row r="10293" spans="12:17" x14ac:dyDescent="0.3">
      <c r="L10293" s="25"/>
      <c r="Q10293" s="17"/>
    </row>
    <row r="10294" spans="12:17" x14ac:dyDescent="0.3">
      <c r="L10294" s="25"/>
      <c r="Q10294" s="17"/>
    </row>
    <row r="10295" spans="12:17" x14ac:dyDescent="0.3">
      <c r="L10295" s="25"/>
      <c r="Q10295" s="17"/>
    </row>
    <row r="10296" spans="12:17" x14ac:dyDescent="0.3">
      <c r="L10296" s="25"/>
      <c r="Q10296" s="17"/>
    </row>
    <row r="10297" spans="12:17" x14ac:dyDescent="0.3">
      <c r="L10297" s="25"/>
      <c r="Q10297" s="17"/>
    </row>
    <row r="10298" spans="12:17" x14ac:dyDescent="0.3">
      <c r="L10298" s="25"/>
      <c r="Q10298" s="17"/>
    </row>
    <row r="10299" spans="12:17" x14ac:dyDescent="0.3">
      <c r="L10299" s="25"/>
      <c r="Q10299" s="17"/>
    </row>
    <row r="10300" spans="12:17" x14ac:dyDescent="0.3">
      <c r="L10300" s="25"/>
      <c r="Q10300" s="17"/>
    </row>
    <row r="10301" spans="12:17" x14ac:dyDescent="0.3">
      <c r="L10301" s="25"/>
      <c r="Q10301" s="17"/>
    </row>
    <row r="10302" spans="12:17" x14ac:dyDescent="0.3">
      <c r="L10302" s="25"/>
      <c r="Q10302" s="17"/>
    </row>
    <row r="10303" spans="12:17" x14ac:dyDescent="0.3">
      <c r="L10303" s="25"/>
      <c r="Q10303" s="17"/>
    </row>
    <row r="10304" spans="12:17" x14ac:dyDescent="0.3">
      <c r="L10304" s="25"/>
      <c r="Q10304" s="17"/>
    </row>
    <row r="10305" spans="12:17" x14ac:dyDescent="0.3">
      <c r="L10305" s="25"/>
      <c r="Q10305" s="17"/>
    </row>
    <row r="10306" spans="12:17" x14ac:dyDescent="0.3">
      <c r="L10306" s="25"/>
      <c r="Q10306" s="17"/>
    </row>
    <row r="10307" spans="12:17" x14ac:dyDescent="0.3">
      <c r="L10307" s="25"/>
      <c r="Q10307" s="17"/>
    </row>
    <row r="10308" spans="12:17" x14ac:dyDescent="0.3">
      <c r="L10308" s="25"/>
      <c r="Q10308" s="17"/>
    </row>
    <row r="10309" spans="12:17" x14ac:dyDescent="0.3">
      <c r="L10309" s="25"/>
      <c r="Q10309" s="17"/>
    </row>
    <row r="10310" spans="12:17" x14ac:dyDescent="0.3">
      <c r="L10310" s="25"/>
      <c r="Q10310" s="17"/>
    </row>
    <row r="10311" spans="12:17" x14ac:dyDescent="0.3">
      <c r="L10311" s="25"/>
      <c r="Q10311" s="17"/>
    </row>
    <row r="10312" spans="12:17" x14ac:dyDescent="0.3">
      <c r="L10312" s="25"/>
      <c r="Q10312" s="17"/>
    </row>
    <row r="10313" spans="12:17" x14ac:dyDescent="0.3">
      <c r="L10313" s="25"/>
      <c r="Q10313" s="17"/>
    </row>
    <row r="10314" spans="12:17" x14ac:dyDescent="0.3">
      <c r="L10314" s="25"/>
      <c r="Q10314" s="17"/>
    </row>
    <row r="10315" spans="12:17" x14ac:dyDescent="0.3">
      <c r="L10315" s="25"/>
      <c r="Q10315" s="17"/>
    </row>
    <row r="10316" spans="12:17" x14ac:dyDescent="0.3">
      <c r="L10316" s="25"/>
      <c r="Q10316" s="17"/>
    </row>
    <row r="10317" spans="12:17" x14ac:dyDescent="0.3">
      <c r="L10317" s="25"/>
      <c r="Q10317" s="17"/>
    </row>
    <row r="10318" spans="12:17" x14ac:dyDescent="0.3">
      <c r="L10318" s="25"/>
      <c r="Q10318" s="17"/>
    </row>
    <row r="10319" spans="12:17" x14ac:dyDescent="0.3">
      <c r="L10319" s="25"/>
      <c r="Q10319" s="17"/>
    </row>
    <row r="10320" spans="12:17" x14ac:dyDescent="0.3">
      <c r="L10320" s="25"/>
      <c r="Q10320" s="17"/>
    </row>
    <row r="10321" spans="12:17" x14ac:dyDescent="0.3">
      <c r="L10321" s="25"/>
      <c r="Q10321" s="17"/>
    </row>
    <row r="10322" spans="12:17" x14ac:dyDescent="0.3">
      <c r="L10322" s="25"/>
      <c r="Q10322" s="17"/>
    </row>
    <row r="10323" spans="12:17" x14ac:dyDescent="0.3">
      <c r="L10323" s="25"/>
      <c r="Q10323" s="17"/>
    </row>
    <row r="10324" spans="12:17" x14ac:dyDescent="0.3">
      <c r="L10324" s="25"/>
      <c r="Q10324" s="17"/>
    </row>
    <row r="10325" spans="12:17" x14ac:dyDescent="0.3">
      <c r="L10325" s="25"/>
      <c r="Q10325" s="17"/>
    </row>
    <row r="10326" spans="12:17" x14ac:dyDescent="0.3">
      <c r="L10326" s="25"/>
      <c r="Q10326" s="17"/>
    </row>
    <row r="10327" spans="12:17" x14ac:dyDescent="0.3">
      <c r="L10327" s="25"/>
      <c r="Q10327" s="17"/>
    </row>
    <row r="10328" spans="12:17" x14ac:dyDescent="0.3">
      <c r="L10328" s="25"/>
      <c r="Q10328" s="17"/>
    </row>
    <row r="10329" spans="12:17" x14ac:dyDescent="0.3">
      <c r="L10329" s="25"/>
      <c r="Q10329" s="17"/>
    </row>
    <row r="10330" spans="12:17" x14ac:dyDescent="0.3">
      <c r="L10330" s="25"/>
      <c r="Q10330" s="17"/>
    </row>
    <row r="10331" spans="12:17" x14ac:dyDescent="0.3">
      <c r="L10331" s="25"/>
      <c r="Q10331" s="17"/>
    </row>
    <row r="10332" spans="12:17" x14ac:dyDescent="0.3">
      <c r="L10332" s="25"/>
      <c r="Q10332" s="17"/>
    </row>
    <row r="10333" spans="12:17" x14ac:dyDescent="0.3">
      <c r="L10333" s="25"/>
      <c r="Q10333" s="17"/>
    </row>
    <row r="10334" spans="12:17" x14ac:dyDescent="0.3">
      <c r="L10334" s="25"/>
      <c r="Q10334" s="17"/>
    </row>
    <row r="10335" spans="12:17" x14ac:dyDescent="0.3">
      <c r="L10335" s="25"/>
      <c r="Q10335" s="17"/>
    </row>
    <row r="10336" spans="12:17" x14ac:dyDescent="0.3">
      <c r="L10336" s="25"/>
      <c r="Q10336" s="17"/>
    </row>
    <row r="10337" spans="12:17" x14ac:dyDescent="0.3">
      <c r="L10337" s="25"/>
      <c r="Q10337" s="17"/>
    </row>
    <row r="10338" spans="12:17" x14ac:dyDescent="0.3">
      <c r="L10338" s="25"/>
      <c r="Q10338" s="17"/>
    </row>
    <row r="10339" spans="12:17" x14ac:dyDescent="0.3">
      <c r="L10339" s="25"/>
      <c r="Q10339" s="17"/>
    </row>
    <row r="10340" spans="12:17" x14ac:dyDescent="0.3">
      <c r="L10340" s="25"/>
      <c r="Q10340" s="17"/>
    </row>
    <row r="10341" spans="12:17" x14ac:dyDescent="0.3">
      <c r="L10341" s="25"/>
      <c r="Q10341" s="17"/>
    </row>
    <row r="10342" spans="12:17" x14ac:dyDescent="0.3">
      <c r="L10342" s="25"/>
      <c r="Q10342" s="17"/>
    </row>
    <row r="10343" spans="12:17" x14ac:dyDescent="0.3">
      <c r="L10343" s="25"/>
      <c r="Q10343" s="17"/>
    </row>
    <row r="10344" spans="12:17" x14ac:dyDescent="0.3">
      <c r="L10344" s="25"/>
      <c r="Q10344" s="17"/>
    </row>
    <row r="10345" spans="12:17" x14ac:dyDescent="0.3">
      <c r="L10345" s="25"/>
      <c r="Q10345" s="17"/>
    </row>
    <row r="10346" spans="12:17" x14ac:dyDescent="0.3">
      <c r="L10346" s="25"/>
      <c r="Q10346" s="17"/>
    </row>
    <row r="10347" spans="12:17" x14ac:dyDescent="0.3">
      <c r="L10347" s="25"/>
      <c r="Q10347" s="17"/>
    </row>
    <row r="10348" spans="12:17" x14ac:dyDescent="0.3">
      <c r="L10348" s="25"/>
      <c r="Q10348" s="17"/>
    </row>
    <row r="10349" spans="12:17" x14ac:dyDescent="0.3">
      <c r="L10349" s="25"/>
      <c r="Q10349" s="17"/>
    </row>
    <row r="10350" spans="12:17" x14ac:dyDescent="0.3">
      <c r="L10350" s="25"/>
      <c r="Q10350" s="17"/>
    </row>
    <row r="10351" spans="12:17" x14ac:dyDescent="0.3">
      <c r="L10351" s="25"/>
      <c r="Q10351" s="17"/>
    </row>
    <row r="10352" spans="12:17" x14ac:dyDescent="0.3">
      <c r="L10352" s="25"/>
      <c r="Q10352" s="17"/>
    </row>
    <row r="10353" spans="12:17" x14ac:dyDescent="0.3">
      <c r="L10353" s="25"/>
      <c r="Q10353" s="17"/>
    </row>
    <row r="10354" spans="12:17" x14ac:dyDescent="0.3">
      <c r="L10354" s="25"/>
      <c r="Q10354" s="17"/>
    </row>
    <row r="10355" spans="12:17" x14ac:dyDescent="0.3">
      <c r="L10355" s="25"/>
      <c r="Q10355" s="17"/>
    </row>
    <row r="10356" spans="12:17" x14ac:dyDescent="0.3">
      <c r="L10356" s="25"/>
      <c r="Q10356" s="17"/>
    </row>
    <row r="10357" spans="12:17" x14ac:dyDescent="0.3">
      <c r="L10357" s="25"/>
      <c r="Q10357" s="17"/>
    </row>
    <row r="10358" spans="12:17" x14ac:dyDescent="0.3">
      <c r="L10358" s="25"/>
      <c r="Q10358" s="17"/>
    </row>
    <row r="10359" spans="12:17" x14ac:dyDescent="0.3">
      <c r="L10359" s="25"/>
      <c r="Q10359" s="17"/>
    </row>
    <row r="10360" spans="12:17" x14ac:dyDescent="0.3">
      <c r="L10360" s="25"/>
      <c r="Q10360" s="17"/>
    </row>
    <row r="10361" spans="12:17" x14ac:dyDescent="0.3">
      <c r="L10361" s="25"/>
      <c r="Q10361" s="17"/>
    </row>
    <row r="10362" spans="12:17" x14ac:dyDescent="0.3">
      <c r="L10362" s="25"/>
      <c r="Q10362" s="17"/>
    </row>
    <row r="10363" spans="12:17" x14ac:dyDescent="0.3">
      <c r="L10363" s="25"/>
      <c r="Q10363" s="17"/>
    </row>
    <row r="10364" spans="12:17" x14ac:dyDescent="0.3">
      <c r="L10364" s="25"/>
      <c r="Q10364" s="17"/>
    </row>
    <row r="10365" spans="12:17" x14ac:dyDescent="0.3">
      <c r="L10365" s="25"/>
      <c r="Q10365" s="17"/>
    </row>
    <row r="10366" spans="12:17" x14ac:dyDescent="0.3">
      <c r="L10366" s="25"/>
      <c r="Q10366" s="17"/>
    </row>
    <row r="10367" spans="12:17" x14ac:dyDescent="0.3">
      <c r="L10367" s="25"/>
      <c r="Q10367" s="17"/>
    </row>
    <row r="10368" spans="12:17" x14ac:dyDescent="0.3">
      <c r="L10368" s="25"/>
      <c r="Q10368" s="17"/>
    </row>
    <row r="10369" spans="12:17" x14ac:dyDescent="0.3">
      <c r="L10369" s="25"/>
      <c r="Q10369" s="17"/>
    </row>
    <row r="10370" spans="12:17" x14ac:dyDescent="0.3">
      <c r="L10370" s="25"/>
      <c r="Q10370" s="17"/>
    </row>
    <row r="10371" spans="12:17" x14ac:dyDescent="0.3">
      <c r="L10371" s="25"/>
      <c r="Q10371" s="17"/>
    </row>
    <row r="10372" spans="12:17" x14ac:dyDescent="0.3">
      <c r="L10372" s="25"/>
      <c r="Q10372" s="17"/>
    </row>
    <row r="10373" spans="12:17" x14ac:dyDescent="0.3">
      <c r="L10373" s="25"/>
      <c r="Q10373" s="17"/>
    </row>
    <row r="10374" spans="12:17" x14ac:dyDescent="0.3">
      <c r="L10374" s="25"/>
      <c r="Q10374" s="17"/>
    </row>
    <row r="10375" spans="12:17" x14ac:dyDescent="0.3">
      <c r="L10375" s="25"/>
      <c r="Q10375" s="17"/>
    </row>
    <row r="10376" spans="12:17" x14ac:dyDescent="0.3">
      <c r="L10376" s="25"/>
      <c r="Q10376" s="17"/>
    </row>
    <row r="10377" spans="12:17" x14ac:dyDescent="0.3">
      <c r="L10377" s="25"/>
      <c r="Q10377" s="17"/>
    </row>
    <row r="10378" spans="12:17" x14ac:dyDescent="0.3">
      <c r="L10378" s="25"/>
      <c r="Q10378" s="17"/>
    </row>
    <row r="10379" spans="12:17" x14ac:dyDescent="0.3">
      <c r="L10379" s="25"/>
      <c r="Q10379" s="17"/>
    </row>
    <row r="10380" spans="12:17" x14ac:dyDescent="0.3">
      <c r="L10380" s="25"/>
      <c r="Q10380" s="17"/>
    </row>
    <row r="10381" spans="12:17" x14ac:dyDescent="0.3">
      <c r="L10381" s="25"/>
      <c r="Q10381" s="17"/>
    </row>
    <row r="10382" spans="12:17" x14ac:dyDescent="0.3">
      <c r="L10382" s="25"/>
      <c r="Q10382" s="17"/>
    </row>
    <row r="10383" spans="12:17" x14ac:dyDescent="0.3">
      <c r="L10383" s="25"/>
      <c r="Q10383" s="17"/>
    </row>
    <row r="10384" spans="12:17" x14ac:dyDescent="0.3">
      <c r="L10384" s="25"/>
      <c r="Q10384" s="17"/>
    </row>
    <row r="10385" spans="12:17" x14ac:dyDescent="0.3">
      <c r="L10385" s="25"/>
      <c r="Q10385" s="17"/>
    </row>
    <row r="10386" spans="12:17" x14ac:dyDescent="0.3">
      <c r="L10386" s="25"/>
      <c r="Q10386" s="17"/>
    </row>
    <row r="10387" spans="12:17" x14ac:dyDescent="0.3">
      <c r="L10387" s="25"/>
      <c r="Q10387" s="17"/>
    </row>
    <row r="10388" spans="12:17" x14ac:dyDescent="0.3">
      <c r="L10388" s="25"/>
      <c r="Q10388" s="17"/>
    </row>
    <row r="10389" spans="12:17" x14ac:dyDescent="0.3">
      <c r="L10389" s="25"/>
      <c r="Q10389" s="17"/>
    </row>
    <row r="10390" spans="12:17" x14ac:dyDescent="0.3">
      <c r="L10390" s="25"/>
      <c r="Q10390" s="17"/>
    </row>
    <row r="10391" spans="12:17" x14ac:dyDescent="0.3">
      <c r="L10391" s="25"/>
      <c r="Q10391" s="17"/>
    </row>
    <row r="10392" spans="12:17" x14ac:dyDescent="0.3">
      <c r="L10392" s="25"/>
      <c r="Q10392" s="17"/>
    </row>
    <row r="10393" spans="12:17" x14ac:dyDescent="0.3">
      <c r="L10393" s="25"/>
      <c r="Q10393" s="17"/>
    </row>
    <row r="10394" spans="12:17" x14ac:dyDescent="0.3">
      <c r="L10394" s="25"/>
      <c r="Q10394" s="17"/>
    </row>
    <row r="10395" spans="12:17" x14ac:dyDescent="0.3">
      <c r="L10395" s="25"/>
      <c r="Q10395" s="17"/>
    </row>
    <row r="10396" spans="12:17" x14ac:dyDescent="0.3">
      <c r="L10396" s="25"/>
      <c r="Q10396" s="17"/>
    </row>
    <row r="10397" spans="12:17" x14ac:dyDescent="0.3">
      <c r="L10397" s="25"/>
      <c r="Q10397" s="17"/>
    </row>
    <row r="10398" spans="12:17" x14ac:dyDescent="0.3">
      <c r="L10398" s="25"/>
      <c r="Q10398" s="17"/>
    </row>
    <row r="10399" spans="12:17" x14ac:dyDescent="0.3">
      <c r="L10399" s="25"/>
      <c r="Q10399" s="17"/>
    </row>
    <row r="10400" spans="12:17" x14ac:dyDescent="0.3">
      <c r="L10400" s="25"/>
      <c r="Q10400" s="17"/>
    </row>
    <row r="10401" spans="12:17" x14ac:dyDescent="0.3">
      <c r="L10401" s="25"/>
      <c r="Q10401" s="17"/>
    </row>
    <row r="10402" spans="12:17" x14ac:dyDescent="0.3">
      <c r="L10402" s="25"/>
      <c r="Q10402" s="17"/>
    </row>
    <row r="10403" spans="12:17" x14ac:dyDescent="0.3">
      <c r="L10403" s="25"/>
      <c r="Q10403" s="17"/>
    </row>
    <row r="10404" spans="12:17" x14ac:dyDescent="0.3">
      <c r="L10404" s="25"/>
      <c r="Q10404" s="17"/>
    </row>
    <row r="10405" spans="12:17" x14ac:dyDescent="0.3">
      <c r="L10405" s="25"/>
      <c r="Q10405" s="17"/>
    </row>
    <row r="10406" spans="12:17" x14ac:dyDescent="0.3">
      <c r="L10406" s="25"/>
      <c r="Q10406" s="17"/>
    </row>
    <row r="10407" spans="12:17" x14ac:dyDescent="0.3">
      <c r="L10407" s="25"/>
      <c r="Q10407" s="17"/>
    </row>
    <row r="10408" spans="12:17" x14ac:dyDescent="0.3">
      <c r="L10408" s="25"/>
      <c r="Q10408" s="17"/>
    </row>
    <row r="10409" spans="12:17" x14ac:dyDescent="0.3">
      <c r="L10409" s="25"/>
      <c r="Q10409" s="17"/>
    </row>
    <row r="10410" spans="12:17" x14ac:dyDescent="0.3">
      <c r="L10410" s="25"/>
      <c r="Q10410" s="17"/>
    </row>
    <row r="10411" spans="12:17" x14ac:dyDescent="0.3">
      <c r="L10411" s="25"/>
      <c r="Q10411" s="17"/>
    </row>
    <row r="10412" spans="12:17" x14ac:dyDescent="0.3">
      <c r="L10412" s="25"/>
      <c r="Q10412" s="17"/>
    </row>
    <row r="10413" spans="12:17" x14ac:dyDescent="0.3">
      <c r="L10413" s="25"/>
      <c r="Q10413" s="17"/>
    </row>
    <row r="10414" spans="12:17" x14ac:dyDescent="0.3">
      <c r="L10414" s="25"/>
      <c r="Q10414" s="17"/>
    </row>
    <row r="10415" spans="12:17" x14ac:dyDescent="0.3">
      <c r="L10415" s="25"/>
      <c r="Q10415" s="17"/>
    </row>
    <row r="10416" spans="12:17" x14ac:dyDescent="0.3">
      <c r="L10416" s="25"/>
      <c r="Q10416" s="17"/>
    </row>
    <row r="10417" spans="12:17" x14ac:dyDescent="0.3">
      <c r="L10417" s="25"/>
      <c r="Q10417" s="17"/>
    </row>
    <row r="10418" spans="12:17" x14ac:dyDescent="0.3">
      <c r="L10418" s="25"/>
      <c r="Q10418" s="17"/>
    </row>
    <row r="10419" spans="12:17" x14ac:dyDescent="0.3">
      <c r="L10419" s="25"/>
      <c r="Q10419" s="17"/>
    </row>
    <row r="10420" spans="12:17" x14ac:dyDescent="0.3">
      <c r="L10420" s="25"/>
      <c r="Q10420" s="17"/>
    </row>
    <row r="10421" spans="12:17" x14ac:dyDescent="0.3">
      <c r="L10421" s="25"/>
      <c r="Q10421" s="17"/>
    </row>
    <row r="10422" spans="12:17" x14ac:dyDescent="0.3">
      <c r="L10422" s="25"/>
      <c r="Q10422" s="17"/>
    </row>
    <row r="10423" spans="12:17" x14ac:dyDescent="0.3">
      <c r="L10423" s="25"/>
      <c r="Q10423" s="17"/>
    </row>
    <row r="10424" spans="12:17" x14ac:dyDescent="0.3">
      <c r="L10424" s="25"/>
      <c r="Q10424" s="17"/>
    </row>
    <row r="10425" spans="12:17" x14ac:dyDescent="0.3">
      <c r="L10425" s="25"/>
      <c r="Q10425" s="17"/>
    </row>
    <row r="10426" spans="12:17" x14ac:dyDescent="0.3">
      <c r="L10426" s="25"/>
      <c r="Q10426" s="17"/>
    </row>
    <row r="10427" spans="12:17" x14ac:dyDescent="0.3">
      <c r="L10427" s="25"/>
      <c r="Q10427" s="17"/>
    </row>
    <row r="10428" spans="12:17" x14ac:dyDescent="0.3">
      <c r="L10428" s="25"/>
      <c r="Q10428" s="17"/>
    </row>
    <row r="10429" spans="12:17" x14ac:dyDescent="0.3">
      <c r="L10429" s="25"/>
      <c r="Q10429" s="17"/>
    </row>
    <row r="10430" spans="12:17" x14ac:dyDescent="0.3">
      <c r="L10430" s="25"/>
      <c r="Q10430" s="17"/>
    </row>
    <row r="10431" spans="12:17" x14ac:dyDescent="0.3">
      <c r="L10431" s="25"/>
      <c r="Q10431" s="17"/>
    </row>
    <row r="10432" spans="12:17" x14ac:dyDescent="0.3">
      <c r="L10432" s="25"/>
      <c r="Q10432" s="17"/>
    </row>
    <row r="10433" spans="12:17" x14ac:dyDescent="0.3">
      <c r="L10433" s="25"/>
      <c r="Q10433" s="17"/>
    </row>
    <row r="10434" spans="12:17" x14ac:dyDescent="0.3">
      <c r="L10434" s="25"/>
      <c r="Q10434" s="17"/>
    </row>
    <row r="10435" spans="12:17" x14ac:dyDescent="0.3">
      <c r="L10435" s="25"/>
      <c r="Q10435" s="17"/>
    </row>
    <row r="10436" spans="12:17" x14ac:dyDescent="0.3">
      <c r="L10436" s="25"/>
      <c r="Q10436" s="17"/>
    </row>
    <row r="10437" spans="12:17" x14ac:dyDescent="0.3">
      <c r="L10437" s="25"/>
      <c r="Q10437" s="17"/>
    </row>
    <row r="10438" spans="12:17" x14ac:dyDescent="0.3">
      <c r="L10438" s="25"/>
      <c r="Q10438" s="17"/>
    </row>
    <row r="10439" spans="12:17" x14ac:dyDescent="0.3">
      <c r="L10439" s="25"/>
      <c r="Q10439" s="17"/>
    </row>
    <row r="10440" spans="12:17" x14ac:dyDescent="0.3">
      <c r="L10440" s="25"/>
      <c r="Q10440" s="17"/>
    </row>
    <row r="10441" spans="12:17" x14ac:dyDescent="0.3">
      <c r="L10441" s="25"/>
      <c r="Q10441" s="17"/>
    </row>
    <row r="10442" spans="12:17" x14ac:dyDescent="0.3">
      <c r="L10442" s="25"/>
      <c r="Q10442" s="17"/>
    </row>
    <row r="10443" spans="12:17" x14ac:dyDescent="0.3">
      <c r="L10443" s="25"/>
      <c r="Q10443" s="17"/>
    </row>
    <row r="10444" spans="12:17" x14ac:dyDescent="0.3">
      <c r="L10444" s="25"/>
      <c r="Q10444" s="17"/>
    </row>
    <row r="10445" spans="12:17" x14ac:dyDescent="0.3">
      <c r="L10445" s="25"/>
      <c r="Q10445" s="17"/>
    </row>
    <row r="10446" spans="12:17" x14ac:dyDescent="0.3">
      <c r="L10446" s="25"/>
      <c r="Q10446" s="17"/>
    </row>
    <row r="10447" spans="12:17" x14ac:dyDescent="0.3">
      <c r="L10447" s="25"/>
      <c r="Q10447" s="17"/>
    </row>
    <row r="10448" spans="12:17" x14ac:dyDescent="0.3">
      <c r="L10448" s="25"/>
      <c r="Q10448" s="17"/>
    </row>
    <row r="10449" spans="12:17" x14ac:dyDescent="0.3">
      <c r="L10449" s="25"/>
      <c r="Q10449" s="17"/>
    </row>
    <row r="10450" spans="12:17" x14ac:dyDescent="0.3">
      <c r="L10450" s="25"/>
      <c r="Q10450" s="17"/>
    </row>
    <row r="10451" spans="12:17" x14ac:dyDescent="0.3">
      <c r="L10451" s="25"/>
      <c r="Q10451" s="17"/>
    </row>
    <row r="10452" spans="12:17" x14ac:dyDescent="0.3">
      <c r="L10452" s="25"/>
      <c r="Q10452" s="17"/>
    </row>
    <row r="10453" spans="12:17" x14ac:dyDescent="0.3">
      <c r="L10453" s="25"/>
      <c r="Q10453" s="17"/>
    </row>
    <row r="10454" spans="12:17" x14ac:dyDescent="0.3">
      <c r="L10454" s="25"/>
      <c r="Q10454" s="17"/>
    </row>
    <row r="10455" spans="12:17" x14ac:dyDescent="0.3">
      <c r="L10455" s="25"/>
      <c r="Q10455" s="17"/>
    </row>
    <row r="10456" spans="12:17" x14ac:dyDescent="0.3">
      <c r="L10456" s="25"/>
      <c r="Q10456" s="17"/>
    </row>
    <row r="10457" spans="12:17" x14ac:dyDescent="0.3">
      <c r="L10457" s="25"/>
      <c r="Q10457" s="17"/>
    </row>
    <row r="10458" spans="12:17" x14ac:dyDescent="0.3">
      <c r="L10458" s="25"/>
      <c r="Q10458" s="17"/>
    </row>
    <row r="10459" spans="12:17" x14ac:dyDescent="0.3">
      <c r="L10459" s="25"/>
      <c r="Q10459" s="17"/>
    </row>
    <row r="10460" spans="12:17" x14ac:dyDescent="0.3">
      <c r="L10460" s="25"/>
      <c r="Q10460" s="17"/>
    </row>
    <row r="10461" spans="12:17" x14ac:dyDescent="0.3">
      <c r="L10461" s="25"/>
      <c r="Q10461" s="17"/>
    </row>
    <row r="10462" spans="12:17" x14ac:dyDescent="0.3">
      <c r="L10462" s="25"/>
      <c r="Q10462" s="17"/>
    </row>
    <row r="10463" spans="12:17" x14ac:dyDescent="0.3">
      <c r="L10463" s="25"/>
      <c r="Q10463" s="17"/>
    </row>
    <row r="10464" spans="12:17" x14ac:dyDescent="0.3">
      <c r="L10464" s="25"/>
      <c r="Q10464" s="17"/>
    </row>
    <row r="10465" spans="12:17" x14ac:dyDescent="0.3">
      <c r="L10465" s="25"/>
      <c r="Q10465" s="17"/>
    </row>
    <row r="10466" spans="12:17" x14ac:dyDescent="0.3">
      <c r="L10466" s="25"/>
      <c r="Q10466" s="17"/>
    </row>
    <row r="10467" spans="12:17" x14ac:dyDescent="0.3">
      <c r="L10467" s="25"/>
      <c r="Q10467" s="17"/>
    </row>
    <row r="10468" spans="12:17" x14ac:dyDescent="0.3">
      <c r="L10468" s="25"/>
      <c r="Q10468" s="17"/>
    </row>
    <row r="10469" spans="12:17" x14ac:dyDescent="0.3">
      <c r="L10469" s="25"/>
      <c r="Q10469" s="17"/>
    </row>
    <row r="10470" spans="12:17" x14ac:dyDescent="0.3">
      <c r="L10470" s="25"/>
      <c r="Q10470" s="17"/>
    </row>
    <row r="10471" spans="12:17" x14ac:dyDescent="0.3">
      <c r="L10471" s="25"/>
      <c r="Q10471" s="17"/>
    </row>
    <row r="10472" spans="12:17" x14ac:dyDescent="0.3">
      <c r="L10472" s="25"/>
      <c r="Q10472" s="17"/>
    </row>
    <row r="10473" spans="12:17" x14ac:dyDescent="0.3">
      <c r="L10473" s="25"/>
      <c r="Q10473" s="17"/>
    </row>
    <row r="10474" spans="12:17" x14ac:dyDescent="0.3">
      <c r="L10474" s="25"/>
      <c r="Q10474" s="17"/>
    </row>
    <row r="10475" spans="12:17" x14ac:dyDescent="0.3">
      <c r="L10475" s="25"/>
      <c r="Q10475" s="17"/>
    </row>
    <row r="10476" spans="12:17" x14ac:dyDescent="0.3">
      <c r="L10476" s="25"/>
      <c r="Q10476" s="17"/>
    </row>
    <row r="10477" spans="12:17" x14ac:dyDescent="0.3">
      <c r="L10477" s="25"/>
      <c r="Q10477" s="17"/>
    </row>
    <row r="10478" spans="12:17" x14ac:dyDescent="0.3">
      <c r="L10478" s="25"/>
      <c r="Q10478" s="17"/>
    </row>
    <row r="10479" spans="12:17" x14ac:dyDescent="0.3">
      <c r="L10479" s="25"/>
      <c r="Q10479" s="17"/>
    </row>
    <row r="10480" spans="12:17" x14ac:dyDescent="0.3">
      <c r="L10480" s="25"/>
      <c r="Q10480" s="17"/>
    </row>
    <row r="10481" spans="12:17" x14ac:dyDescent="0.3">
      <c r="L10481" s="25"/>
      <c r="Q10481" s="17"/>
    </row>
    <row r="10482" spans="12:17" x14ac:dyDescent="0.3">
      <c r="L10482" s="25"/>
      <c r="Q10482" s="17"/>
    </row>
    <row r="10483" spans="12:17" x14ac:dyDescent="0.3">
      <c r="L10483" s="25"/>
      <c r="Q10483" s="17"/>
    </row>
    <row r="10484" spans="12:17" x14ac:dyDescent="0.3">
      <c r="L10484" s="25"/>
      <c r="Q10484" s="17"/>
    </row>
    <row r="10485" spans="12:17" x14ac:dyDescent="0.3">
      <c r="L10485" s="25"/>
      <c r="Q10485" s="17"/>
    </row>
    <row r="10486" spans="12:17" x14ac:dyDescent="0.3">
      <c r="L10486" s="25"/>
      <c r="Q10486" s="17"/>
    </row>
    <row r="10487" spans="12:17" x14ac:dyDescent="0.3">
      <c r="L10487" s="25"/>
      <c r="Q10487" s="17"/>
    </row>
    <row r="10488" spans="12:17" x14ac:dyDescent="0.3">
      <c r="L10488" s="25"/>
      <c r="Q10488" s="17"/>
    </row>
    <row r="10489" spans="12:17" x14ac:dyDescent="0.3">
      <c r="L10489" s="25"/>
      <c r="Q10489" s="17"/>
    </row>
    <row r="10490" spans="12:17" x14ac:dyDescent="0.3">
      <c r="L10490" s="25"/>
      <c r="Q10490" s="17"/>
    </row>
    <row r="10491" spans="12:17" x14ac:dyDescent="0.3">
      <c r="L10491" s="25"/>
      <c r="Q10491" s="17"/>
    </row>
    <row r="10492" spans="12:17" x14ac:dyDescent="0.3">
      <c r="L10492" s="25"/>
      <c r="Q10492" s="17"/>
    </row>
    <row r="10493" spans="12:17" x14ac:dyDescent="0.3">
      <c r="L10493" s="25"/>
      <c r="Q10493" s="17"/>
    </row>
    <row r="10494" spans="12:17" x14ac:dyDescent="0.3">
      <c r="L10494" s="25"/>
      <c r="Q10494" s="17"/>
    </row>
    <row r="10495" spans="12:17" x14ac:dyDescent="0.3">
      <c r="L10495" s="25"/>
      <c r="Q10495" s="17"/>
    </row>
    <row r="10496" spans="12:17" x14ac:dyDescent="0.3">
      <c r="L10496" s="25"/>
      <c r="Q10496" s="17"/>
    </row>
    <row r="10497" spans="12:17" x14ac:dyDescent="0.3">
      <c r="L10497" s="25"/>
      <c r="Q10497" s="17"/>
    </row>
    <row r="10498" spans="12:17" x14ac:dyDescent="0.3">
      <c r="L10498" s="25"/>
      <c r="Q10498" s="17"/>
    </row>
    <row r="10499" spans="12:17" x14ac:dyDescent="0.3">
      <c r="L10499" s="25"/>
      <c r="Q10499" s="17"/>
    </row>
    <row r="10500" spans="12:17" x14ac:dyDescent="0.3">
      <c r="L10500" s="25"/>
      <c r="Q10500" s="17"/>
    </row>
    <row r="10501" spans="12:17" x14ac:dyDescent="0.3">
      <c r="L10501" s="25"/>
      <c r="Q10501" s="17"/>
    </row>
    <row r="10502" spans="12:17" x14ac:dyDescent="0.3">
      <c r="L10502" s="25"/>
      <c r="Q10502" s="17"/>
    </row>
    <row r="10503" spans="12:17" x14ac:dyDescent="0.3">
      <c r="L10503" s="25"/>
      <c r="Q10503" s="17"/>
    </row>
    <row r="10504" spans="12:17" x14ac:dyDescent="0.3">
      <c r="L10504" s="25"/>
      <c r="Q10504" s="17"/>
    </row>
    <row r="10505" spans="12:17" x14ac:dyDescent="0.3">
      <c r="L10505" s="25"/>
      <c r="Q10505" s="17"/>
    </row>
    <row r="10506" spans="12:17" x14ac:dyDescent="0.3">
      <c r="L10506" s="25"/>
      <c r="Q10506" s="17"/>
    </row>
    <row r="10507" spans="12:17" x14ac:dyDescent="0.3">
      <c r="L10507" s="25"/>
      <c r="Q10507" s="17"/>
    </row>
    <row r="10508" spans="12:17" x14ac:dyDescent="0.3">
      <c r="L10508" s="25"/>
      <c r="Q10508" s="17"/>
    </row>
    <row r="10509" spans="12:17" x14ac:dyDescent="0.3">
      <c r="L10509" s="25"/>
      <c r="Q10509" s="17"/>
    </row>
    <row r="10510" spans="12:17" x14ac:dyDescent="0.3">
      <c r="L10510" s="25"/>
      <c r="Q10510" s="17"/>
    </row>
    <row r="10511" spans="12:17" x14ac:dyDescent="0.3">
      <c r="L10511" s="25"/>
      <c r="Q10511" s="17"/>
    </row>
    <row r="10512" spans="12:17" x14ac:dyDescent="0.3">
      <c r="L10512" s="25"/>
      <c r="Q10512" s="17"/>
    </row>
    <row r="10513" spans="12:17" x14ac:dyDescent="0.3">
      <c r="L10513" s="25"/>
      <c r="Q10513" s="17"/>
    </row>
    <row r="10514" spans="12:17" x14ac:dyDescent="0.3">
      <c r="L10514" s="25"/>
      <c r="Q10514" s="17"/>
    </row>
    <row r="10515" spans="12:17" x14ac:dyDescent="0.3">
      <c r="L10515" s="25"/>
      <c r="Q10515" s="17"/>
    </row>
    <row r="10516" spans="12:17" x14ac:dyDescent="0.3">
      <c r="L10516" s="25"/>
      <c r="Q10516" s="17"/>
    </row>
    <row r="10517" spans="12:17" x14ac:dyDescent="0.3">
      <c r="L10517" s="25"/>
      <c r="Q10517" s="17"/>
    </row>
    <row r="10518" spans="12:17" x14ac:dyDescent="0.3">
      <c r="L10518" s="25"/>
      <c r="Q10518" s="17"/>
    </row>
    <row r="10519" spans="12:17" x14ac:dyDescent="0.3">
      <c r="L10519" s="25"/>
      <c r="Q10519" s="17"/>
    </row>
    <row r="10520" spans="12:17" x14ac:dyDescent="0.3">
      <c r="L10520" s="25"/>
      <c r="Q10520" s="17"/>
    </row>
    <row r="10521" spans="12:17" x14ac:dyDescent="0.3">
      <c r="L10521" s="25"/>
      <c r="Q10521" s="17"/>
    </row>
    <row r="10522" spans="12:17" x14ac:dyDescent="0.3">
      <c r="L10522" s="25"/>
      <c r="Q10522" s="17"/>
    </row>
    <row r="10523" spans="12:17" x14ac:dyDescent="0.3">
      <c r="L10523" s="25"/>
      <c r="Q10523" s="17"/>
    </row>
    <row r="10524" spans="12:17" x14ac:dyDescent="0.3">
      <c r="L10524" s="25"/>
      <c r="Q10524" s="17"/>
    </row>
    <row r="10525" spans="12:17" x14ac:dyDescent="0.3">
      <c r="L10525" s="25"/>
      <c r="Q10525" s="17"/>
    </row>
    <row r="10526" spans="12:17" x14ac:dyDescent="0.3">
      <c r="L10526" s="25"/>
      <c r="Q10526" s="17"/>
    </row>
    <row r="10527" spans="12:17" x14ac:dyDescent="0.3">
      <c r="L10527" s="25"/>
      <c r="Q10527" s="17"/>
    </row>
    <row r="10528" spans="12:17" x14ac:dyDescent="0.3">
      <c r="L10528" s="25"/>
      <c r="Q10528" s="17"/>
    </row>
    <row r="10529" spans="12:17" x14ac:dyDescent="0.3">
      <c r="L10529" s="25"/>
      <c r="Q10529" s="17"/>
    </row>
    <row r="10530" spans="12:17" x14ac:dyDescent="0.3">
      <c r="L10530" s="25"/>
      <c r="Q10530" s="17"/>
    </row>
    <row r="10531" spans="12:17" x14ac:dyDescent="0.3">
      <c r="L10531" s="25"/>
      <c r="Q10531" s="17"/>
    </row>
    <row r="10532" spans="12:17" x14ac:dyDescent="0.3">
      <c r="L10532" s="25"/>
      <c r="Q10532" s="17"/>
    </row>
    <row r="10533" spans="12:17" x14ac:dyDescent="0.3">
      <c r="L10533" s="25"/>
      <c r="Q10533" s="17"/>
    </row>
    <row r="10534" spans="12:17" x14ac:dyDescent="0.3">
      <c r="L10534" s="25"/>
      <c r="Q10534" s="17"/>
    </row>
    <row r="10535" spans="12:17" x14ac:dyDescent="0.3">
      <c r="L10535" s="25"/>
      <c r="Q10535" s="17"/>
    </row>
    <row r="10536" spans="12:17" x14ac:dyDescent="0.3">
      <c r="L10536" s="25"/>
      <c r="Q10536" s="17"/>
    </row>
    <row r="10537" spans="12:17" x14ac:dyDescent="0.3">
      <c r="L10537" s="25"/>
      <c r="Q10537" s="17"/>
    </row>
    <row r="10538" spans="12:17" x14ac:dyDescent="0.3">
      <c r="L10538" s="25"/>
      <c r="Q10538" s="17"/>
    </row>
    <row r="10539" spans="12:17" x14ac:dyDescent="0.3">
      <c r="L10539" s="25"/>
      <c r="Q10539" s="17"/>
    </row>
    <row r="10540" spans="12:17" x14ac:dyDescent="0.3">
      <c r="L10540" s="25"/>
      <c r="Q10540" s="17"/>
    </row>
    <row r="10541" spans="12:17" x14ac:dyDescent="0.3">
      <c r="L10541" s="25"/>
      <c r="Q10541" s="17"/>
    </row>
    <row r="10542" spans="12:17" x14ac:dyDescent="0.3">
      <c r="L10542" s="25"/>
      <c r="Q10542" s="17"/>
    </row>
    <row r="10543" spans="12:17" x14ac:dyDescent="0.3">
      <c r="L10543" s="25"/>
      <c r="Q10543" s="17"/>
    </row>
    <row r="10544" spans="12:17" x14ac:dyDescent="0.3">
      <c r="L10544" s="25"/>
      <c r="Q10544" s="17"/>
    </row>
    <row r="10545" spans="12:17" x14ac:dyDescent="0.3">
      <c r="L10545" s="25"/>
      <c r="Q10545" s="17"/>
    </row>
    <row r="10546" spans="12:17" x14ac:dyDescent="0.3">
      <c r="L10546" s="25"/>
      <c r="Q10546" s="17"/>
    </row>
    <row r="10547" spans="12:17" x14ac:dyDescent="0.3">
      <c r="L10547" s="25"/>
      <c r="Q10547" s="17"/>
    </row>
    <row r="10548" spans="12:17" x14ac:dyDescent="0.3">
      <c r="L10548" s="25"/>
      <c r="Q10548" s="17"/>
    </row>
    <row r="10549" spans="12:17" x14ac:dyDescent="0.3">
      <c r="L10549" s="25"/>
      <c r="Q10549" s="17"/>
    </row>
    <row r="10550" spans="12:17" x14ac:dyDescent="0.3">
      <c r="L10550" s="25"/>
      <c r="Q10550" s="17"/>
    </row>
    <row r="10551" spans="12:17" x14ac:dyDescent="0.3">
      <c r="L10551" s="25"/>
      <c r="Q10551" s="17"/>
    </row>
    <row r="10552" spans="12:17" x14ac:dyDescent="0.3">
      <c r="L10552" s="25"/>
      <c r="Q10552" s="17"/>
    </row>
    <row r="10553" spans="12:17" x14ac:dyDescent="0.3">
      <c r="L10553" s="25"/>
      <c r="Q10553" s="17"/>
    </row>
    <row r="10554" spans="12:17" x14ac:dyDescent="0.3">
      <c r="L10554" s="25"/>
      <c r="Q10554" s="17"/>
    </row>
    <row r="10555" spans="12:17" x14ac:dyDescent="0.3">
      <c r="L10555" s="25"/>
      <c r="Q10555" s="17"/>
    </row>
    <row r="10556" spans="12:17" x14ac:dyDescent="0.3">
      <c r="L10556" s="25"/>
      <c r="Q10556" s="17"/>
    </row>
    <row r="10557" spans="12:17" x14ac:dyDescent="0.3">
      <c r="L10557" s="25"/>
      <c r="Q10557" s="17"/>
    </row>
    <row r="10558" spans="12:17" x14ac:dyDescent="0.3">
      <c r="L10558" s="25"/>
      <c r="Q10558" s="17"/>
    </row>
    <row r="10559" spans="12:17" x14ac:dyDescent="0.3">
      <c r="L10559" s="25"/>
      <c r="Q10559" s="17"/>
    </row>
    <row r="10560" spans="12:17" x14ac:dyDescent="0.3">
      <c r="L10560" s="25"/>
      <c r="Q10560" s="17"/>
    </row>
    <row r="10561" spans="12:17" x14ac:dyDescent="0.3">
      <c r="L10561" s="25"/>
      <c r="Q10561" s="17"/>
    </row>
    <row r="10562" spans="12:17" x14ac:dyDescent="0.3">
      <c r="L10562" s="25"/>
      <c r="Q10562" s="17"/>
    </row>
    <row r="10563" spans="12:17" x14ac:dyDescent="0.3">
      <c r="L10563" s="25"/>
      <c r="Q10563" s="17"/>
    </row>
    <row r="10564" spans="12:17" x14ac:dyDescent="0.3">
      <c r="L10564" s="25"/>
      <c r="Q10564" s="17"/>
    </row>
    <row r="10565" spans="12:17" x14ac:dyDescent="0.3">
      <c r="L10565" s="25"/>
      <c r="Q10565" s="17"/>
    </row>
    <row r="10566" spans="12:17" x14ac:dyDescent="0.3">
      <c r="L10566" s="25"/>
      <c r="Q10566" s="17"/>
    </row>
    <row r="10567" spans="12:17" x14ac:dyDescent="0.3">
      <c r="L10567" s="25"/>
      <c r="Q10567" s="17"/>
    </row>
    <row r="10568" spans="12:17" x14ac:dyDescent="0.3">
      <c r="L10568" s="25"/>
      <c r="Q10568" s="17"/>
    </row>
    <row r="10569" spans="12:17" x14ac:dyDescent="0.3">
      <c r="L10569" s="25"/>
      <c r="Q10569" s="17"/>
    </row>
    <row r="10570" spans="12:17" x14ac:dyDescent="0.3">
      <c r="L10570" s="25"/>
      <c r="Q10570" s="17"/>
    </row>
    <row r="10571" spans="12:17" x14ac:dyDescent="0.3">
      <c r="L10571" s="25"/>
      <c r="Q10571" s="17"/>
    </row>
    <row r="10572" spans="12:17" x14ac:dyDescent="0.3">
      <c r="L10572" s="25"/>
      <c r="Q10572" s="17"/>
    </row>
    <row r="10573" spans="12:17" x14ac:dyDescent="0.3">
      <c r="L10573" s="25"/>
      <c r="Q10573" s="17"/>
    </row>
    <row r="10574" spans="12:17" x14ac:dyDescent="0.3">
      <c r="L10574" s="25"/>
      <c r="Q10574" s="17"/>
    </row>
    <row r="10575" spans="12:17" x14ac:dyDescent="0.3">
      <c r="L10575" s="25"/>
      <c r="Q10575" s="17"/>
    </row>
    <row r="10576" spans="12:17" x14ac:dyDescent="0.3">
      <c r="L10576" s="25"/>
      <c r="Q10576" s="17"/>
    </row>
    <row r="10577" spans="12:17" x14ac:dyDescent="0.3">
      <c r="L10577" s="25"/>
      <c r="Q10577" s="17"/>
    </row>
    <row r="10578" spans="12:17" x14ac:dyDescent="0.3">
      <c r="L10578" s="25"/>
      <c r="Q10578" s="17"/>
    </row>
    <row r="10579" spans="12:17" x14ac:dyDescent="0.3">
      <c r="L10579" s="25"/>
      <c r="Q10579" s="17"/>
    </row>
    <row r="10580" spans="12:17" x14ac:dyDescent="0.3">
      <c r="L10580" s="25"/>
      <c r="Q10580" s="17"/>
    </row>
    <row r="10581" spans="12:17" x14ac:dyDescent="0.3">
      <c r="L10581" s="25"/>
      <c r="Q10581" s="17"/>
    </row>
    <row r="10582" spans="12:17" x14ac:dyDescent="0.3">
      <c r="L10582" s="25"/>
      <c r="Q10582" s="17"/>
    </row>
    <row r="10583" spans="12:17" x14ac:dyDescent="0.3">
      <c r="L10583" s="25"/>
      <c r="Q10583" s="17"/>
    </row>
    <row r="10584" spans="12:17" x14ac:dyDescent="0.3">
      <c r="L10584" s="25"/>
      <c r="Q10584" s="17"/>
    </row>
    <row r="10585" spans="12:17" x14ac:dyDescent="0.3">
      <c r="L10585" s="25"/>
      <c r="Q10585" s="17"/>
    </row>
    <row r="10586" spans="12:17" x14ac:dyDescent="0.3">
      <c r="L10586" s="25"/>
      <c r="Q10586" s="17"/>
    </row>
    <row r="10587" spans="12:17" x14ac:dyDescent="0.3">
      <c r="L10587" s="25"/>
      <c r="Q10587" s="17"/>
    </row>
    <row r="10588" spans="12:17" x14ac:dyDescent="0.3">
      <c r="L10588" s="25"/>
      <c r="Q10588" s="17"/>
    </row>
    <row r="10589" spans="12:17" x14ac:dyDescent="0.3">
      <c r="L10589" s="25"/>
      <c r="Q10589" s="17"/>
    </row>
    <row r="10590" spans="12:17" x14ac:dyDescent="0.3">
      <c r="L10590" s="25"/>
      <c r="Q10590" s="17"/>
    </row>
    <row r="10591" spans="12:17" x14ac:dyDescent="0.3">
      <c r="L10591" s="25"/>
      <c r="Q10591" s="17"/>
    </row>
    <row r="10592" spans="12:17" x14ac:dyDescent="0.3">
      <c r="L10592" s="25"/>
      <c r="Q10592" s="17"/>
    </row>
    <row r="10593" spans="12:17" x14ac:dyDescent="0.3">
      <c r="L10593" s="25"/>
      <c r="Q10593" s="17"/>
    </row>
    <row r="10594" spans="12:17" x14ac:dyDescent="0.3">
      <c r="L10594" s="25"/>
      <c r="Q10594" s="17"/>
    </row>
    <row r="10595" spans="12:17" x14ac:dyDescent="0.3">
      <c r="L10595" s="25"/>
      <c r="Q10595" s="17"/>
    </row>
    <row r="10596" spans="12:17" x14ac:dyDescent="0.3">
      <c r="L10596" s="25"/>
      <c r="Q10596" s="17"/>
    </row>
    <row r="10597" spans="12:17" x14ac:dyDescent="0.3">
      <c r="L10597" s="25"/>
      <c r="Q10597" s="17"/>
    </row>
    <row r="10598" spans="12:17" x14ac:dyDescent="0.3">
      <c r="L10598" s="25"/>
      <c r="Q10598" s="17"/>
    </row>
    <row r="10599" spans="12:17" x14ac:dyDescent="0.3">
      <c r="L10599" s="25"/>
      <c r="Q10599" s="17"/>
    </row>
    <row r="10600" spans="12:17" x14ac:dyDescent="0.3">
      <c r="L10600" s="25"/>
      <c r="Q10600" s="17"/>
    </row>
    <row r="10601" spans="12:17" x14ac:dyDescent="0.3">
      <c r="L10601" s="25"/>
      <c r="Q10601" s="17"/>
    </row>
    <row r="10602" spans="12:17" x14ac:dyDescent="0.3">
      <c r="L10602" s="25"/>
      <c r="Q10602" s="17"/>
    </row>
    <row r="10603" spans="12:17" x14ac:dyDescent="0.3">
      <c r="L10603" s="25"/>
      <c r="Q10603" s="17"/>
    </row>
    <row r="10604" spans="12:17" x14ac:dyDescent="0.3">
      <c r="L10604" s="25"/>
      <c r="Q10604" s="17"/>
    </row>
    <row r="10605" spans="12:17" x14ac:dyDescent="0.3">
      <c r="L10605" s="25"/>
      <c r="Q10605" s="17"/>
    </row>
    <row r="10606" spans="12:17" x14ac:dyDescent="0.3">
      <c r="L10606" s="25"/>
      <c r="Q10606" s="17"/>
    </row>
    <row r="10607" spans="12:17" x14ac:dyDescent="0.3">
      <c r="L10607" s="25"/>
      <c r="Q10607" s="17"/>
    </row>
    <row r="10608" spans="12:17" x14ac:dyDescent="0.3">
      <c r="L10608" s="25"/>
      <c r="Q10608" s="17"/>
    </row>
    <row r="10609" spans="12:17" x14ac:dyDescent="0.3">
      <c r="L10609" s="25"/>
      <c r="Q10609" s="17"/>
    </row>
    <row r="10610" spans="12:17" x14ac:dyDescent="0.3">
      <c r="L10610" s="25"/>
      <c r="Q10610" s="17"/>
    </row>
    <row r="10611" spans="12:17" x14ac:dyDescent="0.3">
      <c r="L10611" s="25"/>
      <c r="Q10611" s="17"/>
    </row>
    <row r="10612" spans="12:17" x14ac:dyDescent="0.3">
      <c r="L10612" s="25"/>
      <c r="Q10612" s="17"/>
    </row>
    <row r="10613" spans="12:17" x14ac:dyDescent="0.3">
      <c r="L10613" s="25"/>
      <c r="Q10613" s="17"/>
    </row>
    <row r="10614" spans="12:17" x14ac:dyDescent="0.3">
      <c r="L10614" s="25"/>
      <c r="Q10614" s="17"/>
    </row>
    <row r="10615" spans="12:17" x14ac:dyDescent="0.3">
      <c r="L10615" s="25"/>
      <c r="Q10615" s="17"/>
    </row>
    <row r="10616" spans="12:17" x14ac:dyDescent="0.3">
      <c r="L10616" s="25"/>
      <c r="Q10616" s="17"/>
    </row>
    <row r="10617" spans="12:17" x14ac:dyDescent="0.3">
      <c r="L10617" s="25"/>
      <c r="Q10617" s="17"/>
    </row>
    <row r="10618" spans="12:17" x14ac:dyDescent="0.3">
      <c r="L10618" s="25"/>
      <c r="Q10618" s="17"/>
    </row>
    <row r="10619" spans="12:17" x14ac:dyDescent="0.3">
      <c r="L10619" s="25"/>
      <c r="Q10619" s="17"/>
    </row>
    <row r="10620" spans="12:17" x14ac:dyDescent="0.3">
      <c r="L10620" s="25"/>
      <c r="Q10620" s="17"/>
    </row>
    <row r="10621" spans="12:17" x14ac:dyDescent="0.3">
      <c r="L10621" s="25"/>
      <c r="Q10621" s="17"/>
    </row>
    <row r="10622" spans="12:17" x14ac:dyDescent="0.3">
      <c r="L10622" s="25"/>
      <c r="Q10622" s="17"/>
    </row>
    <row r="10623" spans="12:17" x14ac:dyDescent="0.3">
      <c r="L10623" s="25"/>
      <c r="Q10623" s="17"/>
    </row>
    <row r="10624" spans="12:17" x14ac:dyDescent="0.3">
      <c r="L10624" s="25"/>
      <c r="Q10624" s="17"/>
    </row>
    <row r="10625" spans="12:17" x14ac:dyDescent="0.3">
      <c r="L10625" s="25"/>
      <c r="Q10625" s="17"/>
    </row>
    <row r="10626" spans="12:17" x14ac:dyDescent="0.3">
      <c r="L10626" s="25"/>
      <c r="Q10626" s="17"/>
    </row>
    <row r="10627" spans="12:17" x14ac:dyDescent="0.3">
      <c r="L10627" s="25"/>
      <c r="Q10627" s="17"/>
    </row>
    <row r="10628" spans="12:17" x14ac:dyDescent="0.3">
      <c r="L10628" s="25"/>
      <c r="Q10628" s="17"/>
    </row>
    <row r="10629" spans="12:17" x14ac:dyDescent="0.3">
      <c r="L10629" s="25"/>
      <c r="Q10629" s="17"/>
    </row>
    <row r="10630" spans="12:17" x14ac:dyDescent="0.3">
      <c r="L10630" s="25"/>
      <c r="Q10630" s="17"/>
    </row>
    <row r="10631" spans="12:17" x14ac:dyDescent="0.3">
      <c r="L10631" s="25"/>
      <c r="Q10631" s="17"/>
    </row>
    <row r="10632" spans="12:17" x14ac:dyDescent="0.3">
      <c r="L10632" s="25"/>
      <c r="Q10632" s="17"/>
    </row>
    <row r="10633" spans="12:17" x14ac:dyDescent="0.3">
      <c r="L10633" s="25"/>
      <c r="Q10633" s="17"/>
    </row>
    <row r="10634" spans="12:17" x14ac:dyDescent="0.3">
      <c r="L10634" s="25"/>
      <c r="Q10634" s="17"/>
    </row>
    <row r="10635" spans="12:17" x14ac:dyDescent="0.3">
      <c r="L10635" s="25"/>
      <c r="Q10635" s="17"/>
    </row>
    <row r="10636" spans="12:17" x14ac:dyDescent="0.3">
      <c r="L10636" s="25"/>
      <c r="Q10636" s="17"/>
    </row>
    <row r="10637" spans="12:17" x14ac:dyDescent="0.3">
      <c r="L10637" s="25"/>
      <c r="Q10637" s="17"/>
    </row>
    <row r="10638" spans="12:17" x14ac:dyDescent="0.3">
      <c r="L10638" s="25"/>
      <c r="Q10638" s="17"/>
    </row>
    <row r="10639" spans="12:17" x14ac:dyDescent="0.3">
      <c r="L10639" s="25"/>
      <c r="Q10639" s="17"/>
    </row>
    <row r="10640" spans="12:17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6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5" t="s">
        <v>1</v>
      </c>
      <c r="D1" s="66"/>
      <c r="E1" s="66"/>
      <c r="F1" s="66"/>
      <c r="G1" s="66"/>
      <c r="H1" s="67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61">
        <v>44030</v>
      </c>
      <c r="B3" s="68">
        <v>499</v>
      </c>
      <c r="C3" s="56">
        <v>56</v>
      </c>
      <c r="D3" s="56">
        <v>60</v>
      </c>
      <c r="E3" s="56">
        <v>0</v>
      </c>
      <c r="F3" s="56">
        <v>0</v>
      </c>
      <c r="G3" s="56">
        <v>19</v>
      </c>
      <c r="H3" s="56">
        <v>364</v>
      </c>
      <c r="I3" s="69">
        <f>C3/B3</f>
        <v>0.11222444889779559</v>
      </c>
      <c r="J3" s="70">
        <f>D3/B3</f>
        <v>0.12024048096192384</v>
      </c>
    </row>
    <row r="4" spans="1:10" x14ac:dyDescent="0.3">
      <c r="A4" s="60">
        <v>44029</v>
      </c>
      <c r="B4" s="62">
        <v>2415</v>
      </c>
      <c r="C4" s="56">
        <v>54</v>
      </c>
      <c r="D4" s="56">
        <v>86</v>
      </c>
      <c r="E4" s="56">
        <v>2</v>
      </c>
      <c r="F4" s="56">
        <v>7</v>
      </c>
      <c r="G4" s="56">
        <v>30</v>
      </c>
      <c r="H4" s="56">
        <v>2236</v>
      </c>
      <c r="I4" s="63">
        <f t="shared" ref="I4:I9" si="0">C4/B4</f>
        <v>2.236024844720497E-2</v>
      </c>
      <c r="J4" s="64">
        <f>D4/B4</f>
        <v>3.5610766045548657E-2</v>
      </c>
    </row>
    <row r="5" spans="1:10" x14ac:dyDescent="0.3">
      <c r="A5" s="60">
        <v>44028</v>
      </c>
      <c r="B5" s="43">
        <v>924</v>
      </c>
      <c r="C5" s="44">
        <v>106</v>
      </c>
      <c r="D5" s="45">
        <v>93</v>
      </c>
      <c r="E5" s="45">
        <v>1</v>
      </c>
      <c r="F5" s="45">
        <v>5</v>
      </c>
      <c r="G5" s="45">
        <v>16</v>
      </c>
      <c r="H5" s="46">
        <v>703</v>
      </c>
      <c r="I5" s="51">
        <f t="shared" si="0"/>
        <v>0.11471861471861472</v>
      </c>
      <c r="J5" s="48">
        <f>D5/B5</f>
        <v>0.10064935064935066</v>
      </c>
    </row>
    <row r="6" spans="1:10" x14ac:dyDescent="0.3">
      <c r="A6" s="60">
        <v>44027</v>
      </c>
      <c r="B6" s="43">
        <v>695</v>
      </c>
      <c r="C6" s="44">
        <v>131</v>
      </c>
      <c r="D6" s="45">
        <v>175</v>
      </c>
      <c r="E6" s="45">
        <v>0</v>
      </c>
      <c r="F6" s="45">
        <v>6</v>
      </c>
      <c r="G6" s="45">
        <v>31</v>
      </c>
      <c r="H6" s="46">
        <v>352</v>
      </c>
      <c r="I6" s="51">
        <f t="shared" si="0"/>
        <v>0.18848920863309351</v>
      </c>
      <c r="J6" s="48">
        <f>D6/B6</f>
        <v>0.25179856115107913</v>
      </c>
    </row>
    <row r="7" spans="1:10" x14ac:dyDescent="0.3">
      <c r="A7" s="59">
        <v>44026</v>
      </c>
      <c r="B7" s="43">
        <v>1033</v>
      </c>
      <c r="C7" s="44">
        <v>350</v>
      </c>
      <c r="D7" s="45">
        <v>230</v>
      </c>
      <c r="E7" s="45">
        <v>3</v>
      </c>
      <c r="F7" s="45">
        <v>5</v>
      </c>
      <c r="G7" s="45">
        <v>48</v>
      </c>
      <c r="H7" s="46">
        <v>397</v>
      </c>
      <c r="I7" s="51">
        <f t="shared" si="0"/>
        <v>0.33881897386253629</v>
      </c>
      <c r="J7" s="48">
        <f>D7/B7</f>
        <v>0.22265246853823814</v>
      </c>
    </row>
    <row r="8" spans="1:10" x14ac:dyDescent="0.3">
      <c r="A8" s="52">
        <v>44025</v>
      </c>
      <c r="B8" s="53">
        <v>445</v>
      </c>
      <c r="C8" s="56">
        <v>7</v>
      </c>
      <c r="D8" s="57">
        <v>4</v>
      </c>
      <c r="E8" s="57">
        <v>0</v>
      </c>
      <c r="F8" s="57">
        <v>1</v>
      </c>
      <c r="G8" s="57">
        <v>15</v>
      </c>
      <c r="H8" s="58">
        <v>418</v>
      </c>
      <c r="I8" s="54">
        <f t="shared" si="0"/>
        <v>1.5730337078651686E-2</v>
      </c>
      <c r="J8" s="55">
        <f>D8/B8</f>
        <v>8.988764044943821E-3</v>
      </c>
    </row>
    <row r="9" spans="1:10" x14ac:dyDescent="0.3">
      <c r="A9" s="42">
        <v>44024</v>
      </c>
      <c r="B9" s="43">
        <v>56</v>
      </c>
      <c r="C9" s="44">
        <v>0</v>
      </c>
      <c r="D9" s="45">
        <v>7</v>
      </c>
      <c r="E9" s="45">
        <v>0</v>
      </c>
      <c r="F9" s="45">
        <v>3</v>
      </c>
      <c r="G9" s="45">
        <v>12</v>
      </c>
      <c r="H9" s="46">
        <v>34</v>
      </c>
      <c r="I9" s="51">
        <f t="shared" si="0"/>
        <v>0</v>
      </c>
      <c r="J9" s="48">
        <f t="shared" ref="J9:J71" si="1">D9/B9</f>
        <v>0.125</v>
      </c>
    </row>
    <row r="10" spans="1:10" x14ac:dyDescent="0.3">
      <c r="A10" s="42">
        <v>44023</v>
      </c>
      <c r="B10" s="43">
        <v>223</v>
      </c>
      <c r="C10" s="44">
        <v>10</v>
      </c>
      <c r="D10" s="45">
        <v>15</v>
      </c>
      <c r="E10" s="45">
        <v>0</v>
      </c>
      <c r="F10" s="45">
        <v>1</v>
      </c>
      <c r="G10" s="45">
        <v>8</v>
      </c>
      <c r="H10" s="46">
        <v>189</v>
      </c>
      <c r="I10" s="51">
        <f t="shared" ref="I10:I14" si="2">C10/B10</f>
        <v>4.4843049327354258E-2</v>
      </c>
      <c r="J10" s="48">
        <f t="shared" si="1"/>
        <v>6.726457399103139E-2</v>
      </c>
    </row>
    <row r="11" spans="1:10" x14ac:dyDescent="0.3">
      <c r="A11" s="42">
        <v>44022</v>
      </c>
      <c r="B11" s="43">
        <v>657</v>
      </c>
      <c r="C11" s="44">
        <v>105</v>
      </c>
      <c r="D11" s="45">
        <v>143</v>
      </c>
      <c r="E11" s="45">
        <v>0</v>
      </c>
      <c r="F11" s="45">
        <v>5</v>
      </c>
      <c r="G11" s="45">
        <v>39</v>
      </c>
      <c r="H11" s="46">
        <v>365</v>
      </c>
      <c r="I11" s="51">
        <f t="shared" si="2"/>
        <v>0.15981735159817351</v>
      </c>
      <c r="J11" s="48">
        <f t="shared" si="1"/>
        <v>0.21765601217656011</v>
      </c>
    </row>
    <row r="12" spans="1:10" x14ac:dyDescent="0.3">
      <c r="A12" s="42">
        <v>44021</v>
      </c>
      <c r="B12" s="43">
        <v>370</v>
      </c>
      <c r="C12" s="44">
        <v>95</v>
      </c>
      <c r="D12" s="45">
        <v>99</v>
      </c>
      <c r="E12" s="45">
        <v>0</v>
      </c>
      <c r="F12" s="45">
        <v>0</v>
      </c>
      <c r="G12" s="45">
        <v>27</v>
      </c>
      <c r="H12" s="46">
        <v>149</v>
      </c>
      <c r="I12" s="51">
        <f t="shared" si="2"/>
        <v>0.25675675675675674</v>
      </c>
      <c r="J12" s="48">
        <f t="shared" si="1"/>
        <v>0.26756756756756755</v>
      </c>
    </row>
    <row r="13" spans="1:10" x14ac:dyDescent="0.3">
      <c r="A13" s="42">
        <v>44020</v>
      </c>
      <c r="B13" s="43">
        <v>412</v>
      </c>
      <c r="C13" s="44">
        <v>51</v>
      </c>
      <c r="D13" s="45">
        <v>54</v>
      </c>
      <c r="E13" s="45">
        <v>1</v>
      </c>
      <c r="F13" s="45">
        <v>2</v>
      </c>
      <c r="G13" s="45">
        <v>32</v>
      </c>
      <c r="H13" s="46">
        <v>272</v>
      </c>
      <c r="I13" s="51">
        <f t="shared" si="2"/>
        <v>0.12378640776699029</v>
      </c>
      <c r="J13" s="48">
        <f t="shared" si="1"/>
        <v>0.13106796116504854</v>
      </c>
    </row>
    <row r="14" spans="1:10" x14ac:dyDescent="0.3">
      <c r="A14" s="42">
        <v>44019</v>
      </c>
      <c r="B14" s="43">
        <v>713</v>
      </c>
      <c r="C14" s="44">
        <v>142</v>
      </c>
      <c r="D14" s="45">
        <v>160</v>
      </c>
      <c r="E14" s="45">
        <v>1</v>
      </c>
      <c r="F14" s="45">
        <v>2</v>
      </c>
      <c r="G14" s="45">
        <v>29</v>
      </c>
      <c r="H14" s="46">
        <v>379</v>
      </c>
      <c r="I14" s="51">
        <f t="shared" si="2"/>
        <v>0.19915848527349228</v>
      </c>
      <c r="J14" s="48">
        <f t="shared" si="1"/>
        <v>0.2244039270687237</v>
      </c>
    </row>
    <row r="15" spans="1:10" x14ac:dyDescent="0.3">
      <c r="A15" s="42">
        <v>44018</v>
      </c>
      <c r="B15" s="43">
        <v>410</v>
      </c>
      <c r="C15" s="44">
        <v>129</v>
      </c>
      <c r="D15" s="45">
        <v>90</v>
      </c>
      <c r="E15" s="45">
        <v>0</v>
      </c>
      <c r="F15" s="45">
        <v>1</v>
      </c>
      <c r="G15" s="45">
        <v>23</v>
      </c>
      <c r="H15" s="46">
        <v>167</v>
      </c>
      <c r="I15" s="47">
        <f t="shared" ref="I15:I72" si="3">C15/B15</f>
        <v>0.31463414634146342</v>
      </c>
      <c r="J15" s="48">
        <f t="shared" si="1"/>
        <v>0.21951219512195122</v>
      </c>
    </row>
    <row r="16" spans="1:10" x14ac:dyDescent="0.3">
      <c r="A16" s="42">
        <v>44015</v>
      </c>
      <c r="B16" s="43">
        <v>74</v>
      </c>
      <c r="C16" s="44">
        <v>4</v>
      </c>
      <c r="D16" s="45">
        <v>16</v>
      </c>
      <c r="E16" s="45">
        <v>0</v>
      </c>
      <c r="F16" s="45">
        <v>3</v>
      </c>
      <c r="G16" s="45">
        <v>1</v>
      </c>
      <c r="H16" s="46">
        <v>50</v>
      </c>
      <c r="I16" s="47">
        <f t="shared" si="3"/>
        <v>5.4054054054054057E-2</v>
      </c>
      <c r="J16" s="48">
        <f t="shared" si="1"/>
        <v>0.21621621621621623</v>
      </c>
    </row>
    <row r="17" spans="1:10" x14ac:dyDescent="0.3">
      <c r="A17" s="42">
        <v>44014</v>
      </c>
      <c r="B17" s="43">
        <v>438</v>
      </c>
      <c r="C17" s="44">
        <v>95</v>
      </c>
      <c r="D17" s="45">
        <v>110</v>
      </c>
      <c r="E17" s="45">
        <v>0</v>
      </c>
      <c r="F17" s="45">
        <v>3</v>
      </c>
      <c r="G17" s="45">
        <v>26</v>
      </c>
      <c r="H17" s="46">
        <v>204</v>
      </c>
      <c r="I17" s="47">
        <f t="shared" si="3"/>
        <v>0.21689497716894976</v>
      </c>
      <c r="J17" s="48">
        <f t="shared" si="1"/>
        <v>0.25114155251141551</v>
      </c>
    </row>
    <row r="18" spans="1:10" x14ac:dyDescent="0.3">
      <c r="A18" s="42">
        <v>44013</v>
      </c>
      <c r="B18" s="43">
        <v>582</v>
      </c>
      <c r="C18" s="44">
        <v>155</v>
      </c>
      <c r="D18" s="45">
        <v>154</v>
      </c>
      <c r="E18" s="45">
        <v>2</v>
      </c>
      <c r="F18" s="45">
        <v>3</v>
      </c>
      <c r="G18" s="45">
        <v>16</v>
      </c>
      <c r="H18" s="46">
        <v>252</v>
      </c>
      <c r="I18" s="47">
        <f t="shared" si="3"/>
        <v>0.26632302405498282</v>
      </c>
      <c r="J18" s="48">
        <f t="shared" si="1"/>
        <v>0.26460481099656358</v>
      </c>
    </row>
    <row r="19" spans="1:10" x14ac:dyDescent="0.3">
      <c r="A19" s="42">
        <v>44012</v>
      </c>
      <c r="B19" s="43">
        <v>683</v>
      </c>
      <c r="C19" s="44">
        <v>249</v>
      </c>
      <c r="D19" s="45">
        <v>124</v>
      </c>
      <c r="E19" s="45">
        <v>4</v>
      </c>
      <c r="F19" s="45">
        <v>2</v>
      </c>
      <c r="G19" s="45">
        <v>28</v>
      </c>
      <c r="H19" s="46">
        <v>276</v>
      </c>
      <c r="I19" s="47">
        <f t="shared" si="3"/>
        <v>0.36456808199121521</v>
      </c>
      <c r="J19" s="48">
        <f t="shared" si="1"/>
        <v>0.18155197657393851</v>
      </c>
    </row>
    <row r="20" spans="1:10" x14ac:dyDescent="0.3">
      <c r="A20" s="42">
        <v>44011</v>
      </c>
      <c r="B20" s="43">
        <v>513</v>
      </c>
      <c r="C20" s="44">
        <v>160</v>
      </c>
      <c r="D20" s="45">
        <v>96</v>
      </c>
      <c r="E20" s="45">
        <v>0</v>
      </c>
      <c r="F20" s="45">
        <v>0</v>
      </c>
      <c r="G20" s="45">
        <v>17</v>
      </c>
      <c r="H20" s="46">
        <v>240</v>
      </c>
      <c r="I20" s="47">
        <f t="shared" si="3"/>
        <v>0.31189083820662766</v>
      </c>
      <c r="J20" s="48">
        <f t="shared" si="1"/>
        <v>0.1871345029239766</v>
      </c>
    </row>
    <row r="21" spans="1:10" x14ac:dyDescent="0.3">
      <c r="A21" s="42">
        <v>44009</v>
      </c>
      <c r="B21" s="43">
        <v>276</v>
      </c>
      <c r="C21" s="44">
        <v>62</v>
      </c>
      <c r="D21" s="45">
        <v>57</v>
      </c>
      <c r="E21" s="45">
        <v>0</v>
      </c>
      <c r="F21" s="45">
        <v>2</v>
      </c>
      <c r="G21" s="45">
        <v>10</v>
      </c>
      <c r="H21" s="46">
        <v>145</v>
      </c>
      <c r="I21" s="47">
        <f t="shared" si="3"/>
        <v>0.22463768115942029</v>
      </c>
      <c r="J21" s="48">
        <f t="shared" si="1"/>
        <v>0.20652173913043478</v>
      </c>
    </row>
    <row r="22" spans="1:10" x14ac:dyDescent="0.3">
      <c r="A22" s="42">
        <v>44008</v>
      </c>
      <c r="B22" s="43">
        <v>1432</v>
      </c>
      <c r="C22" s="44">
        <v>200</v>
      </c>
      <c r="D22" s="45">
        <v>167</v>
      </c>
      <c r="E22" s="45">
        <v>4</v>
      </c>
      <c r="F22" s="45">
        <v>8</v>
      </c>
      <c r="G22" s="45">
        <v>30</v>
      </c>
      <c r="H22" s="46">
        <v>1023</v>
      </c>
      <c r="I22" s="47">
        <f t="shared" si="3"/>
        <v>0.13966480446927373</v>
      </c>
      <c r="J22" s="48">
        <f t="shared" si="1"/>
        <v>0.11662011173184357</v>
      </c>
    </row>
    <row r="23" spans="1:10" x14ac:dyDescent="0.3">
      <c r="A23" s="42">
        <v>44007</v>
      </c>
      <c r="B23" s="43">
        <v>1305</v>
      </c>
      <c r="C23" s="44">
        <v>120</v>
      </c>
      <c r="D23" s="45">
        <v>166</v>
      </c>
      <c r="E23" s="45">
        <v>3</v>
      </c>
      <c r="F23" s="45">
        <v>13</v>
      </c>
      <c r="G23" s="45">
        <v>66</v>
      </c>
      <c r="H23" s="46">
        <v>937</v>
      </c>
      <c r="I23" s="47">
        <f t="shared" si="3"/>
        <v>9.1954022988505746E-2</v>
      </c>
      <c r="J23" s="48">
        <f t="shared" si="1"/>
        <v>0.12720306513409962</v>
      </c>
    </row>
    <row r="24" spans="1:10" x14ac:dyDescent="0.3">
      <c r="A24" s="42">
        <v>44006</v>
      </c>
      <c r="B24" s="43">
        <v>1231</v>
      </c>
      <c r="C24" s="44">
        <v>181</v>
      </c>
      <c r="D24" s="45">
        <v>179</v>
      </c>
      <c r="E24" s="45">
        <v>1</v>
      </c>
      <c r="F24" s="45">
        <v>6</v>
      </c>
      <c r="G24" s="45">
        <v>36</v>
      </c>
      <c r="H24" s="46">
        <v>828</v>
      </c>
      <c r="I24" s="47">
        <f t="shared" si="3"/>
        <v>0.14703493095044678</v>
      </c>
      <c r="J24" s="48">
        <f t="shared" si="1"/>
        <v>0.14541023558082861</v>
      </c>
    </row>
    <row r="25" spans="1:10" x14ac:dyDescent="0.3">
      <c r="A25" s="42">
        <v>44005</v>
      </c>
      <c r="B25" s="43">
        <v>313</v>
      </c>
      <c r="C25" s="44">
        <v>16</v>
      </c>
      <c r="D25" s="45">
        <v>25</v>
      </c>
      <c r="E25" s="45">
        <v>0</v>
      </c>
      <c r="F25" s="45">
        <v>3</v>
      </c>
      <c r="G25" s="45">
        <v>9</v>
      </c>
      <c r="H25" s="46">
        <v>260</v>
      </c>
      <c r="I25" s="47">
        <f t="shared" si="3"/>
        <v>5.1118210862619806E-2</v>
      </c>
      <c r="J25" s="48">
        <f t="shared" si="1"/>
        <v>7.9872204472843447E-2</v>
      </c>
    </row>
    <row r="26" spans="1:10" x14ac:dyDescent="0.3">
      <c r="A26" s="42">
        <v>44004</v>
      </c>
      <c r="B26" s="43">
        <v>424</v>
      </c>
      <c r="C26" s="44">
        <v>150</v>
      </c>
      <c r="D26" s="45">
        <v>97</v>
      </c>
      <c r="E26" s="45">
        <v>1</v>
      </c>
      <c r="F26" s="45">
        <v>0</v>
      </c>
      <c r="G26" s="45">
        <v>6</v>
      </c>
      <c r="H26" s="46">
        <v>170</v>
      </c>
      <c r="I26" s="47">
        <f t="shared" si="3"/>
        <v>0.35377358490566035</v>
      </c>
      <c r="J26" s="48">
        <f t="shared" si="1"/>
        <v>0.22877358490566038</v>
      </c>
    </row>
    <row r="27" spans="1:10" x14ac:dyDescent="0.3">
      <c r="A27" s="42">
        <v>44003</v>
      </c>
      <c r="B27" s="43">
        <v>121</v>
      </c>
      <c r="C27" s="44">
        <v>12</v>
      </c>
      <c r="D27" s="45">
        <v>100</v>
      </c>
      <c r="E27" s="45">
        <v>1</v>
      </c>
      <c r="F27" s="45">
        <v>5</v>
      </c>
      <c r="G27" s="45">
        <v>2</v>
      </c>
      <c r="H27" s="46">
        <v>1</v>
      </c>
      <c r="I27" s="47">
        <f t="shared" si="3"/>
        <v>9.9173553719008267E-2</v>
      </c>
      <c r="J27" s="48">
        <f t="shared" si="1"/>
        <v>0.82644628099173556</v>
      </c>
    </row>
    <row r="28" spans="1:10" x14ac:dyDescent="0.3">
      <c r="A28" s="42">
        <v>44002</v>
      </c>
      <c r="B28" s="43">
        <v>34</v>
      </c>
      <c r="C28" s="44">
        <v>3</v>
      </c>
      <c r="D28" s="45">
        <v>14</v>
      </c>
      <c r="E28" s="45">
        <v>0</v>
      </c>
      <c r="F28" s="45">
        <v>5</v>
      </c>
      <c r="G28" s="45">
        <v>1</v>
      </c>
      <c r="H28" s="46">
        <v>11</v>
      </c>
      <c r="I28" s="47">
        <f t="shared" si="3"/>
        <v>8.8235294117647065E-2</v>
      </c>
      <c r="J28" s="48">
        <f t="shared" si="1"/>
        <v>0.41176470588235292</v>
      </c>
    </row>
    <row r="29" spans="1:10" x14ac:dyDescent="0.3">
      <c r="A29" s="42">
        <v>44001</v>
      </c>
      <c r="B29" s="43">
        <v>2477</v>
      </c>
      <c r="C29" s="44">
        <v>27</v>
      </c>
      <c r="D29" s="45">
        <v>2247</v>
      </c>
      <c r="E29" s="45">
        <v>6</v>
      </c>
      <c r="F29" s="45">
        <v>46</v>
      </c>
      <c r="G29" s="45">
        <v>13</v>
      </c>
      <c r="H29" s="46">
        <v>138</v>
      </c>
      <c r="I29" s="47">
        <f t="shared" si="3"/>
        <v>1.0900282599919257E-2</v>
      </c>
      <c r="J29" s="48">
        <f t="shared" si="1"/>
        <v>0.90714574081550259</v>
      </c>
    </row>
    <row r="30" spans="1:10" x14ac:dyDescent="0.3">
      <c r="A30" s="42">
        <v>44000</v>
      </c>
      <c r="B30" s="43">
        <v>686</v>
      </c>
      <c r="C30" s="44">
        <v>29</v>
      </c>
      <c r="D30" s="45">
        <v>379</v>
      </c>
      <c r="E30" s="45">
        <v>1</v>
      </c>
      <c r="F30" s="45">
        <v>54</v>
      </c>
      <c r="G30" s="45">
        <v>26</v>
      </c>
      <c r="H30" s="46">
        <v>197</v>
      </c>
      <c r="I30" s="47">
        <f t="shared" si="3"/>
        <v>4.2274052478134108E-2</v>
      </c>
      <c r="J30" s="48">
        <f t="shared" si="1"/>
        <v>0.55247813411078717</v>
      </c>
    </row>
    <row r="31" spans="1:10" x14ac:dyDescent="0.3">
      <c r="A31" s="42">
        <v>43999</v>
      </c>
      <c r="B31" s="43">
        <v>1434</v>
      </c>
      <c r="C31" s="44">
        <v>27</v>
      </c>
      <c r="D31" s="45">
        <v>979</v>
      </c>
      <c r="E31" s="45">
        <v>0</v>
      </c>
      <c r="F31" s="45">
        <v>81</v>
      </c>
      <c r="G31" s="45">
        <v>19</v>
      </c>
      <c r="H31" s="46">
        <v>328</v>
      </c>
      <c r="I31" s="47">
        <f t="shared" si="3"/>
        <v>1.8828451882845189E-2</v>
      </c>
      <c r="J31" s="48">
        <f t="shared" si="1"/>
        <v>0.6827057182705718</v>
      </c>
    </row>
    <row r="32" spans="1:10" x14ac:dyDescent="0.3">
      <c r="A32" s="42">
        <v>43998</v>
      </c>
      <c r="B32" s="43">
        <v>1728</v>
      </c>
      <c r="C32" s="44">
        <v>121</v>
      </c>
      <c r="D32" s="45">
        <v>1271</v>
      </c>
      <c r="E32" s="45">
        <v>1</v>
      </c>
      <c r="F32" s="45">
        <v>47</v>
      </c>
      <c r="G32" s="45">
        <v>44</v>
      </c>
      <c r="H32" s="46">
        <v>244</v>
      </c>
      <c r="I32" s="47">
        <f t="shared" si="3"/>
        <v>7.0023148148148154E-2</v>
      </c>
      <c r="J32" s="48">
        <f t="shared" si="1"/>
        <v>0.73553240740740744</v>
      </c>
    </row>
    <row r="33" spans="1:10" x14ac:dyDescent="0.3">
      <c r="A33" s="42">
        <v>43997</v>
      </c>
      <c r="B33" s="43">
        <v>2151</v>
      </c>
      <c r="C33" s="44">
        <v>113</v>
      </c>
      <c r="D33" s="45">
        <v>278</v>
      </c>
      <c r="E33" s="45">
        <v>3</v>
      </c>
      <c r="F33" s="45">
        <v>72</v>
      </c>
      <c r="G33" s="45">
        <v>87</v>
      </c>
      <c r="H33" s="46">
        <v>1598</v>
      </c>
      <c r="I33" s="47">
        <f t="shared" si="3"/>
        <v>5.2533705253370526E-2</v>
      </c>
      <c r="J33" s="48">
        <f t="shared" si="1"/>
        <v>0.12924221292422131</v>
      </c>
    </row>
    <row r="34" spans="1:10" x14ac:dyDescent="0.3">
      <c r="A34" s="42">
        <v>43996</v>
      </c>
      <c r="B34" s="43">
        <v>129</v>
      </c>
      <c r="C34" s="44">
        <v>0</v>
      </c>
      <c r="D34" s="45">
        <v>120</v>
      </c>
      <c r="E34" s="45">
        <v>0</v>
      </c>
      <c r="F34" s="45">
        <v>0</v>
      </c>
      <c r="G34" s="45">
        <v>5</v>
      </c>
      <c r="H34" s="46">
        <v>4</v>
      </c>
      <c r="I34" s="47">
        <f t="shared" si="3"/>
        <v>0</v>
      </c>
      <c r="J34" s="48">
        <f t="shared" si="1"/>
        <v>0.93023255813953487</v>
      </c>
    </row>
    <row r="35" spans="1:10" x14ac:dyDescent="0.3">
      <c r="A35" s="42">
        <v>43995</v>
      </c>
      <c r="B35" s="43">
        <v>4</v>
      </c>
      <c r="C35" s="44">
        <v>0</v>
      </c>
      <c r="D35" s="45">
        <v>0</v>
      </c>
      <c r="E35" s="45">
        <v>0</v>
      </c>
      <c r="F35" s="45">
        <v>2</v>
      </c>
      <c r="G35" s="45">
        <v>2</v>
      </c>
      <c r="H35" s="46">
        <v>0</v>
      </c>
      <c r="I35" s="47">
        <f t="shared" si="3"/>
        <v>0</v>
      </c>
      <c r="J35" s="48">
        <f t="shared" si="1"/>
        <v>0</v>
      </c>
    </row>
    <row r="36" spans="1:10" x14ac:dyDescent="0.3">
      <c r="A36" s="42">
        <v>43994</v>
      </c>
      <c r="B36" s="43">
        <v>2014</v>
      </c>
      <c r="C36" s="44">
        <v>86</v>
      </c>
      <c r="D36" s="45">
        <v>1726</v>
      </c>
      <c r="E36" s="45">
        <v>1</v>
      </c>
      <c r="F36" s="45">
        <v>45</v>
      </c>
      <c r="G36" s="45">
        <v>62</v>
      </c>
      <c r="H36" s="46">
        <v>94</v>
      </c>
      <c r="I36" s="47">
        <f t="shared" si="3"/>
        <v>4.2701092353525323E-2</v>
      </c>
      <c r="J36" s="48">
        <f t="shared" si="1"/>
        <v>0.8570009930486594</v>
      </c>
    </row>
    <row r="37" spans="1:10" x14ac:dyDescent="0.3">
      <c r="A37" s="42">
        <v>43993</v>
      </c>
      <c r="B37" s="43">
        <v>2074</v>
      </c>
      <c r="C37" s="44">
        <v>33</v>
      </c>
      <c r="D37" s="45">
        <v>882</v>
      </c>
      <c r="E37" s="45">
        <v>0</v>
      </c>
      <c r="F37" s="45">
        <v>65</v>
      </c>
      <c r="G37" s="45">
        <v>31</v>
      </c>
      <c r="H37" s="46">
        <v>1063</v>
      </c>
      <c r="I37" s="47">
        <f t="shared" si="3"/>
        <v>1.5911282545805209E-2</v>
      </c>
      <c r="J37" s="48">
        <f t="shared" si="1"/>
        <v>0.42526518804243008</v>
      </c>
    </row>
    <row r="38" spans="1:10" x14ac:dyDescent="0.3">
      <c r="A38" s="42">
        <v>43992</v>
      </c>
      <c r="B38" s="43">
        <v>914</v>
      </c>
      <c r="C38" s="44">
        <v>4</v>
      </c>
      <c r="D38" s="45">
        <v>768</v>
      </c>
      <c r="E38" s="45">
        <v>0</v>
      </c>
      <c r="F38" s="45">
        <v>18</v>
      </c>
      <c r="G38" s="45">
        <v>28</v>
      </c>
      <c r="H38" s="46">
        <v>96</v>
      </c>
      <c r="I38" s="47">
        <f t="shared" si="3"/>
        <v>4.3763676148796497E-3</v>
      </c>
      <c r="J38" s="48">
        <f t="shared" si="1"/>
        <v>0.84026258205689275</v>
      </c>
    </row>
    <row r="39" spans="1:10" x14ac:dyDescent="0.3">
      <c r="A39" s="42">
        <v>43991</v>
      </c>
      <c r="B39" s="43">
        <v>2928</v>
      </c>
      <c r="C39" s="44">
        <v>184</v>
      </c>
      <c r="D39" s="45">
        <v>1536</v>
      </c>
      <c r="E39" s="45">
        <v>6</v>
      </c>
      <c r="F39" s="45">
        <v>105</v>
      </c>
      <c r="G39" s="45">
        <v>131</v>
      </c>
      <c r="H39" s="46">
        <v>966</v>
      </c>
      <c r="I39" s="47">
        <f t="shared" si="3"/>
        <v>6.2841530054644809E-2</v>
      </c>
      <c r="J39" s="48">
        <f t="shared" si="1"/>
        <v>0.52459016393442626</v>
      </c>
    </row>
    <row r="40" spans="1:10" x14ac:dyDescent="0.3">
      <c r="A40" s="42">
        <v>43990</v>
      </c>
      <c r="B40" s="43">
        <v>1717</v>
      </c>
      <c r="C40" s="44">
        <v>32</v>
      </c>
      <c r="D40" s="45">
        <v>425</v>
      </c>
      <c r="E40" s="45">
        <v>0</v>
      </c>
      <c r="F40" s="45">
        <v>66</v>
      </c>
      <c r="G40" s="45">
        <v>131</v>
      </c>
      <c r="H40" s="46">
        <v>1063</v>
      </c>
      <c r="I40" s="47">
        <f t="shared" si="3"/>
        <v>1.8637157833430402E-2</v>
      </c>
      <c r="J40" s="48">
        <f t="shared" si="1"/>
        <v>0.24752475247524752</v>
      </c>
    </row>
    <row r="41" spans="1:10" x14ac:dyDescent="0.3">
      <c r="A41" s="42">
        <v>43989</v>
      </c>
      <c r="B41" s="43">
        <v>268</v>
      </c>
      <c r="C41" s="44">
        <v>16</v>
      </c>
      <c r="D41" s="45">
        <v>247</v>
      </c>
      <c r="E41" s="45">
        <v>0</v>
      </c>
      <c r="F41" s="45">
        <v>0</v>
      </c>
      <c r="G41" s="45">
        <v>0</v>
      </c>
      <c r="H41" s="46">
        <v>5</v>
      </c>
      <c r="I41" s="47">
        <f t="shared" si="3"/>
        <v>5.9701492537313432E-2</v>
      </c>
      <c r="J41" s="48">
        <f t="shared" si="1"/>
        <v>0.92164179104477617</v>
      </c>
    </row>
    <row r="42" spans="1:10" x14ac:dyDescent="0.3">
      <c r="A42" s="42">
        <v>43988</v>
      </c>
      <c r="B42" s="43">
        <v>100</v>
      </c>
      <c r="C42" s="44">
        <v>0</v>
      </c>
      <c r="D42" s="45">
        <v>82</v>
      </c>
      <c r="E42" s="45">
        <v>0</v>
      </c>
      <c r="F42" s="45">
        <v>10</v>
      </c>
      <c r="G42" s="45">
        <v>2</v>
      </c>
      <c r="H42" s="46">
        <v>6</v>
      </c>
      <c r="I42" s="47">
        <f t="shared" si="3"/>
        <v>0</v>
      </c>
      <c r="J42" s="48">
        <f t="shared" si="1"/>
        <v>0.82</v>
      </c>
    </row>
    <row r="43" spans="1:10" x14ac:dyDescent="0.3">
      <c r="A43" s="42">
        <v>43987</v>
      </c>
      <c r="B43" s="43">
        <v>727</v>
      </c>
      <c r="C43" s="44">
        <v>6</v>
      </c>
      <c r="D43" s="45">
        <v>706</v>
      </c>
      <c r="E43" s="45">
        <v>0</v>
      </c>
      <c r="F43" s="45">
        <v>5</v>
      </c>
      <c r="G43" s="45">
        <v>0</v>
      </c>
      <c r="H43" s="46">
        <v>10</v>
      </c>
      <c r="I43" s="47">
        <f t="shared" si="3"/>
        <v>8.253094910591471E-3</v>
      </c>
      <c r="J43" s="48">
        <f t="shared" si="1"/>
        <v>0.97111416781292981</v>
      </c>
    </row>
    <row r="44" spans="1:10" x14ac:dyDescent="0.3">
      <c r="A44" s="42">
        <v>43986</v>
      </c>
      <c r="B44" s="43">
        <v>490</v>
      </c>
      <c r="C44" s="44">
        <v>4</v>
      </c>
      <c r="D44" s="45">
        <v>485</v>
      </c>
      <c r="E44" s="45">
        <v>0</v>
      </c>
      <c r="F44" s="45">
        <v>0</v>
      </c>
      <c r="G44" s="45">
        <v>0</v>
      </c>
      <c r="H44" s="46">
        <v>1</v>
      </c>
      <c r="I44" s="47">
        <f t="shared" si="3"/>
        <v>8.1632653061224497E-3</v>
      </c>
      <c r="J44" s="48">
        <f t="shared" si="1"/>
        <v>0.98979591836734693</v>
      </c>
    </row>
    <row r="45" spans="1:10" x14ac:dyDescent="0.3">
      <c r="A45" s="42">
        <v>43985</v>
      </c>
      <c r="B45" s="43">
        <v>1251</v>
      </c>
      <c r="C45" s="44">
        <v>2</v>
      </c>
      <c r="D45" s="45">
        <v>1169</v>
      </c>
      <c r="E45" s="45">
        <v>1</v>
      </c>
      <c r="F45" s="45">
        <v>25</v>
      </c>
      <c r="G45" s="45">
        <v>11</v>
      </c>
      <c r="H45" s="46">
        <v>43</v>
      </c>
      <c r="I45" s="47">
        <f t="shared" si="3"/>
        <v>1.5987210231814548E-3</v>
      </c>
      <c r="J45" s="48">
        <f t="shared" si="1"/>
        <v>0.93445243804956035</v>
      </c>
    </row>
    <row r="46" spans="1:10" x14ac:dyDescent="0.3">
      <c r="A46" s="42">
        <v>43984</v>
      </c>
      <c r="B46" s="43">
        <v>697</v>
      </c>
      <c r="C46" s="44">
        <v>14</v>
      </c>
      <c r="D46" s="45">
        <v>622</v>
      </c>
      <c r="E46" s="45">
        <v>0</v>
      </c>
      <c r="F46" s="45">
        <v>40</v>
      </c>
      <c r="G46" s="45">
        <v>13</v>
      </c>
      <c r="H46" s="46">
        <v>8</v>
      </c>
      <c r="I46" s="47">
        <f t="shared" si="3"/>
        <v>2.0086083213773313E-2</v>
      </c>
      <c r="J46" s="48">
        <f t="shared" si="1"/>
        <v>0.8923959827833573</v>
      </c>
    </row>
    <row r="47" spans="1:10" x14ac:dyDescent="0.3">
      <c r="A47" s="42">
        <v>43983</v>
      </c>
      <c r="B47" s="43">
        <v>1490</v>
      </c>
      <c r="C47" s="44">
        <v>115</v>
      </c>
      <c r="D47" s="45">
        <v>1292</v>
      </c>
      <c r="E47" s="45">
        <v>0</v>
      </c>
      <c r="F47" s="45">
        <v>0</v>
      </c>
      <c r="G47" s="45">
        <v>0</v>
      </c>
      <c r="H47" s="46">
        <v>83</v>
      </c>
      <c r="I47" s="47">
        <f t="shared" si="3"/>
        <v>7.7181208053691275E-2</v>
      </c>
      <c r="J47" s="48">
        <f t="shared" si="1"/>
        <v>0.86711409395973149</v>
      </c>
    </row>
    <row r="48" spans="1:10" x14ac:dyDescent="0.3">
      <c r="A48" s="42">
        <v>43982</v>
      </c>
      <c r="B48" s="43">
        <v>6</v>
      </c>
      <c r="C48" s="44">
        <v>0</v>
      </c>
      <c r="D48" s="45">
        <v>6</v>
      </c>
      <c r="E48" s="45">
        <v>0</v>
      </c>
      <c r="F48" s="45">
        <v>0</v>
      </c>
      <c r="G48" s="45">
        <v>0</v>
      </c>
      <c r="H48" s="46">
        <v>0</v>
      </c>
      <c r="I48" s="47">
        <f t="shared" si="3"/>
        <v>0</v>
      </c>
      <c r="J48" s="48">
        <f t="shared" si="1"/>
        <v>1</v>
      </c>
    </row>
    <row r="49" spans="1:10" x14ac:dyDescent="0.3">
      <c r="A49" s="42">
        <v>43981</v>
      </c>
      <c r="B49" s="43">
        <v>308</v>
      </c>
      <c r="C49" s="44">
        <v>2</v>
      </c>
      <c r="D49" s="45">
        <v>306</v>
      </c>
      <c r="E49" s="45">
        <v>0</v>
      </c>
      <c r="F49" s="45">
        <v>0</v>
      </c>
      <c r="G49" s="45">
        <v>0</v>
      </c>
      <c r="H49" s="46">
        <v>0</v>
      </c>
      <c r="I49" s="47">
        <f t="shared" si="3"/>
        <v>6.4935064935064939E-3</v>
      </c>
      <c r="J49" s="48">
        <f t="shared" si="1"/>
        <v>0.99350649350649356</v>
      </c>
    </row>
    <row r="50" spans="1:10" x14ac:dyDescent="0.3">
      <c r="A50" s="42">
        <v>43980</v>
      </c>
      <c r="B50" s="43">
        <v>1250</v>
      </c>
      <c r="C50" s="44">
        <v>5</v>
      </c>
      <c r="D50" s="45">
        <v>1241</v>
      </c>
      <c r="E50" s="45">
        <v>0</v>
      </c>
      <c r="F50" s="45">
        <v>0</v>
      </c>
      <c r="G50" s="45">
        <v>0</v>
      </c>
      <c r="H50" s="46">
        <v>4</v>
      </c>
      <c r="I50" s="47">
        <f t="shared" si="3"/>
        <v>4.0000000000000001E-3</v>
      </c>
      <c r="J50" s="48">
        <f t="shared" si="1"/>
        <v>0.99280000000000002</v>
      </c>
    </row>
    <row r="51" spans="1:10" x14ac:dyDescent="0.3">
      <c r="A51" s="42">
        <v>43979</v>
      </c>
      <c r="B51" s="43">
        <v>1479</v>
      </c>
      <c r="C51" s="44">
        <v>7</v>
      </c>
      <c r="D51" s="45">
        <v>1471</v>
      </c>
      <c r="E51" s="45">
        <v>0</v>
      </c>
      <c r="F51" s="45">
        <v>0</v>
      </c>
      <c r="G51" s="45">
        <v>0</v>
      </c>
      <c r="H51" s="46">
        <v>1</v>
      </c>
      <c r="I51" s="47">
        <f t="shared" si="3"/>
        <v>4.7329276538201487E-3</v>
      </c>
      <c r="J51" s="48">
        <f t="shared" si="1"/>
        <v>0.99459093982420554</v>
      </c>
    </row>
    <row r="52" spans="1:10" x14ac:dyDescent="0.3">
      <c r="A52" s="42">
        <v>43978</v>
      </c>
      <c r="B52" s="43">
        <v>1679</v>
      </c>
      <c r="C52" s="44">
        <v>13</v>
      </c>
      <c r="D52" s="45">
        <v>1664</v>
      </c>
      <c r="E52" s="45">
        <v>0</v>
      </c>
      <c r="F52" s="45">
        <v>0</v>
      </c>
      <c r="G52" s="45">
        <v>0</v>
      </c>
      <c r="H52" s="46">
        <v>2</v>
      </c>
      <c r="I52" s="47">
        <f t="shared" si="3"/>
        <v>7.7427039904705182E-3</v>
      </c>
      <c r="J52" s="48">
        <f t="shared" si="1"/>
        <v>0.99106611078022633</v>
      </c>
    </row>
    <row r="53" spans="1:10" x14ac:dyDescent="0.3">
      <c r="A53" s="42">
        <v>43977</v>
      </c>
      <c r="B53" s="43">
        <v>1391</v>
      </c>
      <c r="C53" s="44">
        <v>9</v>
      </c>
      <c r="D53" s="45">
        <v>1382</v>
      </c>
      <c r="E53" s="45">
        <v>0</v>
      </c>
      <c r="F53" s="45">
        <v>0</v>
      </c>
      <c r="G53" s="45">
        <v>0</v>
      </c>
      <c r="H53" s="46">
        <v>0</v>
      </c>
      <c r="I53" s="47">
        <f t="shared" si="3"/>
        <v>6.4701653486700216E-3</v>
      </c>
      <c r="J53" s="48">
        <f t="shared" si="1"/>
        <v>0.99352983465132994</v>
      </c>
    </row>
    <row r="54" spans="1:10" x14ac:dyDescent="0.3">
      <c r="A54" s="42">
        <v>43976</v>
      </c>
      <c r="B54" s="43">
        <v>7</v>
      </c>
      <c r="C54" s="44">
        <v>0</v>
      </c>
      <c r="D54" s="45">
        <v>7</v>
      </c>
      <c r="E54" s="45">
        <v>0</v>
      </c>
      <c r="F54" s="45">
        <v>0</v>
      </c>
      <c r="G54" s="45">
        <v>0</v>
      </c>
      <c r="H54" s="46">
        <v>0</v>
      </c>
      <c r="I54" s="47">
        <f t="shared" si="3"/>
        <v>0</v>
      </c>
      <c r="J54" s="48">
        <f t="shared" si="1"/>
        <v>1</v>
      </c>
    </row>
    <row r="55" spans="1:10" x14ac:dyDescent="0.3">
      <c r="A55" s="42">
        <v>43975</v>
      </c>
      <c r="B55" s="43">
        <v>32</v>
      </c>
      <c r="C55" s="44">
        <v>0</v>
      </c>
      <c r="D55" s="45">
        <v>30</v>
      </c>
      <c r="E55" s="45">
        <v>0</v>
      </c>
      <c r="F55" s="45">
        <v>0</v>
      </c>
      <c r="G55" s="45">
        <v>0</v>
      </c>
      <c r="H55" s="46">
        <v>2</v>
      </c>
      <c r="I55" s="47">
        <f t="shared" si="3"/>
        <v>0</v>
      </c>
      <c r="J55" s="48">
        <f t="shared" si="1"/>
        <v>0.9375</v>
      </c>
    </row>
    <row r="56" spans="1:10" x14ac:dyDescent="0.3">
      <c r="A56" s="42">
        <v>43974</v>
      </c>
      <c r="B56" s="43">
        <v>64</v>
      </c>
      <c r="C56" s="44">
        <v>0</v>
      </c>
      <c r="D56" s="45">
        <v>64</v>
      </c>
      <c r="E56" s="45">
        <v>0</v>
      </c>
      <c r="F56" s="45">
        <v>0</v>
      </c>
      <c r="G56" s="45">
        <v>0</v>
      </c>
      <c r="H56" s="46">
        <v>0</v>
      </c>
      <c r="I56" s="47">
        <f t="shared" si="3"/>
        <v>0</v>
      </c>
      <c r="J56" s="48">
        <f t="shared" si="1"/>
        <v>1</v>
      </c>
    </row>
    <row r="57" spans="1:10" x14ac:dyDescent="0.3">
      <c r="A57" s="42">
        <v>43973</v>
      </c>
      <c r="B57" s="43">
        <v>905</v>
      </c>
      <c r="C57" s="44">
        <v>1</v>
      </c>
      <c r="D57" s="45">
        <v>903</v>
      </c>
      <c r="E57" s="45">
        <v>0</v>
      </c>
      <c r="F57" s="45">
        <v>0</v>
      </c>
      <c r="G57" s="45">
        <v>0</v>
      </c>
      <c r="H57" s="46">
        <v>1</v>
      </c>
      <c r="I57" s="47">
        <f t="shared" si="3"/>
        <v>1.1049723756906078E-3</v>
      </c>
      <c r="J57" s="48">
        <f t="shared" si="1"/>
        <v>0.99779005524861875</v>
      </c>
    </row>
    <row r="58" spans="1:10" x14ac:dyDescent="0.3">
      <c r="A58" s="42">
        <v>43972</v>
      </c>
      <c r="B58" s="43">
        <v>674</v>
      </c>
      <c r="C58" s="44">
        <v>2</v>
      </c>
      <c r="D58" s="45">
        <v>672</v>
      </c>
      <c r="E58" s="45">
        <v>0</v>
      </c>
      <c r="F58" s="45">
        <v>0</v>
      </c>
      <c r="G58" s="45">
        <v>0</v>
      </c>
      <c r="H58" s="46">
        <v>0</v>
      </c>
      <c r="I58" s="47">
        <f t="shared" si="3"/>
        <v>2.967359050445104E-3</v>
      </c>
      <c r="J58" s="48">
        <f t="shared" si="1"/>
        <v>0.9970326409495549</v>
      </c>
    </row>
    <row r="59" spans="1:10" x14ac:dyDescent="0.3">
      <c r="A59" s="42">
        <v>43971</v>
      </c>
      <c r="B59" s="43">
        <v>658</v>
      </c>
      <c r="C59" s="44">
        <v>0</v>
      </c>
      <c r="D59" s="45">
        <v>658</v>
      </c>
      <c r="E59" s="45">
        <v>0</v>
      </c>
      <c r="F59" s="45">
        <v>0</v>
      </c>
      <c r="G59" s="45">
        <v>0</v>
      </c>
      <c r="H59" s="46">
        <v>0</v>
      </c>
      <c r="I59" s="47">
        <f t="shared" si="3"/>
        <v>0</v>
      </c>
      <c r="J59" s="48">
        <f t="shared" si="1"/>
        <v>1</v>
      </c>
    </row>
    <row r="60" spans="1:10" x14ac:dyDescent="0.3">
      <c r="A60" s="42">
        <v>43970</v>
      </c>
      <c r="B60" s="43">
        <v>696</v>
      </c>
      <c r="C60" s="44">
        <v>3</v>
      </c>
      <c r="D60" s="45">
        <v>690</v>
      </c>
      <c r="E60" s="45">
        <v>0</v>
      </c>
      <c r="F60" s="45">
        <v>0</v>
      </c>
      <c r="G60" s="45">
        <v>0</v>
      </c>
      <c r="H60" s="46">
        <v>3</v>
      </c>
      <c r="I60" s="47">
        <f t="shared" si="3"/>
        <v>4.3103448275862068E-3</v>
      </c>
      <c r="J60" s="48">
        <f t="shared" si="1"/>
        <v>0.99137931034482762</v>
      </c>
    </row>
    <row r="61" spans="1:10" x14ac:dyDescent="0.3">
      <c r="A61" s="42">
        <v>43969</v>
      </c>
      <c r="B61" s="43">
        <v>561</v>
      </c>
      <c r="C61" s="44">
        <v>5</v>
      </c>
      <c r="D61" s="45">
        <v>556</v>
      </c>
      <c r="E61" s="45">
        <v>0</v>
      </c>
      <c r="F61" s="45">
        <v>0</v>
      </c>
      <c r="G61" s="45">
        <v>0</v>
      </c>
      <c r="H61" s="46">
        <v>0</v>
      </c>
      <c r="I61" s="47">
        <f t="shared" si="3"/>
        <v>8.9126559714795012E-3</v>
      </c>
      <c r="J61" s="48">
        <f t="shared" si="1"/>
        <v>0.9910873440285205</v>
      </c>
    </row>
    <row r="62" spans="1:10" x14ac:dyDescent="0.3">
      <c r="A62" s="42">
        <v>43968</v>
      </c>
      <c r="B62" s="43">
        <v>5</v>
      </c>
      <c r="C62" s="44">
        <v>0</v>
      </c>
      <c r="D62" s="45">
        <v>5</v>
      </c>
      <c r="E62" s="45">
        <v>0</v>
      </c>
      <c r="F62" s="45">
        <v>0</v>
      </c>
      <c r="G62" s="45">
        <v>0</v>
      </c>
      <c r="H62" s="46">
        <v>0</v>
      </c>
      <c r="I62" s="47">
        <f t="shared" si="3"/>
        <v>0</v>
      </c>
      <c r="J62" s="48">
        <f t="shared" si="1"/>
        <v>1</v>
      </c>
    </row>
    <row r="63" spans="1:10" x14ac:dyDescent="0.3">
      <c r="A63" s="42">
        <v>43967</v>
      </c>
      <c r="B63" s="43">
        <v>106</v>
      </c>
      <c r="C63" s="44">
        <v>0</v>
      </c>
      <c r="D63" s="45">
        <v>106</v>
      </c>
      <c r="E63" s="45">
        <v>0</v>
      </c>
      <c r="F63" s="45">
        <v>0</v>
      </c>
      <c r="G63" s="45">
        <v>0</v>
      </c>
      <c r="H63" s="46">
        <v>0</v>
      </c>
      <c r="I63" s="47">
        <f t="shared" si="3"/>
        <v>0</v>
      </c>
      <c r="J63" s="48">
        <f t="shared" si="1"/>
        <v>1</v>
      </c>
    </row>
    <row r="64" spans="1:10" x14ac:dyDescent="0.3">
      <c r="A64" s="42">
        <v>43966</v>
      </c>
      <c r="B64" s="43">
        <v>516</v>
      </c>
      <c r="C64" s="44">
        <v>0</v>
      </c>
      <c r="D64" s="45">
        <v>516</v>
      </c>
      <c r="E64" s="45">
        <v>0</v>
      </c>
      <c r="F64" s="45">
        <v>0</v>
      </c>
      <c r="G64" s="45">
        <v>0</v>
      </c>
      <c r="H64" s="46">
        <v>0</v>
      </c>
      <c r="I64" s="47">
        <f t="shared" si="3"/>
        <v>0</v>
      </c>
      <c r="J64" s="48">
        <f t="shared" si="1"/>
        <v>1</v>
      </c>
    </row>
    <row r="65" spans="1:10" x14ac:dyDescent="0.3">
      <c r="A65" s="42">
        <v>43965</v>
      </c>
      <c r="B65" s="43">
        <v>611</v>
      </c>
      <c r="C65" s="44">
        <v>0</v>
      </c>
      <c r="D65" s="45">
        <v>610</v>
      </c>
      <c r="E65" s="45">
        <v>0</v>
      </c>
      <c r="F65" s="45">
        <v>0</v>
      </c>
      <c r="G65" s="45">
        <v>0</v>
      </c>
      <c r="H65" s="46">
        <v>1</v>
      </c>
      <c r="I65" s="47">
        <f t="shared" si="3"/>
        <v>0</v>
      </c>
      <c r="J65" s="48">
        <f t="shared" si="1"/>
        <v>0.99836333878887074</v>
      </c>
    </row>
    <row r="66" spans="1:10" x14ac:dyDescent="0.3">
      <c r="A66" s="42">
        <v>43964</v>
      </c>
      <c r="B66" s="43">
        <v>519</v>
      </c>
      <c r="C66" s="44">
        <v>0</v>
      </c>
      <c r="D66" s="45">
        <v>441</v>
      </c>
      <c r="E66" s="45">
        <v>0</v>
      </c>
      <c r="F66" s="45">
        <v>0</v>
      </c>
      <c r="G66" s="45">
        <v>0</v>
      </c>
      <c r="H66" s="46">
        <v>78</v>
      </c>
      <c r="I66" s="47">
        <f t="shared" si="3"/>
        <v>0</v>
      </c>
      <c r="J66" s="48">
        <f t="shared" si="1"/>
        <v>0.8497109826589595</v>
      </c>
    </row>
    <row r="67" spans="1:10" x14ac:dyDescent="0.3">
      <c r="A67" s="42">
        <v>43963</v>
      </c>
      <c r="B67" s="43">
        <v>557</v>
      </c>
      <c r="C67" s="44">
        <v>0</v>
      </c>
      <c r="D67" s="45">
        <v>557</v>
      </c>
      <c r="E67" s="45">
        <v>0</v>
      </c>
      <c r="F67" s="45">
        <v>0</v>
      </c>
      <c r="G67" s="45">
        <v>0</v>
      </c>
      <c r="H67" s="46">
        <v>0</v>
      </c>
      <c r="I67" s="47">
        <f t="shared" si="3"/>
        <v>0</v>
      </c>
      <c r="J67" s="48">
        <f t="shared" si="1"/>
        <v>1</v>
      </c>
    </row>
    <row r="68" spans="1:10" x14ac:dyDescent="0.3">
      <c r="A68" s="42">
        <v>43962</v>
      </c>
      <c r="B68" s="43">
        <v>752</v>
      </c>
      <c r="C68" s="44">
        <v>0</v>
      </c>
      <c r="D68" s="45">
        <v>751</v>
      </c>
      <c r="E68" s="45">
        <v>0</v>
      </c>
      <c r="F68" s="45">
        <v>0</v>
      </c>
      <c r="G68" s="45">
        <v>0</v>
      </c>
      <c r="H68" s="46">
        <v>1</v>
      </c>
      <c r="I68" s="47">
        <f t="shared" si="3"/>
        <v>0</v>
      </c>
      <c r="J68" s="48">
        <f t="shared" si="1"/>
        <v>0.99867021276595747</v>
      </c>
    </row>
    <row r="69" spans="1:10" x14ac:dyDescent="0.3">
      <c r="A69" s="42">
        <v>43961</v>
      </c>
      <c r="B69" s="43">
        <v>9</v>
      </c>
      <c r="C69" s="44">
        <v>0</v>
      </c>
      <c r="D69" s="45">
        <v>9</v>
      </c>
      <c r="E69" s="45">
        <v>0</v>
      </c>
      <c r="F69" s="45">
        <v>0</v>
      </c>
      <c r="G69" s="45">
        <v>0</v>
      </c>
      <c r="H69" s="46">
        <v>0</v>
      </c>
      <c r="I69" s="47">
        <f t="shared" si="3"/>
        <v>0</v>
      </c>
      <c r="J69" s="48">
        <f t="shared" si="1"/>
        <v>1</v>
      </c>
    </row>
    <row r="70" spans="1:10" x14ac:dyDescent="0.3">
      <c r="A70" s="42">
        <v>43960</v>
      </c>
      <c r="B70" s="43">
        <v>45</v>
      </c>
      <c r="C70" s="44">
        <v>0</v>
      </c>
      <c r="D70" s="45">
        <v>45</v>
      </c>
      <c r="E70" s="45">
        <v>0</v>
      </c>
      <c r="F70" s="45">
        <v>0</v>
      </c>
      <c r="G70" s="45">
        <v>0</v>
      </c>
      <c r="H70" s="46">
        <v>0</v>
      </c>
      <c r="I70" s="47">
        <f t="shared" si="3"/>
        <v>0</v>
      </c>
      <c r="J70" s="48">
        <f t="shared" si="1"/>
        <v>1</v>
      </c>
    </row>
    <row r="71" spans="1:10" x14ac:dyDescent="0.3">
      <c r="A71" s="42">
        <v>43959</v>
      </c>
      <c r="B71" s="43">
        <v>403</v>
      </c>
      <c r="C71" s="44">
        <v>0</v>
      </c>
      <c r="D71" s="45">
        <v>403</v>
      </c>
      <c r="E71" s="45">
        <v>0</v>
      </c>
      <c r="F71" s="45">
        <v>0</v>
      </c>
      <c r="G71" s="45">
        <v>0</v>
      </c>
      <c r="H71" s="46">
        <v>0</v>
      </c>
      <c r="I71" s="47">
        <f t="shared" si="3"/>
        <v>0</v>
      </c>
      <c r="J71" s="48">
        <f t="shared" si="1"/>
        <v>1</v>
      </c>
    </row>
    <row r="72" spans="1:10" x14ac:dyDescent="0.3">
      <c r="A72" s="42">
        <v>43958</v>
      </c>
      <c r="B72" s="43">
        <v>611</v>
      </c>
      <c r="C72" s="44">
        <v>0</v>
      </c>
      <c r="D72" s="45">
        <v>611</v>
      </c>
      <c r="E72" s="45">
        <v>0</v>
      </c>
      <c r="F72" s="45">
        <v>0</v>
      </c>
      <c r="G72" s="45">
        <v>0</v>
      </c>
      <c r="H72" s="46">
        <v>0</v>
      </c>
      <c r="I72" s="47">
        <f t="shared" si="3"/>
        <v>0</v>
      </c>
      <c r="J72" s="48">
        <f t="shared" ref="J72:J135" si="4">D72/B72</f>
        <v>1</v>
      </c>
    </row>
    <row r="73" spans="1:10" x14ac:dyDescent="0.3">
      <c r="A73" s="42">
        <v>43957</v>
      </c>
      <c r="B73" s="43">
        <v>332</v>
      </c>
      <c r="C73" s="44">
        <v>0</v>
      </c>
      <c r="D73" s="45">
        <v>332</v>
      </c>
      <c r="E73" s="45">
        <v>0</v>
      </c>
      <c r="F73" s="45">
        <v>0</v>
      </c>
      <c r="G73" s="45">
        <v>0</v>
      </c>
      <c r="H73" s="46">
        <v>0</v>
      </c>
      <c r="I73" s="47">
        <f t="shared" ref="I73:I136" si="5">C73/B73</f>
        <v>0</v>
      </c>
      <c r="J73" s="48">
        <f t="shared" si="4"/>
        <v>1</v>
      </c>
    </row>
    <row r="74" spans="1:10" x14ac:dyDescent="0.3">
      <c r="A74" s="42">
        <v>43956</v>
      </c>
      <c r="B74" s="43">
        <v>665</v>
      </c>
      <c r="C74" s="44">
        <v>0</v>
      </c>
      <c r="D74" s="45">
        <v>665</v>
      </c>
      <c r="E74" s="45">
        <v>0</v>
      </c>
      <c r="F74" s="45">
        <v>0</v>
      </c>
      <c r="G74" s="45">
        <v>0</v>
      </c>
      <c r="H74" s="46">
        <v>0</v>
      </c>
      <c r="I74" s="47">
        <f t="shared" si="5"/>
        <v>0</v>
      </c>
      <c r="J74" s="48">
        <f t="shared" si="4"/>
        <v>1</v>
      </c>
    </row>
    <row r="75" spans="1:10" x14ac:dyDescent="0.3">
      <c r="A75" s="42">
        <v>43955</v>
      </c>
      <c r="B75" s="43">
        <v>578</v>
      </c>
      <c r="C75" s="44">
        <v>0</v>
      </c>
      <c r="D75" s="45">
        <v>578</v>
      </c>
      <c r="E75" s="45">
        <v>0</v>
      </c>
      <c r="F75" s="45">
        <v>0</v>
      </c>
      <c r="G75" s="45">
        <v>0</v>
      </c>
      <c r="H75" s="46">
        <v>0</v>
      </c>
      <c r="I75" s="47">
        <f t="shared" si="5"/>
        <v>0</v>
      </c>
      <c r="J75" s="48">
        <f t="shared" si="4"/>
        <v>1</v>
      </c>
    </row>
    <row r="76" spans="1:10" x14ac:dyDescent="0.3">
      <c r="A76" s="42">
        <v>43954</v>
      </c>
      <c r="B76" s="43">
        <v>10</v>
      </c>
      <c r="C76" s="44">
        <v>0</v>
      </c>
      <c r="D76" s="45">
        <v>10</v>
      </c>
      <c r="E76" s="45">
        <v>0</v>
      </c>
      <c r="F76" s="45">
        <v>0</v>
      </c>
      <c r="G76" s="45">
        <v>0</v>
      </c>
      <c r="H76" s="46">
        <v>0</v>
      </c>
      <c r="I76" s="47">
        <f t="shared" si="5"/>
        <v>0</v>
      </c>
      <c r="J76" s="48">
        <f t="shared" si="4"/>
        <v>1</v>
      </c>
    </row>
    <row r="77" spans="1:10" x14ac:dyDescent="0.3">
      <c r="A77" s="42">
        <v>43953</v>
      </c>
      <c r="B77" s="43">
        <v>23</v>
      </c>
      <c r="C77" s="44">
        <v>0</v>
      </c>
      <c r="D77" s="45">
        <v>23</v>
      </c>
      <c r="E77" s="45">
        <v>0</v>
      </c>
      <c r="F77" s="45">
        <v>0</v>
      </c>
      <c r="G77" s="45">
        <v>0</v>
      </c>
      <c r="H77" s="46">
        <v>0</v>
      </c>
      <c r="I77" s="47">
        <f t="shared" si="5"/>
        <v>0</v>
      </c>
      <c r="J77" s="48">
        <f t="shared" si="4"/>
        <v>1</v>
      </c>
    </row>
    <row r="78" spans="1:10" x14ac:dyDescent="0.3">
      <c r="A78" s="42">
        <v>43952</v>
      </c>
      <c r="B78" s="43">
        <v>598</v>
      </c>
      <c r="C78" s="44">
        <v>0</v>
      </c>
      <c r="D78" s="45">
        <v>598</v>
      </c>
      <c r="E78" s="45">
        <v>0</v>
      </c>
      <c r="F78" s="45">
        <v>0</v>
      </c>
      <c r="G78" s="45">
        <v>0</v>
      </c>
      <c r="H78" s="46">
        <v>0</v>
      </c>
      <c r="I78" s="47">
        <f t="shared" si="5"/>
        <v>0</v>
      </c>
      <c r="J78" s="48">
        <f t="shared" si="4"/>
        <v>1</v>
      </c>
    </row>
    <row r="79" spans="1:10" x14ac:dyDescent="0.3">
      <c r="A79" s="42">
        <v>43951</v>
      </c>
      <c r="B79" s="43">
        <v>604</v>
      </c>
      <c r="C79" s="44">
        <v>0</v>
      </c>
      <c r="D79" s="45">
        <v>604</v>
      </c>
      <c r="E79" s="45">
        <v>0</v>
      </c>
      <c r="F79" s="45">
        <v>0</v>
      </c>
      <c r="G79" s="45">
        <v>0</v>
      </c>
      <c r="H79" s="46">
        <v>0</v>
      </c>
      <c r="I79" s="47">
        <f t="shared" si="5"/>
        <v>0</v>
      </c>
      <c r="J79" s="48">
        <f t="shared" si="4"/>
        <v>1</v>
      </c>
    </row>
    <row r="80" spans="1:10" x14ac:dyDescent="0.3">
      <c r="A80" s="42">
        <v>43950</v>
      </c>
      <c r="B80" s="43">
        <v>1219</v>
      </c>
      <c r="C80" s="44">
        <v>0</v>
      </c>
      <c r="D80" s="45">
        <v>1219</v>
      </c>
      <c r="E80" s="45">
        <v>0</v>
      </c>
      <c r="F80" s="45">
        <v>0</v>
      </c>
      <c r="G80" s="45">
        <v>0</v>
      </c>
      <c r="H80" s="46">
        <v>0</v>
      </c>
      <c r="I80" s="47">
        <f t="shared" si="5"/>
        <v>0</v>
      </c>
      <c r="J80" s="48">
        <f t="shared" si="4"/>
        <v>1</v>
      </c>
    </row>
    <row r="81" spans="1:10" x14ac:dyDescent="0.3">
      <c r="A81" s="42">
        <v>43949</v>
      </c>
      <c r="B81" s="43">
        <v>552</v>
      </c>
      <c r="C81" s="44">
        <v>0</v>
      </c>
      <c r="D81" s="45">
        <v>552</v>
      </c>
      <c r="E81" s="45">
        <v>0</v>
      </c>
      <c r="F81" s="45">
        <v>0</v>
      </c>
      <c r="G81" s="45">
        <v>0</v>
      </c>
      <c r="H81" s="46">
        <v>0</v>
      </c>
      <c r="I81" s="47">
        <f t="shared" si="5"/>
        <v>0</v>
      </c>
      <c r="J81" s="48">
        <f t="shared" si="4"/>
        <v>1</v>
      </c>
    </row>
    <row r="82" spans="1:10" x14ac:dyDescent="0.3">
      <c r="A82" s="42">
        <v>43948</v>
      </c>
      <c r="B82" s="43">
        <v>479</v>
      </c>
      <c r="C82" s="44">
        <v>0</v>
      </c>
      <c r="D82" s="45">
        <v>479</v>
      </c>
      <c r="E82" s="45">
        <v>0</v>
      </c>
      <c r="F82" s="45">
        <v>0</v>
      </c>
      <c r="G82" s="45">
        <v>0</v>
      </c>
      <c r="H82" s="46">
        <v>0</v>
      </c>
      <c r="I82" s="47">
        <f t="shared" si="5"/>
        <v>0</v>
      </c>
      <c r="J82" s="48">
        <f t="shared" si="4"/>
        <v>1</v>
      </c>
    </row>
    <row r="83" spans="1:10" x14ac:dyDescent="0.3">
      <c r="A83" s="42">
        <v>43947</v>
      </c>
      <c r="B83" s="43">
        <v>282</v>
      </c>
      <c r="C83" s="44">
        <v>0</v>
      </c>
      <c r="D83" s="45">
        <v>282</v>
      </c>
      <c r="E83" s="45">
        <v>0</v>
      </c>
      <c r="F83" s="45">
        <v>0</v>
      </c>
      <c r="G83" s="45">
        <v>0</v>
      </c>
      <c r="H83" s="46">
        <v>0</v>
      </c>
      <c r="I83" s="47">
        <f t="shared" si="5"/>
        <v>0</v>
      </c>
      <c r="J83" s="48">
        <f t="shared" si="4"/>
        <v>1</v>
      </c>
    </row>
    <row r="84" spans="1:10" x14ac:dyDescent="0.3">
      <c r="A84" s="42">
        <v>43946</v>
      </c>
      <c r="B84" s="43">
        <v>86</v>
      </c>
      <c r="C84" s="44">
        <v>0</v>
      </c>
      <c r="D84" s="45">
        <v>86</v>
      </c>
      <c r="E84" s="45">
        <v>0</v>
      </c>
      <c r="F84" s="45">
        <v>0</v>
      </c>
      <c r="G84" s="45">
        <v>0</v>
      </c>
      <c r="H84" s="46">
        <v>0</v>
      </c>
      <c r="I84" s="47">
        <f t="shared" si="5"/>
        <v>0</v>
      </c>
      <c r="J84" s="48">
        <f t="shared" si="4"/>
        <v>1</v>
      </c>
    </row>
    <row r="85" spans="1:10" x14ac:dyDescent="0.3">
      <c r="A85" s="42">
        <v>43945</v>
      </c>
      <c r="B85" s="43">
        <v>382</v>
      </c>
      <c r="C85" s="44">
        <v>0</v>
      </c>
      <c r="D85" s="45">
        <v>382</v>
      </c>
      <c r="E85" s="45">
        <v>0</v>
      </c>
      <c r="F85" s="45">
        <v>0</v>
      </c>
      <c r="G85" s="45">
        <v>0</v>
      </c>
      <c r="H85" s="46">
        <v>0</v>
      </c>
      <c r="I85" s="47">
        <f t="shared" si="5"/>
        <v>0</v>
      </c>
      <c r="J85" s="48">
        <f t="shared" si="4"/>
        <v>1</v>
      </c>
    </row>
    <row r="86" spans="1:10" x14ac:dyDescent="0.3">
      <c r="A86" s="42">
        <v>43944</v>
      </c>
      <c r="B86" s="43">
        <v>349</v>
      </c>
      <c r="C86" s="44">
        <v>0</v>
      </c>
      <c r="D86" s="45">
        <v>349</v>
      </c>
      <c r="E86" s="45">
        <v>0</v>
      </c>
      <c r="F86" s="45">
        <v>0</v>
      </c>
      <c r="G86" s="45">
        <v>0</v>
      </c>
      <c r="H86" s="46">
        <v>0</v>
      </c>
      <c r="I86" s="47">
        <f t="shared" si="5"/>
        <v>0</v>
      </c>
      <c r="J86" s="48">
        <f t="shared" si="4"/>
        <v>1</v>
      </c>
    </row>
    <row r="87" spans="1:10" x14ac:dyDescent="0.3">
      <c r="A87" s="42">
        <v>43943</v>
      </c>
      <c r="B87" s="43">
        <v>411</v>
      </c>
      <c r="C87" s="44">
        <v>0</v>
      </c>
      <c r="D87" s="45">
        <v>411</v>
      </c>
      <c r="E87" s="45">
        <v>0</v>
      </c>
      <c r="F87" s="45">
        <v>0</v>
      </c>
      <c r="G87" s="45">
        <v>0</v>
      </c>
      <c r="H87" s="46">
        <v>0</v>
      </c>
      <c r="I87" s="47">
        <f t="shared" si="5"/>
        <v>0</v>
      </c>
      <c r="J87" s="48">
        <f t="shared" si="4"/>
        <v>1</v>
      </c>
    </row>
    <row r="88" spans="1:10" x14ac:dyDescent="0.3">
      <c r="A88" s="42">
        <v>43942</v>
      </c>
      <c r="B88" s="43">
        <v>680</v>
      </c>
      <c r="C88" s="44">
        <v>0</v>
      </c>
      <c r="D88" s="45">
        <v>680</v>
      </c>
      <c r="E88" s="45">
        <v>0</v>
      </c>
      <c r="F88" s="45">
        <v>0</v>
      </c>
      <c r="G88" s="45">
        <v>0</v>
      </c>
      <c r="H88" s="46">
        <v>0</v>
      </c>
      <c r="I88" s="47">
        <f t="shared" si="5"/>
        <v>0</v>
      </c>
      <c r="J88" s="48">
        <f t="shared" si="4"/>
        <v>1</v>
      </c>
    </row>
    <row r="89" spans="1:10" x14ac:dyDescent="0.3">
      <c r="A89" s="42">
        <v>43941</v>
      </c>
      <c r="B89" s="43">
        <v>639</v>
      </c>
      <c r="C89" s="44">
        <v>0</v>
      </c>
      <c r="D89" s="45">
        <v>639</v>
      </c>
      <c r="E89" s="45">
        <v>0</v>
      </c>
      <c r="F89" s="45">
        <v>0</v>
      </c>
      <c r="G89" s="45">
        <v>0</v>
      </c>
      <c r="H89" s="46">
        <v>0</v>
      </c>
      <c r="I89" s="47">
        <f t="shared" si="5"/>
        <v>0</v>
      </c>
      <c r="J89" s="48">
        <f t="shared" si="4"/>
        <v>1</v>
      </c>
    </row>
    <row r="90" spans="1:10" x14ac:dyDescent="0.3">
      <c r="A90" s="42">
        <v>43939</v>
      </c>
      <c r="B90" s="43">
        <v>12</v>
      </c>
      <c r="C90" s="44">
        <v>0</v>
      </c>
      <c r="D90" s="45">
        <v>12</v>
      </c>
      <c r="E90" s="45">
        <v>0</v>
      </c>
      <c r="F90" s="45">
        <v>0</v>
      </c>
      <c r="G90" s="45">
        <v>0</v>
      </c>
      <c r="H90" s="46">
        <v>0</v>
      </c>
      <c r="I90" s="47">
        <f t="shared" si="5"/>
        <v>0</v>
      </c>
      <c r="J90" s="48">
        <f t="shared" si="4"/>
        <v>1</v>
      </c>
    </row>
    <row r="91" spans="1:10" x14ac:dyDescent="0.3">
      <c r="A91" s="42">
        <v>43938</v>
      </c>
      <c r="B91" s="43">
        <v>248</v>
      </c>
      <c r="C91" s="44">
        <v>0</v>
      </c>
      <c r="D91" s="45">
        <v>248</v>
      </c>
      <c r="E91" s="45">
        <v>0</v>
      </c>
      <c r="F91" s="45">
        <v>0</v>
      </c>
      <c r="G91" s="45">
        <v>0</v>
      </c>
      <c r="H91" s="46">
        <v>0</v>
      </c>
      <c r="I91" s="47">
        <f t="shared" si="5"/>
        <v>0</v>
      </c>
      <c r="J91" s="48">
        <f t="shared" si="4"/>
        <v>1</v>
      </c>
    </row>
    <row r="92" spans="1:10" x14ac:dyDescent="0.3">
      <c r="A92" s="42">
        <v>43937</v>
      </c>
      <c r="B92" s="43">
        <v>401</v>
      </c>
      <c r="C92" s="44">
        <v>0</v>
      </c>
      <c r="D92" s="45">
        <v>401</v>
      </c>
      <c r="E92" s="45">
        <v>0</v>
      </c>
      <c r="F92" s="45">
        <v>0</v>
      </c>
      <c r="G92" s="45">
        <v>0</v>
      </c>
      <c r="H92" s="46">
        <v>0</v>
      </c>
      <c r="I92" s="47">
        <f t="shared" si="5"/>
        <v>0</v>
      </c>
      <c r="J92" s="48">
        <f t="shared" si="4"/>
        <v>1</v>
      </c>
    </row>
    <row r="93" spans="1:10" x14ac:dyDescent="0.3">
      <c r="A93" s="42">
        <v>43936</v>
      </c>
      <c r="B93" s="43">
        <v>364</v>
      </c>
      <c r="C93" s="44">
        <v>0</v>
      </c>
      <c r="D93" s="45">
        <v>364</v>
      </c>
      <c r="E93" s="45">
        <v>0</v>
      </c>
      <c r="F93" s="45">
        <v>0</v>
      </c>
      <c r="G93" s="45">
        <v>0</v>
      </c>
      <c r="H93" s="46">
        <v>0</v>
      </c>
      <c r="I93" s="47">
        <f t="shared" si="5"/>
        <v>0</v>
      </c>
      <c r="J93" s="48">
        <f t="shared" si="4"/>
        <v>1</v>
      </c>
    </row>
    <row r="94" spans="1:10" x14ac:dyDescent="0.3">
      <c r="A94" s="42">
        <v>43935</v>
      </c>
      <c r="B94" s="43">
        <v>677</v>
      </c>
      <c r="C94" s="44">
        <v>0</v>
      </c>
      <c r="D94" s="45">
        <v>677</v>
      </c>
      <c r="E94" s="45">
        <v>0</v>
      </c>
      <c r="F94" s="45">
        <v>0</v>
      </c>
      <c r="G94" s="45">
        <v>0</v>
      </c>
      <c r="H94" s="46">
        <v>0</v>
      </c>
      <c r="I94" s="47">
        <f t="shared" si="5"/>
        <v>0</v>
      </c>
      <c r="J94" s="48">
        <f t="shared" si="4"/>
        <v>1</v>
      </c>
    </row>
    <row r="95" spans="1:10" x14ac:dyDescent="0.3">
      <c r="A95" s="42">
        <v>43934</v>
      </c>
      <c r="B95" s="43">
        <v>566</v>
      </c>
      <c r="C95" s="44">
        <v>0</v>
      </c>
      <c r="D95" s="45">
        <v>566</v>
      </c>
      <c r="E95" s="45">
        <v>0</v>
      </c>
      <c r="F95" s="45">
        <v>0</v>
      </c>
      <c r="G95" s="45">
        <v>0</v>
      </c>
      <c r="H95" s="46">
        <v>0</v>
      </c>
      <c r="I95" s="47">
        <f t="shared" si="5"/>
        <v>0</v>
      </c>
      <c r="J95" s="48">
        <f t="shared" si="4"/>
        <v>1</v>
      </c>
    </row>
    <row r="96" spans="1:10" x14ac:dyDescent="0.3">
      <c r="A96" s="42">
        <v>43933</v>
      </c>
      <c r="B96" s="43">
        <v>4</v>
      </c>
      <c r="C96" s="44">
        <v>0</v>
      </c>
      <c r="D96" s="45">
        <v>4</v>
      </c>
      <c r="E96" s="45">
        <v>0</v>
      </c>
      <c r="F96" s="45">
        <v>0</v>
      </c>
      <c r="G96" s="45">
        <v>0</v>
      </c>
      <c r="H96" s="46">
        <v>0</v>
      </c>
      <c r="I96" s="47">
        <f t="shared" si="5"/>
        <v>0</v>
      </c>
      <c r="J96" s="48">
        <f t="shared" si="4"/>
        <v>1</v>
      </c>
    </row>
    <row r="97" spans="1:10" x14ac:dyDescent="0.3">
      <c r="A97" s="42">
        <v>43932</v>
      </c>
      <c r="B97" s="43">
        <v>31</v>
      </c>
      <c r="C97" s="44">
        <v>0</v>
      </c>
      <c r="D97" s="45">
        <v>31</v>
      </c>
      <c r="E97" s="45">
        <v>0</v>
      </c>
      <c r="F97" s="45">
        <v>0</v>
      </c>
      <c r="G97" s="45">
        <v>0</v>
      </c>
      <c r="H97" s="46">
        <v>0</v>
      </c>
      <c r="I97" s="47">
        <f t="shared" si="5"/>
        <v>0</v>
      </c>
      <c r="J97" s="48">
        <f t="shared" si="4"/>
        <v>1</v>
      </c>
    </row>
    <row r="98" spans="1:10" x14ac:dyDescent="0.3">
      <c r="A98" s="42">
        <v>43931</v>
      </c>
      <c r="B98" s="43">
        <v>405</v>
      </c>
      <c r="C98" s="44">
        <v>0</v>
      </c>
      <c r="D98" s="45">
        <v>405</v>
      </c>
      <c r="E98" s="45">
        <v>0</v>
      </c>
      <c r="F98" s="45">
        <v>0</v>
      </c>
      <c r="G98" s="45">
        <v>0</v>
      </c>
      <c r="H98" s="46">
        <v>0</v>
      </c>
      <c r="I98" s="47">
        <f t="shared" si="5"/>
        <v>0</v>
      </c>
      <c r="J98" s="48">
        <f t="shared" si="4"/>
        <v>1</v>
      </c>
    </row>
    <row r="99" spans="1:10" x14ac:dyDescent="0.3">
      <c r="A99" s="42">
        <v>43930</v>
      </c>
      <c r="B99" s="43">
        <v>437</v>
      </c>
      <c r="C99" s="44">
        <v>0</v>
      </c>
      <c r="D99" s="45">
        <v>437</v>
      </c>
      <c r="E99" s="45">
        <v>0</v>
      </c>
      <c r="F99" s="45">
        <v>0</v>
      </c>
      <c r="G99" s="45">
        <v>0</v>
      </c>
      <c r="H99" s="46">
        <v>0</v>
      </c>
      <c r="I99" s="47">
        <f t="shared" si="5"/>
        <v>0</v>
      </c>
      <c r="J99" s="48">
        <f t="shared" si="4"/>
        <v>1</v>
      </c>
    </row>
    <row r="100" spans="1:10" x14ac:dyDescent="0.3">
      <c r="A100" s="42">
        <v>43929</v>
      </c>
      <c r="B100" s="43">
        <v>465</v>
      </c>
      <c r="C100" s="44">
        <v>0</v>
      </c>
      <c r="D100" s="45">
        <v>463</v>
      </c>
      <c r="E100" s="45">
        <v>0</v>
      </c>
      <c r="F100" s="45">
        <v>0</v>
      </c>
      <c r="G100" s="45">
        <v>1</v>
      </c>
      <c r="H100" s="46">
        <v>1</v>
      </c>
      <c r="I100" s="47">
        <f t="shared" si="5"/>
        <v>0</v>
      </c>
      <c r="J100" s="48">
        <f t="shared" si="4"/>
        <v>0.99569892473118282</v>
      </c>
    </row>
    <row r="101" spans="1:10" x14ac:dyDescent="0.3">
      <c r="A101" s="42">
        <v>43928</v>
      </c>
      <c r="B101" s="43">
        <v>570</v>
      </c>
      <c r="C101" s="44">
        <v>6</v>
      </c>
      <c r="D101" s="45">
        <v>556</v>
      </c>
      <c r="E101" s="45">
        <v>0</v>
      </c>
      <c r="F101" s="45">
        <v>0</v>
      </c>
      <c r="G101" s="45">
        <v>0</v>
      </c>
      <c r="H101" s="46">
        <v>8</v>
      </c>
      <c r="I101" s="47">
        <f t="shared" si="5"/>
        <v>1.0526315789473684E-2</v>
      </c>
      <c r="J101" s="48">
        <f t="shared" si="4"/>
        <v>0.9754385964912281</v>
      </c>
    </row>
    <row r="102" spans="1:10" x14ac:dyDescent="0.3">
      <c r="A102" s="42">
        <v>43927</v>
      </c>
      <c r="B102" s="43">
        <v>578</v>
      </c>
      <c r="C102" s="44">
        <v>3</v>
      </c>
      <c r="D102" s="45">
        <v>572</v>
      </c>
      <c r="E102" s="45">
        <v>0</v>
      </c>
      <c r="F102" s="45">
        <v>0</v>
      </c>
      <c r="G102" s="45">
        <v>0</v>
      </c>
      <c r="H102" s="46">
        <v>3</v>
      </c>
      <c r="I102" s="47">
        <f t="shared" si="5"/>
        <v>5.1903114186851208E-3</v>
      </c>
      <c r="J102" s="48">
        <f t="shared" si="4"/>
        <v>0.98961937716262971</v>
      </c>
    </row>
    <row r="103" spans="1:10" x14ac:dyDescent="0.3">
      <c r="A103" s="42">
        <v>43925</v>
      </c>
      <c r="B103" s="43">
        <v>38</v>
      </c>
      <c r="C103" s="44">
        <v>0</v>
      </c>
      <c r="D103" s="45">
        <v>38</v>
      </c>
      <c r="E103" s="45">
        <v>0</v>
      </c>
      <c r="F103" s="45">
        <v>0</v>
      </c>
      <c r="G103" s="45">
        <v>0</v>
      </c>
      <c r="H103" s="46">
        <v>0</v>
      </c>
      <c r="I103" s="47">
        <f t="shared" si="5"/>
        <v>0</v>
      </c>
      <c r="J103" s="48">
        <f t="shared" si="4"/>
        <v>1</v>
      </c>
    </row>
    <row r="104" spans="1:10" x14ac:dyDescent="0.3">
      <c r="A104" s="42">
        <v>43924</v>
      </c>
      <c r="B104" s="43">
        <v>529</v>
      </c>
      <c r="C104" s="44">
        <v>0</v>
      </c>
      <c r="D104" s="45">
        <v>529</v>
      </c>
      <c r="E104" s="45">
        <v>0</v>
      </c>
      <c r="F104" s="45">
        <v>0</v>
      </c>
      <c r="G104" s="45">
        <v>0</v>
      </c>
      <c r="H104" s="46">
        <v>0</v>
      </c>
      <c r="I104" s="47">
        <f t="shared" si="5"/>
        <v>0</v>
      </c>
      <c r="J104" s="48">
        <f t="shared" si="4"/>
        <v>1</v>
      </c>
    </row>
    <row r="105" spans="1:10" x14ac:dyDescent="0.3">
      <c r="A105" s="42">
        <v>43923</v>
      </c>
      <c r="B105" s="43">
        <v>440</v>
      </c>
      <c r="C105" s="44">
        <v>0</v>
      </c>
      <c r="D105" s="45">
        <v>440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5"/>
        <v>0</v>
      </c>
      <c r="J105" s="48">
        <f t="shared" si="4"/>
        <v>1</v>
      </c>
    </row>
    <row r="106" spans="1:10" x14ac:dyDescent="0.3">
      <c r="A106" s="42">
        <v>43922</v>
      </c>
      <c r="B106" s="43">
        <v>588</v>
      </c>
      <c r="C106" s="44">
        <v>0</v>
      </c>
      <c r="D106" s="45">
        <v>588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5"/>
        <v>0</v>
      </c>
      <c r="J106" s="48">
        <f t="shared" si="4"/>
        <v>1</v>
      </c>
    </row>
    <row r="107" spans="1:10" x14ac:dyDescent="0.3">
      <c r="A107" s="42">
        <v>43921</v>
      </c>
      <c r="B107" s="43">
        <v>485</v>
      </c>
      <c r="C107" s="44">
        <v>0</v>
      </c>
      <c r="D107" s="45">
        <v>485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5"/>
        <v>0</v>
      </c>
      <c r="J107" s="48">
        <f t="shared" si="4"/>
        <v>1</v>
      </c>
    </row>
    <row r="108" spans="1:10" x14ac:dyDescent="0.3">
      <c r="A108" s="42">
        <v>43918</v>
      </c>
      <c r="B108" s="43">
        <v>90</v>
      </c>
      <c r="C108" s="44">
        <v>0</v>
      </c>
      <c r="D108" s="45">
        <v>90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5"/>
        <v>0</v>
      </c>
      <c r="J108" s="48">
        <f t="shared" si="4"/>
        <v>1</v>
      </c>
    </row>
    <row r="109" spans="1:10" x14ac:dyDescent="0.3">
      <c r="A109" s="42">
        <v>43917</v>
      </c>
      <c r="B109" s="43">
        <v>412</v>
      </c>
      <c r="C109" s="44">
        <v>0</v>
      </c>
      <c r="D109" s="45">
        <v>412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5"/>
        <v>0</v>
      </c>
      <c r="J109" s="48">
        <f t="shared" si="4"/>
        <v>1</v>
      </c>
    </row>
    <row r="110" spans="1:10" x14ac:dyDescent="0.3">
      <c r="A110" s="42">
        <v>43916</v>
      </c>
      <c r="B110" s="43">
        <v>407</v>
      </c>
      <c r="C110" s="44">
        <v>0</v>
      </c>
      <c r="D110" s="45">
        <v>407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5"/>
        <v>0</v>
      </c>
      <c r="J110" s="48">
        <f t="shared" si="4"/>
        <v>1</v>
      </c>
    </row>
    <row r="111" spans="1:10" x14ac:dyDescent="0.3">
      <c r="A111" s="42">
        <v>43915</v>
      </c>
      <c r="B111" s="43">
        <v>484</v>
      </c>
      <c r="C111" s="44">
        <v>0</v>
      </c>
      <c r="D111" s="45">
        <v>484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5"/>
        <v>0</v>
      </c>
      <c r="J111" s="48">
        <f t="shared" si="4"/>
        <v>1</v>
      </c>
    </row>
    <row r="112" spans="1:10" x14ac:dyDescent="0.3">
      <c r="A112" s="42">
        <v>43914</v>
      </c>
      <c r="B112" s="43">
        <v>581</v>
      </c>
      <c r="C112" s="44">
        <v>0</v>
      </c>
      <c r="D112" s="45">
        <v>581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5"/>
        <v>0</v>
      </c>
      <c r="J112" s="48">
        <f t="shared" si="4"/>
        <v>1</v>
      </c>
    </row>
    <row r="113" spans="1:10" x14ac:dyDescent="0.3">
      <c r="A113" s="42">
        <v>43913</v>
      </c>
      <c r="B113" s="43">
        <v>291</v>
      </c>
      <c r="C113" s="44">
        <v>0</v>
      </c>
      <c r="D113" s="45">
        <v>291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5"/>
        <v>0</v>
      </c>
      <c r="J113" s="48">
        <f t="shared" si="4"/>
        <v>1</v>
      </c>
    </row>
    <row r="114" spans="1:10" x14ac:dyDescent="0.3">
      <c r="A114" s="42">
        <v>43912</v>
      </c>
      <c r="B114" s="43">
        <v>39</v>
      </c>
      <c r="C114" s="44">
        <v>0</v>
      </c>
      <c r="D114" s="45">
        <v>39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5"/>
        <v>0</v>
      </c>
      <c r="J114" s="48">
        <f t="shared" si="4"/>
        <v>1</v>
      </c>
    </row>
    <row r="115" spans="1:10" x14ac:dyDescent="0.3">
      <c r="A115" s="42">
        <v>43911</v>
      </c>
      <c r="B115" s="43">
        <v>233</v>
      </c>
      <c r="C115" s="44">
        <v>0</v>
      </c>
      <c r="D115" s="45">
        <v>233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5"/>
        <v>0</v>
      </c>
      <c r="J115" s="48">
        <f t="shared" si="4"/>
        <v>1</v>
      </c>
    </row>
    <row r="116" spans="1:10" x14ac:dyDescent="0.3">
      <c r="A116" s="42">
        <v>43910</v>
      </c>
      <c r="B116" s="43">
        <v>451</v>
      </c>
      <c r="C116" s="44">
        <v>0</v>
      </c>
      <c r="D116" s="45">
        <v>451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5"/>
        <v>0</v>
      </c>
      <c r="J116" s="48">
        <f t="shared" si="4"/>
        <v>1</v>
      </c>
    </row>
    <row r="117" spans="1:10" x14ac:dyDescent="0.3">
      <c r="A117" s="42">
        <v>43909</v>
      </c>
      <c r="B117" s="43">
        <v>570</v>
      </c>
      <c r="C117" s="44">
        <v>0</v>
      </c>
      <c r="D117" s="45">
        <v>570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5"/>
        <v>0</v>
      </c>
      <c r="J117" s="48">
        <f t="shared" si="4"/>
        <v>1</v>
      </c>
    </row>
    <row r="118" spans="1:10" x14ac:dyDescent="0.3">
      <c r="A118" s="42">
        <v>43908</v>
      </c>
      <c r="B118" s="43">
        <v>930</v>
      </c>
      <c r="C118" s="44">
        <v>0</v>
      </c>
      <c r="D118" s="45">
        <v>930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5"/>
        <v>0</v>
      </c>
      <c r="J118" s="48">
        <f t="shared" si="4"/>
        <v>1</v>
      </c>
    </row>
    <row r="119" spans="1:10" x14ac:dyDescent="0.3">
      <c r="A119" s="42">
        <v>43907</v>
      </c>
      <c r="B119" s="43">
        <v>790</v>
      </c>
      <c r="C119" s="44">
        <v>0</v>
      </c>
      <c r="D119" s="45">
        <v>790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5"/>
        <v>0</v>
      </c>
      <c r="J119" s="48">
        <f t="shared" si="4"/>
        <v>1</v>
      </c>
    </row>
    <row r="120" spans="1:10" x14ac:dyDescent="0.3">
      <c r="A120" s="42">
        <v>43906</v>
      </c>
      <c r="B120" s="43">
        <v>611</v>
      </c>
      <c r="C120" s="44">
        <v>0</v>
      </c>
      <c r="D120" s="45">
        <v>611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5"/>
        <v>0</v>
      </c>
      <c r="J120" s="48">
        <f t="shared" si="4"/>
        <v>1</v>
      </c>
    </row>
    <row r="121" spans="1:10" x14ac:dyDescent="0.3">
      <c r="A121" s="42">
        <v>43905</v>
      </c>
      <c r="B121" s="43">
        <v>67</v>
      </c>
      <c r="C121" s="44">
        <v>0</v>
      </c>
      <c r="D121" s="45">
        <v>67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5"/>
        <v>0</v>
      </c>
      <c r="J121" s="48">
        <f t="shared" si="4"/>
        <v>1</v>
      </c>
    </row>
    <row r="122" spans="1:10" x14ac:dyDescent="0.3">
      <c r="A122" s="42">
        <v>43904</v>
      </c>
      <c r="B122" s="43">
        <v>429</v>
      </c>
      <c r="C122" s="44">
        <v>0</v>
      </c>
      <c r="D122" s="45">
        <v>429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5"/>
        <v>0</v>
      </c>
      <c r="J122" s="48">
        <f t="shared" si="4"/>
        <v>1</v>
      </c>
    </row>
    <row r="123" spans="1:10" x14ac:dyDescent="0.3">
      <c r="A123" s="42">
        <v>43903</v>
      </c>
      <c r="B123" s="43">
        <v>1111</v>
      </c>
      <c r="C123" s="44">
        <v>0</v>
      </c>
      <c r="D123" s="45">
        <v>1111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5"/>
        <v>0</v>
      </c>
      <c r="J123" s="48">
        <f t="shared" si="4"/>
        <v>1</v>
      </c>
    </row>
    <row r="124" spans="1:10" x14ac:dyDescent="0.3">
      <c r="A124" s="42">
        <v>43902</v>
      </c>
      <c r="B124" s="43">
        <v>1706</v>
      </c>
      <c r="C124" s="44">
        <v>0</v>
      </c>
      <c r="D124" s="45">
        <v>1706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5"/>
        <v>0</v>
      </c>
      <c r="J124" s="48">
        <f t="shared" si="4"/>
        <v>1</v>
      </c>
    </row>
    <row r="125" spans="1:10" x14ac:dyDescent="0.3">
      <c r="A125" s="42">
        <v>43901</v>
      </c>
      <c r="B125" s="43">
        <v>1094</v>
      </c>
      <c r="C125" s="44">
        <v>0</v>
      </c>
      <c r="D125" s="45">
        <v>1094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5"/>
        <v>0</v>
      </c>
      <c r="J125" s="48">
        <f t="shared" si="4"/>
        <v>1</v>
      </c>
    </row>
    <row r="126" spans="1:10" x14ac:dyDescent="0.3">
      <c r="A126" s="42">
        <v>43900</v>
      </c>
      <c r="B126" s="43">
        <v>1020</v>
      </c>
      <c r="C126" s="44">
        <v>0</v>
      </c>
      <c r="D126" s="45">
        <v>1020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5"/>
        <v>0</v>
      </c>
      <c r="J126" s="48">
        <f t="shared" si="4"/>
        <v>1</v>
      </c>
    </row>
    <row r="127" spans="1:10" x14ac:dyDescent="0.3">
      <c r="A127" s="42">
        <v>43899</v>
      </c>
      <c r="B127" s="43">
        <v>364</v>
      </c>
      <c r="C127" s="44">
        <v>0</v>
      </c>
      <c r="D127" s="45">
        <v>364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5"/>
        <v>0</v>
      </c>
      <c r="J127" s="48">
        <f t="shared" si="4"/>
        <v>1</v>
      </c>
    </row>
    <row r="128" spans="1:10" x14ac:dyDescent="0.3">
      <c r="A128" s="42">
        <v>43898</v>
      </c>
      <c r="B128" s="43">
        <v>719</v>
      </c>
      <c r="C128" s="44">
        <v>0</v>
      </c>
      <c r="D128" s="45">
        <v>719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5"/>
        <v>0</v>
      </c>
      <c r="J128" s="48">
        <f t="shared" si="4"/>
        <v>1</v>
      </c>
    </row>
    <row r="129" spans="1:10" x14ac:dyDescent="0.3">
      <c r="A129" s="42">
        <v>43897</v>
      </c>
      <c r="B129" s="43">
        <v>481</v>
      </c>
      <c r="C129" s="44">
        <v>0</v>
      </c>
      <c r="D129" s="45">
        <v>481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5"/>
        <v>0</v>
      </c>
      <c r="J129" s="48">
        <f t="shared" si="4"/>
        <v>1</v>
      </c>
    </row>
    <row r="130" spans="1:10" x14ac:dyDescent="0.3">
      <c r="A130" s="42">
        <v>43896</v>
      </c>
      <c r="B130" s="43">
        <v>875</v>
      </c>
      <c r="C130" s="44">
        <v>0</v>
      </c>
      <c r="D130" s="45">
        <v>875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5"/>
        <v>0</v>
      </c>
      <c r="J130" s="48">
        <f t="shared" si="4"/>
        <v>1</v>
      </c>
    </row>
    <row r="131" spans="1:10" x14ac:dyDescent="0.3">
      <c r="A131" s="42">
        <v>43895</v>
      </c>
      <c r="B131" s="43">
        <v>1170</v>
      </c>
      <c r="C131" s="44">
        <v>0</v>
      </c>
      <c r="D131" s="45">
        <v>1170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5"/>
        <v>0</v>
      </c>
      <c r="J131" s="48">
        <f t="shared" si="4"/>
        <v>1</v>
      </c>
    </row>
    <row r="132" spans="1:10" x14ac:dyDescent="0.3">
      <c r="A132" s="42">
        <v>43894</v>
      </c>
      <c r="B132" s="43">
        <v>887</v>
      </c>
      <c r="C132" s="44">
        <v>0</v>
      </c>
      <c r="D132" s="45">
        <v>887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5"/>
        <v>0</v>
      </c>
      <c r="J132" s="48">
        <f t="shared" si="4"/>
        <v>1</v>
      </c>
    </row>
    <row r="133" spans="1:10" x14ac:dyDescent="0.3">
      <c r="A133" s="42">
        <v>43893</v>
      </c>
      <c r="B133" s="43">
        <v>1189</v>
      </c>
      <c r="C133" s="44">
        <v>0</v>
      </c>
      <c r="D133" s="45">
        <v>1189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5"/>
        <v>0</v>
      </c>
      <c r="J133" s="48">
        <f t="shared" si="4"/>
        <v>1</v>
      </c>
    </row>
    <row r="134" spans="1:10" x14ac:dyDescent="0.3">
      <c r="A134" s="42">
        <v>43892</v>
      </c>
      <c r="B134" s="43">
        <v>795</v>
      </c>
      <c r="C134" s="44">
        <v>0</v>
      </c>
      <c r="D134" s="45">
        <v>795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5"/>
        <v>0</v>
      </c>
      <c r="J134" s="48">
        <f t="shared" si="4"/>
        <v>1</v>
      </c>
    </row>
    <row r="135" spans="1:10" x14ac:dyDescent="0.3">
      <c r="A135" s="42">
        <v>43891</v>
      </c>
      <c r="B135" s="43">
        <v>644</v>
      </c>
      <c r="C135" s="44">
        <v>0</v>
      </c>
      <c r="D135" s="45">
        <v>644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5"/>
        <v>0</v>
      </c>
      <c r="J135" s="48">
        <f t="shared" si="4"/>
        <v>1</v>
      </c>
    </row>
    <row r="136" spans="1:10" x14ac:dyDescent="0.3">
      <c r="A136" s="42">
        <v>43890</v>
      </c>
      <c r="B136" s="43">
        <v>1026</v>
      </c>
      <c r="C136" s="44">
        <v>0</v>
      </c>
      <c r="D136" s="45">
        <v>1026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5"/>
        <v>0</v>
      </c>
      <c r="J136" s="48">
        <f t="shared" ref="J136:J166" si="6">D136/B136</f>
        <v>1</v>
      </c>
    </row>
    <row r="137" spans="1:10" x14ac:dyDescent="0.3">
      <c r="A137" s="42">
        <v>43889</v>
      </c>
      <c r="B137" s="43">
        <v>822</v>
      </c>
      <c r="C137" s="44">
        <v>0</v>
      </c>
      <c r="D137" s="45">
        <v>822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ref="I137:I166" si="7">C137/B137</f>
        <v>0</v>
      </c>
      <c r="J137" s="48">
        <f t="shared" si="6"/>
        <v>1</v>
      </c>
    </row>
    <row r="138" spans="1:10" x14ac:dyDescent="0.3">
      <c r="A138" s="42">
        <v>43888</v>
      </c>
      <c r="B138" s="43">
        <v>968</v>
      </c>
      <c r="C138" s="44">
        <v>0</v>
      </c>
      <c r="D138" s="45">
        <v>968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7"/>
        <v>0</v>
      </c>
      <c r="J138" s="48">
        <f t="shared" si="6"/>
        <v>1</v>
      </c>
    </row>
    <row r="139" spans="1:10" x14ac:dyDescent="0.3">
      <c r="A139" s="42">
        <v>43887</v>
      </c>
      <c r="B139" s="43">
        <v>580</v>
      </c>
      <c r="C139" s="44">
        <v>0</v>
      </c>
      <c r="D139" s="45">
        <v>580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7"/>
        <v>0</v>
      </c>
      <c r="J139" s="48">
        <f t="shared" si="6"/>
        <v>1</v>
      </c>
    </row>
    <row r="140" spans="1:10" x14ac:dyDescent="0.3">
      <c r="A140" s="42">
        <v>43886</v>
      </c>
      <c r="B140" s="43">
        <v>692</v>
      </c>
      <c r="C140" s="44">
        <v>0</v>
      </c>
      <c r="D140" s="45">
        <v>692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7"/>
        <v>0</v>
      </c>
      <c r="J140" s="48">
        <f t="shared" si="6"/>
        <v>1</v>
      </c>
    </row>
    <row r="141" spans="1:10" x14ac:dyDescent="0.3">
      <c r="A141" s="42">
        <v>43885</v>
      </c>
      <c r="B141" s="43">
        <v>413</v>
      </c>
      <c r="C141" s="44">
        <v>0</v>
      </c>
      <c r="D141" s="45">
        <v>413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7"/>
        <v>0</v>
      </c>
      <c r="J141" s="48">
        <f t="shared" si="6"/>
        <v>1</v>
      </c>
    </row>
    <row r="142" spans="1:10" x14ac:dyDescent="0.3">
      <c r="A142" s="42">
        <v>43884</v>
      </c>
      <c r="B142" s="43">
        <v>695</v>
      </c>
      <c r="C142" s="44">
        <v>0</v>
      </c>
      <c r="D142" s="45">
        <v>695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7"/>
        <v>0</v>
      </c>
      <c r="J142" s="48">
        <f t="shared" si="6"/>
        <v>1</v>
      </c>
    </row>
    <row r="143" spans="1:10" x14ac:dyDescent="0.3">
      <c r="A143" s="42">
        <v>43883</v>
      </c>
      <c r="B143" s="43">
        <v>161</v>
      </c>
      <c r="C143" s="44">
        <v>0</v>
      </c>
      <c r="D143" s="45">
        <v>161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7"/>
        <v>0</v>
      </c>
      <c r="J143" s="48">
        <f t="shared" si="6"/>
        <v>1</v>
      </c>
    </row>
    <row r="144" spans="1:10" x14ac:dyDescent="0.3">
      <c r="A144" s="42">
        <v>43882</v>
      </c>
      <c r="B144" s="43">
        <v>524</v>
      </c>
      <c r="C144" s="44">
        <v>0</v>
      </c>
      <c r="D144" s="45">
        <v>524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7"/>
        <v>0</v>
      </c>
      <c r="J144" s="48">
        <f t="shared" si="6"/>
        <v>1</v>
      </c>
    </row>
    <row r="145" spans="1:10" x14ac:dyDescent="0.3">
      <c r="A145" s="42">
        <v>43881</v>
      </c>
      <c r="B145" s="43">
        <v>785</v>
      </c>
      <c r="C145" s="44">
        <v>0</v>
      </c>
      <c r="D145" s="45">
        <v>785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7"/>
        <v>0</v>
      </c>
      <c r="J145" s="48">
        <f t="shared" si="6"/>
        <v>1</v>
      </c>
    </row>
    <row r="146" spans="1:10" x14ac:dyDescent="0.3">
      <c r="A146" s="42">
        <v>43880</v>
      </c>
      <c r="B146" s="43">
        <v>1027</v>
      </c>
      <c r="C146" s="44">
        <v>0</v>
      </c>
      <c r="D146" s="45">
        <v>1027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7"/>
        <v>0</v>
      </c>
      <c r="J146" s="48">
        <f t="shared" si="6"/>
        <v>1</v>
      </c>
    </row>
    <row r="147" spans="1:10" x14ac:dyDescent="0.3">
      <c r="A147" s="42">
        <v>43879</v>
      </c>
      <c r="B147" s="43">
        <v>662</v>
      </c>
      <c r="C147" s="44">
        <v>0</v>
      </c>
      <c r="D147" s="45">
        <v>662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7"/>
        <v>0</v>
      </c>
      <c r="J147" s="48">
        <f t="shared" si="6"/>
        <v>1</v>
      </c>
    </row>
    <row r="148" spans="1:10" x14ac:dyDescent="0.3">
      <c r="A148" s="42">
        <v>43878</v>
      </c>
      <c r="B148" s="43">
        <v>552</v>
      </c>
      <c r="C148" s="44">
        <v>0</v>
      </c>
      <c r="D148" s="45">
        <v>552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7"/>
        <v>0</v>
      </c>
      <c r="J148" s="48">
        <f t="shared" si="6"/>
        <v>1</v>
      </c>
    </row>
    <row r="149" spans="1:10" x14ac:dyDescent="0.3">
      <c r="A149" s="42">
        <v>43875</v>
      </c>
      <c r="B149" s="43">
        <v>492</v>
      </c>
      <c r="C149" s="44">
        <v>0</v>
      </c>
      <c r="D149" s="45">
        <v>492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7"/>
        <v>0</v>
      </c>
      <c r="J149" s="48">
        <f t="shared" si="6"/>
        <v>1</v>
      </c>
    </row>
    <row r="150" spans="1:10" x14ac:dyDescent="0.3">
      <c r="A150" s="42">
        <v>43874</v>
      </c>
      <c r="B150" s="43">
        <v>662</v>
      </c>
      <c r="C150" s="44">
        <v>0</v>
      </c>
      <c r="D150" s="45">
        <v>662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7"/>
        <v>0</v>
      </c>
      <c r="J150" s="48">
        <f t="shared" si="6"/>
        <v>1</v>
      </c>
    </row>
    <row r="151" spans="1:10" x14ac:dyDescent="0.3">
      <c r="A151" s="42">
        <v>43873</v>
      </c>
      <c r="B151" s="43">
        <v>574</v>
      </c>
      <c r="C151" s="44">
        <v>0</v>
      </c>
      <c r="D151" s="45">
        <v>574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7"/>
        <v>0</v>
      </c>
      <c r="J151" s="48">
        <f t="shared" si="6"/>
        <v>1</v>
      </c>
    </row>
    <row r="152" spans="1:10" x14ac:dyDescent="0.3">
      <c r="A152" s="42">
        <v>43872</v>
      </c>
      <c r="B152" s="43">
        <v>313</v>
      </c>
      <c r="C152" s="44">
        <v>0</v>
      </c>
      <c r="D152" s="45">
        <v>313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7"/>
        <v>0</v>
      </c>
      <c r="J152" s="48">
        <f t="shared" si="6"/>
        <v>1</v>
      </c>
    </row>
    <row r="153" spans="1:10" x14ac:dyDescent="0.3">
      <c r="A153" s="42">
        <v>43871</v>
      </c>
      <c r="B153" s="43">
        <v>63</v>
      </c>
      <c r="C153" s="44">
        <v>0</v>
      </c>
      <c r="D153" s="45">
        <v>63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7"/>
        <v>0</v>
      </c>
      <c r="J153" s="48">
        <f t="shared" si="6"/>
        <v>1</v>
      </c>
    </row>
    <row r="154" spans="1:10" x14ac:dyDescent="0.3">
      <c r="A154" s="42">
        <v>43870</v>
      </c>
      <c r="B154" s="43">
        <v>3</v>
      </c>
      <c r="C154" s="44">
        <v>0</v>
      </c>
      <c r="D154" s="45">
        <v>3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7"/>
        <v>0</v>
      </c>
      <c r="J154" s="48">
        <f t="shared" si="6"/>
        <v>1</v>
      </c>
    </row>
    <row r="155" spans="1:10" x14ac:dyDescent="0.3">
      <c r="A155" s="42">
        <v>43869</v>
      </c>
      <c r="B155" s="43">
        <v>81</v>
      </c>
      <c r="C155" s="44">
        <v>0</v>
      </c>
      <c r="D155" s="45">
        <v>81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7"/>
        <v>0</v>
      </c>
      <c r="J155" s="48">
        <f t="shared" si="6"/>
        <v>1</v>
      </c>
    </row>
    <row r="156" spans="1:10" x14ac:dyDescent="0.3">
      <c r="A156" s="42">
        <v>43868</v>
      </c>
      <c r="B156" s="43">
        <v>363</v>
      </c>
      <c r="C156" s="44">
        <v>0</v>
      </c>
      <c r="D156" s="45">
        <v>363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7"/>
        <v>0</v>
      </c>
      <c r="J156" s="48">
        <f t="shared" si="6"/>
        <v>1</v>
      </c>
    </row>
    <row r="157" spans="1:10" x14ac:dyDescent="0.3">
      <c r="A157" s="42">
        <v>43867</v>
      </c>
      <c r="B157" s="43">
        <v>215</v>
      </c>
      <c r="C157" s="44">
        <v>0</v>
      </c>
      <c r="D157" s="45">
        <v>215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7"/>
        <v>0</v>
      </c>
      <c r="J157" s="48">
        <f t="shared" si="6"/>
        <v>1</v>
      </c>
    </row>
    <row r="158" spans="1:10" x14ac:dyDescent="0.3">
      <c r="A158" s="42">
        <v>43866</v>
      </c>
      <c r="B158" s="43">
        <v>292</v>
      </c>
      <c r="C158" s="44">
        <v>0</v>
      </c>
      <c r="D158" s="45">
        <v>292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7"/>
        <v>0</v>
      </c>
      <c r="J158" s="48">
        <f t="shared" si="6"/>
        <v>1</v>
      </c>
    </row>
    <row r="159" spans="1:10" x14ac:dyDescent="0.3">
      <c r="A159" s="42">
        <v>43865</v>
      </c>
      <c r="B159" s="43">
        <v>95</v>
      </c>
      <c r="C159" s="44">
        <v>0</v>
      </c>
      <c r="D159" s="45">
        <v>95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7"/>
        <v>0</v>
      </c>
      <c r="J159" s="48">
        <f t="shared" si="6"/>
        <v>1</v>
      </c>
    </row>
    <row r="160" spans="1:10" x14ac:dyDescent="0.3">
      <c r="A160" s="42">
        <v>43864</v>
      </c>
      <c r="B160" s="43">
        <v>164</v>
      </c>
      <c r="C160" s="44">
        <v>0</v>
      </c>
      <c r="D160" s="45">
        <v>164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7"/>
        <v>0</v>
      </c>
      <c r="J160" s="48">
        <f t="shared" si="6"/>
        <v>1</v>
      </c>
    </row>
    <row r="161" spans="1:10" x14ac:dyDescent="0.3">
      <c r="A161" s="42">
        <v>43863</v>
      </c>
      <c r="B161" s="43">
        <v>118</v>
      </c>
      <c r="C161" s="44">
        <v>0</v>
      </c>
      <c r="D161" s="45">
        <v>118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7"/>
        <v>0</v>
      </c>
      <c r="J161" s="48">
        <f t="shared" si="6"/>
        <v>1</v>
      </c>
    </row>
    <row r="162" spans="1:10" x14ac:dyDescent="0.3">
      <c r="A162" s="42">
        <v>43861</v>
      </c>
      <c r="B162" s="43">
        <v>29</v>
      </c>
      <c r="C162" s="44">
        <v>1</v>
      </c>
      <c r="D162" s="45">
        <v>28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7"/>
        <v>3.4482758620689655E-2</v>
      </c>
      <c r="J162" s="48">
        <f t="shared" si="6"/>
        <v>0.96551724137931039</v>
      </c>
    </row>
    <row r="163" spans="1:10" x14ac:dyDescent="0.3">
      <c r="A163" s="42">
        <v>43857</v>
      </c>
      <c r="B163" s="43">
        <v>2</v>
      </c>
      <c r="C163" s="44">
        <v>0</v>
      </c>
      <c r="D163" s="45">
        <v>2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7"/>
        <v>0</v>
      </c>
      <c r="J163" s="48">
        <f t="shared" si="6"/>
        <v>1</v>
      </c>
    </row>
    <row r="164" spans="1:10" x14ac:dyDescent="0.3">
      <c r="A164" s="42">
        <v>43856</v>
      </c>
      <c r="B164" s="43">
        <v>13</v>
      </c>
      <c r="C164" s="44">
        <v>0</v>
      </c>
      <c r="D164" s="45">
        <v>13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7"/>
        <v>0</v>
      </c>
      <c r="J164" s="48">
        <f t="shared" si="6"/>
        <v>1</v>
      </c>
    </row>
    <row r="165" spans="1:10" x14ac:dyDescent="0.3">
      <c r="A165" s="42">
        <v>43855</v>
      </c>
      <c r="B165" s="43">
        <v>62</v>
      </c>
      <c r="C165" s="44">
        <v>0</v>
      </c>
      <c r="D165" s="45">
        <v>62</v>
      </c>
      <c r="E165" s="45">
        <v>0</v>
      </c>
      <c r="F165" s="45">
        <v>0</v>
      </c>
      <c r="G165" s="45">
        <v>0</v>
      </c>
      <c r="H165" s="46">
        <v>0</v>
      </c>
      <c r="I165" s="47">
        <f t="shared" si="7"/>
        <v>0</v>
      </c>
      <c r="J165" s="48">
        <f t="shared" si="6"/>
        <v>1</v>
      </c>
    </row>
    <row r="166" spans="1:10" ht="15" thickBot="1" x14ac:dyDescent="0.35">
      <c r="A166" s="49">
        <v>43854</v>
      </c>
      <c r="B166" s="50">
        <v>12</v>
      </c>
      <c r="C166" s="44">
        <v>0</v>
      </c>
      <c r="D166" s="45">
        <v>12</v>
      </c>
      <c r="E166" s="45">
        <v>0</v>
      </c>
      <c r="F166" s="45">
        <v>0</v>
      </c>
      <c r="G166" s="45">
        <v>0</v>
      </c>
      <c r="H166" s="46">
        <v>0</v>
      </c>
      <c r="I166" s="47">
        <f t="shared" si="7"/>
        <v>0</v>
      </c>
      <c r="J166" s="48">
        <f t="shared" si="6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2020-07-19T13:42:49Z</dcterms:modified>
</cp:coreProperties>
</file>